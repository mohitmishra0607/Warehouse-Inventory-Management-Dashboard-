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9\EXCELCNV\862331cb-091d-44f5-90a7-4a3a3fc387f8\"/>
    </mc:Choice>
  </mc:AlternateContent>
  <xr:revisionPtr revIDLastSave="557" documentId="8_{3B858B60-5B11-4524-8CF5-5C0682C81FFD}" xr6:coauthVersionLast="47" xr6:coauthVersionMax="47" xr10:uidLastSave="{B7FA472D-0EBE-47AF-A36F-00C7EFD6AEB6}"/>
  <bookViews>
    <workbookView xWindow="-60" yWindow="-60" windowWidth="15480" windowHeight="11640" activeTab="2" xr2:uid="{270446EF-232F-48C3-9599-1D78C697807D}"/>
  </bookViews>
  <sheets>
    <sheet name="Raw Data" sheetId="1" r:id="rId1"/>
    <sheet name="Dashboard" sheetId="2" r:id="rId2"/>
    <sheet name="Pivot Table" sheetId="3" r:id="rId3"/>
  </sheets>
  <definedNames>
    <definedName name="_xlnm._FilterDatabase" localSheetId="0" hidden="1">'Raw Data'!$A$2:$U$3206</definedName>
    <definedName name="Slicer_category">#N/A</definedName>
    <definedName name="Slicer_zone">#N/A</definedName>
  </definedNames>
  <calcPr calcId="191028"/>
  <pivotCaches>
    <pivotCache cacheId="11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06" i="1" l="1"/>
  <c r="D11" i="2"/>
  <c r="C11" i="2"/>
  <c r="B11" i="2"/>
  <c r="A11" i="2"/>
  <c r="D8" i="2"/>
  <c r="C8" i="2"/>
  <c r="B8" i="2"/>
  <c r="A8" i="2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" i="1"/>
</calcChain>
</file>

<file path=xl/sharedStrings.xml><?xml version="1.0" encoding="utf-8"?>
<sst xmlns="http://schemas.openxmlformats.org/spreadsheetml/2006/main" count="12907" uniqueCount="3366">
  <si>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</si>
  <si>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</si>
  <si>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</si>
  <si>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</si>
  <si>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</si>
  <si>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</si>
  <si>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</si>
  <si>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</si>
  <si>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</si>
  <si>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</si>
  <si>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</si>
  <si>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</si>
  <si>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</si>
  <si>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</si>
  <si>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</si>
  <si>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</si>
  <si>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</si>
  <si>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</si>
  <si>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</si>
  <si>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</si>
  <si>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KPI_score</t>
  </si>
  <si>
    <t>Inventory Value</t>
  </si>
  <si>
    <t xml:space="preserve">Reorder Status </t>
  </si>
  <si>
    <t>Stock Status</t>
  </si>
  <si>
    <t>ITM10000</t>
  </si>
  <si>
    <t>Pharma</t>
  </si>
  <si>
    <t>L82</t>
  </si>
  <si>
    <t>B</t>
  </si>
  <si>
    <t>ITM10001</t>
  </si>
  <si>
    <t>Automotive</t>
  </si>
  <si>
    <t>L15</t>
  </si>
  <si>
    <t>A</t>
  </si>
  <si>
    <t>ITM10002</t>
  </si>
  <si>
    <t>Groceries</t>
  </si>
  <si>
    <t>L4</t>
  </si>
  <si>
    <t>ITM10003</t>
  </si>
  <si>
    <t>L95</t>
  </si>
  <si>
    <t>ITM10004</t>
  </si>
  <si>
    <t>L36</t>
  </si>
  <si>
    <t>D</t>
  </si>
  <si>
    <t>ITM10005</t>
  </si>
  <si>
    <t>Apparel</t>
  </si>
  <si>
    <t>L32</t>
  </si>
  <si>
    <t>ITM10006</t>
  </si>
  <si>
    <t>L29</t>
  </si>
  <si>
    <t>C</t>
  </si>
  <si>
    <t>ITM10007</t>
  </si>
  <si>
    <t>L18</t>
  </si>
  <si>
    <t>ITM10008</t>
  </si>
  <si>
    <t>ITM10009</t>
  </si>
  <si>
    <t>L14</t>
  </si>
  <si>
    <t>ITM10010</t>
  </si>
  <si>
    <t>L87</t>
  </si>
  <si>
    <t>ITM10011</t>
  </si>
  <si>
    <t>ITM10012</t>
  </si>
  <si>
    <t>L70</t>
  </si>
  <si>
    <t>ITM10013</t>
  </si>
  <si>
    <t>L12</t>
  </si>
  <si>
    <t>ITM10014</t>
  </si>
  <si>
    <t>L76</t>
  </si>
  <si>
    <t>ITM10015</t>
  </si>
  <si>
    <t>L55</t>
  </si>
  <si>
    <t>ITM10016</t>
  </si>
  <si>
    <t>L5</t>
  </si>
  <si>
    <t>ITM10017</t>
  </si>
  <si>
    <t>ITM10018</t>
  </si>
  <si>
    <t>Electronics</t>
  </si>
  <si>
    <t>ITM10019</t>
  </si>
  <si>
    <t>L28</t>
  </si>
  <si>
    <t>ITM10020</t>
  </si>
  <si>
    <t>L30</t>
  </si>
  <si>
    <t>ITM10021</t>
  </si>
  <si>
    <t>L65</t>
  </si>
  <si>
    <t>ITM10022</t>
  </si>
  <si>
    <t>L78</t>
  </si>
  <si>
    <t>ITM10023</t>
  </si>
  <si>
    <t>ITM10024</t>
  </si>
  <si>
    <t>L72</t>
  </si>
  <si>
    <t>ITM10025</t>
  </si>
  <si>
    <t>L26</t>
  </si>
  <si>
    <t>ITM10026</t>
  </si>
  <si>
    <t>L92</t>
  </si>
  <si>
    <t>ITM10027</t>
  </si>
  <si>
    <t>L84</t>
  </si>
  <si>
    <t>ITM10028</t>
  </si>
  <si>
    <t>L90</t>
  </si>
  <si>
    <t>ITM10029</t>
  </si>
  <si>
    <t>ITM10030</t>
  </si>
  <si>
    <t>L54</t>
  </si>
  <si>
    <t>ITM10031</t>
  </si>
  <si>
    <t>ITM10032</t>
  </si>
  <si>
    <t>L58</t>
  </si>
  <si>
    <t>ITM10033</t>
  </si>
  <si>
    <t>ITM10034</t>
  </si>
  <si>
    <t>ITM10035</t>
  </si>
  <si>
    <t>L1</t>
  </si>
  <si>
    <t>ITM10036</t>
  </si>
  <si>
    <t>L98</t>
  </si>
  <si>
    <t>ITM10037</t>
  </si>
  <si>
    <t>L21</t>
  </si>
  <si>
    <t>ITM10038</t>
  </si>
  <si>
    <t>ITM10039</t>
  </si>
  <si>
    <t>ITM10040</t>
  </si>
  <si>
    <t>L44</t>
  </si>
  <si>
    <t>ITM10041</t>
  </si>
  <si>
    <t>ITM10042</t>
  </si>
  <si>
    <t>L20</t>
  </si>
  <si>
    <t>ITM10043</t>
  </si>
  <si>
    <t>ITM10044</t>
  </si>
  <si>
    <t>ITM10045</t>
  </si>
  <si>
    <t>ITM10046</t>
  </si>
  <si>
    <t>ITM10047</t>
  </si>
  <si>
    <t>ITM10048</t>
  </si>
  <si>
    <t>L49</t>
  </si>
  <si>
    <t>ITM10049</t>
  </si>
  <si>
    <t>L13</t>
  </si>
  <si>
    <t>ITM10050</t>
  </si>
  <si>
    <t>L46</t>
  </si>
  <si>
    <t>ITM10051</t>
  </si>
  <si>
    <t>L45</t>
  </si>
  <si>
    <t>ITM10052</t>
  </si>
  <si>
    <t>ITM10053</t>
  </si>
  <si>
    <t>L34</t>
  </si>
  <si>
    <t>ITM10054</t>
  </si>
  <si>
    <t>L6</t>
  </si>
  <si>
    <t>ITM10055</t>
  </si>
  <si>
    <t>L94</t>
  </si>
  <si>
    <t>ITM10056</t>
  </si>
  <si>
    <t>L59</t>
  </si>
  <si>
    <t>ITM10057</t>
  </si>
  <si>
    <t>L69</t>
  </si>
  <si>
    <t>ITM10058</t>
  </si>
  <si>
    <t>L16</t>
  </si>
  <si>
    <t>ITM10059</t>
  </si>
  <si>
    <t>ITM10060</t>
  </si>
  <si>
    <t>L11</t>
  </si>
  <si>
    <t>ITM10061</t>
  </si>
  <si>
    <t>L71</t>
  </si>
  <si>
    <t>ITM10062</t>
  </si>
  <si>
    <t>L38</t>
  </si>
  <si>
    <t>ITM10063</t>
  </si>
  <si>
    <t>L81</t>
  </si>
  <si>
    <t>ITM10064</t>
  </si>
  <si>
    <t>L80</t>
  </si>
  <si>
    <t>ITM10065</t>
  </si>
  <si>
    <t>L47</t>
  </si>
  <si>
    <t>ITM10066</t>
  </si>
  <si>
    <t>L74</t>
  </si>
  <si>
    <t>ITM10067</t>
  </si>
  <si>
    <t>L25</t>
  </si>
  <si>
    <t>ITM10068</t>
  </si>
  <si>
    <t>L91</t>
  </si>
  <si>
    <t>ITM10069</t>
  </si>
  <si>
    <t>L9</t>
  </si>
  <si>
    <t>ITM10070</t>
  </si>
  <si>
    <t>ITM10071</t>
  </si>
  <si>
    <t>L85</t>
  </si>
  <si>
    <t>ITM10072</t>
  </si>
  <si>
    <t>ITM10073</t>
  </si>
  <si>
    <t>L99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</si>
  <si>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</si>
  <si>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</si>
  <si>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</si>
  <si>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</si>
  <si>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</si>
  <si>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</si>
  <si>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</si>
  <si>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</si>
  <si>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</si>
  <si>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</si>
  <si>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</si>
  <si>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L48</t>
  </si>
  <si>
    <t>ITM10085</t>
  </si>
  <si>
    <t>ITM10086</t>
  </si>
  <si>
    <t>L27</t>
  </si>
  <si>
    <t>ITM10087</t>
  </si>
  <si>
    <t>L86</t>
  </si>
  <si>
    <t>ITM10088</t>
  </si>
  <si>
    <t>L35</t>
  </si>
  <si>
    <t>ITM10089</t>
  </si>
  <si>
    <t>ITM10090</t>
  </si>
  <si>
    <t>L88</t>
  </si>
  <si>
    <t>ITM10091</t>
  </si>
  <si>
    <t>L83</t>
  </si>
  <si>
    <t>ITM10092</t>
  </si>
  <si>
    <t>L10</t>
  </si>
  <si>
    <t>ITM10093</t>
  </si>
  <si>
    <t>ITM10094</t>
  </si>
  <si>
    <t>ITM10095</t>
  </si>
  <si>
    <t>L22</t>
  </si>
  <si>
    <t>ITM10096</t>
  </si>
  <si>
    <t>ITM10097</t>
  </si>
  <si>
    <t>ITM10098</t>
  </si>
  <si>
    <t>ITM10099</t>
  </si>
  <si>
    <t>ITM10100</t>
  </si>
  <si>
    <t>L60</t>
  </si>
  <si>
    <t>ITM10101</t>
  </si>
  <si>
    <t>ITM10102</t>
  </si>
  <si>
    <t>ITM10103</t>
  </si>
  <si>
    <t>ITM10104</t>
  </si>
  <si>
    <t>L89</t>
  </si>
  <si>
    <t>ITM10105</t>
  </si>
  <si>
    <t>ITM10106</t>
  </si>
  <si>
    <t>ITM10107</t>
  </si>
  <si>
    <t>ITM10108</t>
  </si>
  <si>
    <t>L42</t>
  </si>
  <si>
    <t>ITM10109</t>
  </si>
  <si>
    <t>ITM10110</t>
  </si>
  <si>
    <t>L100</t>
  </si>
  <si>
    <t>ITM10111</t>
  </si>
  <si>
    <t>L8</t>
  </si>
  <si>
    <t>ITM10112</t>
  </si>
  <si>
    <t>ITM10113</t>
  </si>
  <si>
    <t>ITM10114</t>
  </si>
  <si>
    <t>L41</t>
  </si>
  <si>
    <t>ITM10115</t>
  </si>
  <si>
    <t>L52</t>
  </si>
  <si>
    <t>ITM10116</t>
  </si>
  <si>
    <t>ITM10117</t>
  </si>
  <si>
    <t>ITM10118</t>
  </si>
  <si>
    <t>ITM10119</t>
  </si>
  <si>
    <t>L73</t>
  </si>
  <si>
    <t>ITM10120</t>
  </si>
  <si>
    <t>ITM10121</t>
  </si>
  <si>
    <t>ITM10122</t>
  </si>
  <si>
    <t>ITM10123</t>
  </si>
  <si>
    <t>ITM10124</t>
  </si>
  <si>
    <t>L64</t>
  </si>
  <si>
    <t>ITM10125</t>
  </si>
  <si>
    <t>L51</t>
  </si>
  <si>
    <t>ITM10126</t>
  </si>
  <si>
    <t>ITM10127</t>
  </si>
  <si>
    <t>ITM10128</t>
  </si>
  <si>
    <t>L19</t>
  </si>
  <si>
    <t>ITM10129</t>
  </si>
  <si>
    <t>ITM10130</t>
  </si>
  <si>
    <t>ITM10131</t>
  </si>
  <si>
    <t>ITM10132</t>
  </si>
  <si>
    <t>L96</t>
  </si>
  <si>
    <t>ITM10133</t>
  </si>
  <si>
    <t>ITM10134</t>
  </si>
  <si>
    <t>ITM10135</t>
  </si>
  <si>
    <t>ITM10136</t>
  </si>
  <si>
    <t>ITM10137</t>
  </si>
  <si>
    <t>L75</t>
  </si>
  <si>
    <t>ITM10138</t>
  </si>
  <si>
    <t>ITM10139</t>
  </si>
  <si>
    <t>ITM10140</t>
  </si>
  <si>
    <t>ITM10141</t>
  </si>
  <si>
    <t>ITM10142</t>
  </si>
  <si>
    <t>ITM10143</t>
  </si>
  <si>
    <t>ITM10144</t>
  </si>
  <si>
    <t>L66</t>
  </si>
  <si>
    <t>ITM10145</t>
  </si>
  <si>
    <t>ITM10146</t>
  </si>
  <si>
    <t>ITM10147</t>
  </si>
  <si>
    <t>L97</t>
  </si>
  <si>
    <t>ITM10148</t>
  </si>
  <si>
    <t>L7</t>
  </si>
  <si>
    <t>ITM10149</t>
  </si>
  <si>
    <t>ITM10150</t>
  </si>
  <si>
    <t>ITM10151</t>
  </si>
  <si>
    <t>ITM10152</t>
  </si>
  <si>
    <t>ITM10153</t>
  </si>
  <si>
    <t>ITM10154</t>
  </si>
  <si>
    <t>ITM10155</t>
  </si>
  <si>
    <t>L77</t>
  </si>
  <si>
    <t>ITM10156</t>
  </si>
  <si>
    <t>ITM10157</t>
  </si>
  <si>
    <t>L50</t>
  </si>
  <si>
    <t>ITM10158</t>
  </si>
  <si>
    <t>ITM10159</t>
  </si>
  <si>
    <t>ITM10160</t>
  </si>
  <si>
    <t>ITM10161</t>
  </si>
  <si>
    <t>L68</t>
  </si>
  <si>
    <t>ITM10162</t>
  </si>
  <si>
    <t>L33</t>
  </si>
  <si>
    <t>ITM10163</t>
  </si>
  <si>
    <t>ITM10164</t>
  </si>
  <si>
    <t>L2</t>
  </si>
  <si>
    <t>ITM10165</t>
  </si>
  <si>
    <t>ITM10166</t>
  </si>
  <si>
    <t>L93</t>
  </si>
  <si>
    <t>ITM10167</t>
  </si>
  <si>
    <t>ITM10168</t>
  </si>
  <si>
    <t>ITM10169</t>
  </si>
  <si>
    <t>ITM10170</t>
  </si>
  <si>
    <t>ITM10171</t>
  </si>
  <si>
    <t>ITM10172</t>
  </si>
  <si>
    <t>ITM10173</t>
  </si>
  <si>
    <t>ITM10174</t>
  </si>
  <si>
    <t>ITM10175</t>
  </si>
  <si>
    <t>ITM10176</t>
  </si>
  <si>
    <t>ITM10177</t>
  </si>
  <si>
    <t>L56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</si>
  <si>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</si>
  <si>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</si>
  <si>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</si>
  <si>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</si>
  <si>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</si>
  <si>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</si>
  <si>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</si>
  <si>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</si>
  <si>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ITM10186</t>
  </si>
  <si>
    <t>L23</t>
  </si>
  <si>
    <t>ITM10187</t>
  </si>
  <si>
    <t>ITM10188</t>
  </si>
  <si>
    <t>ITM10189</t>
  </si>
  <si>
    <t>ITM10190</t>
  </si>
  <si>
    <t>L39</t>
  </si>
  <si>
    <t>ITM10191</t>
  </si>
  <si>
    <t>ITM10192</t>
  </si>
  <si>
    <t>ITM10193</t>
  </si>
  <si>
    <t>ITM10194</t>
  </si>
  <si>
    <t>ITM10195</t>
  </si>
  <si>
    <t>ITM10196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</si>
  <si>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</si>
  <si>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</si>
  <si>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</si>
  <si>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</si>
  <si>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</si>
  <si>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</si>
  <si>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</si>
  <si>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</si>
  <si>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</si>
  <si>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L63</t>
  </si>
  <si>
    <t>ITM10206</t>
  </si>
  <si>
    <t>L3</t>
  </si>
  <si>
    <t>ITM10207</t>
  </si>
  <si>
    <t>ITM10208</t>
  </si>
  <si>
    <t>ITM10209</t>
  </si>
  <si>
    <t>L40</t>
  </si>
  <si>
    <t>ITM10210</t>
  </si>
  <si>
    <t>L31</t>
  </si>
  <si>
    <t>ITM10211</t>
  </si>
  <si>
    <t>ITM10212</t>
  </si>
  <si>
    <t>ITM10213</t>
  </si>
  <si>
    <t>ITM10214</t>
  </si>
  <si>
    <t>ITM10215</t>
  </si>
  <si>
    <t>ITM10216</t>
  </si>
  <si>
    <t>ITM10217</t>
  </si>
  <si>
    <t>ITM10218</t>
  </si>
  <si>
    <t>ITM10219</t>
  </si>
  <si>
    <t>ITM10220</t>
  </si>
  <si>
    <t>ITM10221</t>
  </si>
  <si>
    <t>ITM10222</t>
  </si>
  <si>
    <t>L17</t>
  </si>
  <si>
    <t>ITM10223</t>
  </si>
  <si>
    <t>ITM10224</t>
  </si>
  <si>
    <t>ITM10225</t>
  </si>
  <si>
    <t>L61</t>
  </si>
  <si>
    <t>ITM10226</t>
  </si>
  <si>
    <t>ITM10227</t>
  </si>
  <si>
    <t>ITM10228</t>
  </si>
  <si>
    <t>ITM10229</t>
  </si>
  <si>
    <t>ITM10230</t>
  </si>
  <si>
    <t>ITM10231</t>
  </si>
  <si>
    <t>ITM10232</t>
  </si>
  <si>
    <t>ITM10233</t>
  </si>
  <si>
    <t>ITM10234</t>
  </si>
  <si>
    <t>ITM10235</t>
  </si>
  <si>
    <t>ITM10236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</si>
  <si>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</si>
  <si>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</si>
  <si>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</si>
  <si>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</si>
  <si>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</si>
  <si>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</si>
  <si>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</si>
  <si>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</si>
  <si>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L57</t>
  </si>
  <si>
    <t>ITM10245</t>
  </si>
  <si>
    <t>L67</t>
  </si>
  <si>
    <t>ITM10246</t>
  </si>
  <si>
    <t>ITM10247</t>
  </si>
  <si>
    <t>ITM10248</t>
  </si>
  <si>
    <t>ITM10249</t>
  </si>
  <si>
    <t>ITM10250</t>
  </si>
  <si>
    <t>ITM10251</t>
  </si>
  <si>
    <t>ITM10252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</si>
  <si>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</si>
  <si>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</si>
  <si>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</si>
  <si>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</si>
  <si>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</si>
  <si>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</si>
  <si>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</si>
  <si>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</si>
  <si>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</si>
  <si>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</si>
  <si>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</si>
  <si>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</si>
  <si>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</si>
  <si>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ITM10266</t>
  </si>
  <si>
    <t>L43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</si>
  <si>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</si>
  <si>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</si>
  <si>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</si>
  <si>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</si>
  <si>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</si>
  <si>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</si>
  <si>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</si>
  <si>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</si>
  <si>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ITM10275</t>
  </si>
  <si>
    <t>ITM10276</t>
  </si>
  <si>
    <t>ITM10277</t>
  </si>
  <si>
    <t>ITM10278</t>
  </si>
  <si>
    <t>ITM10279</t>
  </si>
  <si>
    <t>ITM10280</t>
  </si>
  <si>
    <t>ITM10281</t>
  </si>
  <si>
    <t>ITM10282</t>
  </si>
  <si>
    <t>L53</t>
  </si>
  <si>
    <t>ITM10283</t>
  </si>
  <si>
    <t>ITM10284</t>
  </si>
  <si>
    <t>ITM10285</t>
  </si>
  <si>
    <t>ITM10286</t>
  </si>
  <si>
    <t>ITM10287</t>
  </si>
  <si>
    <t>ITM10288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</si>
  <si>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</si>
  <si>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</si>
  <si>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</si>
  <si>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</si>
  <si>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</si>
  <si>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</si>
  <si>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</si>
  <si>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</si>
  <si>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</si>
  <si>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</si>
  <si>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</si>
  <si>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ITM10300</t>
  </si>
  <si>
    <t>ITM10301</t>
  </si>
  <si>
    <t>ITM10302</t>
  </si>
  <si>
    <t>ITM10303</t>
  </si>
  <si>
    <t>ITM10304</t>
  </si>
  <si>
    <t>ITM10305</t>
  </si>
  <si>
    <t>ITM10306</t>
  </si>
  <si>
    <t>ITM10307</t>
  </si>
  <si>
    <t>ITM10308</t>
  </si>
  <si>
    <t>ITM10309</t>
  </si>
  <si>
    <t>ITM10310</t>
  </si>
  <si>
    <t>L24</t>
  </si>
  <si>
    <t>ITM10311</t>
  </si>
  <si>
    <t>ITM10312</t>
  </si>
  <si>
    <t>ITM10313</t>
  </si>
  <si>
    <t>ITM10314</t>
  </si>
  <si>
    <t>ITM10315</t>
  </si>
  <si>
    <t>ITM10316</t>
  </si>
  <si>
    <t>ITM10317</t>
  </si>
  <si>
    <t>ITM10318</t>
  </si>
  <si>
    <t>ITM10319</t>
  </si>
  <si>
    <t>ITM10320</t>
  </si>
  <si>
    <t>ITM10321</t>
  </si>
  <si>
    <t>ITM10322</t>
  </si>
  <si>
    <t>ITM10323</t>
  </si>
  <si>
    <t>ITM10324</t>
  </si>
  <si>
    <t>ITM10325</t>
  </si>
  <si>
    <t>ITM10326</t>
  </si>
  <si>
    <t>ITM10327</t>
  </si>
  <si>
    <t>ITM10328</t>
  </si>
  <si>
    <t>L62</t>
  </si>
  <si>
    <t>ITM10329</t>
  </si>
  <si>
    <t>ITM10330</t>
  </si>
  <si>
    <t>ITM10331</t>
  </si>
  <si>
    <t>ITM10332</t>
  </si>
  <si>
    <t>ITM10333</t>
  </si>
  <si>
    <t>ITM10334</t>
  </si>
  <si>
    <t>ITM10335</t>
  </si>
  <si>
    <t>ITM10336</t>
  </si>
  <si>
    <t>ITM10337</t>
  </si>
  <si>
    <t>ITM10338</t>
  </si>
  <si>
    <t>L37</t>
  </si>
  <si>
    <t>ITM10339</t>
  </si>
  <si>
    <t>ITM10340</t>
  </si>
  <si>
    <t>ITM10341</t>
  </si>
  <si>
    <t>ITM10342</t>
  </si>
  <si>
    <t>ITM10343</t>
  </si>
  <si>
    <t>ITM10344</t>
  </si>
  <si>
    <t>ITM10345</t>
  </si>
  <si>
    <t>ITM10346</t>
  </si>
  <si>
    <t>ITM10347</t>
  </si>
  <si>
    <t>ITM10348</t>
  </si>
  <si>
    <t>ITM10349</t>
  </si>
  <si>
    <t>ITM10350</t>
  </si>
  <si>
    <t>ITM10351</t>
  </si>
  <si>
    <t>ITM10352</t>
  </si>
  <si>
    <t>ITM10353</t>
  </si>
  <si>
    <t>ITM10354</t>
  </si>
  <si>
    <t>ITM10355</t>
  </si>
  <si>
    <t>ITM10356</t>
  </si>
  <si>
    <t>ITM10357</t>
  </si>
  <si>
    <t>ITM10358</t>
  </si>
  <si>
    <t>ITM10359</t>
  </si>
  <si>
    <t>ITM10360</t>
  </si>
  <si>
    <t>ITM10361</t>
  </si>
  <si>
    <t>ITM10362</t>
  </si>
  <si>
    <t>ITM10363</t>
  </si>
  <si>
    <t>ITM10364</t>
  </si>
  <si>
    <t>ITM10365</t>
  </si>
  <si>
    <t>ITM10366</t>
  </si>
  <si>
    <t>ITM10367</t>
  </si>
  <si>
    <t>ITM10368</t>
  </si>
  <si>
    <t>ITM10369</t>
  </si>
  <si>
    <t>ITM10370</t>
  </si>
  <si>
    <t>ITM10371</t>
  </si>
  <si>
    <t>ITM10372</t>
  </si>
  <si>
    <t>ITM10373</t>
  </si>
  <si>
    <t>ITM10374</t>
  </si>
  <si>
    <t>ITM10375</t>
  </si>
  <si>
    <t>ITM10376</t>
  </si>
  <si>
    <t>ITM10377</t>
  </si>
  <si>
    <t>ITM10378</t>
  </si>
  <si>
    <t>ITM10379</t>
  </si>
  <si>
    <t>ITM10380</t>
  </si>
  <si>
    <t>ITM10381</t>
  </si>
  <si>
    <t>ITM10382</t>
  </si>
  <si>
    <t>ITM10383</t>
  </si>
  <si>
    <t>ITM10384</t>
  </si>
  <si>
    <t>ITM10385</t>
  </si>
  <si>
    <t>ITM10386</t>
  </si>
  <si>
    <t>ITM10387</t>
  </si>
  <si>
    <t>ITM10388</t>
  </si>
  <si>
    <t>ITM10389</t>
  </si>
  <si>
    <t>ITM10390</t>
  </si>
  <si>
    <t>ITM10391</t>
  </si>
  <si>
    <t>ITM10392</t>
  </si>
  <si>
    <t>ITM10393</t>
  </si>
  <si>
    <t>ITM10394</t>
  </si>
  <si>
    <t>ITM10395</t>
  </si>
  <si>
    <t>ITM10396</t>
  </si>
  <si>
    <t>ITM10397</t>
  </si>
  <si>
    <t>ITM10398</t>
  </si>
  <si>
    <t>ITM10399</t>
  </si>
  <si>
    <t>ITM10400</t>
  </si>
  <si>
    <t>ITM10401</t>
  </si>
  <si>
    <t>ITM10402</t>
  </si>
  <si>
    <t>ITM10403</t>
  </si>
  <si>
    <t>ITM10404</t>
  </si>
  <si>
    <t>ITM10405</t>
  </si>
  <si>
    <t>ITM10406</t>
  </si>
  <si>
    <t>ITM10407</t>
  </si>
  <si>
    <t>ITM10408</t>
  </si>
  <si>
    <t>ITM10409</t>
  </si>
  <si>
    <t>ITM10410</t>
  </si>
  <si>
    <t>ITM10411</t>
  </si>
  <si>
    <t>ITM10412</t>
  </si>
  <si>
    <t>ITM10413</t>
  </si>
  <si>
    <t>ITM10414</t>
  </si>
  <si>
    <t>ITM10415</t>
  </si>
  <si>
    <t>ITM10416</t>
  </si>
  <si>
    <t>ITM10417</t>
  </si>
  <si>
    <t>ITM10418</t>
  </si>
  <si>
    <t>ITM10419</t>
  </si>
  <si>
    <t>ITM10420</t>
  </si>
  <si>
    <t>ITM10421</t>
  </si>
  <si>
    <t>ITM10422</t>
  </si>
  <si>
    <t>ITM10423</t>
  </si>
  <si>
    <t>ITM10424</t>
  </si>
  <si>
    <t>ITM10425</t>
  </si>
  <si>
    <t>L79</t>
  </si>
  <si>
    <t>ITM10426</t>
  </si>
  <si>
    <t>ITM10427</t>
  </si>
  <si>
    <t>ITM10428</t>
  </si>
  <si>
    <t>ITM10429</t>
  </si>
  <si>
    <t>ITM10430</t>
  </si>
  <si>
    <t>ITM10431</t>
  </si>
  <si>
    <t>ITM10432</t>
  </si>
  <si>
    <t>ITM10433</t>
  </si>
  <si>
    <t>ITM10434</t>
  </si>
  <si>
    <t>ITM10435</t>
  </si>
  <si>
    <t>ITM10436</t>
  </si>
  <si>
    <t>ITM10437</t>
  </si>
  <si>
    <t>ITM10438</t>
  </si>
  <si>
    <t>ITM10439</t>
  </si>
  <si>
    <t>ITM10440</t>
  </si>
  <si>
    <t>ITM10441</t>
  </si>
  <si>
    <t>ITM10442</t>
  </si>
  <si>
    <t>ITM10443</t>
  </si>
  <si>
    <t>ITM10444</t>
  </si>
  <si>
    <t>ITM10445</t>
  </si>
  <si>
    <t>ITM10446</t>
  </si>
  <si>
    <t>ITM10447</t>
  </si>
  <si>
    <t>ITM10448</t>
  </si>
  <si>
    <t>ITM10449</t>
  </si>
  <si>
    <t>ITM10450</t>
  </si>
  <si>
    <t>ITM10451</t>
  </si>
  <si>
    <t>ITM10452</t>
  </si>
  <si>
    <t>ITM10453</t>
  </si>
  <si>
    <t>ITM10454</t>
  </si>
  <si>
    <t>ITM10455</t>
  </si>
  <si>
    <t>ITM10456</t>
  </si>
  <si>
    <t>ITM10457</t>
  </si>
  <si>
    <t>ITM10458</t>
  </si>
  <si>
    <t>ITM10459</t>
  </si>
  <si>
    <t>ITM10460</t>
  </si>
  <si>
    <t>ITM10461</t>
  </si>
  <si>
    <t>ITM10462</t>
  </si>
  <si>
    <t>ITM10463</t>
  </si>
  <si>
    <t>ITM10464</t>
  </si>
  <si>
    <t>ITM10465</t>
  </si>
  <si>
    <t>ITM10466</t>
  </si>
  <si>
    <t>ITM10467</t>
  </si>
  <si>
    <t>ITM10468</t>
  </si>
  <si>
    <t>ITM10469</t>
  </si>
  <si>
    <t>ITM10470</t>
  </si>
  <si>
    <t>ITM10471</t>
  </si>
  <si>
    <t>ITM10472</t>
  </si>
  <si>
    <t>ITM10473</t>
  </si>
  <si>
    <t>ITM10474</t>
  </si>
  <si>
    <t>ITM10475</t>
  </si>
  <si>
    <t>ITM10476</t>
  </si>
  <si>
    <t>ITM10477</t>
  </si>
  <si>
    <t>ITM10478</t>
  </si>
  <si>
    <t>ITM10479</t>
  </si>
  <si>
    <t>ITM10480</t>
  </si>
  <si>
    <t>ITM10481</t>
  </si>
  <si>
    <t>ITM10482</t>
  </si>
  <si>
    <t>ITM10483</t>
  </si>
  <si>
    <t>ITM10484</t>
  </si>
  <si>
    <t>ITM10485</t>
  </si>
  <si>
    <t>ITM10486</t>
  </si>
  <si>
    <t>ITM10487</t>
  </si>
  <si>
    <t>ITM10488</t>
  </si>
  <si>
    <t>ITM10489</t>
  </si>
  <si>
    <t>ITM10490</t>
  </si>
  <si>
    <t>ITM10491</t>
  </si>
  <si>
    <t>ITM10492</t>
  </si>
  <si>
    <t>ITM10493</t>
  </si>
  <si>
    <t>ITM10494</t>
  </si>
  <si>
    <t>ITM10495</t>
  </si>
  <si>
    <t>ITM10496</t>
  </si>
  <si>
    <t>ITM10497</t>
  </si>
  <si>
    <t>ITM10498</t>
  </si>
  <si>
    <t>ITM10499</t>
  </si>
  <si>
    <t>ITM10500</t>
  </si>
  <si>
    <t>ITM10501</t>
  </si>
  <si>
    <t>ITM10502</t>
  </si>
  <si>
    <t>ITM10503</t>
  </si>
  <si>
    <t>ITM10504</t>
  </si>
  <si>
    <t>ITM10505</t>
  </si>
  <si>
    <t>ITM10506</t>
  </si>
  <si>
    <t>ITM10507</t>
  </si>
  <si>
    <t>ITM10508</t>
  </si>
  <si>
    <t>ITM10509</t>
  </si>
  <si>
    <t>ITM10510</t>
  </si>
  <si>
    <t>ITM10511</t>
  </si>
  <si>
    <t>ITM10512</t>
  </si>
  <si>
    <t>ITM10513</t>
  </si>
  <si>
    <t>ITM10514</t>
  </si>
  <si>
    <t>ITM10515</t>
  </si>
  <si>
    <t>ITM10516</t>
  </si>
  <si>
    <t>ITM10517</t>
  </si>
  <si>
    <t>ITM10518</t>
  </si>
  <si>
    <t>ITM10519</t>
  </si>
  <si>
    <t>ITM10520</t>
  </si>
  <si>
    <t>ITM10521</t>
  </si>
  <si>
    <t>ITM10522</t>
  </si>
  <si>
    <t>ITM10523</t>
  </si>
  <si>
    <t>ITM10524</t>
  </si>
  <si>
    <t>ITM10525</t>
  </si>
  <si>
    <t>ITM10526</t>
  </si>
  <si>
    <t>ITM10527</t>
  </si>
  <si>
    <t>ITM10528</t>
  </si>
  <si>
    <t>ITM10529</t>
  </si>
  <si>
    <t>ITM10530</t>
  </si>
  <si>
    <t>ITM10531</t>
  </si>
  <si>
    <t>ITM10532</t>
  </si>
  <si>
    <t>ITM10533</t>
  </si>
  <si>
    <t>ITM10534</t>
  </si>
  <si>
    <t>ITM10535</t>
  </si>
  <si>
    <t>ITM10536</t>
  </si>
  <si>
    <t>ITM10537</t>
  </si>
  <si>
    <t>ITM10538</t>
  </si>
  <si>
    <t>ITM10539</t>
  </si>
  <si>
    <t>ITM10540</t>
  </si>
  <si>
    <t>ITM10541</t>
  </si>
  <si>
    <t>ITM10542</t>
  </si>
  <si>
    <t>ITM10543</t>
  </si>
  <si>
    <t>ITM10544</t>
  </si>
  <si>
    <t>ITM10545</t>
  </si>
  <si>
    <t>ITM10546</t>
  </si>
  <si>
    <t>ITM10547</t>
  </si>
  <si>
    <t>ITM10548</t>
  </si>
  <si>
    <t>ITM10549</t>
  </si>
  <si>
    <t>ITM10550</t>
  </si>
  <si>
    <t>ITM10551</t>
  </si>
  <si>
    <t>ITM10552</t>
  </si>
  <si>
    <t>ITM10553</t>
  </si>
  <si>
    <t>ITM10554</t>
  </si>
  <si>
    <t>ITM10555</t>
  </si>
  <si>
    <t>ITM10556</t>
  </si>
  <si>
    <t>ITM10557</t>
  </si>
  <si>
    <t>ITM10558</t>
  </si>
  <si>
    <t>ITM10559</t>
  </si>
  <si>
    <t>ITM10560</t>
  </si>
  <si>
    <t>ITM10561</t>
  </si>
  <si>
    <t>ITM10562</t>
  </si>
  <si>
    <t>ITM10563</t>
  </si>
  <si>
    <t>ITM10564</t>
  </si>
  <si>
    <t>ITM10565</t>
  </si>
  <si>
    <t>ITM10566</t>
  </si>
  <si>
    <t>ITM10567</t>
  </si>
  <si>
    <t>ITM10568</t>
  </si>
  <si>
    <t>ITM10569</t>
  </si>
  <si>
    <t>ITM10570</t>
  </si>
  <si>
    <t>ITM10571</t>
  </si>
  <si>
    <t>ITM10572</t>
  </si>
  <si>
    <t>ITM10573</t>
  </si>
  <si>
    <t>ITM10574</t>
  </si>
  <si>
    <t>ITM10575</t>
  </si>
  <si>
    <t>ITM10576</t>
  </si>
  <si>
    <t>ITM10577</t>
  </si>
  <si>
    <t>ITM10578</t>
  </si>
  <si>
    <t>ITM10579</t>
  </si>
  <si>
    <t>ITM10580</t>
  </si>
  <si>
    <t>ITM10581</t>
  </si>
  <si>
    <t>ITM10582</t>
  </si>
  <si>
    <t>ITM10583</t>
  </si>
  <si>
    <t>ITM10584</t>
  </si>
  <si>
    <t>ITM10585</t>
  </si>
  <si>
    <t>ITM10586</t>
  </si>
  <si>
    <t>ITM10587</t>
  </si>
  <si>
    <t>ITM10588</t>
  </si>
  <si>
    <t>ITM10589</t>
  </si>
  <si>
    <t>ITM10590</t>
  </si>
  <si>
    <t>ITM10591</t>
  </si>
  <si>
    <t>ITM10592</t>
  </si>
  <si>
    <t>ITM10593</t>
  </si>
  <si>
    <t>ITM10594</t>
  </si>
  <si>
    <t>ITM10595</t>
  </si>
  <si>
    <t>ITM10596</t>
  </si>
  <si>
    <t>ITM10597</t>
  </si>
  <si>
    <t>ITM10598</t>
  </si>
  <si>
    <t>ITM10599</t>
  </si>
  <si>
    <t>ITM10600</t>
  </si>
  <si>
    <t>ITM10601</t>
  </si>
  <si>
    <t>ITM10602</t>
  </si>
  <si>
    <t>ITM10603</t>
  </si>
  <si>
    <t>ITM10604</t>
  </si>
  <si>
    <t>ITM10605</t>
  </si>
  <si>
    <t>ITM10606</t>
  </si>
  <si>
    <t>ITM10607</t>
  </si>
  <si>
    <t>ITM10608</t>
  </si>
  <si>
    <t>ITM10609</t>
  </si>
  <si>
    <t>ITM10610</t>
  </si>
  <si>
    <t>ITM10611</t>
  </si>
  <si>
    <t>ITM10612</t>
  </si>
  <si>
    <t>ITM10613</t>
  </si>
  <si>
    <t>ITM10614</t>
  </si>
  <si>
    <t>ITM10615</t>
  </si>
  <si>
    <t>ITM10616</t>
  </si>
  <si>
    <t>ITM10617</t>
  </si>
  <si>
    <t>ITM10618</t>
  </si>
  <si>
    <t>ITM10619</t>
  </si>
  <si>
    <t>ITM10620</t>
  </si>
  <si>
    <t>ITM10621</t>
  </si>
  <si>
    <t>ITM10622</t>
  </si>
  <si>
    <t>ITM10623</t>
  </si>
  <si>
    <t>ITM10624</t>
  </si>
  <si>
    <t>ITM10625</t>
  </si>
  <si>
    <t>ITM10626</t>
  </si>
  <si>
    <t>ITM10627</t>
  </si>
  <si>
    <t>ITM10628</t>
  </si>
  <si>
    <t>ITM10629</t>
  </si>
  <si>
    <t>ITM10630</t>
  </si>
  <si>
    <t>ITM10631</t>
  </si>
  <si>
    <t>ITM10632</t>
  </si>
  <si>
    <t>ITM10633</t>
  </si>
  <si>
    <t>ITM10634</t>
  </si>
  <si>
    <t>ITM10635</t>
  </si>
  <si>
    <t>ITM10636</t>
  </si>
  <si>
    <t>ITM10637</t>
  </si>
  <si>
    <t>ITM10638</t>
  </si>
  <si>
    <t>ITM10639</t>
  </si>
  <si>
    <t>ITM10640</t>
  </si>
  <si>
    <t>ITM10641</t>
  </si>
  <si>
    <t>ITM10642</t>
  </si>
  <si>
    <t>ITM10643</t>
  </si>
  <si>
    <t>ITM10644</t>
  </si>
  <si>
    <t>ITM10645</t>
  </si>
  <si>
    <t>ITM10646</t>
  </si>
  <si>
    <t>ITM10647</t>
  </si>
  <si>
    <t>ITM10648</t>
  </si>
  <si>
    <t>ITM10649</t>
  </si>
  <si>
    <t>ITM10650</t>
  </si>
  <si>
    <t>ITM10651</t>
  </si>
  <si>
    <t>ITM10652</t>
  </si>
  <si>
    <t>ITM10653</t>
  </si>
  <si>
    <t>ITM10654</t>
  </si>
  <si>
    <t>ITM10655</t>
  </si>
  <si>
    <t>ITM10656</t>
  </si>
  <si>
    <t>ITM10657</t>
  </si>
  <si>
    <t>ITM10658</t>
  </si>
  <si>
    <t>ITM10659</t>
  </si>
  <si>
    <t>ITM10660</t>
  </si>
  <si>
    <t>ITM10661</t>
  </si>
  <si>
    <t>ITM10662</t>
  </si>
  <si>
    <t>ITM10663</t>
  </si>
  <si>
    <t>ITM10664</t>
  </si>
  <si>
    <t>ITM10665</t>
  </si>
  <si>
    <t>ITM10666</t>
  </si>
  <si>
    <t>ITM10667</t>
  </si>
  <si>
    <t>ITM10668</t>
  </si>
  <si>
    <t>ITM10669</t>
  </si>
  <si>
    <t>ITM10670</t>
  </si>
  <si>
    <t>ITM10671</t>
  </si>
  <si>
    <t>ITM10672</t>
  </si>
  <si>
    <t>ITM10673</t>
  </si>
  <si>
    <t>ITM10674</t>
  </si>
  <si>
    <t>ITM10675</t>
  </si>
  <si>
    <t>ITM10676</t>
  </si>
  <si>
    <t>ITM10677</t>
  </si>
  <si>
    <t>ITM10678</t>
  </si>
  <si>
    <t>ITM10679</t>
  </si>
  <si>
    <t>ITM10680</t>
  </si>
  <si>
    <t>ITM10681</t>
  </si>
  <si>
    <t>ITM10682</t>
  </si>
  <si>
    <t>ITM10683</t>
  </si>
  <si>
    <t>ITM10684</t>
  </si>
  <si>
    <t>ITM10685</t>
  </si>
  <si>
    <t>ITM10686</t>
  </si>
  <si>
    <t>ITM10687</t>
  </si>
  <si>
    <t>ITM10688</t>
  </si>
  <si>
    <t>ITM10689</t>
  </si>
  <si>
    <t>ITM10690</t>
  </si>
  <si>
    <t>ITM10691</t>
  </si>
  <si>
    <t>ITM10692</t>
  </si>
  <si>
    <t>ITM10693</t>
  </si>
  <si>
    <t>ITM10694</t>
  </si>
  <si>
    <t>ITM10695</t>
  </si>
  <si>
    <t>ITM10696</t>
  </si>
  <si>
    <t>ITM10697</t>
  </si>
  <si>
    <t>ITM10698</t>
  </si>
  <si>
    <t>ITM10699</t>
  </si>
  <si>
    <t>ITM10700</t>
  </si>
  <si>
    <t>ITM10701</t>
  </si>
  <si>
    <t>ITM10702</t>
  </si>
  <si>
    <t>ITM10703</t>
  </si>
  <si>
    <t>ITM10704</t>
  </si>
  <si>
    <t>ITM10705</t>
  </si>
  <si>
    <t>ITM10706</t>
  </si>
  <si>
    <t>ITM10707</t>
  </si>
  <si>
    <t>ITM10708</t>
  </si>
  <si>
    <t>ITM10709</t>
  </si>
  <si>
    <t>ITM10710</t>
  </si>
  <si>
    <t>ITM10711</t>
  </si>
  <si>
    <t>ITM10712</t>
  </si>
  <si>
    <t>ITM10713</t>
  </si>
  <si>
    <t>ITM10714</t>
  </si>
  <si>
    <t>ITM10715</t>
  </si>
  <si>
    <t>ITM10716</t>
  </si>
  <si>
    <t>ITM10717</t>
  </si>
  <si>
    <t>ITM10718</t>
  </si>
  <si>
    <t>ITM10719</t>
  </si>
  <si>
    <t>ITM10720</t>
  </si>
  <si>
    <t>ITM10721</t>
  </si>
  <si>
    <t>ITM10722</t>
  </si>
  <si>
    <t>ITM10723</t>
  </si>
  <si>
    <t>ITM10724</t>
  </si>
  <si>
    <t>ITM10725</t>
  </si>
  <si>
    <t>ITM10726</t>
  </si>
  <si>
    <t>ITM10727</t>
  </si>
  <si>
    <t>ITM10728</t>
  </si>
  <si>
    <t>ITM10729</t>
  </si>
  <si>
    <t>ITM10730</t>
  </si>
  <si>
    <t>ITM10731</t>
  </si>
  <si>
    <t>ITM10732</t>
  </si>
  <si>
    <t>ITM10733</t>
  </si>
  <si>
    <t>ITM10734</t>
  </si>
  <si>
    <t>ITM10735</t>
  </si>
  <si>
    <t>ITM10736</t>
  </si>
  <si>
    <t>ITM10737</t>
  </si>
  <si>
    <t>ITM10738</t>
  </si>
  <si>
    <t>ITM10739</t>
  </si>
  <si>
    <t>ITM10740</t>
  </si>
  <si>
    <t>ITM10741</t>
  </si>
  <si>
    <t>ITM10742</t>
  </si>
  <si>
    <t>ITM10743</t>
  </si>
  <si>
    <t>ITM10744</t>
  </si>
  <si>
    <t>ITM10745</t>
  </si>
  <si>
    <t>ITM10746</t>
  </si>
  <si>
    <t>ITM10747</t>
  </si>
  <si>
    <t>ITM10748</t>
  </si>
  <si>
    <t>ITM10749</t>
  </si>
  <si>
    <t>ITM10750</t>
  </si>
  <si>
    <t>ITM10751</t>
  </si>
  <si>
    <t>ITM10752</t>
  </si>
  <si>
    <t>ITM10753</t>
  </si>
  <si>
    <t>ITM10754</t>
  </si>
  <si>
    <t>ITM10755</t>
  </si>
  <si>
    <t>ITM10756</t>
  </si>
  <si>
    <t>ITM10757</t>
  </si>
  <si>
    <t>ITM10758</t>
  </si>
  <si>
    <t>ITM10759</t>
  </si>
  <si>
    <t>ITM10760</t>
  </si>
  <si>
    <t>ITM10761</t>
  </si>
  <si>
    <t>ITM10762</t>
  </si>
  <si>
    <t>ITM10763</t>
  </si>
  <si>
    <t>ITM10764</t>
  </si>
  <si>
    <t>ITM10765</t>
  </si>
  <si>
    <t>ITM10766</t>
  </si>
  <si>
    <t>ITM10767</t>
  </si>
  <si>
    <t>ITM10768</t>
  </si>
  <si>
    <t>ITM10769</t>
  </si>
  <si>
    <t>ITM10770</t>
  </si>
  <si>
    <t>ITM10771</t>
  </si>
  <si>
    <t>ITM10772</t>
  </si>
  <si>
    <t>ITM10773</t>
  </si>
  <si>
    <t>ITM10774</t>
  </si>
  <si>
    <t>ITM10775</t>
  </si>
  <si>
    <t>ITM10776</t>
  </si>
  <si>
    <t>ITM10777</t>
  </si>
  <si>
    <t>ITM10778</t>
  </si>
  <si>
    <t>ITM10779</t>
  </si>
  <si>
    <t>ITM10780</t>
  </si>
  <si>
    <t>ITM10781</t>
  </si>
  <si>
    <t>ITM10782</t>
  </si>
  <si>
    <t>ITM10783</t>
  </si>
  <si>
    <t>ITM10784</t>
  </si>
  <si>
    <t>ITM10785</t>
  </si>
  <si>
    <t>ITM10786</t>
  </si>
  <si>
    <t>ITM10787</t>
  </si>
  <si>
    <t>ITM10788</t>
  </si>
  <si>
    <t>ITM10789</t>
  </si>
  <si>
    <t>ITM10790</t>
  </si>
  <si>
    <t>ITM10791</t>
  </si>
  <si>
    <t>ITM10792</t>
  </si>
  <si>
    <t>ITM10793</t>
  </si>
  <si>
    <t>ITM10794</t>
  </si>
  <si>
    <t>ITM10795</t>
  </si>
  <si>
    <t>ITM10796</t>
  </si>
  <si>
    <t>ITM10797</t>
  </si>
  <si>
    <t>ITM10798</t>
  </si>
  <si>
    <t>ITM10799</t>
  </si>
  <si>
    <t>ITM10800</t>
  </si>
  <si>
    <t>ITM10801</t>
  </si>
  <si>
    <t>ITM10802</t>
  </si>
  <si>
    <t>ITM10803</t>
  </si>
  <si>
    <t>ITM10804</t>
  </si>
  <si>
    <t>ITM10805</t>
  </si>
  <si>
    <t>ITM10806</t>
  </si>
  <si>
    <t>ITM10807</t>
  </si>
  <si>
    <t>ITM10808</t>
  </si>
  <si>
    <t>ITM10809</t>
  </si>
  <si>
    <t>ITM10810</t>
  </si>
  <si>
    <t>ITM10811</t>
  </si>
  <si>
    <t>ITM10812</t>
  </si>
  <si>
    <t>ITM10813</t>
  </si>
  <si>
    <t>ITM10814</t>
  </si>
  <si>
    <t>ITM10815</t>
  </si>
  <si>
    <t>ITM10816</t>
  </si>
  <si>
    <t>ITM10817</t>
  </si>
  <si>
    <t>ITM10818</t>
  </si>
  <si>
    <t>ITM10819</t>
  </si>
  <si>
    <t>ITM10820</t>
  </si>
  <si>
    <t>ITM10821</t>
  </si>
  <si>
    <t>ITM10822</t>
  </si>
  <si>
    <t>ITM10823</t>
  </si>
  <si>
    <t>ITM10824</t>
  </si>
  <si>
    <t>ITM10825</t>
  </si>
  <si>
    <t>ITM10826</t>
  </si>
  <si>
    <t>ITM10827</t>
  </si>
  <si>
    <t>ITM10828</t>
  </si>
  <si>
    <t>ITM10829</t>
  </si>
  <si>
    <t>ITM10830</t>
  </si>
  <si>
    <t>ITM10831</t>
  </si>
  <si>
    <t>ITM10832</t>
  </si>
  <si>
    <t>ITM10833</t>
  </si>
  <si>
    <t>ITM10834</t>
  </si>
  <si>
    <t>ITM10835</t>
  </si>
  <si>
    <t>ITM10836</t>
  </si>
  <si>
    <t>ITM10837</t>
  </si>
  <si>
    <t>ITM10838</t>
  </si>
  <si>
    <t>ITM10839</t>
  </si>
  <si>
    <t>ITM10840</t>
  </si>
  <si>
    <t>ITM10841</t>
  </si>
  <si>
    <t>ITM10842</t>
  </si>
  <si>
    <t>ITM10843</t>
  </si>
  <si>
    <t>ITM10844</t>
  </si>
  <si>
    <t>ITM10845</t>
  </si>
  <si>
    <t>ITM10846</t>
  </si>
  <si>
    <t>ITM10847</t>
  </si>
  <si>
    <t>ITM10848</t>
  </si>
  <si>
    <t>ITM10849</t>
  </si>
  <si>
    <t>ITM10850</t>
  </si>
  <si>
    <t>ITM10851</t>
  </si>
  <si>
    <t>ITM10852</t>
  </si>
  <si>
    <t>ITM10853</t>
  </si>
  <si>
    <t>ITM10854</t>
  </si>
  <si>
    <t>ITM10855</t>
  </si>
  <si>
    <t>ITM10856</t>
  </si>
  <si>
    <t>ITM10857</t>
  </si>
  <si>
    <t>ITM10858</t>
  </si>
  <si>
    <t>ITM10859</t>
  </si>
  <si>
    <t>ITM10860</t>
  </si>
  <si>
    <t>ITM10861</t>
  </si>
  <si>
    <t>ITM10862</t>
  </si>
  <si>
    <t>ITM10863</t>
  </si>
  <si>
    <t>ITM10864</t>
  </si>
  <si>
    <t>ITM10865</t>
  </si>
  <si>
    <t>ITM10866</t>
  </si>
  <si>
    <t>ITM10867</t>
  </si>
  <si>
    <t>ITM10868</t>
  </si>
  <si>
    <t>ITM10869</t>
  </si>
  <si>
    <t>ITM10870</t>
  </si>
  <si>
    <t>ITM10871</t>
  </si>
  <si>
    <t>ITM10872</t>
  </si>
  <si>
    <t>ITM10873</t>
  </si>
  <si>
    <t>ITM10874</t>
  </si>
  <si>
    <t>ITM10875</t>
  </si>
  <si>
    <t>ITM10876</t>
  </si>
  <si>
    <t>ITM10877</t>
  </si>
  <si>
    <t>ITM10878</t>
  </si>
  <si>
    <t>ITM10879</t>
  </si>
  <si>
    <t>ITM10880</t>
  </si>
  <si>
    <t>ITM10881</t>
  </si>
  <si>
    <t>ITM10882</t>
  </si>
  <si>
    <t>ITM10883</t>
  </si>
  <si>
    <t>ITM10884</t>
  </si>
  <si>
    <t>ITM10885</t>
  </si>
  <si>
    <t>ITM10886</t>
  </si>
  <si>
    <t>ITM10887</t>
  </si>
  <si>
    <t>ITM10888</t>
  </si>
  <si>
    <t>ITM10889</t>
  </si>
  <si>
    <t>ITM10890</t>
  </si>
  <si>
    <t>ITM10891</t>
  </si>
  <si>
    <t>ITM10892</t>
  </si>
  <si>
    <t>ITM10893</t>
  </si>
  <si>
    <t>ITM10894</t>
  </si>
  <si>
    <t>ITM10895</t>
  </si>
  <si>
    <t>ITM10896</t>
  </si>
  <si>
    <t>ITM10897</t>
  </si>
  <si>
    <t>ITM10898</t>
  </si>
  <si>
    <t>ITM10899</t>
  </si>
  <si>
    <t>ITM10900</t>
  </si>
  <si>
    <t>ITM10901</t>
  </si>
  <si>
    <t>ITM10902</t>
  </si>
  <si>
    <t>ITM10903</t>
  </si>
  <si>
    <t>ITM10904</t>
  </si>
  <si>
    <t>ITM10905</t>
  </si>
  <si>
    <t>ITM10906</t>
  </si>
  <si>
    <t>ITM10907</t>
  </si>
  <si>
    <t>ITM10908</t>
  </si>
  <si>
    <t>ITM10909</t>
  </si>
  <si>
    <t>ITM10910</t>
  </si>
  <si>
    <t>ITM10911</t>
  </si>
  <si>
    <t>ITM10912</t>
  </si>
  <si>
    <t>ITM10913</t>
  </si>
  <si>
    <t>ITM10914</t>
  </si>
  <si>
    <t>ITM10915</t>
  </si>
  <si>
    <t>ITM10916</t>
  </si>
  <si>
    <t>ITM10917</t>
  </si>
  <si>
    <t>ITM10918</t>
  </si>
  <si>
    <t>ITM10919</t>
  </si>
  <si>
    <t>ITM10920</t>
  </si>
  <si>
    <t>ITM10921</t>
  </si>
  <si>
    <t>ITM10922</t>
  </si>
  <si>
    <t>ITM10923</t>
  </si>
  <si>
    <t>ITM10924</t>
  </si>
  <si>
    <t>ITM10925</t>
  </si>
  <si>
    <t>ITM10926</t>
  </si>
  <si>
    <t>ITM10927</t>
  </si>
  <si>
    <t>ITM10928</t>
  </si>
  <si>
    <t>ITM10929</t>
  </si>
  <si>
    <t>ITM10930</t>
  </si>
  <si>
    <t>ITM10931</t>
  </si>
  <si>
    <t>ITM10932</t>
  </si>
  <si>
    <t>ITM10933</t>
  </si>
  <si>
    <t>ITM10934</t>
  </si>
  <si>
    <t>ITM10935</t>
  </si>
  <si>
    <t>ITM10936</t>
  </si>
  <si>
    <t>ITM10937</t>
  </si>
  <si>
    <t>ITM10938</t>
  </si>
  <si>
    <t>ITM10939</t>
  </si>
  <si>
    <t>ITM10940</t>
  </si>
  <si>
    <t>ITM10941</t>
  </si>
  <si>
    <t>ITM10942</t>
  </si>
  <si>
    <t>ITM10943</t>
  </si>
  <si>
    <t>ITM10944</t>
  </si>
  <si>
    <t>ITM10945</t>
  </si>
  <si>
    <t>ITM10946</t>
  </si>
  <si>
    <t>ITM10947</t>
  </si>
  <si>
    <t>ITM10948</t>
  </si>
  <si>
    <t>ITM10949</t>
  </si>
  <si>
    <t>ITM10950</t>
  </si>
  <si>
    <t>ITM10951</t>
  </si>
  <si>
    <t>ITM10952</t>
  </si>
  <si>
    <t>ITM10953</t>
  </si>
  <si>
    <t>ITM10954</t>
  </si>
  <si>
    <t>ITM10955</t>
  </si>
  <si>
    <t>ITM10956</t>
  </si>
  <si>
    <t>ITM10957</t>
  </si>
  <si>
    <t>ITM10958</t>
  </si>
  <si>
    <t>ITM10959</t>
  </si>
  <si>
    <t>ITM10960</t>
  </si>
  <si>
    <t>ITM10961</t>
  </si>
  <si>
    <t>ITM10962</t>
  </si>
  <si>
    <t>ITM10963</t>
  </si>
  <si>
    <t>ITM10964</t>
  </si>
  <si>
    <t>ITM10965</t>
  </si>
  <si>
    <t>ITM10966</t>
  </si>
  <si>
    <t>ITM10967</t>
  </si>
  <si>
    <t>ITM10968</t>
  </si>
  <si>
    <t>ITM10969</t>
  </si>
  <si>
    <t>ITM10970</t>
  </si>
  <si>
    <t>ITM10971</t>
  </si>
  <si>
    <t>ITM10972</t>
  </si>
  <si>
    <t>ITM10973</t>
  </si>
  <si>
    <t>ITM10974</t>
  </si>
  <si>
    <t>ITM10975</t>
  </si>
  <si>
    <t>ITM10976</t>
  </si>
  <si>
    <t>ITM10977</t>
  </si>
  <si>
    <t>ITM10978</t>
  </si>
  <si>
    <t>ITM10979</t>
  </si>
  <si>
    <t>ITM10980</t>
  </si>
  <si>
    <t>ITM10981</t>
  </si>
  <si>
    <t>ITM10982</t>
  </si>
  <si>
    <t>ITM10983</t>
  </si>
  <si>
    <t>ITM10984</t>
  </si>
  <si>
    <t>ITM10985</t>
  </si>
  <si>
    <t>ITM10986</t>
  </si>
  <si>
    <t>ITM10987</t>
  </si>
  <si>
    <t>ITM10988</t>
  </si>
  <si>
    <t>ITM10989</t>
  </si>
  <si>
    <t>ITM10990</t>
  </si>
  <si>
    <t>ITM10991</t>
  </si>
  <si>
    <t>ITM10992</t>
  </si>
  <si>
    <t>ITM10993</t>
  </si>
  <si>
    <t>ITM10994</t>
  </si>
  <si>
    <t>ITM10995</t>
  </si>
  <si>
    <t>ITM10996</t>
  </si>
  <si>
    <t>ITM10997</t>
  </si>
  <si>
    <t>ITM10998</t>
  </si>
  <si>
    <t>ITM10999</t>
  </si>
  <si>
    <t>ITM11000</t>
  </si>
  <si>
    <t>ITM11001</t>
  </si>
  <si>
    <t>ITM11002</t>
  </si>
  <si>
    <t>ITM11003</t>
  </si>
  <si>
    <t>ITM11004</t>
  </si>
  <si>
    <t>ITM11005</t>
  </si>
  <si>
    <t>ITM11006</t>
  </si>
  <si>
    <t>ITM11007</t>
  </si>
  <si>
    <t>ITM11008</t>
  </si>
  <si>
    <t>ITM11009</t>
  </si>
  <si>
    <t>ITM11010</t>
  </si>
  <si>
    <t>ITM11011</t>
  </si>
  <si>
    <t>ITM11012</t>
  </si>
  <si>
    <t>ITM11013</t>
  </si>
  <si>
    <t>ITM11014</t>
  </si>
  <si>
    <t>ITM11015</t>
  </si>
  <si>
    <t>ITM11016</t>
  </si>
  <si>
    <t>ITM11017</t>
  </si>
  <si>
    <t>ITM11018</t>
  </si>
  <si>
    <t>ITM11019</t>
  </si>
  <si>
    <t>ITM11020</t>
  </si>
  <si>
    <t>ITM11021</t>
  </si>
  <si>
    <t>ITM11022</t>
  </si>
  <si>
    <t>ITM11023</t>
  </si>
  <si>
    <t>ITM11024</t>
  </si>
  <si>
    <t>ITM11025</t>
  </si>
  <si>
    <t>ITM11026</t>
  </si>
  <si>
    <t>ITM11027</t>
  </si>
  <si>
    <t>ITM11028</t>
  </si>
  <si>
    <t>ITM11029</t>
  </si>
  <si>
    <t>ITM11030</t>
  </si>
  <si>
    <t>ITM11031</t>
  </si>
  <si>
    <t>ITM11032</t>
  </si>
  <si>
    <t>ITM11033</t>
  </si>
  <si>
    <t>ITM11034</t>
  </si>
  <si>
    <t>ITM11035</t>
  </si>
  <si>
    <t>ITM11036</t>
  </si>
  <si>
    <t>ITM11037</t>
  </si>
  <si>
    <t>ITM11038</t>
  </si>
  <si>
    <t>ITM11039</t>
  </si>
  <si>
    <t>ITM11040</t>
  </si>
  <si>
    <t>ITM11041</t>
  </si>
  <si>
    <t>ITM11042</t>
  </si>
  <si>
    <t>ITM11043</t>
  </si>
  <si>
    <t>ITM11044</t>
  </si>
  <si>
    <t>ITM11045</t>
  </si>
  <si>
    <t>ITM11046</t>
  </si>
  <si>
    <t>ITM11047</t>
  </si>
  <si>
    <t>ITM11048</t>
  </si>
  <si>
    <t>ITM11049</t>
  </si>
  <si>
    <t>ITM11050</t>
  </si>
  <si>
    <t>ITM11051</t>
  </si>
  <si>
    <t>ITM11052</t>
  </si>
  <si>
    <t>ITM11053</t>
  </si>
  <si>
    <t>ITM11054</t>
  </si>
  <si>
    <t>ITM11055</t>
  </si>
  <si>
    <t>ITM11056</t>
  </si>
  <si>
    <t>ITM11057</t>
  </si>
  <si>
    <t>ITM11058</t>
  </si>
  <si>
    <t>ITM11059</t>
  </si>
  <si>
    <t>ITM11060</t>
  </si>
  <si>
    <t>ITM11061</t>
  </si>
  <si>
    <t>ITM11062</t>
  </si>
  <si>
    <t>ITM11063</t>
  </si>
  <si>
    <t>ITM11064</t>
  </si>
  <si>
    <t>ITM11065</t>
  </si>
  <si>
    <t>ITM11066</t>
  </si>
  <si>
    <t>ITM11067</t>
  </si>
  <si>
    <t>ITM11068</t>
  </si>
  <si>
    <t>ITM11069</t>
  </si>
  <si>
    <t>ITM11070</t>
  </si>
  <si>
    <t>ITM11071</t>
  </si>
  <si>
    <t>ITM11072</t>
  </si>
  <si>
    <t>ITM11073</t>
  </si>
  <si>
    <t>ITM11074</t>
  </si>
  <si>
    <t>ITM11075</t>
  </si>
  <si>
    <t>ITM11076</t>
  </si>
  <si>
    <t>ITM11077</t>
  </si>
  <si>
    <t>ITM11078</t>
  </si>
  <si>
    <t>ITM11079</t>
  </si>
  <si>
    <t>ITM11080</t>
  </si>
  <si>
    <t>ITM11081</t>
  </si>
  <si>
    <t>ITM11082</t>
  </si>
  <si>
    <t>ITM11083</t>
  </si>
  <si>
    <t>ITM11084</t>
  </si>
  <si>
    <t>ITM11085</t>
  </si>
  <si>
    <t>ITM11086</t>
  </si>
  <si>
    <t>ITM11087</t>
  </si>
  <si>
    <t>ITM11088</t>
  </si>
  <si>
    <t>ITM11089</t>
  </si>
  <si>
    <t>ITM11090</t>
  </si>
  <si>
    <t>ITM11091</t>
  </si>
  <si>
    <t>ITM11092</t>
  </si>
  <si>
    <t>ITM11093</t>
  </si>
  <si>
    <t>ITM11094</t>
  </si>
  <si>
    <t>ITM11095</t>
  </si>
  <si>
    <t>ITM11096</t>
  </si>
  <si>
    <t>ITM11097</t>
  </si>
  <si>
    <t>ITM11098</t>
  </si>
  <si>
    <t>ITM11099</t>
  </si>
  <si>
    <t>ITM11100</t>
  </si>
  <si>
    <t>ITM11101</t>
  </si>
  <si>
    <t>ITM11102</t>
  </si>
  <si>
    <t>ITM11103</t>
  </si>
  <si>
    <t>ITM11104</t>
  </si>
  <si>
    <t>ITM11105</t>
  </si>
  <si>
    <t>ITM11106</t>
  </si>
  <si>
    <t>ITM11107</t>
  </si>
  <si>
    <t>ITM11108</t>
  </si>
  <si>
    <t>ITM11109</t>
  </si>
  <si>
    <t>ITM11110</t>
  </si>
  <si>
    <t>ITM11111</t>
  </si>
  <si>
    <t>ITM11112</t>
  </si>
  <si>
    <t>ITM11113</t>
  </si>
  <si>
    <t>ITM11114</t>
  </si>
  <si>
    <t>ITM11115</t>
  </si>
  <si>
    <t>ITM11116</t>
  </si>
  <si>
    <t>ITM11117</t>
  </si>
  <si>
    <t>ITM11118</t>
  </si>
  <si>
    <t>ITM11119</t>
  </si>
  <si>
    <t>ITM11120</t>
  </si>
  <si>
    <t>ITM11121</t>
  </si>
  <si>
    <t>ITM11122</t>
  </si>
  <si>
    <t>ITM11123</t>
  </si>
  <si>
    <t>ITM11124</t>
  </si>
  <si>
    <t>ITM11125</t>
  </si>
  <si>
    <t>ITM11126</t>
  </si>
  <si>
    <t>ITM11127</t>
  </si>
  <si>
    <t>ITM11128</t>
  </si>
  <si>
    <t>ITM11129</t>
  </si>
  <si>
    <t>ITM11130</t>
  </si>
  <si>
    <t>ITM11131</t>
  </si>
  <si>
    <t>ITM11132</t>
  </si>
  <si>
    <t>ITM11133</t>
  </si>
  <si>
    <t>ITM11134</t>
  </si>
  <si>
    <t>ITM11135</t>
  </si>
  <si>
    <t>ITM11136</t>
  </si>
  <si>
    <t>ITM11137</t>
  </si>
  <si>
    <t>ITM11138</t>
  </si>
  <si>
    <t>ITM11139</t>
  </si>
  <si>
    <t>ITM11140</t>
  </si>
  <si>
    <t>ITM11141</t>
  </si>
  <si>
    <t>ITM11142</t>
  </si>
  <si>
    <t>ITM11143</t>
  </si>
  <si>
    <t>ITM11144</t>
  </si>
  <si>
    <t>ITM11145</t>
  </si>
  <si>
    <t>ITM11146</t>
  </si>
  <si>
    <t>ITM11147</t>
  </si>
  <si>
    <t>ITM11148</t>
  </si>
  <si>
    <t>ITM11149</t>
  </si>
  <si>
    <t>ITM11150</t>
  </si>
  <si>
    <t>ITM11151</t>
  </si>
  <si>
    <t>ITM11152</t>
  </si>
  <si>
    <t>ITM11153</t>
  </si>
  <si>
    <t>ITM11154</t>
  </si>
  <si>
    <t>ITM11155</t>
  </si>
  <si>
    <t>ITM11156</t>
  </si>
  <si>
    <t>ITM11157</t>
  </si>
  <si>
    <t>ITM11158</t>
  </si>
  <si>
    <t>ITM11159</t>
  </si>
  <si>
    <t>ITM11160</t>
  </si>
  <si>
    <t>ITM11161</t>
  </si>
  <si>
    <t>ITM11162</t>
  </si>
  <si>
    <t>ITM11163</t>
  </si>
  <si>
    <t>ITM11164</t>
  </si>
  <si>
    <t>ITM11165</t>
  </si>
  <si>
    <t>ITM11166</t>
  </si>
  <si>
    <t>ITM11167</t>
  </si>
  <si>
    <t>ITM11168</t>
  </si>
  <si>
    <t>ITM11169</t>
  </si>
  <si>
    <t>ITM11170</t>
  </si>
  <si>
    <t>ITM11171</t>
  </si>
  <si>
    <t>ITM11172</t>
  </si>
  <si>
    <t>ITM11173</t>
  </si>
  <si>
    <t>ITM11174</t>
  </si>
  <si>
    <t>ITM11175</t>
  </si>
  <si>
    <t>ITM11176</t>
  </si>
  <si>
    <t>ITM11177</t>
  </si>
  <si>
    <t>ITM11178</t>
  </si>
  <si>
    <t>ITM11179</t>
  </si>
  <si>
    <t>ITM11180</t>
  </si>
  <si>
    <t>ITM11181</t>
  </si>
  <si>
    <t>ITM11182</t>
  </si>
  <si>
    <t>ITM11183</t>
  </si>
  <si>
    <t>ITM11184</t>
  </si>
  <si>
    <t>ITM11185</t>
  </si>
  <si>
    <t>ITM11186</t>
  </si>
  <si>
    <t>ITM11187</t>
  </si>
  <si>
    <t>ITM11188</t>
  </si>
  <si>
    <t>ITM11189</t>
  </si>
  <si>
    <t>ITM11190</t>
  </si>
  <si>
    <t>ITM11191</t>
  </si>
  <si>
    <t>ITM11192</t>
  </si>
  <si>
    <t>ITM11193</t>
  </si>
  <si>
    <t>ITM11194</t>
  </si>
  <si>
    <t>ITM11195</t>
  </si>
  <si>
    <t>ITM11196</t>
  </si>
  <si>
    <t>ITM11197</t>
  </si>
  <si>
    <t>ITM11198</t>
  </si>
  <si>
    <t>ITM11199</t>
  </si>
  <si>
    <t>ITM11200</t>
  </si>
  <si>
    <t>ITM11201</t>
  </si>
  <si>
    <t>ITM11202</t>
  </si>
  <si>
    <t>ITM11203</t>
  </si>
  <si>
    <t>ITM11204</t>
  </si>
  <si>
    <t>ITM11205</t>
  </si>
  <si>
    <t>ITM11206</t>
  </si>
  <si>
    <t>ITM11207</t>
  </si>
  <si>
    <t>ITM11208</t>
  </si>
  <si>
    <t>ITM11209</t>
  </si>
  <si>
    <t>ITM11210</t>
  </si>
  <si>
    <t>ITM11211</t>
  </si>
  <si>
    <t>ITM11212</t>
  </si>
  <si>
    <t>ITM11213</t>
  </si>
  <si>
    <t>ITM11214</t>
  </si>
  <si>
    <t>ITM11215</t>
  </si>
  <si>
    <t>ITM11216</t>
  </si>
  <si>
    <t>ITM11217</t>
  </si>
  <si>
    <t>ITM11218</t>
  </si>
  <si>
    <t>ITM11219</t>
  </si>
  <si>
    <t>ITM11220</t>
  </si>
  <si>
    <t>ITM11221</t>
  </si>
  <si>
    <t>ITM11222</t>
  </si>
  <si>
    <t>ITM11223</t>
  </si>
  <si>
    <t>ITM11224</t>
  </si>
  <si>
    <t>ITM11225</t>
  </si>
  <si>
    <t>ITM11226</t>
  </si>
  <si>
    <t>ITM11227</t>
  </si>
  <si>
    <t>ITM11228</t>
  </si>
  <si>
    <t>ITM11229</t>
  </si>
  <si>
    <t>ITM11230</t>
  </si>
  <si>
    <t>ITM11231</t>
  </si>
  <si>
    <t>ITM11232</t>
  </si>
  <si>
    <t>ITM11233</t>
  </si>
  <si>
    <t>ITM11234</t>
  </si>
  <si>
    <t>ITM11235</t>
  </si>
  <si>
    <t>ITM11236</t>
  </si>
  <si>
    <t>ITM11237</t>
  </si>
  <si>
    <t>ITM11238</t>
  </si>
  <si>
    <t>ITM11239</t>
  </si>
  <si>
    <t>ITM11240</t>
  </si>
  <si>
    <t>ITM11241</t>
  </si>
  <si>
    <t>ITM11242</t>
  </si>
  <si>
    <t>ITM11243</t>
  </si>
  <si>
    <t>ITM11244</t>
  </si>
  <si>
    <t>ITM11245</t>
  </si>
  <si>
    <t>ITM11246</t>
  </si>
  <si>
    <t>ITM11247</t>
  </si>
  <si>
    <t>ITM11248</t>
  </si>
  <si>
    <t>ITM11249</t>
  </si>
  <si>
    <t>ITM11250</t>
  </si>
  <si>
    <t>ITM11251</t>
  </si>
  <si>
    <t>ITM11252</t>
  </si>
  <si>
    <t>ITM11253</t>
  </si>
  <si>
    <t>ITM11254</t>
  </si>
  <si>
    <t>ITM11255</t>
  </si>
  <si>
    <t>ITM11256</t>
  </si>
  <si>
    <t>ITM11257</t>
  </si>
  <si>
    <t>ITM11258</t>
  </si>
  <si>
    <t>ITM11259</t>
  </si>
  <si>
    <t>ITM11260</t>
  </si>
  <si>
    <t>ITM11261</t>
  </si>
  <si>
    <t>ITM11262</t>
  </si>
  <si>
    <t>ITM11263</t>
  </si>
  <si>
    <t>ITM11264</t>
  </si>
  <si>
    <t>ITM11265</t>
  </si>
  <si>
    <t>ITM11266</t>
  </si>
  <si>
    <t>ITM11267</t>
  </si>
  <si>
    <t>ITM11268</t>
  </si>
  <si>
    <t>ITM11269</t>
  </si>
  <si>
    <t>ITM11270</t>
  </si>
  <si>
    <t>ITM11271</t>
  </si>
  <si>
    <t>ITM11272</t>
  </si>
  <si>
    <t>ITM11273</t>
  </si>
  <si>
    <t>ITM11274</t>
  </si>
  <si>
    <t>ITM11275</t>
  </si>
  <si>
    <t>ITM11276</t>
  </si>
  <si>
    <t>ITM11277</t>
  </si>
  <si>
    <t>ITM11278</t>
  </si>
  <si>
    <t>ITM11279</t>
  </si>
  <si>
    <t>ITM11280</t>
  </si>
  <si>
    <t>ITM11281</t>
  </si>
  <si>
    <t>ITM11282</t>
  </si>
  <si>
    <t>ITM11283</t>
  </si>
  <si>
    <t>ITM11284</t>
  </si>
  <si>
    <t>ITM11285</t>
  </si>
  <si>
    <t>ITM11286</t>
  </si>
  <si>
    <t>ITM11287</t>
  </si>
  <si>
    <t>ITM11288</t>
  </si>
  <si>
    <t>ITM11289</t>
  </si>
  <si>
    <t>ITM11290</t>
  </si>
  <si>
    <t>ITM11291</t>
  </si>
  <si>
    <t>ITM11292</t>
  </si>
  <si>
    <t>ITM11293</t>
  </si>
  <si>
    <t>ITM11294</t>
  </si>
  <si>
    <t>ITM11295</t>
  </si>
  <si>
    <t>ITM11296</t>
  </si>
  <si>
    <t>ITM11297</t>
  </si>
  <si>
    <t>ITM11298</t>
  </si>
  <si>
    <t>ITM11299</t>
  </si>
  <si>
    <t>ITM11300</t>
  </si>
  <si>
    <t>ITM11301</t>
  </si>
  <si>
    <t>ITM11302</t>
  </si>
  <si>
    <t>ITM11303</t>
  </si>
  <si>
    <t>ITM11304</t>
  </si>
  <si>
    <t>ITM11305</t>
  </si>
  <si>
    <t>ITM11306</t>
  </si>
  <si>
    <t>ITM11307</t>
  </si>
  <si>
    <t>ITM11308</t>
  </si>
  <si>
    <t>ITM11309</t>
  </si>
  <si>
    <t>ITM11310</t>
  </si>
  <si>
    <t>ITM11311</t>
  </si>
  <si>
    <t>ITM11312</t>
  </si>
  <si>
    <t>ITM11313</t>
  </si>
  <si>
    <t>ITM11314</t>
  </si>
  <si>
    <t>ITM11315</t>
  </si>
  <si>
    <t>ITM11316</t>
  </si>
  <si>
    <t>ITM11317</t>
  </si>
  <si>
    <t>ITM11318</t>
  </si>
  <si>
    <t>ITM11319</t>
  </si>
  <si>
    <t>ITM11320</t>
  </si>
  <si>
    <t>ITM11321</t>
  </si>
  <si>
    <t>ITM11322</t>
  </si>
  <si>
    <t>ITM11323</t>
  </si>
  <si>
    <t>ITM11324</t>
  </si>
  <si>
    <t>ITM11325</t>
  </si>
  <si>
    <t>ITM11326</t>
  </si>
  <si>
    <t>ITM11327</t>
  </si>
  <si>
    <t>ITM11328</t>
  </si>
  <si>
    <t>ITM11329</t>
  </si>
  <si>
    <t>ITM11330</t>
  </si>
  <si>
    <t>ITM11331</t>
  </si>
  <si>
    <t>ITM11332</t>
  </si>
  <si>
    <t>ITM11333</t>
  </si>
  <si>
    <t>ITM11334</t>
  </si>
  <si>
    <t>ITM11335</t>
  </si>
  <si>
    <t>ITM11336</t>
  </si>
  <si>
    <t>ITM11337</t>
  </si>
  <si>
    <t>ITM11338</t>
  </si>
  <si>
    <t>ITM11339</t>
  </si>
  <si>
    <t>ITM11340</t>
  </si>
  <si>
    <t>ITM11341</t>
  </si>
  <si>
    <t>ITM11342</t>
  </si>
  <si>
    <t>ITM11343</t>
  </si>
  <si>
    <t>ITM11344</t>
  </si>
  <si>
    <t>ITM11345</t>
  </si>
  <si>
    <t>ITM11346</t>
  </si>
  <si>
    <t>ITM11347</t>
  </si>
  <si>
    <t>ITM11348</t>
  </si>
  <si>
    <t>ITM11349</t>
  </si>
  <si>
    <t>ITM11350</t>
  </si>
  <si>
    <t>ITM11351</t>
  </si>
  <si>
    <t>ITM11352</t>
  </si>
  <si>
    <t>ITM11353</t>
  </si>
  <si>
    <t>ITM11354</t>
  </si>
  <si>
    <t>ITM11355</t>
  </si>
  <si>
    <t>ITM11356</t>
  </si>
  <si>
    <t>ITM11357</t>
  </si>
  <si>
    <t>ITM11358</t>
  </si>
  <si>
    <t>ITM11359</t>
  </si>
  <si>
    <t>ITM11360</t>
  </si>
  <si>
    <t>ITM11361</t>
  </si>
  <si>
    <t>ITM11362</t>
  </si>
  <si>
    <t>ITM11363</t>
  </si>
  <si>
    <t>ITM11364</t>
  </si>
  <si>
    <t>ITM11365</t>
  </si>
  <si>
    <t>ITM11366</t>
  </si>
  <si>
    <t>ITM11367</t>
  </si>
  <si>
    <t>ITM11368</t>
  </si>
  <si>
    <t>ITM11369</t>
  </si>
  <si>
    <t>ITM11370</t>
  </si>
  <si>
    <t>ITM11371</t>
  </si>
  <si>
    <t>ITM11372</t>
  </si>
  <si>
    <t>ITM11373</t>
  </si>
  <si>
    <t>ITM11374</t>
  </si>
  <si>
    <t>ITM11375</t>
  </si>
  <si>
    <t>ITM11376</t>
  </si>
  <si>
    <t>ITM11377</t>
  </si>
  <si>
    <t>ITM11378</t>
  </si>
  <si>
    <t>ITM11379</t>
  </si>
  <si>
    <t>ITM11380</t>
  </si>
  <si>
    <t>ITM11381</t>
  </si>
  <si>
    <t>ITM11382</t>
  </si>
  <si>
    <t>ITM11383</t>
  </si>
  <si>
    <t>ITM11384</t>
  </si>
  <si>
    <t>ITM11385</t>
  </si>
  <si>
    <t>ITM11386</t>
  </si>
  <si>
    <t>ITM11387</t>
  </si>
  <si>
    <t>ITM11388</t>
  </si>
  <si>
    <t>ITM11389</t>
  </si>
  <si>
    <t>ITM11390</t>
  </si>
  <si>
    <t>ITM11391</t>
  </si>
  <si>
    <t>ITM11392</t>
  </si>
  <si>
    <t>ITM11393</t>
  </si>
  <si>
    <t>ITM11394</t>
  </si>
  <si>
    <t>ITM11395</t>
  </si>
  <si>
    <t>ITM11396</t>
  </si>
  <si>
    <t>ITM11397</t>
  </si>
  <si>
    <t>ITM11398</t>
  </si>
  <si>
    <t>ITM11399</t>
  </si>
  <si>
    <t>ITM11400</t>
  </si>
  <si>
    <t>ITM11401</t>
  </si>
  <si>
    <t>ITM11402</t>
  </si>
  <si>
    <t>ITM11403</t>
  </si>
  <si>
    <t>ITM11404</t>
  </si>
  <si>
    <t>ITM11405</t>
  </si>
  <si>
    <t>ITM11406</t>
  </si>
  <si>
    <t>ITM11407</t>
  </si>
  <si>
    <t>ITM11408</t>
  </si>
  <si>
    <t>ITM11409</t>
  </si>
  <si>
    <t>ITM11410</t>
  </si>
  <si>
    <t>ITM11411</t>
  </si>
  <si>
    <t>ITM11412</t>
  </si>
  <si>
    <t>ITM11413</t>
  </si>
  <si>
    <t>ITM11414</t>
  </si>
  <si>
    <t>ITM11415</t>
  </si>
  <si>
    <t>ITM11416</t>
  </si>
  <si>
    <t>ITM11417</t>
  </si>
  <si>
    <t>ITM11418</t>
  </si>
  <si>
    <t>ITM11419</t>
  </si>
  <si>
    <t>ITM11420</t>
  </si>
  <si>
    <t>ITM11421</t>
  </si>
  <si>
    <t>ITM11422</t>
  </si>
  <si>
    <t>ITM11423</t>
  </si>
  <si>
    <t>ITM11424</t>
  </si>
  <si>
    <t>ITM11425</t>
  </si>
  <si>
    <t>ITM11426</t>
  </si>
  <si>
    <t>ITM11427</t>
  </si>
  <si>
    <t>ITM11428</t>
  </si>
  <si>
    <t>ITM11429</t>
  </si>
  <si>
    <t>ITM11430</t>
  </si>
  <si>
    <t>ITM11431</t>
  </si>
  <si>
    <t>ITM11432</t>
  </si>
  <si>
    <t>ITM11433</t>
  </si>
  <si>
    <t>ITM11434</t>
  </si>
  <si>
    <t>ITM11435</t>
  </si>
  <si>
    <t>ITM11436</t>
  </si>
  <si>
    <t>ITM11437</t>
  </si>
  <si>
    <t>ITM11438</t>
  </si>
  <si>
    <t>ITM11439</t>
  </si>
  <si>
    <t>ITM11440</t>
  </si>
  <si>
    <t>ITM11441</t>
  </si>
  <si>
    <t>ITM11442</t>
  </si>
  <si>
    <t>ITM11443</t>
  </si>
  <si>
    <t>ITM11444</t>
  </si>
  <si>
    <t>ITM11445</t>
  </si>
  <si>
    <t>ITM11446</t>
  </si>
  <si>
    <t>ITM11447</t>
  </si>
  <si>
    <t>ITM11448</t>
  </si>
  <si>
    <t>ITM11449</t>
  </si>
  <si>
    <t>ITM11450</t>
  </si>
  <si>
    <t>ITM11451</t>
  </si>
  <si>
    <t>ITM11452</t>
  </si>
  <si>
    <t>ITM11453</t>
  </si>
  <si>
    <t>ITM11454</t>
  </si>
  <si>
    <t>ITM11455</t>
  </si>
  <si>
    <t>ITM11456</t>
  </si>
  <si>
    <t>ITM11457</t>
  </si>
  <si>
    <t>ITM11458</t>
  </si>
  <si>
    <t>ITM11459</t>
  </si>
  <si>
    <t>ITM11460</t>
  </si>
  <si>
    <t>ITM11461</t>
  </si>
  <si>
    <t>ITM11462</t>
  </si>
  <si>
    <t>ITM11463</t>
  </si>
  <si>
    <t>ITM11464</t>
  </si>
  <si>
    <t>ITM11465</t>
  </si>
  <si>
    <t>ITM11466</t>
  </si>
  <si>
    <t>ITM11467</t>
  </si>
  <si>
    <t>ITM11468</t>
  </si>
  <si>
    <t>ITM11469</t>
  </si>
  <si>
    <t>ITM11470</t>
  </si>
  <si>
    <t>ITM11471</t>
  </si>
  <si>
    <t>ITM11472</t>
  </si>
  <si>
    <t>ITM11473</t>
  </si>
  <si>
    <t>ITM11474</t>
  </si>
  <si>
    <t>ITM11475</t>
  </si>
  <si>
    <t>ITM11476</t>
  </si>
  <si>
    <t>ITM11477</t>
  </si>
  <si>
    <t>ITM11478</t>
  </si>
  <si>
    <t>ITM11479</t>
  </si>
  <si>
    <t>ITM11480</t>
  </si>
  <si>
    <t>ITM11481</t>
  </si>
  <si>
    <t>ITM11482</t>
  </si>
  <si>
    <t>ITM11483</t>
  </si>
  <si>
    <t>ITM11484</t>
  </si>
  <si>
    <t>ITM11485</t>
  </si>
  <si>
    <t>ITM11486</t>
  </si>
  <si>
    <t>ITM11487</t>
  </si>
  <si>
    <t>ITM11488</t>
  </si>
  <si>
    <t>ITM11489</t>
  </si>
  <si>
    <t>ITM11490</t>
  </si>
  <si>
    <t>ITM11491</t>
  </si>
  <si>
    <t>ITM11492</t>
  </si>
  <si>
    <t>ITM11493</t>
  </si>
  <si>
    <t>ITM11494</t>
  </si>
  <si>
    <t>ITM11495</t>
  </si>
  <si>
    <t>ITM11496</t>
  </si>
  <si>
    <t>ITM11497</t>
  </si>
  <si>
    <t>ITM11498</t>
  </si>
  <si>
    <t>ITM11499</t>
  </si>
  <si>
    <t>ITM11500</t>
  </si>
  <si>
    <t>ITM11501</t>
  </si>
  <si>
    <t>ITM11502</t>
  </si>
  <si>
    <t>ITM11503</t>
  </si>
  <si>
    <t>ITM11504</t>
  </si>
  <si>
    <t>ITM11505</t>
  </si>
  <si>
    <t>ITM11506</t>
  </si>
  <si>
    <t>ITM11507</t>
  </si>
  <si>
    <t>ITM11508</t>
  </si>
  <si>
    <t>ITM11509</t>
  </si>
  <si>
    <t>ITM11510</t>
  </si>
  <si>
    <t>ITM11511</t>
  </si>
  <si>
    <t>ITM11512</t>
  </si>
  <si>
    <t>ITM11513</t>
  </si>
  <si>
    <t>ITM11514</t>
  </si>
  <si>
    <t>ITM11515</t>
  </si>
  <si>
    <t>ITM11516</t>
  </si>
  <si>
    <t>ITM11517</t>
  </si>
  <si>
    <t>ITM11518</t>
  </si>
  <si>
    <t>ITM11519</t>
  </si>
  <si>
    <t>ITM11520</t>
  </si>
  <si>
    <t>ITM11521</t>
  </si>
  <si>
    <t>ITM11522</t>
  </si>
  <si>
    <t>ITM11523</t>
  </si>
  <si>
    <t>ITM11524</t>
  </si>
  <si>
    <t>ITM11525</t>
  </si>
  <si>
    <t>ITM11526</t>
  </si>
  <si>
    <t>ITM11527</t>
  </si>
  <si>
    <t>ITM11528</t>
  </si>
  <si>
    <t>ITM11529</t>
  </si>
  <si>
    <t>ITM11530</t>
  </si>
  <si>
    <t>ITM11531</t>
  </si>
  <si>
    <t>ITM11532</t>
  </si>
  <si>
    <t>ITM11533</t>
  </si>
  <si>
    <t>ITM11534</t>
  </si>
  <si>
    <t>ITM11535</t>
  </si>
  <si>
    <t>ITM11536</t>
  </si>
  <si>
    <t>ITM11537</t>
  </si>
  <si>
    <t>ITM11538</t>
  </si>
  <si>
    <t>ITM11539</t>
  </si>
  <si>
    <t>ITM11540</t>
  </si>
  <si>
    <t>ITM11541</t>
  </si>
  <si>
    <t>ITM11542</t>
  </si>
  <si>
    <t>ITM11543</t>
  </si>
  <si>
    <t>ITM11544</t>
  </si>
  <si>
    <t>ITM11545</t>
  </si>
  <si>
    <t>ITM11546</t>
  </si>
  <si>
    <t>ITM11547</t>
  </si>
  <si>
    <t>ITM11548</t>
  </si>
  <si>
    <t>ITM11549</t>
  </si>
  <si>
    <t>ITM11550</t>
  </si>
  <si>
    <t>ITM11551</t>
  </si>
  <si>
    <t>ITM11552</t>
  </si>
  <si>
    <t>ITM11553</t>
  </si>
  <si>
    <t>ITM11554</t>
  </si>
  <si>
    <t>ITM11555</t>
  </si>
  <si>
    <t>ITM11556</t>
  </si>
  <si>
    <t>ITM11557</t>
  </si>
  <si>
    <t>ITM11558</t>
  </si>
  <si>
    <t>ITM11559</t>
  </si>
  <si>
    <t>ITM11560</t>
  </si>
  <si>
    <t>ITM11561</t>
  </si>
  <si>
    <t>ITM11562</t>
  </si>
  <si>
    <t>ITM11563</t>
  </si>
  <si>
    <t>ITM11564</t>
  </si>
  <si>
    <t>ITM11565</t>
  </si>
  <si>
    <t>ITM11566</t>
  </si>
  <si>
    <t>ITM11567</t>
  </si>
  <si>
    <t>ITM11568</t>
  </si>
  <si>
    <t>ITM11569</t>
  </si>
  <si>
    <t>ITM11570</t>
  </si>
  <si>
    <t>ITM11571</t>
  </si>
  <si>
    <t>ITM11572</t>
  </si>
  <si>
    <t>ITM11573</t>
  </si>
  <si>
    <t>ITM11574</t>
  </si>
  <si>
    <t>ITM11575</t>
  </si>
  <si>
    <t>ITM11576</t>
  </si>
  <si>
    <t>ITM11577</t>
  </si>
  <si>
    <t>ITM11578</t>
  </si>
  <si>
    <t>ITM11579</t>
  </si>
  <si>
    <t>ITM11580</t>
  </si>
  <si>
    <t>ITM11581</t>
  </si>
  <si>
    <t>ITM11582</t>
  </si>
  <si>
    <t>ITM11583</t>
  </si>
  <si>
    <t>ITM11584</t>
  </si>
  <si>
    <t>ITM11585</t>
  </si>
  <si>
    <t>ITM11586</t>
  </si>
  <si>
    <t>ITM11587</t>
  </si>
  <si>
    <t>ITM11588</t>
  </si>
  <si>
    <t>ITM11589</t>
  </si>
  <si>
    <t>ITM11590</t>
  </si>
  <si>
    <t>ITM11591</t>
  </si>
  <si>
    <t>ITM11592</t>
  </si>
  <si>
    <t>ITM11593</t>
  </si>
  <si>
    <t>ITM11594</t>
  </si>
  <si>
    <t>ITM11595</t>
  </si>
  <si>
    <t>ITM11596</t>
  </si>
  <si>
    <t>ITM11597</t>
  </si>
  <si>
    <t>ITM11598</t>
  </si>
  <si>
    <t>ITM11599</t>
  </si>
  <si>
    <t>ITM11600</t>
  </si>
  <si>
    <t>ITM11601</t>
  </si>
  <si>
    <t>ITM11602</t>
  </si>
  <si>
    <t>ITM11603</t>
  </si>
  <si>
    <t>ITM11604</t>
  </si>
  <si>
    <t>ITM11605</t>
  </si>
  <si>
    <t>ITM11606</t>
  </si>
  <si>
    <t>ITM11607</t>
  </si>
  <si>
    <t>ITM11608</t>
  </si>
  <si>
    <t>ITM11609</t>
  </si>
  <si>
    <t>ITM11610</t>
  </si>
  <si>
    <t>ITM11611</t>
  </si>
  <si>
    <t>ITM11612</t>
  </si>
  <si>
    <t>ITM11613</t>
  </si>
  <si>
    <t>ITM11614</t>
  </si>
  <si>
    <t>ITM11615</t>
  </si>
  <si>
    <t>ITM11616</t>
  </si>
  <si>
    <t>ITM11617</t>
  </si>
  <si>
    <t>ITM11618</t>
  </si>
  <si>
    <t>ITM11619</t>
  </si>
  <si>
    <t>ITM11620</t>
  </si>
  <si>
    <t>ITM11621</t>
  </si>
  <si>
    <t>ITM11622</t>
  </si>
  <si>
    <t>ITM11623</t>
  </si>
  <si>
    <t>ITM11624</t>
  </si>
  <si>
    <t>ITM11625</t>
  </si>
  <si>
    <t>ITM11626</t>
  </si>
  <si>
    <t>ITM11627</t>
  </si>
  <si>
    <t>ITM11628</t>
  </si>
  <si>
    <t>ITM11629</t>
  </si>
  <si>
    <t>ITM11630</t>
  </si>
  <si>
    <t>ITM11631</t>
  </si>
  <si>
    <t>ITM11632</t>
  </si>
  <si>
    <t>ITM11633</t>
  </si>
  <si>
    <t>ITM11634</t>
  </si>
  <si>
    <t>ITM11635</t>
  </si>
  <si>
    <t>ITM11636</t>
  </si>
  <si>
    <t>ITM11637</t>
  </si>
  <si>
    <t>ITM11638</t>
  </si>
  <si>
    <t>ITM11639</t>
  </si>
  <si>
    <t>ITM11640</t>
  </si>
  <si>
    <t>ITM11641</t>
  </si>
  <si>
    <t>ITM11642</t>
  </si>
  <si>
    <t>ITM11643</t>
  </si>
  <si>
    <t>ITM11644</t>
  </si>
  <si>
    <t>ITM11645</t>
  </si>
  <si>
    <t>ITM11646</t>
  </si>
  <si>
    <t>ITM11647</t>
  </si>
  <si>
    <t>ITM11648</t>
  </si>
  <si>
    <t>ITM11649</t>
  </si>
  <si>
    <t>ITM11650</t>
  </si>
  <si>
    <t>ITM11651</t>
  </si>
  <si>
    <t>ITM11652</t>
  </si>
  <si>
    <t>ITM11653</t>
  </si>
  <si>
    <t>ITM11654</t>
  </si>
  <si>
    <t>ITM11655</t>
  </si>
  <si>
    <t>ITM11656</t>
  </si>
  <si>
    <t>ITM11657</t>
  </si>
  <si>
    <t>ITM11658</t>
  </si>
  <si>
    <t>ITM11659</t>
  </si>
  <si>
    <t>ITM11660</t>
  </si>
  <si>
    <t>ITM11661</t>
  </si>
  <si>
    <t>ITM11662</t>
  </si>
  <si>
    <t>ITM11663</t>
  </si>
  <si>
    <t>ITM11664</t>
  </si>
  <si>
    <t>ITM11665</t>
  </si>
  <si>
    <t>ITM11666</t>
  </si>
  <si>
    <t>ITM11667</t>
  </si>
  <si>
    <t>ITM11668</t>
  </si>
  <si>
    <t>ITM11669</t>
  </si>
  <si>
    <t>ITM11670</t>
  </si>
  <si>
    <t>ITM11671</t>
  </si>
  <si>
    <t>ITM11672</t>
  </si>
  <si>
    <t>ITM11673</t>
  </si>
  <si>
    <t>ITM11674</t>
  </si>
  <si>
    <t>ITM11675</t>
  </si>
  <si>
    <t>ITM11676</t>
  </si>
  <si>
    <t>ITM11677</t>
  </si>
  <si>
    <t>ITM11678</t>
  </si>
  <si>
    <t>ITM11679</t>
  </si>
  <si>
    <t>ITM11680</t>
  </si>
  <si>
    <t>ITM11681</t>
  </si>
  <si>
    <t>ITM11682</t>
  </si>
  <si>
    <t>ITM11683</t>
  </si>
  <si>
    <t>ITM11684</t>
  </si>
  <si>
    <t>ITM11685</t>
  </si>
  <si>
    <t>ITM11686</t>
  </si>
  <si>
    <t>ITM11687</t>
  </si>
  <si>
    <t>ITM11688</t>
  </si>
  <si>
    <t>ITM11689</t>
  </si>
  <si>
    <t>ITM11690</t>
  </si>
  <si>
    <t>ITM11691</t>
  </si>
  <si>
    <t>ITM11692</t>
  </si>
  <si>
    <t>ITM11693</t>
  </si>
  <si>
    <t>ITM11694</t>
  </si>
  <si>
    <t>ITM11695</t>
  </si>
  <si>
    <t>ITM11696</t>
  </si>
  <si>
    <t>ITM11697</t>
  </si>
  <si>
    <t>ITM11698</t>
  </si>
  <si>
    <t>ITM11699</t>
  </si>
  <si>
    <t>ITM11700</t>
  </si>
  <si>
    <t>ITM11701</t>
  </si>
  <si>
    <t>ITM11702</t>
  </si>
  <si>
    <t>ITM11703</t>
  </si>
  <si>
    <t>ITM11704</t>
  </si>
  <si>
    <t>ITM11705</t>
  </si>
  <si>
    <t>ITM11706</t>
  </si>
  <si>
    <t>ITM11707</t>
  </si>
  <si>
    <t>ITM11708</t>
  </si>
  <si>
    <t>ITM11709</t>
  </si>
  <si>
    <t>ITM11710</t>
  </si>
  <si>
    <t>ITM11711</t>
  </si>
  <si>
    <t>ITM11712</t>
  </si>
  <si>
    <t>ITM11713</t>
  </si>
  <si>
    <t>ITM11714</t>
  </si>
  <si>
    <t>ITM11715</t>
  </si>
  <si>
    <t>ITM11716</t>
  </si>
  <si>
    <t>ITM11717</t>
  </si>
  <si>
    <t>ITM11718</t>
  </si>
  <si>
    <t>ITM11719</t>
  </si>
  <si>
    <t>ITM11720</t>
  </si>
  <si>
    <t>ITM11721</t>
  </si>
  <si>
    <t>ITM11722</t>
  </si>
  <si>
    <t>ITM11723</t>
  </si>
  <si>
    <t>ITM11724</t>
  </si>
  <si>
    <t>ITM11725</t>
  </si>
  <si>
    <t>ITM11726</t>
  </si>
  <si>
    <t>ITM11727</t>
  </si>
  <si>
    <t>ITM11728</t>
  </si>
  <si>
    <t>ITM11729</t>
  </si>
  <si>
    <t>ITM11730</t>
  </si>
  <si>
    <t>ITM11731</t>
  </si>
  <si>
    <t>ITM11732</t>
  </si>
  <si>
    <t>ITM11733</t>
  </si>
  <si>
    <t>ITM11734</t>
  </si>
  <si>
    <t>ITM11735</t>
  </si>
  <si>
    <t>ITM11736</t>
  </si>
  <si>
    <t>ITM11737</t>
  </si>
  <si>
    <t>ITM11738</t>
  </si>
  <si>
    <t>ITM11739</t>
  </si>
  <si>
    <t>ITM11740</t>
  </si>
  <si>
    <t>ITM11741</t>
  </si>
  <si>
    <t>ITM11742</t>
  </si>
  <si>
    <t>ITM11743</t>
  </si>
  <si>
    <t>ITM11744</t>
  </si>
  <si>
    <t>ITM11745</t>
  </si>
  <si>
    <t>ITM11746</t>
  </si>
  <si>
    <t>ITM11747</t>
  </si>
  <si>
    <t>ITM11748</t>
  </si>
  <si>
    <t>ITM11749</t>
  </si>
  <si>
    <t>ITM11750</t>
  </si>
  <si>
    <t>ITM11751</t>
  </si>
  <si>
    <t>ITM11752</t>
  </si>
  <si>
    <t>ITM11753</t>
  </si>
  <si>
    <t>ITM11754</t>
  </si>
  <si>
    <t>ITM11755</t>
  </si>
  <si>
    <t>ITM11756</t>
  </si>
  <si>
    <t>ITM11757</t>
  </si>
  <si>
    <t>ITM11758</t>
  </si>
  <si>
    <t>ITM11759</t>
  </si>
  <si>
    <t>ITM11760</t>
  </si>
  <si>
    <t>ITM11761</t>
  </si>
  <si>
    <t>ITM11762</t>
  </si>
  <si>
    <t>ITM11763</t>
  </si>
  <si>
    <t>ITM11764</t>
  </si>
  <si>
    <t>ITM11765</t>
  </si>
  <si>
    <t>ITM11766</t>
  </si>
  <si>
    <t>ITM11767</t>
  </si>
  <si>
    <t>ITM11768</t>
  </si>
  <si>
    <t>ITM11769</t>
  </si>
  <si>
    <t>ITM11770</t>
  </si>
  <si>
    <t>ITM11771</t>
  </si>
  <si>
    <t>ITM11772</t>
  </si>
  <si>
    <t>ITM11773</t>
  </si>
  <si>
    <t>ITM11774</t>
  </si>
  <si>
    <t>ITM11775</t>
  </si>
  <si>
    <t>ITM11776</t>
  </si>
  <si>
    <t>ITM11777</t>
  </si>
  <si>
    <t>ITM11778</t>
  </si>
  <si>
    <t>ITM11779</t>
  </si>
  <si>
    <t>ITM11780</t>
  </si>
  <si>
    <t>ITM11781</t>
  </si>
  <si>
    <t>ITM11782</t>
  </si>
  <si>
    <t>ITM11783</t>
  </si>
  <si>
    <t>ITM11784</t>
  </si>
  <si>
    <t>ITM11785</t>
  </si>
  <si>
    <t>ITM11786</t>
  </si>
  <si>
    <t>ITM11787</t>
  </si>
  <si>
    <t>ITM11788</t>
  </si>
  <si>
    <t>ITM11789</t>
  </si>
  <si>
    <t>ITM11790</t>
  </si>
  <si>
    <t>ITM11791</t>
  </si>
  <si>
    <t>ITM11792</t>
  </si>
  <si>
    <t>ITM11793</t>
  </si>
  <si>
    <t>ITM11794</t>
  </si>
  <si>
    <t>ITM11795</t>
  </si>
  <si>
    <t>ITM11796</t>
  </si>
  <si>
    <t>ITM11797</t>
  </si>
  <si>
    <t>ITM11798</t>
  </si>
  <si>
    <t>ITM11799</t>
  </si>
  <si>
    <t>ITM11800</t>
  </si>
  <si>
    <t>ITM11801</t>
  </si>
  <si>
    <t>ITM11802</t>
  </si>
  <si>
    <t>ITM11803</t>
  </si>
  <si>
    <t>ITM11804</t>
  </si>
  <si>
    <t>ITM11805</t>
  </si>
  <si>
    <t>ITM11806</t>
  </si>
  <si>
    <t>ITM11807</t>
  </si>
  <si>
    <t>ITM11808</t>
  </si>
  <si>
    <t>ITM11809</t>
  </si>
  <si>
    <t>ITM11810</t>
  </si>
  <si>
    <t>ITM11811</t>
  </si>
  <si>
    <t>ITM11812</t>
  </si>
  <si>
    <t>ITM11813</t>
  </si>
  <si>
    <t>ITM11814</t>
  </si>
  <si>
    <t>ITM11815</t>
  </si>
  <si>
    <t>ITM11816</t>
  </si>
  <si>
    <t>ITM11817</t>
  </si>
  <si>
    <t>ITM11818</t>
  </si>
  <si>
    <t>ITM11819</t>
  </si>
  <si>
    <t>ITM11820</t>
  </si>
  <si>
    <t>ITM11821</t>
  </si>
  <si>
    <t>ITM11822</t>
  </si>
  <si>
    <t>ITM11823</t>
  </si>
  <si>
    <t>ITM11824</t>
  </si>
  <si>
    <t>ITM11825</t>
  </si>
  <si>
    <t>ITM11826</t>
  </si>
  <si>
    <t>ITM11827</t>
  </si>
  <si>
    <t>ITM11828</t>
  </si>
  <si>
    <t>ITM11829</t>
  </si>
  <si>
    <t>ITM11830</t>
  </si>
  <si>
    <t>ITM11831</t>
  </si>
  <si>
    <t>ITM11832</t>
  </si>
  <si>
    <t>ITM11833</t>
  </si>
  <si>
    <t>ITM11834</t>
  </si>
  <si>
    <t>ITM11835</t>
  </si>
  <si>
    <t>ITM11836</t>
  </si>
  <si>
    <t>ITM11837</t>
  </si>
  <si>
    <t>ITM11838</t>
  </si>
  <si>
    <t>ITM11839</t>
  </si>
  <si>
    <t>ITM11840</t>
  </si>
  <si>
    <t>ITM11841</t>
  </si>
  <si>
    <t>ITM11842</t>
  </si>
  <si>
    <t>ITM11843</t>
  </si>
  <si>
    <t>ITM11844</t>
  </si>
  <si>
    <t>ITM11845</t>
  </si>
  <si>
    <t>ITM11846</t>
  </si>
  <si>
    <t>ITM11847</t>
  </si>
  <si>
    <t>ITM11848</t>
  </si>
  <si>
    <t>ITM11849</t>
  </si>
  <si>
    <t>ITM11850</t>
  </si>
  <si>
    <t>ITM11851</t>
  </si>
  <si>
    <t>ITM11852</t>
  </si>
  <si>
    <t>ITM11853</t>
  </si>
  <si>
    <t>ITM11854</t>
  </si>
  <si>
    <t>ITM11855</t>
  </si>
  <si>
    <t>ITM11856</t>
  </si>
  <si>
    <t>ITM11857</t>
  </si>
  <si>
    <t>ITM11858</t>
  </si>
  <si>
    <t>ITM11859</t>
  </si>
  <si>
    <t>ITM11860</t>
  </si>
  <si>
    <t>ITM11861</t>
  </si>
  <si>
    <t>ITM11862</t>
  </si>
  <si>
    <t>ITM11863</t>
  </si>
  <si>
    <t>ITM11864</t>
  </si>
  <si>
    <t>ITM11865</t>
  </si>
  <si>
    <t>ITM11866</t>
  </si>
  <si>
    <t>ITM11867</t>
  </si>
  <si>
    <t>ITM11868</t>
  </si>
  <si>
    <t>ITM11869</t>
  </si>
  <si>
    <t>ITM11870</t>
  </si>
  <si>
    <t>ITM11871</t>
  </si>
  <si>
    <t>ITM11872</t>
  </si>
  <si>
    <t>ITM11873</t>
  </si>
  <si>
    <t>ITM11874</t>
  </si>
  <si>
    <t>ITM11875</t>
  </si>
  <si>
    <t>ITM11876</t>
  </si>
  <si>
    <t>ITM11877</t>
  </si>
  <si>
    <t>ITM11878</t>
  </si>
  <si>
    <t>ITM11879</t>
  </si>
  <si>
    <t>ITM11880</t>
  </si>
  <si>
    <t>ITM11881</t>
  </si>
  <si>
    <t>ITM11882</t>
  </si>
  <si>
    <t>ITM11883</t>
  </si>
  <si>
    <t>ITM11884</t>
  </si>
  <si>
    <t>ITM11885</t>
  </si>
  <si>
    <t>ITM11886</t>
  </si>
  <si>
    <t>ITM11887</t>
  </si>
  <si>
    <t>ITM11888</t>
  </si>
  <si>
    <t>ITM11889</t>
  </si>
  <si>
    <t>ITM11890</t>
  </si>
  <si>
    <t>ITM11891</t>
  </si>
  <si>
    <t>ITM11892</t>
  </si>
  <si>
    <t>ITM11893</t>
  </si>
  <si>
    <t>ITM11894</t>
  </si>
  <si>
    <t>ITM11895</t>
  </si>
  <si>
    <t>ITM11896</t>
  </si>
  <si>
    <t>ITM11897</t>
  </si>
  <si>
    <t>ITM11898</t>
  </si>
  <si>
    <t>ITM11899</t>
  </si>
  <si>
    <t>ITM11900</t>
  </si>
  <si>
    <t>ITM11901</t>
  </si>
  <si>
    <t>ITM11902</t>
  </si>
  <si>
    <t>ITM11903</t>
  </si>
  <si>
    <t>ITM11904</t>
  </si>
  <si>
    <t>ITM11905</t>
  </si>
  <si>
    <t>ITM11906</t>
  </si>
  <si>
    <t>ITM11907</t>
  </si>
  <si>
    <t>ITM11908</t>
  </si>
  <si>
    <t>ITM11909</t>
  </si>
  <si>
    <t>ITM11910</t>
  </si>
  <si>
    <t>ITM11911</t>
  </si>
  <si>
    <t>ITM11912</t>
  </si>
  <si>
    <t>ITM11913</t>
  </si>
  <si>
    <t>ITM11914</t>
  </si>
  <si>
    <t>ITM11915</t>
  </si>
  <si>
    <t>ITM11916</t>
  </si>
  <si>
    <t>ITM11917</t>
  </si>
  <si>
    <t>ITM11918</t>
  </si>
  <si>
    <t>ITM11919</t>
  </si>
  <si>
    <t>ITM11920</t>
  </si>
  <si>
    <t>ITM11921</t>
  </si>
  <si>
    <t>ITM11922</t>
  </si>
  <si>
    <t>ITM11923</t>
  </si>
  <si>
    <t>ITM11924</t>
  </si>
  <si>
    <t>ITM11925</t>
  </si>
  <si>
    <t>ITM11926</t>
  </si>
  <si>
    <t>ITM11927</t>
  </si>
  <si>
    <t>ITM11928</t>
  </si>
  <si>
    <t>ITM11929</t>
  </si>
  <si>
    <t>ITM11930</t>
  </si>
  <si>
    <t>ITM11931</t>
  </si>
  <si>
    <t>ITM11932</t>
  </si>
  <si>
    <t>ITM11933</t>
  </si>
  <si>
    <t>ITM11934</t>
  </si>
  <si>
    <t>ITM11935</t>
  </si>
  <si>
    <t>ITM11936</t>
  </si>
  <si>
    <t>ITM11937</t>
  </si>
  <si>
    <t>ITM11938</t>
  </si>
  <si>
    <t>ITM11939</t>
  </si>
  <si>
    <t>ITM11940</t>
  </si>
  <si>
    <t>ITM11941</t>
  </si>
  <si>
    <t>ITM11942</t>
  </si>
  <si>
    <t>ITM11943</t>
  </si>
  <si>
    <t>ITM11944</t>
  </si>
  <si>
    <t>ITM11945</t>
  </si>
  <si>
    <t>ITM11946</t>
  </si>
  <si>
    <t>ITM11947</t>
  </si>
  <si>
    <t>ITM11948</t>
  </si>
  <si>
    <t>ITM11949</t>
  </si>
  <si>
    <t>ITM11950</t>
  </si>
  <si>
    <t>ITM11951</t>
  </si>
  <si>
    <t>ITM11952</t>
  </si>
  <si>
    <t>ITM11953</t>
  </si>
  <si>
    <t>ITM11954</t>
  </si>
  <si>
    <t>ITM11955</t>
  </si>
  <si>
    <t>ITM11956</t>
  </si>
  <si>
    <t>ITM11957</t>
  </si>
  <si>
    <t>ITM11958</t>
  </si>
  <si>
    <t>ITM11959</t>
  </si>
  <si>
    <t>ITM11960</t>
  </si>
  <si>
    <t>ITM11961</t>
  </si>
  <si>
    <t>ITM11962</t>
  </si>
  <si>
    <t>ITM11963</t>
  </si>
  <si>
    <t>ITM11964</t>
  </si>
  <si>
    <t>ITM11965</t>
  </si>
  <si>
    <t>ITM11966</t>
  </si>
  <si>
    <t>ITM11967</t>
  </si>
  <si>
    <t>ITM11968</t>
  </si>
  <si>
    <t>ITM11969</t>
  </si>
  <si>
    <t>ITM11970</t>
  </si>
  <si>
    <t>ITM11971</t>
  </si>
  <si>
    <t>ITM11972</t>
  </si>
  <si>
    <t>ITM11973</t>
  </si>
  <si>
    <t>ITM11974</t>
  </si>
  <si>
    <t>ITM11975</t>
  </si>
  <si>
    <t>ITM11976</t>
  </si>
  <si>
    <t>ITM11977</t>
  </si>
  <si>
    <t>ITM11978</t>
  </si>
  <si>
    <t>ITM11979</t>
  </si>
  <si>
    <t>ITM11980</t>
  </si>
  <si>
    <t>ITM11981</t>
  </si>
  <si>
    <t>ITM11982</t>
  </si>
  <si>
    <t>ITM11983</t>
  </si>
  <si>
    <t>ITM11984</t>
  </si>
  <si>
    <t>ITM11985</t>
  </si>
  <si>
    <t>ITM11986</t>
  </si>
  <si>
    <t>ITM11987</t>
  </si>
  <si>
    <t>ITM11988</t>
  </si>
  <si>
    <t>ITM11989</t>
  </si>
  <si>
    <t>ITM11990</t>
  </si>
  <si>
    <t>ITM11991</t>
  </si>
  <si>
    <t>ITM11992</t>
  </si>
  <si>
    <t>ITM11993</t>
  </si>
  <si>
    <t>ITM11994</t>
  </si>
  <si>
    <t>ITM11995</t>
  </si>
  <si>
    <t>ITM11996</t>
  </si>
  <si>
    <t>ITM11997</t>
  </si>
  <si>
    <t>ITM11998</t>
  </si>
  <si>
    <t>ITM11999</t>
  </si>
  <si>
    <t>ITM12000</t>
  </si>
  <si>
    <t>ITM12001</t>
  </si>
  <si>
    <t>ITM12002</t>
  </si>
  <si>
    <t>ITM12003</t>
  </si>
  <si>
    <t>ITM12004</t>
  </si>
  <si>
    <t>ITM12005</t>
  </si>
  <si>
    <t>ITM12006</t>
  </si>
  <si>
    <t>ITM12007</t>
  </si>
  <si>
    <t>ITM12008</t>
  </si>
  <si>
    <t>ITM12009</t>
  </si>
  <si>
    <t>ITM12010</t>
  </si>
  <si>
    <t>ITM12011</t>
  </si>
  <si>
    <t>ITM12012</t>
  </si>
  <si>
    <t>ITM12013</t>
  </si>
  <si>
    <t>ITM12014</t>
  </si>
  <si>
    <t>ITM12015</t>
  </si>
  <si>
    <t>ITM12016</t>
  </si>
  <si>
    <t>ITM12017</t>
  </si>
  <si>
    <t>ITM12018</t>
  </si>
  <si>
    <t>ITM12019</t>
  </si>
  <si>
    <t>ITM12020</t>
  </si>
  <si>
    <t>ITM12021</t>
  </si>
  <si>
    <t>ITM12022</t>
  </si>
  <si>
    <t>ITM12023</t>
  </si>
  <si>
    <t>ITM12024</t>
  </si>
  <si>
    <t>ITM12025</t>
  </si>
  <si>
    <t>ITM12026</t>
  </si>
  <si>
    <t>ITM12027</t>
  </si>
  <si>
    <t>ITM12028</t>
  </si>
  <si>
    <t>ITM12029</t>
  </si>
  <si>
    <t>ITM12030</t>
  </si>
  <si>
    <t>ITM12031</t>
  </si>
  <si>
    <t>ITM12032</t>
  </si>
  <si>
    <t>ITM12033</t>
  </si>
  <si>
    <t>ITM12034</t>
  </si>
  <si>
    <t>ITM12035</t>
  </si>
  <si>
    <t>ITM12036</t>
  </si>
  <si>
    <t>ITM12037</t>
  </si>
  <si>
    <t>ITM12038</t>
  </si>
  <si>
    <t>ITM12039</t>
  </si>
  <si>
    <t>ITM12040</t>
  </si>
  <si>
    <t>ITM12041</t>
  </si>
  <si>
    <t>ITM12042</t>
  </si>
  <si>
    <t>ITM12043</t>
  </si>
  <si>
    <t>ITM12044</t>
  </si>
  <si>
    <t>ITM12045</t>
  </si>
  <si>
    <t>ITM12046</t>
  </si>
  <si>
    <t>ITM12047</t>
  </si>
  <si>
    <t>ITM12048</t>
  </si>
  <si>
    <t>ITM12049</t>
  </si>
  <si>
    <t>ITM12050</t>
  </si>
  <si>
    <t>ITM12051</t>
  </si>
  <si>
    <t>ITM12052</t>
  </si>
  <si>
    <t>ITM12053</t>
  </si>
  <si>
    <t>ITM12054</t>
  </si>
  <si>
    <t>ITM12055</t>
  </si>
  <si>
    <t>ITM12056</t>
  </si>
  <si>
    <t>ITM12057</t>
  </si>
  <si>
    <t>ITM12058</t>
  </si>
  <si>
    <t>ITM12059</t>
  </si>
  <si>
    <t>ITM12060</t>
  </si>
  <si>
    <t>ITM12061</t>
  </si>
  <si>
    <t>ITM12062</t>
  </si>
  <si>
    <t>ITM12063</t>
  </si>
  <si>
    <t>ITM12064</t>
  </si>
  <si>
    <t>ITM12065</t>
  </si>
  <si>
    <t>ITM12066</t>
  </si>
  <si>
    <t>ITM12067</t>
  </si>
  <si>
    <t>ITM12068</t>
  </si>
  <si>
    <t>ITM12069</t>
  </si>
  <si>
    <t>ITM12070</t>
  </si>
  <si>
    <t>ITM12071</t>
  </si>
  <si>
    <t>ITM12072</t>
  </si>
  <si>
    <t>ITM12073</t>
  </si>
  <si>
    <t>ITM12074</t>
  </si>
  <si>
    <t>ITM12075</t>
  </si>
  <si>
    <t>ITM12076</t>
  </si>
  <si>
    <t>ITM12077</t>
  </si>
  <si>
    <t>ITM12078</t>
  </si>
  <si>
    <t>ITM12079</t>
  </si>
  <si>
    <t>ITM12080</t>
  </si>
  <si>
    <t>ITM12081</t>
  </si>
  <si>
    <t>ITM12082</t>
  </si>
  <si>
    <t>ITM12083</t>
  </si>
  <si>
    <t>ITM12084</t>
  </si>
  <si>
    <t>ITM12085</t>
  </si>
  <si>
    <t>ITM12086</t>
  </si>
  <si>
    <t>ITM12087</t>
  </si>
  <si>
    <t>ITM12088</t>
  </si>
  <si>
    <t>ITM12089</t>
  </si>
  <si>
    <t>ITM12090</t>
  </si>
  <si>
    <t>ITM12091</t>
  </si>
  <si>
    <t>ITM12092</t>
  </si>
  <si>
    <t>ITM12093</t>
  </si>
  <si>
    <t>ITM12094</t>
  </si>
  <si>
    <t>ITM12095</t>
  </si>
  <si>
    <t>ITM12096</t>
  </si>
  <si>
    <t>ITM12097</t>
  </si>
  <si>
    <t>ITM12098</t>
  </si>
  <si>
    <t>ITM12099</t>
  </si>
  <si>
    <t>ITM12100</t>
  </si>
  <si>
    <t>ITM12101</t>
  </si>
  <si>
    <t>ITM12102</t>
  </si>
  <si>
    <t>ITM12103</t>
  </si>
  <si>
    <t>ITM12104</t>
  </si>
  <si>
    <t>ITM12105</t>
  </si>
  <si>
    <t>ITM12106</t>
  </si>
  <si>
    <t>ITM12107</t>
  </si>
  <si>
    <t>ITM12108</t>
  </si>
  <si>
    <t>ITM12109</t>
  </si>
  <si>
    <t>ITM12110</t>
  </si>
  <si>
    <t>ITM12111</t>
  </si>
  <si>
    <t>ITM12112</t>
  </si>
  <si>
    <t>ITM12113</t>
  </si>
  <si>
    <t>ITM12114</t>
  </si>
  <si>
    <t>ITM12115</t>
  </si>
  <si>
    <t>ITM12116</t>
  </si>
  <si>
    <t>ITM12117</t>
  </si>
  <si>
    <t>ITM12118</t>
  </si>
  <si>
    <t>ITM12119</t>
  </si>
  <si>
    <t>ITM12120</t>
  </si>
  <si>
    <t>ITM12121</t>
  </si>
  <si>
    <t>ITM12122</t>
  </si>
  <si>
    <t>ITM12123</t>
  </si>
  <si>
    <t>ITM12124</t>
  </si>
  <si>
    <t>ITM12125</t>
  </si>
  <si>
    <t>ITM12126</t>
  </si>
  <si>
    <t>ITM12127</t>
  </si>
  <si>
    <t>ITM12128</t>
  </si>
  <si>
    <t>ITM12129</t>
  </si>
  <si>
    <t>ITM12130</t>
  </si>
  <si>
    <t>ITM12131</t>
  </si>
  <si>
    <t>ITM12132</t>
  </si>
  <si>
    <t>ITM12133</t>
  </si>
  <si>
    <t>ITM12134</t>
  </si>
  <si>
    <t>ITM12135</t>
  </si>
  <si>
    <t>ITM12136</t>
  </si>
  <si>
    <t>ITM12137</t>
  </si>
  <si>
    <t>ITM12138</t>
  </si>
  <si>
    <t>ITM12139</t>
  </si>
  <si>
    <t>ITM12140</t>
  </si>
  <si>
    <t>ITM12141</t>
  </si>
  <si>
    <t>ITM12142</t>
  </si>
  <si>
    <t>ITM12143</t>
  </si>
  <si>
    <t>ITM12144</t>
  </si>
  <si>
    <t>ITM12145</t>
  </si>
  <si>
    <t>ITM12146</t>
  </si>
  <si>
    <t>ITM12147</t>
  </si>
  <si>
    <t>ITM12148</t>
  </si>
  <si>
    <t>ITM12149</t>
  </si>
  <si>
    <t>ITM12150</t>
  </si>
  <si>
    <t>ITM12151</t>
  </si>
  <si>
    <t>ITM12152</t>
  </si>
  <si>
    <t>ITM12153</t>
  </si>
  <si>
    <t>ITM12154</t>
  </si>
  <si>
    <t>ITM12155</t>
  </si>
  <si>
    <t>ITM12156</t>
  </si>
  <si>
    <t>ITM12157</t>
  </si>
  <si>
    <t>ITM12158</t>
  </si>
  <si>
    <t>ITM12159</t>
  </si>
  <si>
    <t>ITM12160</t>
  </si>
  <si>
    <t>ITM12161</t>
  </si>
  <si>
    <t>ITM12162</t>
  </si>
  <si>
    <t>ITM12163</t>
  </si>
  <si>
    <t>ITM12164</t>
  </si>
  <si>
    <t>ITM12165</t>
  </si>
  <si>
    <t>ITM12166</t>
  </si>
  <si>
    <t>ITM12167</t>
  </si>
  <si>
    <t>ITM12168</t>
  </si>
  <si>
    <t>ITM12169</t>
  </si>
  <si>
    <t>ITM12170</t>
  </si>
  <si>
    <t>ITM12171</t>
  </si>
  <si>
    <t>ITM12172</t>
  </si>
  <si>
    <t>ITM12173</t>
  </si>
  <si>
    <t>ITM12174</t>
  </si>
  <si>
    <t>ITM12175</t>
  </si>
  <si>
    <t>ITM12176</t>
  </si>
  <si>
    <t>ITM12177</t>
  </si>
  <si>
    <t>ITM12178</t>
  </si>
  <si>
    <t>ITM12179</t>
  </si>
  <si>
    <t>ITM12180</t>
  </si>
  <si>
    <t>ITM12181</t>
  </si>
  <si>
    <t>ITM12182</t>
  </si>
  <si>
    <t>ITM12183</t>
  </si>
  <si>
    <t>ITM12184</t>
  </si>
  <si>
    <t>ITM12185</t>
  </si>
  <si>
    <t>ITM12186</t>
  </si>
  <si>
    <t>ITM12187</t>
  </si>
  <si>
    <t>ITM12188</t>
  </si>
  <si>
    <t>ITM12189</t>
  </si>
  <si>
    <t>ITM12190</t>
  </si>
  <si>
    <t>ITM12191</t>
  </si>
  <si>
    <t>ITM12192</t>
  </si>
  <si>
    <t>ITM12193</t>
  </si>
  <si>
    <t>ITM12194</t>
  </si>
  <si>
    <t>ITM12195</t>
  </si>
  <si>
    <t>ITM12196</t>
  </si>
  <si>
    <t>ITM12197</t>
  </si>
  <si>
    <t>ITM12198</t>
  </si>
  <si>
    <t>ITM12199</t>
  </si>
  <si>
    <t>ITM12200</t>
  </si>
  <si>
    <t>ITM12201</t>
  </si>
  <si>
    <t>ITM12202</t>
  </si>
  <si>
    <t>ITM12203</t>
  </si>
  <si>
    <t>ITM12204</t>
  </si>
  <si>
    <t>ITM12205</t>
  </si>
  <si>
    <t>ITM12206</t>
  </si>
  <si>
    <t>ITM12207</t>
  </si>
  <si>
    <t>ITM12208</t>
  </si>
  <si>
    <t>ITM12209</t>
  </si>
  <si>
    <t>ITM12210</t>
  </si>
  <si>
    <t>ITM12211</t>
  </si>
  <si>
    <t>ITM12212</t>
  </si>
  <si>
    <t>ITM12213</t>
  </si>
  <si>
    <t>ITM12214</t>
  </si>
  <si>
    <t>ITM12215</t>
  </si>
  <si>
    <t>ITM12216</t>
  </si>
  <si>
    <t>ITM12217</t>
  </si>
  <si>
    <t>ITM12218</t>
  </si>
  <si>
    <t>ITM12219</t>
  </si>
  <si>
    <t>ITM12220</t>
  </si>
  <si>
    <t>ITM12221</t>
  </si>
  <si>
    <t>ITM12222</t>
  </si>
  <si>
    <t>ITM12223</t>
  </si>
  <si>
    <t>ITM12224</t>
  </si>
  <si>
    <t>ITM12225</t>
  </si>
  <si>
    <t>ITM12226</t>
  </si>
  <si>
    <t>ITM12227</t>
  </si>
  <si>
    <t>ITM12228</t>
  </si>
  <si>
    <t>ITM12229</t>
  </si>
  <si>
    <t>ITM12230</t>
  </si>
  <si>
    <t>ITM12231</t>
  </si>
  <si>
    <t>ITM12232</t>
  </si>
  <si>
    <t>ITM12233</t>
  </si>
  <si>
    <t>ITM12234</t>
  </si>
  <si>
    <t>ITM12235</t>
  </si>
  <si>
    <t>ITM12236</t>
  </si>
  <si>
    <t>ITM12237</t>
  </si>
  <si>
    <t>ITM12238</t>
  </si>
  <si>
    <t>ITM12239</t>
  </si>
  <si>
    <t>ITM12240</t>
  </si>
  <si>
    <t>ITM12241</t>
  </si>
  <si>
    <t>ITM12242</t>
  </si>
  <si>
    <t>ITM12243</t>
  </si>
  <si>
    <t>ITM12244</t>
  </si>
  <si>
    <t>ITM12245</t>
  </si>
  <si>
    <t>ITM12246</t>
  </si>
  <si>
    <t>ITM12247</t>
  </si>
  <si>
    <t>ITM12248</t>
  </si>
  <si>
    <t>ITM12249</t>
  </si>
  <si>
    <t>ITM12250</t>
  </si>
  <si>
    <t>ITM12251</t>
  </si>
  <si>
    <t>ITM12252</t>
  </si>
  <si>
    <t>ITM12253</t>
  </si>
  <si>
    <t>ITM12254</t>
  </si>
  <si>
    <t>ITM12255</t>
  </si>
  <si>
    <t>ITM12256</t>
  </si>
  <si>
    <t>ITM12257</t>
  </si>
  <si>
    <t>ITM12258</t>
  </si>
  <si>
    <t>ITM12259</t>
  </si>
  <si>
    <t>ITM12260</t>
  </si>
  <si>
    <t>ITM12261</t>
  </si>
  <si>
    <t>ITM12262</t>
  </si>
  <si>
    <t>ITM12263</t>
  </si>
  <si>
    <t>ITM12264</t>
  </si>
  <si>
    <t>ITM12265</t>
  </si>
  <si>
    <t>ITM12266</t>
  </si>
  <si>
    <t>ITM12267</t>
  </si>
  <si>
    <t>ITM12268</t>
  </si>
  <si>
    <t>ITM12269</t>
  </si>
  <si>
    <t>ITM12270</t>
  </si>
  <si>
    <t>ITM12271</t>
  </si>
  <si>
    <t>ITM12272</t>
  </si>
  <si>
    <t>ITM12273</t>
  </si>
  <si>
    <t>ITM12274</t>
  </si>
  <si>
    <t>ITM12275</t>
  </si>
  <si>
    <t>ITM12276</t>
  </si>
  <si>
    <t>ITM12277</t>
  </si>
  <si>
    <t>ITM12278</t>
  </si>
  <si>
    <t>ITM12279</t>
  </si>
  <si>
    <t>ITM12280</t>
  </si>
  <si>
    <t>ITM12281</t>
  </si>
  <si>
    <t>ITM12282</t>
  </si>
  <si>
    <t>ITM12283</t>
  </si>
  <si>
    <t>ITM12284</t>
  </si>
  <si>
    <t>ITM12285</t>
  </si>
  <si>
    <t>ITM12286</t>
  </si>
  <si>
    <t>ITM12287</t>
  </si>
  <si>
    <t>ITM12288</t>
  </si>
  <si>
    <t>ITM12289</t>
  </si>
  <si>
    <t>ITM12290</t>
  </si>
  <si>
    <t>ITM12291</t>
  </si>
  <si>
    <t>ITM12292</t>
  </si>
  <si>
    <t>ITM12293</t>
  </si>
  <si>
    <t>ITM12294</t>
  </si>
  <si>
    <t>ITM12295</t>
  </si>
  <si>
    <t>ITM12296</t>
  </si>
  <si>
    <t>ITM12297</t>
  </si>
  <si>
    <t>ITM12298</t>
  </si>
  <si>
    <t>ITM12299</t>
  </si>
  <si>
    <t>ITM12300</t>
  </si>
  <si>
    <t>ITM12301</t>
  </si>
  <si>
    <t>ITM12302</t>
  </si>
  <si>
    <t>ITM12303</t>
  </si>
  <si>
    <t>ITM12304</t>
  </si>
  <si>
    <t>ITM12305</t>
  </si>
  <si>
    <t>ITM12306</t>
  </si>
  <si>
    <t>ITM12307</t>
  </si>
  <si>
    <t>ITM12308</t>
  </si>
  <si>
    <t>ITM12309</t>
  </si>
  <si>
    <t>ITM12310</t>
  </si>
  <si>
    <t>ITM12311</t>
  </si>
  <si>
    <t>ITM12312</t>
  </si>
  <si>
    <t>ITM12313</t>
  </si>
  <si>
    <t>ITM12314</t>
  </si>
  <si>
    <t>ITM12315</t>
  </si>
  <si>
    <t>ITM12316</t>
  </si>
  <si>
    <t>ITM12317</t>
  </si>
  <si>
    <t>ITM12318</t>
  </si>
  <si>
    <t>ITM12319</t>
  </si>
  <si>
    <t>ITM12320</t>
  </si>
  <si>
    <t>ITM12321</t>
  </si>
  <si>
    <t>ITM12322</t>
  </si>
  <si>
    <t>ITM12323</t>
  </si>
  <si>
    <t>ITM12324</t>
  </si>
  <si>
    <t>ITM12325</t>
  </si>
  <si>
    <t>ITM12326</t>
  </si>
  <si>
    <t>ITM12327</t>
  </si>
  <si>
    <t>ITM12328</t>
  </si>
  <si>
    <t>ITM12329</t>
  </si>
  <si>
    <t>ITM12330</t>
  </si>
  <si>
    <t>ITM12331</t>
  </si>
  <si>
    <t>ITM12332</t>
  </si>
  <si>
    <t>ITM12333</t>
  </si>
  <si>
    <t>ITM12334</t>
  </si>
  <si>
    <t>ITM12335</t>
  </si>
  <si>
    <t>ITM12336</t>
  </si>
  <si>
    <t>ITM12337</t>
  </si>
  <si>
    <t>ITM12338</t>
  </si>
  <si>
    <t>ITM12339</t>
  </si>
  <si>
    <t>ITM12340</t>
  </si>
  <si>
    <t>ITM12341</t>
  </si>
  <si>
    <t>ITM12342</t>
  </si>
  <si>
    <t>ITM12343</t>
  </si>
  <si>
    <t>ITM12344</t>
  </si>
  <si>
    <t>ITM12345</t>
  </si>
  <si>
    <t>ITM12346</t>
  </si>
  <si>
    <t>ITM12347</t>
  </si>
  <si>
    <t>ITM12348</t>
  </si>
  <si>
    <t>ITM12349</t>
  </si>
  <si>
    <t>ITM12350</t>
  </si>
  <si>
    <t>ITM12351</t>
  </si>
  <si>
    <t>ITM12352</t>
  </si>
  <si>
    <t>ITM12353</t>
  </si>
  <si>
    <t>ITM12354</t>
  </si>
  <si>
    <t>ITM12355</t>
  </si>
  <si>
    <t>ITM12356</t>
  </si>
  <si>
    <t>ITM12357</t>
  </si>
  <si>
    <t>ITM12358</t>
  </si>
  <si>
    <t>ITM12359</t>
  </si>
  <si>
    <t>ITM12360</t>
  </si>
  <si>
    <t>ITM12361</t>
  </si>
  <si>
    <t>ITM12362</t>
  </si>
  <si>
    <t>ITM12363</t>
  </si>
  <si>
    <t>ITM12364</t>
  </si>
  <si>
    <t>ITM12365</t>
  </si>
  <si>
    <t>ITM12366</t>
  </si>
  <si>
    <t>ITM12367</t>
  </si>
  <si>
    <t>ITM12368</t>
  </si>
  <si>
    <t>ITM12369</t>
  </si>
  <si>
    <t>ITM12370</t>
  </si>
  <si>
    <t>ITM12371</t>
  </si>
  <si>
    <t>ITM12372</t>
  </si>
  <si>
    <t>ITM12373</t>
  </si>
  <si>
    <t>ITM12374</t>
  </si>
  <si>
    <t>ITM12375</t>
  </si>
  <si>
    <t>ITM12376</t>
  </si>
  <si>
    <t>ITM12377</t>
  </si>
  <si>
    <t>ITM12378</t>
  </si>
  <si>
    <t>ITM12379</t>
  </si>
  <si>
    <t>ITM12380</t>
  </si>
  <si>
    <t>ITM12381</t>
  </si>
  <si>
    <t>ITM12382</t>
  </si>
  <si>
    <t>ITM12383</t>
  </si>
  <si>
    <t>ITM12384</t>
  </si>
  <si>
    <t>ITM12385</t>
  </si>
  <si>
    <t>ITM12386</t>
  </si>
  <si>
    <t>ITM12387</t>
  </si>
  <si>
    <t>ITM12388</t>
  </si>
  <si>
    <t>ITM12389</t>
  </si>
  <si>
    <t>ITM12390</t>
  </si>
  <si>
    <t>ITM12391</t>
  </si>
  <si>
    <t>ITM12392</t>
  </si>
  <si>
    <t>ITM12393</t>
  </si>
  <si>
    <t>ITM12394</t>
  </si>
  <si>
    <t>ITM12395</t>
  </si>
  <si>
    <t>ITM12396</t>
  </si>
  <si>
    <t>ITM12397</t>
  </si>
  <si>
    <t>ITM12398</t>
  </si>
  <si>
    <t>ITM12399</t>
  </si>
  <si>
    <t>ITM12400</t>
  </si>
  <si>
    <t>ITM12401</t>
  </si>
  <si>
    <t>ITM12402</t>
  </si>
  <si>
    <t>ITM12403</t>
  </si>
  <si>
    <t>ITM12404</t>
  </si>
  <si>
    <t>ITM12405</t>
  </si>
  <si>
    <t>ITM12406</t>
  </si>
  <si>
    <t>ITM12407</t>
  </si>
  <si>
    <t>ITM12408</t>
  </si>
  <si>
    <t>ITM12409</t>
  </si>
  <si>
    <t>ITM12410</t>
  </si>
  <si>
    <t>ITM12411</t>
  </si>
  <si>
    <t>ITM12412</t>
  </si>
  <si>
    <t>ITM12413</t>
  </si>
  <si>
    <t>ITM12414</t>
  </si>
  <si>
    <t>ITM12415</t>
  </si>
  <si>
    <t>ITM12416</t>
  </si>
  <si>
    <t>ITM12417</t>
  </si>
  <si>
    <t>ITM12418</t>
  </si>
  <si>
    <t>ITM12419</t>
  </si>
  <si>
    <t>ITM12420</t>
  </si>
  <si>
    <t>ITM12421</t>
  </si>
  <si>
    <t>ITM12422</t>
  </si>
  <si>
    <t>ITM12423</t>
  </si>
  <si>
    <t>ITM12424</t>
  </si>
  <si>
    <t>ITM12425</t>
  </si>
  <si>
    <t>ITM12426</t>
  </si>
  <si>
    <t>ITM12427</t>
  </si>
  <si>
    <t>ITM12428</t>
  </si>
  <si>
    <t>ITM12429</t>
  </si>
  <si>
    <t>ITM12430</t>
  </si>
  <si>
    <t>ITM12431</t>
  </si>
  <si>
    <t>ITM12432</t>
  </si>
  <si>
    <t>ITM12433</t>
  </si>
  <si>
    <t>ITM12434</t>
  </si>
  <si>
    <t>ITM12435</t>
  </si>
  <si>
    <t>ITM12436</t>
  </si>
  <si>
    <t>ITM12437</t>
  </si>
  <si>
    <t>ITM12438</t>
  </si>
  <si>
    <t>ITM12439</t>
  </si>
  <si>
    <t>ITM12440</t>
  </si>
  <si>
    <t>ITM12441</t>
  </si>
  <si>
    <t>ITM12442</t>
  </si>
  <si>
    <t>ITM12443</t>
  </si>
  <si>
    <t>ITM12444</t>
  </si>
  <si>
    <t>ITM12445</t>
  </si>
  <si>
    <t>ITM12446</t>
  </si>
  <si>
    <t>ITM12447</t>
  </si>
  <si>
    <t>ITM12448</t>
  </si>
  <si>
    <t>ITM12449</t>
  </si>
  <si>
    <t>ITM12450</t>
  </si>
  <si>
    <t>ITM12451</t>
  </si>
  <si>
    <t>ITM12452</t>
  </si>
  <si>
    <t>ITM12453</t>
  </si>
  <si>
    <t>ITM12454</t>
  </si>
  <si>
    <t>ITM12455</t>
  </si>
  <si>
    <t>ITM12456</t>
  </si>
  <si>
    <t>ITM12457</t>
  </si>
  <si>
    <t>ITM12458</t>
  </si>
  <si>
    <t>ITM12459</t>
  </si>
  <si>
    <t>ITM12460</t>
  </si>
  <si>
    <t>ITM12461</t>
  </si>
  <si>
    <t>ITM12462</t>
  </si>
  <si>
    <t>ITM12463</t>
  </si>
  <si>
    <t>ITM12464</t>
  </si>
  <si>
    <t>ITM12465</t>
  </si>
  <si>
    <t>ITM12466</t>
  </si>
  <si>
    <t>ITM12467</t>
  </si>
  <si>
    <t>ITM12468</t>
  </si>
  <si>
    <t>ITM12469</t>
  </si>
  <si>
    <t>ITM12470</t>
  </si>
  <si>
    <t>ITM12471</t>
  </si>
  <si>
    <t>ITM12472</t>
  </si>
  <si>
    <t>ITM12473</t>
  </si>
  <si>
    <t>ITM12474</t>
  </si>
  <si>
    <t>ITM12475</t>
  </si>
  <si>
    <t>ITM12476</t>
  </si>
  <si>
    <t>ITM12477</t>
  </si>
  <si>
    <t>ITM12478</t>
  </si>
  <si>
    <t>ITM12479</t>
  </si>
  <si>
    <t>ITM12480</t>
  </si>
  <si>
    <t>ITM12481</t>
  </si>
  <si>
    <t>ITM12482</t>
  </si>
  <si>
    <t>ITM12483</t>
  </si>
  <si>
    <t>ITM12484</t>
  </si>
  <si>
    <t>ITM12485</t>
  </si>
  <si>
    <t>ITM12486</t>
  </si>
  <si>
    <t>ITM12487</t>
  </si>
  <si>
    <t>ITM12488</t>
  </si>
  <si>
    <t>ITM12489</t>
  </si>
  <si>
    <t>ITM12490</t>
  </si>
  <si>
    <t>ITM12491</t>
  </si>
  <si>
    <t>ITM12492</t>
  </si>
  <si>
    <t>ITM12493</t>
  </si>
  <si>
    <t>ITM12494</t>
  </si>
  <si>
    <t>ITM12495</t>
  </si>
  <si>
    <t>ITM12496</t>
  </si>
  <si>
    <t>ITM12497</t>
  </si>
  <si>
    <t>ITM12498</t>
  </si>
  <si>
    <t>ITM12499</t>
  </si>
  <si>
    <t>ITM12500</t>
  </si>
  <si>
    <t>ITM12501</t>
  </si>
  <si>
    <t>ITM12502</t>
  </si>
  <si>
    <t>ITM12503</t>
  </si>
  <si>
    <t>ITM12504</t>
  </si>
  <si>
    <t>ITM12505</t>
  </si>
  <si>
    <t>ITM12506</t>
  </si>
  <si>
    <t>ITM12507</t>
  </si>
  <si>
    <t>ITM12508</t>
  </si>
  <si>
    <t>ITM12509</t>
  </si>
  <si>
    <t>ITM12510</t>
  </si>
  <si>
    <t>ITM12511</t>
  </si>
  <si>
    <t>ITM12512</t>
  </si>
  <si>
    <t>ITM12513</t>
  </si>
  <si>
    <t>ITM12514</t>
  </si>
  <si>
    <t>ITM12515</t>
  </si>
  <si>
    <t>ITM12516</t>
  </si>
  <si>
    <t>ITM12517</t>
  </si>
  <si>
    <t>ITM12518</t>
  </si>
  <si>
    <t>ITM12519</t>
  </si>
  <si>
    <t>ITM12520</t>
  </si>
  <si>
    <t>ITM12521</t>
  </si>
  <si>
    <t>ITM12522</t>
  </si>
  <si>
    <t>ITM12523</t>
  </si>
  <si>
    <t>ITM12524</t>
  </si>
  <si>
    <t>ITM12525</t>
  </si>
  <si>
    <t>ITM12526</t>
  </si>
  <si>
    <t>ITM12527</t>
  </si>
  <si>
    <t>ITM12528</t>
  </si>
  <si>
    <t>ITM12529</t>
  </si>
  <si>
    <t>ITM12530</t>
  </si>
  <si>
    <t>ITM12531</t>
  </si>
  <si>
    <t>ITM12532</t>
  </si>
  <si>
    <t>ITM12533</t>
  </si>
  <si>
    <t>ITM12534</t>
  </si>
  <si>
    <t>ITM12535</t>
  </si>
  <si>
    <t>ITM12536</t>
  </si>
  <si>
    <t>ITM12537</t>
  </si>
  <si>
    <t>ITM12538</t>
  </si>
  <si>
    <t>ITM12539</t>
  </si>
  <si>
    <t>ITM12540</t>
  </si>
  <si>
    <t>ITM12541</t>
  </si>
  <si>
    <t>ITM12542</t>
  </si>
  <si>
    <t>ITM12543</t>
  </si>
  <si>
    <t>ITM12544</t>
  </si>
  <si>
    <t>ITM12545</t>
  </si>
  <si>
    <t>ITM12546</t>
  </si>
  <si>
    <t>ITM12547</t>
  </si>
  <si>
    <t>ITM12548</t>
  </si>
  <si>
    <t>ITM12549</t>
  </si>
  <si>
    <t>ITM12550</t>
  </si>
  <si>
    <t>ITM12551</t>
  </si>
  <si>
    <t>ITM12552</t>
  </si>
  <si>
    <t>ITM12553</t>
  </si>
  <si>
    <t>ITM12554</t>
  </si>
  <si>
    <t>ITM12555</t>
  </si>
  <si>
    <t>ITM12556</t>
  </si>
  <si>
    <t>ITM12557</t>
  </si>
  <si>
    <t>ITM12558</t>
  </si>
  <si>
    <t>ITM12559</t>
  </si>
  <si>
    <t>ITM12560</t>
  </si>
  <si>
    <t>ITM12561</t>
  </si>
  <si>
    <t>ITM12562</t>
  </si>
  <si>
    <t>ITM12563</t>
  </si>
  <si>
    <t>ITM12564</t>
  </si>
  <si>
    <t>ITM12565</t>
  </si>
  <si>
    <t>ITM12566</t>
  </si>
  <si>
    <t>ITM12567</t>
  </si>
  <si>
    <t>ITM12568</t>
  </si>
  <si>
    <t>ITM12569</t>
  </si>
  <si>
    <t>ITM12570</t>
  </si>
  <si>
    <t>ITM12571</t>
  </si>
  <si>
    <t>ITM12572</t>
  </si>
  <si>
    <t>ITM12573</t>
  </si>
  <si>
    <t>ITM12574</t>
  </si>
  <si>
    <t>ITM12575</t>
  </si>
  <si>
    <t>ITM12576</t>
  </si>
  <si>
    <t>ITM12577</t>
  </si>
  <si>
    <t>ITM12578</t>
  </si>
  <si>
    <t>ITM12579</t>
  </si>
  <si>
    <t>ITM12580</t>
  </si>
  <si>
    <t>ITM12581</t>
  </si>
  <si>
    <t>ITM12582</t>
  </si>
  <si>
    <t>ITM12583</t>
  </si>
  <si>
    <t>ITM12584</t>
  </si>
  <si>
    <t>ITM12585</t>
  </si>
  <si>
    <t>ITM12586</t>
  </si>
  <si>
    <t>ITM12587</t>
  </si>
  <si>
    <t>ITM12588</t>
  </si>
  <si>
    <t>ITM12589</t>
  </si>
  <si>
    <t>ITM12590</t>
  </si>
  <si>
    <t>ITM12591</t>
  </si>
  <si>
    <t>ITM12592</t>
  </si>
  <si>
    <t>ITM12593</t>
  </si>
  <si>
    <t>ITM12594</t>
  </si>
  <si>
    <t>ITM12595</t>
  </si>
  <si>
    <t>ITM12596</t>
  </si>
  <si>
    <t>ITM12597</t>
  </si>
  <si>
    <t>ITM12598</t>
  </si>
  <si>
    <t>ITM12599</t>
  </si>
  <si>
    <t>ITM12600</t>
  </si>
  <si>
    <t>ITM12601</t>
  </si>
  <si>
    <t>ITM12602</t>
  </si>
  <si>
    <t>ITM12603</t>
  </si>
  <si>
    <t>ITM12604</t>
  </si>
  <si>
    <t>ITM12605</t>
  </si>
  <si>
    <t>ITM12606</t>
  </si>
  <si>
    <t>ITM12607</t>
  </si>
  <si>
    <t>ITM12608</t>
  </si>
  <si>
    <t>ITM12609</t>
  </si>
  <si>
    <t>ITM12610</t>
  </si>
  <si>
    <t>ITM12611</t>
  </si>
  <si>
    <t>ITM12612</t>
  </si>
  <si>
    <t>ITM12613</t>
  </si>
  <si>
    <t>ITM12614</t>
  </si>
  <si>
    <t>ITM12615</t>
  </si>
  <si>
    <t>ITM12616</t>
  </si>
  <si>
    <t>ITM12617</t>
  </si>
  <si>
    <t>ITM12618</t>
  </si>
  <si>
    <t>ITM12619</t>
  </si>
  <si>
    <t>ITM12620</t>
  </si>
  <si>
    <t>ITM12621</t>
  </si>
  <si>
    <t>ITM12622</t>
  </si>
  <si>
    <t>ITM12623</t>
  </si>
  <si>
    <t>ITM12624</t>
  </si>
  <si>
    <t>ITM12625</t>
  </si>
  <si>
    <t>ITM12626</t>
  </si>
  <si>
    <t>ITM12627</t>
  </si>
  <si>
    <t>ITM12628</t>
  </si>
  <si>
    <t>ITM12629</t>
  </si>
  <si>
    <t>ITM12630</t>
  </si>
  <si>
    <t>ITM12631</t>
  </si>
  <si>
    <t>ITM12632</t>
  </si>
  <si>
    <t>ITM12633</t>
  </si>
  <si>
    <t>ITM12634</t>
  </si>
  <si>
    <t>ITM12635</t>
  </si>
  <si>
    <t>ITM12636</t>
  </si>
  <si>
    <t>ITM12637</t>
  </si>
  <si>
    <t>ITM12638</t>
  </si>
  <si>
    <t>ITM12639</t>
  </si>
  <si>
    <t>ITM12640</t>
  </si>
  <si>
    <t>ITM12641</t>
  </si>
  <si>
    <t>ITM12642</t>
  </si>
  <si>
    <t>ITM12643</t>
  </si>
  <si>
    <t>ITM12644</t>
  </si>
  <si>
    <t>ITM12645</t>
  </si>
  <si>
    <t>ITM12646</t>
  </si>
  <si>
    <t>ITM12647</t>
  </si>
  <si>
    <t>ITM12648</t>
  </si>
  <si>
    <t>ITM12649</t>
  </si>
  <si>
    <t>ITM12650</t>
  </si>
  <si>
    <t>ITM12651</t>
  </si>
  <si>
    <t>ITM12652</t>
  </si>
  <si>
    <t>ITM12653</t>
  </si>
  <si>
    <t>ITM12654</t>
  </si>
  <si>
    <t>ITM12655</t>
  </si>
  <si>
    <t>ITM12656</t>
  </si>
  <si>
    <t>ITM12657</t>
  </si>
  <si>
    <t>ITM12658</t>
  </si>
  <si>
    <t>ITM12659</t>
  </si>
  <si>
    <t>ITM12660</t>
  </si>
  <si>
    <t>ITM12661</t>
  </si>
  <si>
    <t>ITM12662</t>
  </si>
  <si>
    <t>ITM12663</t>
  </si>
  <si>
    <t>ITM12664</t>
  </si>
  <si>
    <t>ITM12665</t>
  </si>
  <si>
    <t>ITM12666</t>
  </si>
  <si>
    <t>ITM12667</t>
  </si>
  <si>
    <t>ITM12668</t>
  </si>
  <si>
    <t>ITM12669</t>
  </si>
  <si>
    <t>ITM12670</t>
  </si>
  <si>
    <t>ITM12671</t>
  </si>
  <si>
    <t>ITM12672</t>
  </si>
  <si>
    <t>ITM12673</t>
  </si>
  <si>
    <t>ITM12674</t>
  </si>
  <si>
    <t>ITM12675</t>
  </si>
  <si>
    <t>ITM12676</t>
  </si>
  <si>
    <t>ITM12677</t>
  </si>
  <si>
    <t>ITM12678</t>
  </si>
  <si>
    <t>ITM12679</t>
  </si>
  <si>
    <t>ITM12680</t>
  </si>
  <si>
    <t>ITM12681</t>
  </si>
  <si>
    <t>ITM12682</t>
  </si>
  <si>
    <t>ITM12683</t>
  </si>
  <si>
    <t>ITM12684</t>
  </si>
  <si>
    <t>ITM12685</t>
  </si>
  <si>
    <t>ITM12686</t>
  </si>
  <si>
    <t>ITM12687</t>
  </si>
  <si>
    <t>ITM12688</t>
  </si>
  <si>
    <t>ITM12689</t>
  </si>
  <si>
    <t>ITM12690</t>
  </si>
  <si>
    <t>ITM12691</t>
  </si>
  <si>
    <t>ITM12692</t>
  </si>
  <si>
    <t>ITM12693</t>
  </si>
  <si>
    <t>ITM12694</t>
  </si>
  <si>
    <t>ITM12695</t>
  </si>
  <si>
    <t>ITM12696</t>
  </si>
  <si>
    <t>ITM12697</t>
  </si>
  <si>
    <t>ITM12698</t>
  </si>
  <si>
    <t>ITM12699</t>
  </si>
  <si>
    <t>ITM12700</t>
  </si>
  <si>
    <t>ITM12701</t>
  </si>
  <si>
    <t>ITM12702</t>
  </si>
  <si>
    <t>ITM12703</t>
  </si>
  <si>
    <t>ITM12704</t>
  </si>
  <si>
    <t>ITM12705</t>
  </si>
  <si>
    <t>ITM12706</t>
  </si>
  <si>
    <t>ITM12707</t>
  </si>
  <si>
    <t>ITM12708</t>
  </si>
  <si>
    <t>ITM12709</t>
  </si>
  <si>
    <t>ITM12710</t>
  </si>
  <si>
    <t>ITM12711</t>
  </si>
  <si>
    <t>ITM12712</t>
  </si>
  <si>
    <t>ITM12713</t>
  </si>
  <si>
    <t>ITM12714</t>
  </si>
  <si>
    <t>ITM12715</t>
  </si>
  <si>
    <t>ITM12716</t>
  </si>
  <si>
    <t>ITM12717</t>
  </si>
  <si>
    <t>ITM12718</t>
  </si>
  <si>
    <t>ITM12719</t>
  </si>
  <si>
    <t>ITM12720</t>
  </si>
  <si>
    <t>ITM12721</t>
  </si>
  <si>
    <t>ITM12722</t>
  </si>
  <si>
    <t>ITM12723</t>
  </si>
  <si>
    <t>ITM12724</t>
  </si>
  <si>
    <t>ITM12725</t>
  </si>
  <si>
    <t>ITM12726</t>
  </si>
  <si>
    <t>ITM12727</t>
  </si>
  <si>
    <t>ITM12728</t>
  </si>
  <si>
    <t>ITM12729</t>
  </si>
  <si>
    <t>ITM12730</t>
  </si>
  <si>
    <t>ITM12731</t>
  </si>
  <si>
    <t>ITM12732</t>
  </si>
  <si>
    <t>ITM12733</t>
  </si>
  <si>
    <t>ITM12734</t>
  </si>
  <si>
    <t>ITM12735</t>
  </si>
  <si>
    <t>ITM12736</t>
  </si>
  <si>
    <t>ITM12737</t>
  </si>
  <si>
    <t>ITM12738</t>
  </si>
  <si>
    <t>ITM12739</t>
  </si>
  <si>
    <t>ITM12740</t>
  </si>
  <si>
    <t>ITM12741</t>
  </si>
  <si>
    <t>ITM12742</t>
  </si>
  <si>
    <t>ITM12743</t>
  </si>
  <si>
    <t>ITM12744</t>
  </si>
  <si>
    <t>ITM12745</t>
  </si>
  <si>
    <t>ITM12746</t>
  </si>
  <si>
    <t>ITM12747</t>
  </si>
  <si>
    <t>ITM12748</t>
  </si>
  <si>
    <t>ITM12749</t>
  </si>
  <si>
    <t>ITM12750</t>
  </si>
  <si>
    <t>ITM12751</t>
  </si>
  <si>
    <t>ITM12752</t>
  </si>
  <si>
    <t>ITM12753</t>
  </si>
  <si>
    <t>ITM12754</t>
  </si>
  <si>
    <t>ITM12755</t>
  </si>
  <si>
    <t>ITM12756</t>
  </si>
  <si>
    <t>ITM12757</t>
  </si>
  <si>
    <t>ITM12758</t>
  </si>
  <si>
    <t>ITM12759</t>
  </si>
  <si>
    <t>ITM12760</t>
  </si>
  <si>
    <t>ITM12761</t>
  </si>
  <si>
    <t>ITM12762</t>
  </si>
  <si>
    <t>ITM12763</t>
  </si>
  <si>
    <t>ITM12764</t>
  </si>
  <si>
    <t>ITM12765</t>
  </si>
  <si>
    <t>ITM12766</t>
  </si>
  <si>
    <t>ITM12767</t>
  </si>
  <si>
    <t>ITM12768</t>
  </si>
  <si>
    <t>ITM12769</t>
  </si>
  <si>
    <t>ITM12770</t>
  </si>
  <si>
    <t>ITM12771</t>
  </si>
  <si>
    <t>ITM12772</t>
  </si>
  <si>
    <t>ITM12773</t>
  </si>
  <si>
    <t>ITM12774</t>
  </si>
  <si>
    <t>ITM12775</t>
  </si>
  <si>
    <t>ITM12776</t>
  </si>
  <si>
    <t>ITM12777</t>
  </si>
  <si>
    <t>ITM12778</t>
  </si>
  <si>
    <t>ITM12779</t>
  </si>
  <si>
    <t>ITM12780</t>
  </si>
  <si>
    <t>ITM12781</t>
  </si>
  <si>
    <t>ITM12782</t>
  </si>
  <si>
    <t>ITM12783</t>
  </si>
  <si>
    <t>ITM12784</t>
  </si>
  <si>
    <t>ITM12785</t>
  </si>
  <si>
    <t>ITM12786</t>
  </si>
  <si>
    <t>ITM12787</t>
  </si>
  <si>
    <t>ITM12788</t>
  </si>
  <si>
    <t>ITM12789</t>
  </si>
  <si>
    <t>ITM12790</t>
  </si>
  <si>
    <t>ITM12791</t>
  </si>
  <si>
    <t>ITM12792</t>
  </si>
  <si>
    <t>ITM12793</t>
  </si>
  <si>
    <t>ITM12794</t>
  </si>
  <si>
    <t>ITM12795</t>
  </si>
  <si>
    <t>ITM12796</t>
  </si>
  <si>
    <t>ITM12797</t>
  </si>
  <si>
    <t>ITM12798</t>
  </si>
  <si>
    <t>ITM12799</t>
  </si>
  <si>
    <t>ITM12800</t>
  </si>
  <si>
    <t>ITM12801</t>
  </si>
  <si>
    <t>ITM12802</t>
  </si>
  <si>
    <t>ITM12803</t>
  </si>
  <si>
    <t>ITM12804</t>
  </si>
  <si>
    <t>ITM12805</t>
  </si>
  <si>
    <t>ITM12806</t>
  </si>
  <si>
    <t>ITM12807</t>
  </si>
  <si>
    <t>ITM12808</t>
  </si>
  <si>
    <t>ITM12809</t>
  </si>
  <si>
    <t>ITM12810</t>
  </si>
  <si>
    <t>ITM12811</t>
  </si>
  <si>
    <t>ITM12812</t>
  </si>
  <si>
    <t>ITM12813</t>
  </si>
  <si>
    <t>ITM12814</t>
  </si>
  <si>
    <t>ITM12815</t>
  </si>
  <si>
    <t>ITM12816</t>
  </si>
  <si>
    <t>ITM12817</t>
  </si>
  <si>
    <t>ITM12818</t>
  </si>
  <si>
    <t>ITM12819</t>
  </si>
  <si>
    <t>ITM12820</t>
  </si>
  <si>
    <t>ITM12821</t>
  </si>
  <si>
    <t>ITM12822</t>
  </si>
  <si>
    <t>ITM12823</t>
  </si>
  <si>
    <t>ITM12824</t>
  </si>
  <si>
    <t>ITM12825</t>
  </si>
  <si>
    <t>ITM12826</t>
  </si>
  <si>
    <t>ITM12827</t>
  </si>
  <si>
    <t>ITM12828</t>
  </si>
  <si>
    <t>ITM12829</t>
  </si>
  <si>
    <t>ITM12830</t>
  </si>
  <si>
    <t>ITM12831</t>
  </si>
  <si>
    <t>ITM12832</t>
  </si>
  <si>
    <t>ITM12833</t>
  </si>
  <si>
    <t>ITM12834</t>
  </si>
  <si>
    <t>ITM12835</t>
  </si>
  <si>
    <t>ITM12836</t>
  </si>
  <si>
    <t>ITM12837</t>
  </si>
  <si>
    <t>ITM12838</t>
  </si>
  <si>
    <t>ITM12839</t>
  </si>
  <si>
    <t>ITM12840</t>
  </si>
  <si>
    <t>ITM12841</t>
  </si>
  <si>
    <t>ITM12842</t>
  </si>
  <si>
    <t>ITM12843</t>
  </si>
  <si>
    <t>ITM12844</t>
  </si>
  <si>
    <t>ITM12845</t>
  </si>
  <si>
    <t>ITM12846</t>
  </si>
  <si>
    <t>ITM12847</t>
  </si>
  <si>
    <t>ITM12848</t>
  </si>
  <si>
    <t>ITM12849</t>
  </si>
  <si>
    <t>ITM12850</t>
  </si>
  <si>
    <t>ITM12851</t>
  </si>
  <si>
    <t>ITM12852</t>
  </si>
  <si>
    <t>ITM12853</t>
  </si>
  <si>
    <t>ITM12854</t>
  </si>
  <si>
    <t>ITM12855</t>
  </si>
  <si>
    <t>ITM12856</t>
  </si>
  <si>
    <t>ITM12857</t>
  </si>
  <si>
    <t>ITM12858</t>
  </si>
  <si>
    <t>ITM12859</t>
  </si>
  <si>
    <t>ITM12860</t>
  </si>
  <si>
    <t>ITM12861</t>
  </si>
  <si>
    <t>ITM12862</t>
  </si>
  <si>
    <t>ITM12863</t>
  </si>
  <si>
    <t>ITM12864</t>
  </si>
  <si>
    <t>ITM12865</t>
  </si>
  <si>
    <t>ITM12866</t>
  </si>
  <si>
    <t>ITM12867</t>
  </si>
  <si>
    <t>ITM12868</t>
  </si>
  <si>
    <t>ITM12869</t>
  </si>
  <si>
    <t>ITM12870</t>
  </si>
  <si>
    <t>ITM12871</t>
  </si>
  <si>
    <t>ITM12872</t>
  </si>
  <si>
    <t>ITM12873</t>
  </si>
  <si>
    <t>ITM12874</t>
  </si>
  <si>
    <t>ITM12875</t>
  </si>
  <si>
    <t>ITM12876</t>
  </si>
  <si>
    <t>ITM12877</t>
  </si>
  <si>
    <t>ITM12878</t>
  </si>
  <si>
    <t>ITM12879</t>
  </si>
  <si>
    <t>ITM12880</t>
  </si>
  <si>
    <t>ITM12881</t>
  </si>
  <si>
    <t>ITM12882</t>
  </si>
  <si>
    <t>ITM12883</t>
  </si>
  <si>
    <t>ITM12884</t>
  </si>
  <si>
    <t>ITM12885</t>
  </si>
  <si>
    <t>ITM12886</t>
  </si>
  <si>
    <t>ITM12887</t>
  </si>
  <si>
    <t>ITM12888</t>
  </si>
  <si>
    <t>ITM12889</t>
  </si>
  <si>
    <t>ITM12890</t>
  </si>
  <si>
    <t>ITM12891</t>
  </si>
  <si>
    <t>ITM12892</t>
  </si>
  <si>
    <t>ITM12893</t>
  </si>
  <si>
    <t>ITM12894</t>
  </si>
  <si>
    <t>ITM12895</t>
  </si>
  <si>
    <t>ITM12896</t>
  </si>
  <si>
    <t>ITM12897</t>
  </si>
  <si>
    <t>ITM12898</t>
  </si>
  <si>
    <t>ITM12899</t>
  </si>
  <si>
    <t>ITM12900</t>
  </si>
  <si>
    <t>ITM12901</t>
  </si>
  <si>
    <t>ITM12902</t>
  </si>
  <si>
    <t>ITM12903</t>
  </si>
  <si>
    <t>ITM12904</t>
  </si>
  <si>
    <t>ITM12905</t>
  </si>
  <si>
    <t>ITM12906</t>
  </si>
  <si>
    <t>ITM12907</t>
  </si>
  <si>
    <t>ITM12908</t>
  </si>
  <si>
    <t>ITM12909</t>
  </si>
  <si>
    <t>ITM12910</t>
  </si>
  <si>
    <t>ITM12911</t>
  </si>
  <si>
    <t>ITM12912</t>
  </si>
  <si>
    <t>ITM12913</t>
  </si>
  <si>
    <t>ITM12914</t>
  </si>
  <si>
    <t>ITM12915</t>
  </si>
  <si>
    <t>ITM12916</t>
  </si>
  <si>
    <t>ITM12917</t>
  </si>
  <si>
    <t>ITM12918</t>
  </si>
  <si>
    <t>ITM12919</t>
  </si>
  <si>
    <t>ITM12920</t>
  </si>
  <si>
    <t>ITM12921</t>
  </si>
  <si>
    <t>ITM12922</t>
  </si>
  <si>
    <t>ITM12923</t>
  </si>
  <si>
    <t>ITM12924</t>
  </si>
  <si>
    <t>ITM12925</t>
  </si>
  <si>
    <t>ITM12926</t>
  </si>
  <si>
    <t>ITM12927</t>
  </si>
  <si>
    <t>ITM12928</t>
  </si>
  <si>
    <t>ITM12929</t>
  </si>
  <si>
    <t>ITM12930</t>
  </si>
  <si>
    <t>ITM12931</t>
  </si>
  <si>
    <t>ITM12932</t>
  </si>
  <si>
    <t>ITM12933</t>
  </si>
  <si>
    <t>ITM12934</t>
  </si>
  <si>
    <t>ITM12935</t>
  </si>
  <si>
    <t>ITM12936</t>
  </si>
  <si>
    <t>ITM12937</t>
  </si>
  <si>
    <t>ITM12938</t>
  </si>
  <si>
    <t>ITM12939</t>
  </si>
  <si>
    <t>ITM12940</t>
  </si>
  <si>
    <t>ITM12941</t>
  </si>
  <si>
    <t>ITM12942</t>
  </si>
  <si>
    <t>ITM12943</t>
  </si>
  <si>
    <t>ITM12944</t>
  </si>
  <si>
    <t>ITM12945</t>
  </si>
  <si>
    <t>ITM12946</t>
  </si>
  <si>
    <t>ITM12947</t>
  </si>
  <si>
    <t>ITM12948</t>
  </si>
  <si>
    <t>ITM12949</t>
  </si>
  <si>
    <t>ITM12950</t>
  </si>
  <si>
    <t>ITM12951</t>
  </si>
  <si>
    <t>ITM12952</t>
  </si>
  <si>
    <t>ITM12953</t>
  </si>
  <si>
    <t>ITM12954</t>
  </si>
  <si>
    <t>ITM12955</t>
  </si>
  <si>
    <t>ITM12956</t>
  </si>
  <si>
    <t>ITM12957</t>
  </si>
  <si>
    <t>ITM12958</t>
  </si>
  <si>
    <t>ITM12959</t>
  </si>
  <si>
    <t>ITM12960</t>
  </si>
  <si>
    <t>ITM12961</t>
  </si>
  <si>
    <t>ITM12962</t>
  </si>
  <si>
    <t>ITM12963</t>
  </si>
  <si>
    <t>ITM12964</t>
  </si>
  <si>
    <t>ITM12965</t>
  </si>
  <si>
    <t>ITM12966</t>
  </si>
  <si>
    <t>ITM12967</t>
  </si>
  <si>
    <t>ITM12968</t>
  </si>
  <si>
    <t>ITM12969</t>
  </si>
  <si>
    <t>ITM12970</t>
  </si>
  <si>
    <t>ITM12971</t>
  </si>
  <si>
    <t>ITM12972</t>
  </si>
  <si>
    <t>ITM12973</t>
  </si>
  <si>
    <t>ITM12974</t>
  </si>
  <si>
    <t>ITM12975</t>
  </si>
  <si>
    <t>ITM12976</t>
  </si>
  <si>
    <t>ITM12977</t>
  </si>
  <si>
    <t>ITM12978</t>
  </si>
  <si>
    <t>ITM12979</t>
  </si>
  <si>
    <t>ITM12980</t>
  </si>
  <si>
    <t>ITM12981</t>
  </si>
  <si>
    <t>ITM12982</t>
  </si>
  <si>
    <t>ITM12983</t>
  </si>
  <si>
    <t>ITM12984</t>
  </si>
  <si>
    <t>ITM12985</t>
  </si>
  <si>
    <t>ITM12986</t>
  </si>
  <si>
    <t>ITM12987</t>
  </si>
  <si>
    <t>ITM12988</t>
  </si>
  <si>
    <t>ITM12989</t>
  </si>
  <si>
    <t>ITM12990</t>
  </si>
  <si>
    <t>ITM12991</t>
  </si>
  <si>
    <t>ITM12992</t>
  </si>
  <si>
    <t>ITM12993</t>
  </si>
  <si>
    <t>ITM12994</t>
  </si>
  <si>
    <t>ITM12995</t>
  </si>
  <si>
    <t>ITM12996</t>
  </si>
  <si>
    <t>ITM12997</t>
  </si>
  <si>
    <t>ITM12998</t>
  </si>
  <si>
    <t>ITM12999</t>
  </si>
  <si>
    <t>ITM13000</t>
  </si>
  <si>
    <t>ITM13001</t>
  </si>
  <si>
    <t>ITM13002</t>
  </si>
  <si>
    <t>ITM13003</t>
  </si>
  <si>
    <t>ITM13004</t>
  </si>
  <si>
    <t>ITM13005</t>
  </si>
  <si>
    <t>ITM13006</t>
  </si>
  <si>
    <t>ITM13007</t>
  </si>
  <si>
    <t>ITM13008</t>
  </si>
  <si>
    <t>ITM13009</t>
  </si>
  <si>
    <t>ITM13010</t>
  </si>
  <si>
    <t>ITM13011</t>
  </si>
  <si>
    <t>ITM13012</t>
  </si>
  <si>
    <t>ITM13013</t>
  </si>
  <si>
    <t>ITM13014</t>
  </si>
  <si>
    <t>ITM13015</t>
  </si>
  <si>
    <t>ITM13016</t>
  </si>
  <si>
    <t>ITM13017</t>
  </si>
  <si>
    <t>ITM13018</t>
  </si>
  <si>
    <t>ITM13019</t>
  </si>
  <si>
    <t>ITM13020</t>
  </si>
  <si>
    <t>ITM13021</t>
  </si>
  <si>
    <t>ITM13022</t>
  </si>
  <si>
    <t>ITM13023</t>
  </si>
  <si>
    <t>ITM13024</t>
  </si>
  <si>
    <t>ITM13025</t>
  </si>
  <si>
    <t>ITM13026</t>
  </si>
  <si>
    <t>ITM13027</t>
  </si>
  <si>
    <t>ITM13028</t>
  </si>
  <si>
    <t>ITM13029</t>
  </si>
  <si>
    <t>ITM13030</t>
  </si>
  <si>
    <t>ITM13031</t>
  </si>
  <si>
    <t>ITM13032</t>
  </si>
  <si>
    <t>ITM13033</t>
  </si>
  <si>
    <t>ITM13034</t>
  </si>
  <si>
    <t>ITM13035</t>
  </si>
  <si>
    <t>ITM13036</t>
  </si>
  <si>
    <t>ITM13037</t>
  </si>
  <si>
    <t>ITM13038</t>
  </si>
  <si>
    <t>ITM13039</t>
  </si>
  <si>
    <t>ITM13040</t>
  </si>
  <si>
    <t>ITM13041</t>
  </si>
  <si>
    <t>ITM13042</t>
  </si>
  <si>
    <t>ITM13043</t>
  </si>
  <si>
    <t>ITM13044</t>
  </si>
  <si>
    <t>ITM13045</t>
  </si>
  <si>
    <t>ITM13046</t>
  </si>
  <si>
    <t>ITM13047</t>
  </si>
  <si>
    <t>ITM13048</t>
  </si>
  <si>
    <t>ITM13049</t>
  </si>
  <si>
    <t>ITM13050</t>
  </si>
  <si>
    <t>ITM13051</t>
  </si>
  <si>
    <t>ITM13052</t>
  </si>
  <si>
    <t>ITM13053</t>
  </si>
  <si>
    <t>ITM13054</t>
  </si>
  <si>
    <t>ITM13055</t>
  </si>
  <si>
    <t>ITM13056</t>
  </si>
  <si>
    <t>ITM13057</t>
  </si>
  <si>
    <t>ITM13058</t>
  </si>
  <si>
    <t>ITM13059</t>
  </si>
  <si>
    <t>ITM13060</t>
  </si>
  <si>
    <t>ITM13061</t>
  </si>
  <si>
    <t>ITM13062</t>
  </si>
  <si>
    <t>ITM13063</t>
  </si>
  <si>
    <t>ITM13064</t>
  </si>
  <si>
    <t>ITM13065</t>
  </si>
  <si>
    <t>ITM13066</t>
  </si>
  <si>
    <t>ITM13067</t>
  </si>
  <si>
    <t>ITM13068</t>
  </si>
  <si>
    <t>ITM13069</t>
  </si>
  <si>
    <t>ITM13070</t>
  </si>
  <si>
    <t>ITM13071</t>
  </si>
  <si>
    <t>ITM13072</t>
  </si>
  <si>
    <t>ITM13073</t>
  </si>
  <si>
    <t>ITM13074</t>
  </si>
  <si>
    <t>ITM13075</t>
  </si>
  <si>
    <t>ITM13076</t>
  </si>
  <si>
    <t>ITM13077</t>
  </si>
  <si>
    <t>ITM13078</t>
  </si>
  <si>
    <t>ITM13079</t>
  </si>
  <si>
    <t>ITM13080</t>
  </si>
  <si>
    <t>ITM13081</t>
  </si>
  <si>
    <t>ITM13082</t>
  </si>
  <si>
    <t>ITM13083</t>
  </si>
  <si>
    <t>ITM13084</t>
  </si>
  <si>
    <t>ITM13085</t>
  </si>
  <si>
    <t>ITM13086</t>
  </si>
  <si>
    <t>ITM13087</t>
  </si>
  <si>
    <t>ITM13088</t>
  </si>
  <si>
    <t>ITM13089</t>
  </si>
  <si>
    <t>ITM13090</t>
  </si>
  <si>
    <t>ITM13091</t>
  </si>
  <si>
    <t>ITM13092</t>
  </si>
  <si>
    <t>ITM13093</t>
  </si>
  <si>
    <t>ITM13094</t>
  </si>
  <si>
    <t>ITM13095</t>
  </si>
  <si>
    <t>ITM13096</t>
  </si>
  <si>
    <t>ITM13097</t>
  </si>
  <si>
    <t>ITM13098</t>
  </si>
  <si>
    <t>ITM13099</t>
  </si>
  <si>
    <t>ITM13100</t>
  </si>
  <si>
    <t>ITM13101</t>
  </si>
  <si>
    <t>ITM13102</t>
  </si>
  <si>
    <t>ITM13103</t>
  </si>
  <si>
    <t>ITM13104</t>
  </si>
  <si>
    <t>ITM13105</t>
  </si>
  <si>
    <t>ITM13106</t>
  </si>
  <si>
    <t>ITM13107</t>
  </si>
  <si>
    <t>ITM13108</t>
  </si>
  <si>
    <t>ITM13109</t>
  </si>
  <si>
    <t>ITM13110</t>
  </si>
  <si>
    <t>ITM13111</t>
  </si>
  <si>
    <t>ITM13112</t>
  </si>
  <si>
    <t>ITM13113</t>
  </si>
  <si>
    <t>ITM13114</t>
  </si>
  <si>
    <t>ITM13115</t>
  </si>
  <si>
    <t>ITM13116</t>
  </si>
  <si>
    <t>ITM13117</t>
  </si>
  <si>
    <t>ITM13118</t>
  </si>
  <si>
    <t>ITM13119</t>
  </si>
  <si>
    <t>ITM13120</t>
  </si>
  <si>
    <t>ITM13121</t>
  </si>
  <si>
    <t>ITM13122</t>
  </si>
  <si>
    <t>ITM13123</t>
  </si>
  <si>
    <t>ITM13124</t>
  </si>
  <si>
    <t>ITM13125</t>
  </si>
  <si>
    <t>ITM13126</t>
  </si>
  <si>
    <t>ITM13127</t>
  </si>
  <si>
    <t>ITM13128</t>
  </si>
  <si>
    <t>ITM13129</t>
  </si>
  <si>
    <t>ITM13130</t>
  </si>
  <si>
    <t>ITM13131</t>
  </si>
  <si>
    <t>ITM13132</t>
  </si>
  <si>
    <t>ITM13133</t>
  </si>
  <si>
    <t>ITM13134</t>
  </si>
  <si>
    <t>ITM13135</t>
  </si>
  <si>
    <t>ITM13136</t>
  </si>
  <si>
    <t>ITM13137</t>
  </si>
  <si>
    <t>ITM13138</t>
  </si>
  <si>
    <t>ITM13139</t>
  </si>
  <si>
    <t>ITM13140</t>
  </si>
  <si>
    <t>ITM13141</t>
  </si>
  <si>
    <t>ITM13142</t>
  </si>
  <si>
    <t>ITM13143</t>
  </si>
  <si>
    <t>ITM13144</t>
  </si>
  <si>
    <t>ITM13145</t>
  </si>
  <si>
    <t>ITM13146</t>
  </si>
  <si>
    <t>ITM13147</t>
  </si>
  <si>
    <t>ITM13148</t>
  </si>
  <si>
    <t>ITM13149</t>
  </si>
  <si>
    <t>ITM13150</t>
  </si>
  <si>
    <t>ITM13151</t>
  </si>
  <si>
    <t>ITM13152</t>
  </si>
  <si>
    <t>ITM13153</t>
  </si>
  <si>
    <t>ITM13154</t>
  </si>
  <si>
    <t>ITM13155</t>
  </si>
  <si>
    <t>ITM13156</t>
  </si>
  <si>
    <t>ITM13157</t>
  </si>
  <si>
    <t>ITM13158</t>
  </si>
  <si>
    <t>ITM13159</t>
  </si>
  <si>
    <t>ITM13160</t>
  </si>
  <si>
    <t>ITM13161</t>
  </si>
  <si>
    <t>ITM13162</t>
  </si>
  <si>
    <t>ITM13163</t>
  </si>
  <si>
    <t>ITM13164</t>
  </si>
  <si>
    <t>ITM13165</t>
  </si>
  <si>
    <t>ITM13166</t>
  </si>
  <si>
    <t>ITM13167</t>
  </si>
  <si>
    <t>ITM13168</t>
  </si>
  <si>
    <t>ITM13169</t>
  </si>
  <si>
    <t>ITM13170</t>
  </si>
  <si>
    <t>ITM13171</t>
  </si>
  <si>
    <t>ITM13172</t>
  </si>
  <si>
    <t>ITM13173</t>
  </si>
  <si>
    <t>ITM13174</t>
  </si>
  <si>
    <t>ITM13175</t>
  </si>
  <si>
    <t>ITM13176</t>
  </si>
  <si>
    <t>ITM13177</t>
  </si>
  <si>
    <t>ITM13178</t>
  </si>
  <si>
    <t>ITM13179</t>
  </si>
  <si>
    <t>ITM13180</t>
  </si>
  <si>
    <t>ITM13181</t>
  </si>
  <si>
    <t>ITM13182</t>
  </si>
  <si>
    <t>ITM13183</t>
  </si>
  <si>
    <t>ITM13184</t>
  </si>
  <si>
    <t>ITM13185</t>
  </si>
  <si>
    <t>ITM13186</t>
  </si>
  <si>
    <t>ITM13187</t>
  </si>
  <si>
    <t>ITM13188</t>
  </si>
  <si>
    <t>ITM13189</t>
  </si>
  <si>
    <t>ITM13190</t>
  </si>
  <si>
    <t>ITM13191</t>
  </si>
  <si>
    <t>ITM13192</t>
  </si>
  <si>
    <t>ITM13193</t>
  </si>
  <si>
    <t>ITM13194</t>
  </si>
  <si>
    <t>ITM13195</t>
  </si>
  <si>
    <t>ITM13196</t>
  </si>
  <si>
    <t>ITM13197</t>
  </si>
  <si>
    <t>ITM13198</t>
  </si>
  <si>
    <t>ITM13199</t>
  </si>
  <si>
    <t>ITM13200</t>
  </si>
  <si>
    <t>ITM13201</t>
  </si>
  <si>
    <t>ITM13202</t>
  </si>
  <si>
    <t>ITM13203</t>
  </si>
  <si>
    <t xml:space="preserve">Warehouse Inventory Management Dashboard </t>
  </si>
  <si>
    <t>Total Products 📦</t>
  </si>
  <si>
    <t>Total Inventory Value💰</t>
  </si>
  <si>
    <t>Reorder Required🔁</t>
  </si>
  <si>
    <t>Low Stock Items⚠️</t>
  </si>
  <si>
    <t>Average Daily Demand📈</t>
  </si>
  <si>
    <t>Average Fulfillment Rate✅</t>
  </si>
  <si>
    <t>Inventory Turnover🚚</t>
  </si>
  <si>
    <t>Total Orders🛒</t>
  </si>
  <si>
    <t>Total Stock By Category</t>
  </si>
  <si>
    <t>Reorder Status</t>
  </si>
  <si>
    <t>Sum of stock_level</t>
  </si>
  <si>
    <t>Count of item_id</t>
  </si>
  <si>
    <t>Reorder Required</t>
  </si>
  <si>
    <t>Sufficient</t>
  </si>
  <si>
    <t>Grand Total</t>
  </si>
  <si>
    <t>Stock Status Distribution</t>
  </si>
  <si>
    <t>Inventory Value by Category</t>
  </si>
  <si>
    <t>High</t>
  </si>
  <si>
    <t>Sum of Inventory Value</t>
  </si>
  <si>
    <t>LOW</t>
  </si>
  <si>
    <t>Medium</t>
  </si>
  <si>
    <t>Order By  Warehouse Zone</t>
  </si>
  <si>
    <t>Sum of total_orders_last_month</t>
  </si>
  <si>
    <t>Fullfillment Rate by Category</t>
  </si>
  <si>
    <t>Average of order_fulfillment_rate</t>
  </si>
  <si>
    <t>Forecast Demand vs stock</t>
  </si>
  <si>
    <t>Average of stock_level</t>
  </si>
  <si>
    <t>Average of forecasted_demand_next_7d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</si>
</sst>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0" xfId="0" applyNumberFormat="1"/>
    <xf numFmtId="2" fontId="0" fillId="0" borderId="10" xfId="0" applyNumberFormat="1" applyBorder="1" applyAlignment="1">
      <alignment horizontal="center"/>
    </xf>
    <xf numFmtId="0" fontId="0" fillId="0" borderId="0" xfId="0" applyNumberFormat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1" xfId="0" applyFont="1" applyBorder="1"/>
    <xf numFmtId="0" fontId="18" fillId="0" borderId="22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 wrapText="1"/>
    </xf>
    <xf numFmtId="2" fontId="18" fillId="0" borderId="22" xfId="0" applyNumberFormat="1" applyFont="1" applyBorder="1" applyAlignment="1">
      <alignment horizontal="center"/>
    </xf>
    <xf numFmtId="43" fontId="18" fillId="0" borderId="20" xfId="0" applyNumberFormat="1" applyFont="1" applyBorder="1" applyAlignment="1">
      <alignment horizontal="center"/>
    </xf>
    <xf numFmtId="0" fontId="0" fillId="33" borderId="14" xfId="0" applyFont="1" applyFill="1" applyBorder="1" applyAlignment="1">
      <alignment horizontal="center"/>
    </xf>
    <xf numFmtId="2" fontId="0" fillId="33" borderId="14" xfId="0" applyNumberFormat="1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3" xfId="0" applyFont="1" applyFill="1" applyBorder="1" applyAlignment="1">
      <alignment horizontal="center"/>
    </xf>
    <xf numFmtId="0" fontId="0" fillId="0" borderId="0" xfId="0" pivotButton="1"/>
    <xf numFmtId="9" fontId="0" fillId="0" borderId="0" xfId="0" applyNumberFormat="1"/>
    <xf numFmtId="0" fontId="19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Level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Table'!$A$3:$A$8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'Pivot Table'!$B$3:$B$8</c:f>
              <c:numCache>
                <c:formatCode>General</c:formatCode>
                <c:ptCount val="5"/>
                <c:pt idx="0">
                  <c:v>160416</c:v>
                </c:pt>
                <c:pt idx="1">
                  <c:v>170217</c:v>
                </c:pt>
                <c:pt idx="2">
                  <c:v>172266</c:v>
                </c:pt>
                <c:pt idx="3">
                  <c:v>162997</c:v>
                </c:pt>
                <c:pt idx="4">
                  <c:v>178331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7-4843-8A6D-8F20F96F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261064"/>
        <c:axId val="981777416"/>
      </c:barChart>
      <c:catAx>
        <c:axId val="97726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77416"/>
        <c:crosses val="autoZero"/>
        <c:auto val="1"/>
        <c:lblAlgn val="ctr"/>
        <c:lblOffset val="100"/>
        <c:noMultiLvlLbl val="0"/>
      </c:catAx>
      <c:valAx>
        <c:axId val="98177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261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level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Table'!$A$12:$A$17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16804476.350000009</c:v>
                </c:pt>
                <c:pt idx="1">
                  <c:v>18042426.130000018</c:v>
                </c:pt>
                <c:pt idx="2">
                  <c:v>18234365.98999998</c:v>
                </c:pt>
                <c:pt idx="3">
                  <c:v>17342651.879999995</c:v>
                </c:pt>
                <c:pt idx="4">
                  <c:v>19142268.690000013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3-48E5-A146-E5EB3F59F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2471176"/>
        <c:axId val="982473224"/>
      </c:barChart>
      <c:catAx>
        <c:axId val="982471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73224"/>
        <c:crosses val="autoZero"/>
        <c:auto val="1"/>
        <c:lblAlgn val="ctr"/>
        <c:lblOffset val="100"/>
        <c:noMultiLvlLbl val="0"/>
      </c:catAx>
      <c:valAx>
        <c:axId val="98247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7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Table'!$I$2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EF-4340-8F6B-14A372001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EF-4340-8F6B-14A372001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Table'!$H$3:$H$5</c:f>
              <c:strCache>
                <c:ptCount val="2"/>
                <c:pt idx="0">
                  <c:v>Reorder Required</c:v>
                </c:pt>
                <c:pt idx="1">
                  <c:v>Sufficient</c:v>
                </c:pt>
              </c:strCache>
            </c:strRef>
          </c:cat>
          <c:val>
            <c:numRef>
              <c:f>'Pivot Table'!$I$3:$I$5</c:f>
              <c:numCache>
                <c:formatCode>General</c:formatCode>
                <c:ptCount val="2"/>
                <c:pt idx="0">
                  <c:v>240</c:v>
                </c:pt>
                <c:pt idx="1">
                  <c:v>2964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EF-4340-8F6B-14A372001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Table'!$I$9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1C-452F-B272-FDC478962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1C-452F-B272-FDC478962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1C-452F-B272-FDC478962FEE}"/>
              </c:ext>
            </c:extLst>
          </c:dPt>
          <c:cat>
            <c:strRef>
              <c:f>'Pivot Table'!$H$10:$H$13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Table'!$I$10:$I$13</c:f>
              <c:numCache>
                <c:formatCode>General</c:formatCode>
                <c:ptCount val="3"/>
                <c:pt idx="0">
                  <c:v>1690</c:v>
                </c:pt>
                <c:pt idx="1">
                  <c:v>508</c:v>
                </c:pt>
                <c:pt idx="2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1C-452F-B272-FDC478962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By Warehouse zone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Table'!$H$18:$H$22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'Pivot Table'!$I$18:$I$22</c:f>
              <c:numCache>
                <c:formatCode>General</c:formatCode>
                <c:ptCount val="4"/>
                <c:pt idx="0">
                  <c:v>418265</c:v>
                </c:pt>
                <c:pt idx="1">
                  <c:v>406902</c:v>
                </c:pt>
                <c:pt idx="2">
                  <c:v>410740</c:v>
                </c:pt>
                <c:pt idx="3">
                  <c:v>435667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6-4DE9-AA68-41996303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350856"/>
        <c:axId val="958352904"/>
      </c:barChart>
      <c:catAx>
        <c:axId val="95835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52904"/>
        <c:crosses val="autoZero"/>
        <c:auto val="1"/>
        <c:lblAlgn val="ctr"/>
        <c:lblOffset val="100"/>
        <c:noMultiLvlLbl val="0"/>
      </c:catAx>
      <c:valAx>
        <c:axId val="95835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5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Demand Vs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Table'!$I$26</c:f>
              <c:strCache>
                <c:ptCount val="1"/>
                <c:pt idx="0">
                  <c:v>Average of stock_level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Table'!$H$27:$H$32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'Pivot Table'!$I$27:$I$32</c:f>
              <c:numCache>
                <c:formatCode>General</c:formatCode>
                <c:ptCount val="5"/>
                <c:pt idx="0">
                  <c:v>259.9935170178282</c:v>
                </c:pt>
                <c:pt idx="1">
                  <c:v>258.68844984802433</c:v>
                </c:pt>
                <c:pt idx="2">
                  <c:v>264.61751152073731</c:v>
                </c:pt>
                <c:pt idx="3">
                  <c:v>263.74919093851133</c:v>
                </c:pt>
                <c:pt idx="4">
                  <c:v>270.19848484848484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E-419D-A1DD-B624912E39FC}"/>
            </c:ext>
          </c:extLst>
        </c:ser>
        <c:ser>
          <c:idx val="1"/>
          <c:order val="1"/>
          <c:tx>
            <c:strRef>
              <c:f>'Pivot Table'!$J$26</c:f>
              <c:strCache>
                <c:ptCount val="1"/>
                <c:pt idx="0">
                  <c:v>Average of forecasted_demand_next_7d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Table'!$H$27:$H$32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'Pivot Table'!$J$27:$J$32</c:f>
              <c:numCache>
                <c:formatCode>General</c:formatCode>
                <c:ptCount val="5"/>
                <c:pt idx="0">
                  <c:v>155.89658022690446</c:v>
                </c:pt>
                <c:pt idx="1">
                  <c:v>153.65732522796355</c:v>
                </c:pt>
                <c:pt idx="2">
                  <c:v>157.75898617511515</c:v>
                </c:pt>
                <c:pt idx="3">
                  <c:v>153.79966019417466</c:v>
                </c:pt>
                <c:pt idx="4">
                  <c:v>150.43807575757577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E-419D-A1DD-B624912E3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3045512"/>
        <c:axId val="833047560"/>
      </c:barChart>
      <c:catAx>
        <c:axId val="83304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47560"/>
        <c:crosses val="autoZero"/>
        <c:auto val="1"/>
        <c:lblAlgn val="ctr"/>
        <c:lblOffset val="100"/>
        <c:noMultiLvlLbl val="0"/>
      </c:catAx>
      <c:valAx>
        <c:axId val="83304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4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[Warehouse Inventory Management Dashboard Excel.xlsx]Pivot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Fulfillment rate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7A-45C7-A6A5-EB39AC67DE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7A-45C7-A6A5-EB39AC67DE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7A-45C7-A6A5-EB39AC67DE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7A-45C7-A6A5-EB39AC67DE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7A-45C7-A6A5-EB39AC67DEF2}"/>
              </c:ext>
            </c:extLst>
          </c:dPt>
          <c:cat>
            <c:strRef>
              <c:f>'Pivot Table'!$A$21:$A$26</c:f>
              <c:strCache>
                <c:ptCount val="5"/>
                <c:pt idx="0">
                  <c:v>Apparel</c:v>
                </c:pt>
                <c:pt idx="1">
                  <c:v>Automotive</c:v>
                </c:pt>
                <c:pt idx="2">
                  <c:v>Electronics</c:v>
                </c:pt>
                <c:pt idx="3">
                  <c:v>Groceries</c:v>
                </c:pt>
                <c:pt idx="4">
                  <c:v>Pharma</c:v>
                </c:pt>
              </c:strCache>
            </c:strRef>
          </c:cat>
          <c:val>
            <c:numRef>
              <c:f>'Pivot Table'!$B$21:$B$26</c:f>
              <c:numCache>
                <c:formatCode>0%</c:formatCode>
                <c:ptCount val="5"/>
                <c:pt idx="0">
                  <c:v>0.84742301458671043</c:v>
                </c:pt>
                <c:pt idx="1">
                  <c:v>0.85185410334346567</c:v>
                </c:pt>
                <c:pt idx="2">
                  <c:v>0.85132104454685242</c:v>
                </c:pt>
                <c:pt idx="3">
                  <c:v>0.84768608414239588</c:v>
                </c:pt>
                <c:pt idx="4">
                  <c:v>0.85015151515151521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7A-45C7-A6A5-EB39AC67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14</xdr:row>
      <xdr:rowOff>123825</xdr:rowOff>
    </xdr:from>
    <xdr:to>
      <xdr:col>2</xdr:col>
      <xdr:colOff>38100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749EB-2BD9-BCDB-E257-8E5388A45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14</xdr:row>
      <xdr:rowOff>123825</xdr:rowOff>
    </xdr:from>
    <xdr:to>
      <xdr:col>5</xdr:col>
      <xdr:colOff>123825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D88649-6997-B7BB-9F07-35AC8DEE248D}"/>
            </a:ext>
            <a:ext uri="{147F2762-F138-4A5C-976F-8EAC2B608ADB}">
              <a16:predDERef xmlns:a16="http://schemas.microsoft.com/office/drawing/2014/main" pred="{DFC749EB-2BD9-BCDB-E257-8E5388A45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390525</xdr:colOff>
      <xdr:row>14</xdr:row>
      <xdr:rowOff>152400</xdr:rowOff>
    </xdr:from>
    <xdr:to>
      <xdr:col>13</xdr:col>
      <xdr:colOff>85725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6FE42F-C8A4-B3E4-00DC-F21C620E39F3}"/>
            </a:ext>
            <a:ext uri="{147F2762-F138-4A5C-976F-8EAC2B608ADB}">
              <a16:predDERef xmlns:a16="http://schemas.microsoft.com/office/drawing/2014/main" pred="{F7D88649-6997-B7BB-9F07-35AC8DEE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371475</xdr:colOff>
      <xdr:row>30</xdr:row>
      <xdr:rowOff>66675</xdr:rowOff>
    </xdr:from>
    <xdr:to>
      <xdr:col>2</xdr:col>
      <xdr:colOff>28575</xdr:colOff>
      <xdr:row>44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600C7B-CF47-2131-E348-4EEFE3188A26}"/>
            </a:ext>
            <a:ext uri="{147F2762-F138-4A5C-976F-8EAC2B608ADB}">
              <a16:predDERef xmlns:a16="http://schemas.microsoft.com/office/drawing/2014/main" pred="{436FE42F-C8A4-B3E4-00DC-F21C620E3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352425</xdr:colOff>
      <xdr:row>30</xdr:row>
      <xdr:rowOff>114300</xdr:rowOff>
    </xdr:from>
    <xdr:to>
      <xdr:col>5</xdr:col>
      <xdr:colOff>114300</xdr:colOff>
      <xdr:row>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4DC523-B10B-F0C4-EE8F-B97E8F2D1FED}"/>
            </a:ext>
            <a:ext uri="{147F2762-F138-4A5C-976F-8EAC2B608ADB}">
              <a16:predDERef xmlns:a16="http://schemas.microsoft.com/office/drawing/2014/main" pred="{45600C7B-CF47-2131-E348-4EEFE3188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390525</xdr:colOff>
      <xdr:row>30</xdr:row>
      <xdr:rowOff>142875</xdr:rowOff>
    </xdr:from>
    <xdr:to>
      <xdr:col>13</xdr:col>
      <xdr:colOff>85725</xdr:colOff>
      <xdr:row>45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59D239-8731-4FA9-DE40-8A8E0D58C915}"/>
            </a:ext>
            <a:ext uri="{147F2762-F138-4A5C-976F-8EAC2B608ADB}">
              <a16:predDERef xmlns:a16="http://schemas.microsoft.com/office/drawing/2014/main" pred="{F84DC523-B10B-F0C4-EE8F-B97E8F2D1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266700</xdr:colOff>
      <xdr:row>15</xdr:row>
      <xdr:rowOff>85725</xdr:rowOff>
    </xdr:from>
    <xdr:to>
      <xdr:col>20</xdr:col>
      <xdr:colOff>571500</xdr:colOff>
      <xdr:row>29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BA323F-987F-F9A6-9D56-964E73250027}"/>
            </a:ext>
            <a:ext uri="{147F2762-F138-4A5C-976F-8EAC2B608ADB}">
              <a16:predDERef xmlns:a16="http://schemas.microsoft.com/office/drawing/2014/main" pred="{6559D239-8731-4FA9-DE40-8A8E0D58C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0</xdr:row>
      <xdr:rowOff>190500</xdr:rowOff>
    </xdr:from>
    <xdr:to>
      <xdr:col>5</xdr:col>
      <xdr:colOff>295275</xdr:colOff>
      <xdr:row>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F8B5001A-0858-6FA7-D3ED-BA08AF73F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0" y="190500"/>
              <a:ext cx="74295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295275</xdr:colOff>
      <xdr:row>0</xdr:row>
      <xdr:rowOff>180975</xdr:rowOff>
    </xdr:from>
    <xdr:to>
      <xdr:col>6</xdr:col>
      <xdr:colOff>485775</xdr:colOff>
      <xdr:row>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zone">
              <a:extLst>
                <a:ext uri="{FF2B5EF4-FFF2-40B4-BE49-F238E27FC236}">
                  <a16:creationId xmlns:a16="http://schemas.microsoft.com/office/drawing/2014/main" id="{557591EF-C1F7-1AAA-360A-939BB5EC032D}"/>
                </a:ext>
                <a:ext uri="{147F2762-F138-4A5C-976F-8EAC2B608ADB}">
                  <a16:predDERef xmlns:a16="http://schemas.microsoft.com/office/drawing/2014/main" pred="{F8B5001A-0858-6FA7-D3ED-BA08AF73F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700" y="180975"/>
              <a:ext cx="8001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9.72035462963" createdVersion="8" refreshedVersion="8" minRefreshableVersion="3" recordCount="3204" xr:uid="{B37E2713-C7CB-45FB-821A-57B54D72D759}">
  <cacheSource type="worksheet">
    <worksheetSource name="Table3"/>
  </cacheSource>
  <cacheFields count="24">
    <cacheField name="item_id" numFmtId="0">
      <sharedItems count="3204">
        <s v="ITM10000"/>
        <s v="ITM10001"/>
        <s v="ITM10002"/>
        <s v="ITM10003"/>
        <s v="ITM10004"/>
        <s v="ITM10005"/>
        <s v="ITM10006"/>
        <s v="ITM10007"/>
        <s v="ITM10008"/>
        <s v="ITM10009"/>
        <s v="ITM10010"/>
        <s v="ITM10011"/>
        <s v="ITM10012"/>
        <s v="ITM10013"/>
        <s v="ITM10014"/>
        <s v="ITM10015"/>
        <s v="ITM10016"/>
        <s v="ITM10017"/>
        <s v="ITM10018"/>
        <s v="ITM10019"/>
        <s v="ITM10020"/>
        <s v="ITM10021"/>
        <s v="ITM10022"/>
        <s v="ITM10023"/>
        <s v="ITM10024"/>
        <s v="ITM10025"/>
        <s v="ITM10026"/>
        <s v="ITM10027"/>
        <s v="ITM10028"/>
        <s v="ITM10029"/>
        <s v="ITM10030"/>
        <s v="ITM10031"/>
        <s v="ITM10032"/>
        <s v="ITM10033"/>
        <s v="ITM10034"/>
        <s v="ITM10035"/>
        <s v="ITM10036"/>
        <s v="ITM10037"/>
        <s v="ITM10038"/>
        <s v="ITM10039"/>
        <s v="ITM10040"/>
        <s v="ITM10041"/>
        <s v="ITM10042"/>
        <s v="ITM10043"/>
        <s v="ITM10044"/>
        <s v="ITM10045"/>
        <s v="ITM10046"/>
        <s v="ITM10047"/>
        <s v="ITM10048"/>
        <s v="ITM10049"/>
        <s v="ITM10050"/>
        <s v="ITM10051"/>
        <s v="ITM10052"/>
        <s v="ITM10053"/>
        <s v="ITM10054"/>
        <s v="ITM10055"/>
        <s v="ITM10056"/>
        <s v="ITM10057"/>
        <s v="ITM10058"/>
        <s v="ITM10059"/>
        <s v="ITM10060"/>
        <s v="ITM10061"/>
        <s v="ITM10062"/>
        <s v="ITM10063"/>
        <s v="ITM10064"/>
        <s v="ITM10065"/>
        <s v="ITM10066"/>
        <s v="ITM10067"/>
        <s v="ITM10068"/>
        <s v="ITM10069"/>
        <s v="ITM10070"/>
        <s v="ITM10071"/>
        <s v="ITM10072"/>
        <s v="ITM10073"/>
        <s v="ITM10074"/>
        <s v="ITM10075"/>
        <s v="ITM10076"/>
        <s v="ITM10077"/>
        <s v="ITM10078"/>
        <s v="ITM10079"/>
        <s v="ITM10080"/>
        <s v="ITM10081"/>
        <s v="ITM10082"/>
        <s v="ITM10083"/>
        <s v="ITM10084"/>
        <s v="ITM10085"/>
        <s v="ITM10086"/>
        <s v="ITM10087"/>
        <s v="ITM10088"/>
        <s v="ITM10089"/>
        <s v="ITM10090"/>
        <s v="ITM10091"/>
        <s v="ITM10092"/>
        <s v="ITM10093"/>
        <s v="ITM10094"/>
        <s v="ITM10095"/>
        <s v="ITM10096"/>
        <s v="ITM10097"/>
        <s v="ITM10098"/>
        <s v="ITM10099"/>
        <s v="ITM10100"/>
        <s v="ITM10101"/>
        <s v="ITM10102"/>
        <s v="ITM10103"/>
        <s v="ITM10104"/>
        <s v="ITM10105"/>
        <s v="ITM10106"/>
        <s v="ITM10107"/>
        <s v="ITM10108"/>
        <s v="ITM10109"/>
        <s v="ITM10110"/>
        <s v="ITM10111"/>
        <s v="ITM10112"/>
        <s v="ITM10113"/>
        <s v="ITM10114"/>
        <s v="ITM10115"/>
        <s v="ITM10116"/>
        <s v="ITM10117"/>
        <s v="ITM10118"/>
        <s v="ITM10119"/>
        <s v="ITM10120"/>
        <s v="ITM10121"/>
        <s v="ITM10122"/>
        <s v="ITM10123"/>
        <s v="ITM10124"/>
        <s v="ITM10125"/>
        <s v="ITM10126"/>
        <s v="ITM10127"/>
        <s v="ITM10128"/>
        <s v="ITM10129"/>
        <s v="ITM10130"/>
        <s v="ITM10131"/>
        <s v="ITM10132"/>
        <s v="ITM10133"/>
        <s v="ITM10134"/>
        <s v="ITM10135"/>
        <s v="ITM10136"/>
        <s v="ITM10137"/>
        <s v="ITM10138"/>
        <s v="ITM10139"/>
        <s v="ITM10140"/>
        <s v="ITM10141"/>
        <s v="ITM10142"/>
        <s v="ITM10143"/>
        <s v="ITM10144"/>
        <s v="ITM10145"/>
        <s v="ITM10146"/>
        <s v="ITM10147"/>
        <s v="ITM10148"/>
        <s v="ITM10149"/>
        <s v="ITM10150"/>
        <s v="ITM10151"/>
        <s v="ITM10152"/>
        <s v="ITM10153"/>
        <s v="ITM10154"/>
        <s v="ITM10155"/>
        <s v="ITM10156"/>
        <s v="ITM10157"/>
        <s v="ITM10158"/>
        <s v="ITM10159"/>
        <s v="ITM10160"/>
        <s v="ITM10161"/>
        <s v="ITM10162"/>
        <s v="ITM10163"/>
        <s v="ITM10164"/>
        <s v="ITM10165"/>
        <s v="ITM10166"/>
        <s v="ITM10167"/>
        <s v="ITM10168"/>
        <s v="ITM10169"/>
        <s v="ITM10170"/>
        <s v="ITM10171"/>
        <s v="ITM10172"/>
        <s v="ITM10173"/>
        <s v="ITM10174"/>
        <s v="ITM10175"/>
        <s v="ITM10176"/>
        <s v="ITM10177"/>
        <s v="ITM10178"/>
        <s v="ITM10179"/>
        <s v="ITM10180"/>
        <s v="ITM10181"/>
        <s v="ITM10182"/>
        <s v="ITM10183"/>
        <s v="ITM10184"/>
        <s v="ITM10185"/>
        <s v="ITM10186"/>
        <s v="ITM10187"/>
        <s v="ITM10188"/>
        <s v="ITM10189"/>
        <s v="ITM10190"/>
        <s v="ITM10191"/>
        <s v="ITM10192"/>
        <s v="ITM10193"/>
        <s v="ITM10194"/>
        <s v="ITM10195"/>
        <s v="ITM10196"/>
        <s v="ITM10197"/>
        <s v="ITM10198"/>
        <s v="ITM10199"/>
        <s v="ITM10200"/>
        <s v="ITM10201"/>
        <s v="ITM10202"/>
        <s v="ITM10203"/>
        <s v="ITM10204"/>
        <s v="ITM10205"/>
        <s v="ITM10206"/>
        <s v="ITM10207"/>
        <s v="ITM10208"/>
        <s v="ITM10209"/>
        <s v="ITM10210"/>
        <s v="ITM10211"/>
        <s v="ITM10212"/>
        <s v="ITM10213"/>
        <s v="ITM10214"/>
        <s v="ITM10215"/>
        <s v="ITM10216"/>
        <s v="ITM10217"/>
        <s v="ITM10218"/>
        <s v="ITM10219"/>
        <s v="ITM10220"/>
        <s v="ITM10221"/>
        <s v="ITM10222"/>
        <s v="ITM10223"/>
        <s v="ITM10224"/>
        <s v="ITM10225"/>
        <s v="ITM10226"/>
        <s v="ITM10227"/>
        <s v="ITM10228"/>
        <s v="ITM10229"/>
        <s v="ITM10230"/>
        <s v="ITM10231"/>
        <s v="ITM10232"/>
        <s v="ITM10233"/>
        <s v="ITM10234"/>
        <s v="ITM10235"/>
        <s v="ITM10236"/>
        <s v="ITM10237"/>
        <s v="ITM10238"/>
        <s v="ITM10239"/>
        <s v="ITM10240"/>
        <s v="ITM10241"/>
        <s v="ITM10242"/>
        <s v="ITM10243"/>
        <s v="ITM10244"/>
        <s v="ITM10245"/>
        <s v="ITM10246"/>
        <s v="ITM10247"/>
        <s v="ITM10248"/>
        <s v="ITM10249"/>
        <s v="ITM10250"/>
        <s v="ITM10251"/>
        <s v="ITM10252"/>
        <s v="ITM10253"/>
        <s v="ITM10254"/>
        <s v="ITM10255"/>
        <s v="ITM10256"/>
        <s v="ITM10257"/>
        <s v="ITM10258"/>
        <s v="ITM10259"/>
        <s v="ITM10260"/>
        <s v="ITM10261"/>
        <s v="ITM10262"/>
        <s v="ITM10263"/>
        <s v="ITM10264"/>
        <s v="ITM10265"/>
        <s v="ITM10266"/>
        <s v="ITM10267"/>
        <s v="ITM10268"/>
        <s v="ITM10269"/>
        <s v="ITM10270"/>
        <s v="ITM10271"/>
        <s v="ITM10272"/>
        <s v="ITM10273"/>
        <s v="ITM10274"/>
        <s v="ITM10275"/>
        <s v="ITM10276"/>
        <s v="ITM10277"/>
        <s v="ITM10278"/>
        <s v="ITM10279"/>
        <s v="ITM10280"/>
        <s v="ITM10281"/>
        <s v="ITM10282"/>
        <s v="ITM10283"/>
        <s v="ITM10284"/>
        <s v="ITM10285"/>
        <s v="ITM10286"/>
        <s v="ITM10287"/>
        <s v="ITM10288"/>
        <s v="ITM10289"/>
        <s v="ITM10290"/>
        <s v="ITM10291"/>
        <s v="ITM10292"/>
        <s v="ITM10293"/>
        <s v="ITM10294"/>
        <s v="ITM10295"/>
        <s v="ITM10296"/>
        <s v="ITM10297"/>
        <s v="ITM10298"/>
        <s v="ITM10299"/>
        <s v="ITM10300"/>
        <s v="ITM10301"/>
        <s v="ITM10302"/>
        <s v="ITM10303"/>
        <s v="ITM10304"/>
        <s v="ITM10305"/>
        <s v="ITM10306"/>
        <s v="ITM10307"/>
        <s v="ITM10308"/>
        <s v="ITM10309"/>
        <s v="ITM10310"/>
        <s v="ITM10311"/>
        <s v="ITM10312"/>
        <s v="ITM10313"/>
        <s v="ITM10314"/>
        <s v="ITM10315"/>
        <s v="ITM10316"/>
        <s v="ITM10317"/>
        <s v="ITM10318"/>
        <s v="ITM10319"/>
        <s v="ITM10320"/>
        <s v="ITM10321"/>
        <s v="ITM10322"/>
        <s v="ITM10323"/>
        <s v="ITM10324"/>
        <s v="ITM10325"/>
        <s v="ITM10326"/>
        <s v="ITM10327"/>
        <s v="ITM10328"/>
        <s v="ITM10329"/>
        <s v="ITM10330"/>
        <s v="ITM10331"/>
        <s v="ITM10332"/>
        <s v="ITM10333"/>
        <s v="ITM10334"/>
        <s v="ITM10335"/>
        <s v="ITM10336"/>
        <s v="ITM10337"/>
        <s v="ITM10338"/>
        <s v="ITM10339"/>
        <s v="ITM10340"/>
        <s v="ITM10341"/>
        <s v="ITM10342"/>
        <s v="ITM10343"/>
        <s v="ITM10344"/>
        <s v="ITM10345"/>
        <s v="ITM10346"/>
        <s v="ITM10347"/>
        <s v="ITM10348"/>
        <s v="ITM10349"/>
        <s v="ITM10350"/>
        <s v="ITM10351"/>
        <s v="ITM10352"/>
        <s v="ITM10353"/>
        <s v="ITM10354"/>
        <s v="ITM10355"/>
        <s v="ITM10356"/>
        <s v="ITM10357"/>
        <s v="ITM10358"/>
        <s v="ITM10359"/>
        <s v="ITM10360"/>
        <s v="ITM10361"/>
        <s v="ITM10362"/>
        <s v="ITM10363"/>
        <s v="ITM10364"/>
        <s v="ITM10365"/>
        <s v="ITM10366"/>
        <s v="ITM10367"/>
        <s v="ITM10368"/>
        <s v="ITM10369"/>
        <s v="ITM10370"/>
        <s v="ITM10371"/>
        <s v="ITM10372"/>
        <s v="ITM10373"/>
        <s v="ITM10374"/>
        <s v="ITM10375"/>
        <s v="ITM10376"/>
        <s v="ITM10377"/>
        <s v="ITM10378"/>
        <s v="ITM10379"/>
        <s v="ITM10380"/>
        <s v="ITM10381"/>
        <s v="ITM10382"/>
        <s v="ITM10383"/>
        <s v="ITM10384"/>
        <s v="ITM10385"/>
        <s v="ITM10386"/>
        <s v="ITM10387"/>
        <s v="ITM10388"/>
        <s v="ITM10389"/>
        <s v="ITM10390"/>
        <s v="ITM10391"/>
        <s v="ITM10392"/>
        <s v="ITM10393"/>
        <s v="ITM10394"/>
        <s v="ITM10395"/>
        <s v="ITM10396"/>
        <s v="ITM10397"/>
        <s v="ITM10398"/>
        <s v="ITM10399"/>
        <s v="ITM10400"/>
        <s v="ITM10401"/>
        <s v="ITM10402"/>
        <s v="ITM10403"/>
        <s v="ITM10404"/>
        <s v="ITM10405"/>
        <s v="ITM10406"/>
        <s v="ITM10407"/>
        <s v="ITM10408"/>
        <s v="ITM10409"/>
        <s v="ITM10410"/>
        <s v="ITM10411"/>
        <s v="ITM10412"/>
        <s v="ITM10413"/>
        <s v="ITM10414"/>
        <s v="ITM10415"/>
        <s v="ITM10416"/>
        <s v="ITM10417"/>
        <s v="ITM10418"/>
        <s v="ITM10419"/>
        <s v="ITM10420"/>
        <s v="ITM10421"/>
        <s v="ITM10422"/>
        <s v="ITM10423"/>
        <s v="ITM10424"/>
        <s v="ITM10425"/>
        <s v="ITM10426"/>
        <s v="ITM10427"/>
        <s v="ITM10428"/>
        <s v="ITM10429"/>
        <s v="ITM10430"/>
        <s v="ITM10431"/>
        <s v="ITM10432"/>
        <s v="ITM10433"/>
        <s v="ITM10434"/>
        <s v="ITM10435"/>
        <s v="ITM10436"/>
        <s v="ITM10437"/>
        <s v="ITM10438"/>
        <s v="ITM10439"/>
        <s v="ITM10440"/>
        <s v="ITM10441"/>
        <s v="ITM10442"/>
        <s v="ITM10443"/>
        <s v="ITM10444"/>
        <s v="ITM10445"/>
        <s v="ITM10446"/>
        <s v="ITM10447"/>
        <s v="ITM10448"/>
        <s v="ITM10449"/>
        <s v="ITM10450"/>
        <s v="ITM10451"/>
        <s v="ITM10452"/>
        <s v="ITM10453"/>
        <s v="ITM10454"/>
        <s v="ITM10455"/>
        <s v="ITM10456"/>
        <s v="ITM10457"/>
        <s v="ITM10458"/>
        <s v="ITM10459"/>
        <s v="ITM10460"/>
        <s v="ITM10461"/>
        <s v="ITM10462"/>
        <s v="ITM10463"/>
        <s v="ITM10464"/>
        <s v="ITM10465"/>
        <s v="ITM10466"/>
        <s v="ITM10467"/>
        <s v="ITM10468"/>
        <s v="ITM10469"/>
        <s v="ITM10470"/>
        <s v="ITM10471"/>
        <s v="ITM10472"/>
        <s v="ITM10473"/>
        <s v="ITM10474"/>
        <s v="ITM10475"/>
        <s v="ITM10476"/>
        <s v="ITM10477"/>
        <s v="ITM10478"/>
        <s v="ITM10479"/>
        <s v="ITM10480"/>
        <s v="ITM10481"/>
        <s v="ITM10482"/>
        <s v="ITM10483"/>
        <s v="ITM10484"/>
        <s v="ITM10485"/>
        <s v="ITM10486"/>
        <s v="ITM10487"/>
        <s v="ITM10488"/>
        <s v="ITM10489"/>
        <s v="ITM10490"/>
        <s v="ITM10491"/>
        <s v="ITM10492"/>
        <s v="ITM10493"/>
        <s v="ITM10494"/>
        <s v="ITM10495"/>
        <s v="ITM10496"/>
        <s v="ITM10497"/>
        <s v="ITM10498"/>
        <s v="ITM10499"/>
        <s v="ITM10500"/>
        <s v="ITM10501"/>
        <s v="ITM10502"/>
        <s v="ITM10503"/>
        <s v="ITM10504"/>
        <s v="ITM10505"/>
        <s v="ITM10506"/>
        <s v="ITM10507"/>
        <s v="ITM10508"/>
        <s v="ITM10509"/>
        <s v="ITM10510"/>
        <s v="ITM10511"/>
        <s v="ITM10512"/>
        <s v="ITM10513"/>
        <s v="ITM10514"/>
        <s v="ITM10515"/>
        <s v="ITM10516"/>
        <s v="ITM10517"/>
        <s v="ITM10518"/>
        <s v="ITM10519"/>
        <s v="ITM10520"/>
        <s v="ITM10521"/>
        <s v="ITM10522"/>
        <s v="ITM10523"/>
        <s v="ITM10524"/>
        <s v="ITM10525"/>
        <s v="ITM10526"/>
        <s v="ITM10527"/>
        <s v="ITM10528"/>
        <s v="ITM10529"/>
        <s v="ITM10530"/>
        <s v="ITM10531"/>
        <s v="ITM10532"/>
        <s v="ITM10533"/>
        <s v="ITM10534"/>
        <s v="ITM10535"/>
        <s v="ITM10536"/>
        <s v="ITM10537"/>
        <s v="ITM10538"/>
        <s v="ITM10539"/>
        <s v="ITM10540"/>
        <s v="ITM10541"/>
        <s v="ITM10542"/>
        <s v="ITM10543"/>
        <s v="ITM10544"/>
        <s v="ITM10545"/>
        <s v="ITM10546"/>
        <s v="ITM10547"/>
        <s v="ITM10548"/>
        <s v="ITM10549"/>
        <s v="ITM10550"/>
        <s v="ITM10551"/>
        <s v="ITM10552"/>
        <s v="ITM10553"/>
        <s v="ITM10554"/>
        <s v="ITM10555"/>
        <s v="ITM10556"/>
        <s v="ITM10557"/>
        <s v="ITM10558"/>
        <s v="ITM10559"/>
        <s v="ITM10560"/>
        <s v="ITM10561"/>
        <s v="ITM10562"/>
        <s v="ITM10563"/>
        <s v="ITM10564"/>
        <s v="ITM10565"/>
        <s v="ITM10566"/>
        <s v="ITM10567"/>
        <s v="ITM10568"/>
        <s v="ITM10569"/>
        <s v="ITM10570"/>
        <s v="ITM10571"/>
        <s v="ITM10572"/>
        <s v="ITM10573"/>
        <s v="ITM10574"/>
        <s v="ITM10575"/>
        <s v="ITM10576"/>
        <s v="ITM10577"/>
        <s v="ITM10578"/>
        <s v="ITM10579"/>
        <s v="ITM10580"/>
        <s v="ITM10581"/>
        <s v="ITM10582"/>
        <s v="ITM10583"/>
        <s v="ITM10584"/>
        <s v="ITM10585"/>
        <s v="ITM10586"/>
        <s v="ITM10587"/>
        <s v="ITM10588"/>
        <s v="ITM10589"/>
        <s v="ITM10590"/>
        <s v="ITM10591"/>
        <s v="ITM10592"/>
        <s v="ITM10593"/>
        <s v="ITM10594"/>
        <s v="ITM10595"/>
        <s v="ITM10596"/>
        <s v="ITM10597"/>
        <s v="ITM10598"/>
        <s v="ITM10599"/>
        <s v="ITM10600"/>
        <s v="ITM10601"/>
        <s v="ITM10602"/>
        <s v="ITM10603"/>
        <s v="ITM10604"/>
        <s v="ITM10605"/>
        <s v="ITM10606"/>
        <s v="ITM10607"/>
        <s v="ITM10608"/>
        <s v="ITM10609"/>
        <s v="ITM10610"/>
        <s v="ITM10611"/>
        <s v="ITM10612"/>
        <s v="ITM10613"/>
        <s v="ITM10614"/>
        <s v="ITM10615"/>
        <s v="ITM10616"/>
        <s v="ITM10617"/>
        <s v="ITM10618"/>
        <s v="ITM10619"/>
        <s v="ITM10620"/>
        <s v="ITM10621"/>
        <s v="ITM10622"/>
        <s v="ITM10623"/>
        <s v="ITM10624"/>
        <s v="ITM10625"/>
        <s v="ITM10626"/>
        <s v="ITM10627"/>
        <s v="ITM10628"/>
        <s v="ITM10629"/>
        <s v="ITM10630"/>
        <s v="ITM10631"/>
        <s v="ITM10632"/>
        <s v="ITM10633"/>
        <s v="ITM10634"/>
        <s v="ITM10635"/>
        <s v="ITM10636"/>
        <s v="ITM10637"/>
        <s v="ITM10638"/>
        <s v="ITM10639"/>
        <s v="ITM10640"/>
        <s v="ITM10641"/>
        <s v="ITM10642"/>
        <s v="ITM10643"/>
        <s v="ITM10644"/>
        <s v="ITM10645"/>
        <s v="ITM10646"/>
        <s v="ITM10647"/>
        <s v="ITM10648"/>
        <s v="ITM10649"/>
        <s v="ITM10650"/>
        <s v="ITM10651"/>
        <s v="ITM10652"/>
        <s v="ITM10653"/>
        <s v="ITM10654"/>
        <s v="ITM10655"/>
        <s v="ITM10656"/>
        <s v="ITM10657"/>
        <s v="ITM10658"/>
        <s v="ITM10659"/>
        <s v="ITM10660"/>
        <s v="ITM10661"/>
        <s v="ITM10662"/>
        <s v="ITM10663"/>
        <s v="ITM10664"/>
        <s v="ITM10665"/>
        <s v="ITM10666"/>
        <s v="ITM10667"/>
        <s v="ITM10668"/>
        <s v="ITM10669"/>
        <s v="ITM10670"/>
        <s v="ITM10671"/>
        <s v="ITM10672"/>
        <s v="ITM10673"/>
        <s v="ITM10674"/>
        <s v="ITM10675"/>
        <s v="ITM10676"/>
        <s v="ITM10677"/>
        <s v="ITM10678"/>
        <s v="ITM10679"/>
        <s v="ITM10680"/>
        <s v="ITM10681"/>
        <s v="ITM10682"/>
        <s v="ITM10683"/>
        <s v="ITM10684"/>
        <s v="ITM10685"/>
        <s v="ITM10686"/>
        <s v="ITM10687"/>
        <s v="ITM10688"/>
        <s v="ITM10689"/>
        <s v="ITM10690"/>
        <s v="ITM10691"/>
        <s v="ITM10692"/>
        <s v="ITM10693"/>
        <s v="ITM10694"/>
        <s v="ITM10695"/>
        <s v="ITM10696"/>
        <s v="ITM10697"/>
        <s v="ITM10698"/>
        <s v="ITM10699"/>
        <s v="ITM10700"/>
        <s v="ITM10701"/>
        <s v="ITM10702"/>
        <s v="ITM10703"/>
        <s v="ITM10704"/>
        <s v="ITM10705"/>
        <s v="ITM10706"/>
        <s v="ITM10707"/>
        <s v="ITM10708"/>
        <s v="ITM10709"/>
        <s v="ITM10710"/>
        <s v="ITM10711"/>
        <s v="ITM10712"/>
        <s v="ITM10713"/>
        <s v="ITM10714"/>
        <s v="ITM10715"/>
        <s v="ITM10716"/>
        <s v="ITM10717"/>
        <s v="ITM10718"/>
        <s v="ITM10719"/>
        <s v="ITM10720"/>
        <s v="ITM10721"/>
        <s v="ITM10722"/>
        <s v="ITM10723"/>
        <s v="ITM10724"/>
        <s v="ITM10725"/>
        <s v="ITM10726"/>
        <s v="ITM10727"/>
        <s v="ITM10728"/>
        <s v="ITM10729"/>
        <s v="ITM10730"/>
        <s v="ITM10731"/>
        <s v="ITM10732"/>
        <s v="ITM10733"/>
        <s v="ITM10734"/>
        <s v="ITM10735"/>
        <s v="ITM10736"/>
        <s v="ITM10737"/>
        <s v="ITM10738"/>
        <s v="ITM10739"/>
        <s v="ITM10740"/>
        <s v="ITM10741"/>
        <s v="ITM10742"/>
        <s v="ITM10743"/>
        <s v="ITM10744"/>
        <s v="ITM10745"/>
        <s v="ITM10746"/>
        <s v="ITM10747"/>
        <s v="ITM10748"/>
        <s v="ITM10749"/>
        <s v="ITM10750"/>
        <s v="ITM10751"/>
        <s v="ITM10752"/>
        <s v="ITM10753"/>
        <s v="ITM10754"/>
        <s v="ITM10755"/>
        <s v="ITM10756"/>
        <s v="ITM10757"/>
        <s v="ITM10758"/>
        <s v="ITM10759"/>
        <s v="ITM10760"/>
        <s v="ITM10761"/>
        <s v="ITM10762"/>
        <s v="ITM10763"/>
        <s v="ITM10764"/>
        <s v="ITM10765"/>
        <s v="ITM10766"/>
        <s v="ITM10767"/>
        <s v="ITM10768"/>
        <s v="ITM10769"/>
        <s v="ITM10770"/>
        <s v="ITM10771"/>
        <s v="ITM10772"/>
        <s v="ITM10773"/>
        <s v="ITM10774"/>
        <s v="ITM10775"/>
        <s v="ITM10776"/>
        <s v="ITM10777"/>
        <s v="ITM10778"/>
        <s v="ITM10779"/>
        <s v="ITM10780"/>
        <s v="ITM10781"/>
        <s v="ITM10782"/>
        <s v="ITM10783"/>
        <s v="ITM10784"/>
        <s v="ITM10785"/>
        <s v="ITM10786"/>
        <s v="ITM10787"/>
        <s v="ITM10788"/>
        <s v="ITM10789"/>
        <s v="ITM10790"/>
        <s v="ITM10791"/>
        <s v="ITM10792"/>
        <s v="ITM10793"/>
        <s v="ITM10794"/>
        <s v="ITM10795"/>
        <s v="ITM10796"/>
        <s v="ITM10797"/>
        <s v="ITM10798"/>
        <s v="ITM10799"/>
        <s v="ITM10800"/>
        <s v="ITM10801"/>
        <s v="ITM10802"/>
        <s v="ITM10803"/>
        <s v="ITM10804"/>
        <s v="ITM10805"/>
        <s v="ITM10806"/>
        <s v="ITM10807"/>
        <s v="ITM10808"/>
        <s v="ITM10809"/>
        <s v="ITM10810"/>
        <s v="ITM10811"/>
        <s v="ITM10812"/>
        <s v="ITM10813"/>
        <s v="ITM10814"/>
        <s v="ITM10815"/>
        <s v="ITM10816"/>
        <s v="ITM10817"/>
        <s v="ITM10818"/>
        <s v="ITM10819"/>
        <s v="ITM10820"/>
        <s v="ITM10821"/>
        <s v="ITM10822"/>
        <s v="ITM10823"/>
        <s v="ITM10824"/>
        <s v="ITM10825"/>
        <s v="ITM10826"/>
        <s v="ITM10827"/>
        <s v="ITM10828"/>
        <s v="ITM10829"/>
        <s v="ITM10830"/>
        <s v="ITM10831"/>
        <s v="ITM10832"/>
        <s v="ITM10833"/>
        <s v="ITM10834"/>
        <s v="ITM10835"/>
        <s v="ITM10836"/>
        <s v="ITM10837"/>
        <s v="ITM10838"/>
        <s v="ITM10839"/>
        <s v="ITM10840"/>
        <s v="ITM10841"/>
        <s v="ITM10842"/>
        <s v="ITM10843"/>
        <s v="ITM10844"/>
        <s v="ITM10845"/>
        <s v="ITM10846"/>
        <s v="ITM10847"/>
        <s v="ITM10848"/>
        <s v="ITM10849"/>
        <s v="ITM10850"/>
        <s v="ITM10851"/>
        <s v="ITM10852"/>
        <s v="ITM10853"/>
        <s v="ITM10854"/>
        <s v="ITM10855"/>
        <s v="ITM10856"/>
        <s v="ITM10857"/>
        <s v="ITM10858"/>
        <s v="ITM10859"/>
        <s v="ITM10860"/>
        <s v="ITM10861"/>
        <s v="ITM10862"/>
        <s v="ITM10863"/>
        <s v="ITM10864"/>
        <s v="ITM10865"/>
        <s v="ITM10866"/>
        <s v="ITM10867"/>
        <s v="ITM10868"/>
        <s v="ITM10869"/>
        <s v="ITM10870"/>
        <s v="ITM10871"/>
        <s v="ITM10872"/>
        <s v="ITM10873"/>
        <s v="ITM10874"/>
        <s v="ITM10875"/>
        <s v="ITM10876"/>
        <s v="ITM10877"/>
        <s v="ITM10878"/>
        <s v="ITM10879"/>
        <s v="ITM10880"/>
        <s v="ITM10881"/>
        <s v="ITM10882"/>
        <s v="ITM10883"/>
        <s v="ITM10884"/>
        <s v="ITM10885"/>
        <s v="ITM10886"/>
        <s v="ITM10887"/>
        <s v="ITM10888"/>
        <s v="ITM10889"/>
        <s v="ITM10890"/>
        <s v="ITM10891"/>
        <s v="ITM10892"/>
        <s v="ITM10893"/>
        <s v="ITM10894"/>
        <s v="ITM10895"/>
        <s v="ITM10896"/>
        <s v="ITM10897"/>
        <s v="ITM10898"/>
        <s v="ITM10899"/>
        <s v="ITM10900"/>
        <s v="ITM10901"/>
        <s v="ITM10902"/>
        <s v="ITM10903"/>
        <s v="ITM10904"/>
        <s v="ITM10905"/>
        <s v="ITM10906"/>
        <s v="ITM10907"/>
        <s v="ITM10908"/>
        <s v="ITM10909"/>
        <s v="ITM10910"/>
        <s v="ITM10911"/>
        <s v="ITM10912"/>
        <s v="ITM10913"/>
        <s v="ITM10914"/>
        <s v="ITM10915"/>
        <s v="ITM10916"/>
        <s v="ITM10917"/>
        <s v="ITM10918"/>
        <s v="ITM10919"/>
        <s v="ITM10920"/>
        <s v="ITM10921"/>
        <s v="ITM10922"/>
        <s v="ITM10923"/>
        <s v="ITM10924"/>
        <s v="ITM10925"/>
        <s v="ITM10926"/>
        <s v="ITM10927"/>
        <s v="ITM10928"/>
        <s v="ITM10929"/>
        <s v="ITM10930"/>
        <s v="ITM10931"/>
        <s v="ITM10932"/>
        <s v="ITM10933"/>
        <s v="ITM10934"/>
        <s v="ITM10935"/>
        <s v="ITM10936"/>
        <s v="ITM10937"/>
        <s v="ITM10938"/>
        <s v="ITM10939"/>
        <s v="ITM10940"/>
        <s v="ITM10941"/>
        <s v="ITM10942"/>
        <s v="ITM10943"/>
        <s v="ITM10944"/>
        <s v="ITM10945"/>
        <s v="ITM10946"/>
        <s v="ITM10947"/>
        <s v="ITM10948"/>
        <s v="ITM10949"/>
        <s v="ITM10950"/>
        <s v="ITM10951"/>
        <s v="ITM10952"/>
        <s v="ITM10953"/>
        <s v="ITM10954"/>
        <s v="ITM10955"/>
        <s v="ITM10956"/>
        <s v="ITM10957"/>
        <s v="ITM10958"/>
        <s v="ITM10959"/>
        <s v="ITM10960"/>
        <s v="ITM10961"/>
        <s v="ITM10962"/>
        <s v="ITM10963"/>
        <s v="ITM10964"/>
        <s v="ITM10965"/>
        <s v="ITM10966"/>
        <s v="ITM10967"/>
        <s v="ITM10968"/>
        <s v="ITM10969"/>
        <s v="ITM10970"/>
        <s v="ITM10971"/>
        <s v="ITM10972"/>
        <s v="ITM10973"/>
        <s v="ITM10974"/>
        <s v="ITM10975"/>
        <s v="ITM10976"/>
        <s v="ITM10977"/>
        <s v="ITM10978"/>
        <s v="ITM10979"/>
        <s v="ITM10980"/>
        <s v="ITM10981"/>
        <s v="ITM10982"/>
        <s v="ITM10983"/>
        <s v="ITM10984"/>
        <s v="ITM10985"/>
        <s v="ITM10986"/>
        <s v="ITM10987"/>
        <s v="ITM10988"/>
        <s v="ITM10989"/>
        <s v="ITM10990"/>
        <s v="ITM10991"/>
        <s v="ITM10992"/>
        <s v="ITM10993"/>
        <s v="ITM10994"/>
        <s v="ITM10995"/>
        <s v="ITM10996"/>
        <s v="ITM10997"/>
        <s v="ITM10998"/>
        <s v="ITM10999"/>
        <s v="ITM11000"/>
        <s v="ITM11001"/>
        <s v="ITM11002"/>
        <s v="ITM11003"/>
        <s v="ITM11004"/>
        <s v="ITM11005"/>
        <s v="ITM11006"/>
        <s v="ITM11007"/>
        <s v="ITM11008"/>
        <s v="ITM11009"/>
        <s v="ITM11010"/>
        <s v="ITM11011"/>
        <s v="ITM11012"/>
        <s v="ITM11013"/>
        <s v="ITM11014"/>
        <s v="ITM11015"/>
        <s v="ITM11016"/>
        <s v="ITM11017"/>
        <s v="ITM11018"/>
        <s v="ITM11019"/>
        <s v="ITM11020"/>
        <s v="ITM11021"/>
        <s v="ITM11022"/>
        <s v="ITM11023"/>
        <s v="ITM11024"/>
        <s v="ITM11025"/>
        <s v="ITM11026"/>
        <s v="ITM11027"/>
        <s v="ITM11028"/>
        <s v="ITM11029"/>
        <s v="ITM11030"/>
        <s v="ITM11031"/>
        <s v="ITM11032"/>
        <s v="ITM11033"/>
        <s v="ITM11034"/>
        <s v="ITM11035"/>
        <s v="ITM11036"/>
        <s v="ITM11037"/>
        <s v="ITM11038"/>
        <s v="ITM11039"/>
        <s v="ITM11040"/>
        <s v="ITM11041"/>
        <s v="ITM11042"/>
        <s v="ITM11043"/>
        <s v="ITM11044"/>
        <s v="ITM11045"/>
        <s v="ITM11046"/>
        <s v="ITM11047"/>
        <s v="ITM11048"/>
        <s v="ITM11049"/>
        <s v="ITM11050"/>
        <s v="ITM11051"/>
        <s v="ITM11052"/>
        <s v="ITM11053"/>
        <s v="ITM11054"/>
        <s v="ITM11055"/>
        <s v="ITM11056"/>
        <s v="ITM11057"/>
        <s v="ITM11058"/>
        <s v="ITM11059"/>
        <s v="ITM11060"/>
        <s v="ITM11061"/>
        <s v="ITM11062"/>
        <s v="ITM11063"/>
        <s v="ITM11064"/>
        <s v="ITM11065"/>
        <s v="ITM11066"/>
        <s v="ITM11067"/>
        <s v="ITM11068"/>
        <s v="ITM11069"/>
        <s v="ITM11070"/>
        <s v="ITM11071"/>
        <s v="ITM11072"/>
        <s v="ITM11073"/>
        <s v="ITM11074"/>
        <s v="ITM11075"/>
        <s v="ITM11076"/>
        <s v="ITM11077"/>
        <s v="ITM11078"/>
        <s v="ITM11079"/>
        <s v="ITM11080"/>
        <s v="ITM11081"/>
        <s v="ITM11082"/>
        <s v="ITM11083"/>
        <s v="ITM11084"/>
        <s v="ITM11085"/>
        <s v="ITM11086"/>
        <s v="ITM11087"/>
        <s v="ITM11088"/>
        <s v="ITM11089"/>
        <s v="ITM11090"/>
        <s v="ITM11091"/>
        <s v="ITM11092"/>
        <s v="ITM11093"/>
        <s v="ITM11094"/>
        <s v="ITM11095"/>
        <s v="ITM11096"/>
        <s v="ITM11097"/>
        <s v="ITM11098"/>
        <s v="ITM11099"/>
        <s v="ITM11100"/>
        <s v="ITM11101"/>
        <s v="ITM11102"/>
        <s v="ITM11103"/>
        <s v="ITM11104"/>
        <s v="ITM11105"/>
        <s v="ITM11106"/>
        <s v="ITM11107"/>
        <s v="ITM11108"/>
        <s v="ITM11109"/>
        <s v="ITM11110"/>
        <s v="ITM11111"/>
        <s v="ITM11112"/>
        <s v="ITM11113"/>
        <s v="ITM11114"/>
        <s v="ITM11115"/>
        <s v="ITM11116"/>
        <s v="ITM11117"/>
        <s v="ITM11118"/>
        <s v="ITM11119"/>
        <s v="ITM11120"/>
        <s v="ITM11121"/>
        <s v="ITM11122"/>
        <s v="ITM11123"/>
        <s v="ITM11124"/>
        <s v="ITM11125"/>
        <s v="ITM11126"/>
        <s v="ITM11127"/>
        <s v="ITM11128"/>
        <s v="ITM11129"/>
        <s v="ITM11130"/>
        <s v="ITM11131"/>
        <s v="ITM11132"/>
        <s v="ITM11133"/>
        <s v="ITM11134"/>
        <s v="ITM11135"/>
        <s v="ITM11136"/>
        <s v="ITM11137"/>
        <s v="ITM11138"/>
        <s v="ITM11139"/>
        <s v="ITM11140"/>
        <s v="ITM11141"/>
        <s v="ITM11142"/>
        <s v="ITM11143"/>
        <s v="ITM11144"/>
        <s v="ITM11145"/>
        <s v="ITM11146"/>
        <s v="ITM11147"/>
        <s v="ITM11148"/>
        <s v="ITM11149"/>
        <s v="ITM11150"/>
        <s v="ITM11151"/>
        <s v="ITM11152"/>
        <s v="ITM11153"/>
        <s v="ITM11154"/>
        <s v="ITM11155"/>
        <s v="ITM11156"/>
        <s v="ITM11157"/>
        <s v="ITM11158"/>
        <s v="ITM11159"/>
        <s v="ITM11160"/>
        <s v="ITM11161"/>
        <s v="ITM11162"/>
        <s v="ITM11163"/>
        <s v="ITM11164"/>
        <s v="ITM11165"/>
        <s v="ITM11166"/>
        <s v="ITM11167"/>
        <s v="ITM11168"/>
        <s v="ITM11169"/>
        <s v="ITM11170"/>
        <s v="ITM11171"/>
        <s v="ITM11172"/>
        <s v="ITM11173"/>
        <s v="ITM11174"/>
        <s v="ITM11175"/>
        <s v="ITM11176"/>
        <s v="ITM11177"/>
        <s v="ITM11178"/>
        <s v="ITM11179"/>
        <s v="ITM11180"/>
        <s v="ITM11181"/>
        <s v="ITM11182"/>
        <s v="ITM11183"/>
        <s v="ITM11184"/>
        <s v="ITM11185"/>
        <s v="ITM11186"/>
        <s v="ITM11187"/>
        <s v="ITM11188"/>
        <s v="ITM11189"/>
        <s v="ITM11190"/>
        <s v="ITM11191"/>
        <s v="ITM11192"/>
        <s v="ITM11193"/>
        <s v="ITM11194"/>
        <s v="ITM11195"/>
        <s v="ITM11196"/>
        <s v="ITM11197"/>
        <s v="ITM11198"/>
        <s v="ITM11199"/>
        <s v="ITM11200"/>
        <s v="ITM11201"/>
        <s v="ITM11202"/>
        <s v="ITM11203"/>
        <s v="ITM11204"/>
        <s v="ITM11205"/>
        <s v="ITM11206"/>
        <s v="ITM11207"/>
        <s v="ITM11208"/>
        <s v="ITM11209"/>
        <s v="ITM11210"/>
        <s v="ITM11211"/>
        <s v="ITM11212"/>
        <s v="ITM11213"/>
        <s v="ITM11214"/>
        <s v="ITM11215"/>
        <s v="ITM11216"/>
        <s v="ITM11217"/>
        <s v="ITM11218"/>
        <s v="ITM11219"/>
        <s v="ITM11220"/>
        <s v="ITM11221"/>
        <s v="ITM11222"/>
        <s v="ITM11223"/>
        <s v="ITM11224"/>
        <s v="ITM11225"/>
        <s v="ITM11226"/>
        <s v="ITM11227"/>
        <s v="ITM11228"/>
        <s v="ITM11229"/>
        <s v="ITM11230"/>
        <s v="ITM11231"/>
        <s v="ITM11232"/>
        <s v="ITM11233"/>
        <s v="ITM11234"/>
        <s v="ITM11235"/>
        <s v="ITM11236"/>
        <s v="ITM11237"/>
        <s v="ITM11238"/>
        <s v="ITM11239"/>
        <s v="ITM11240"/>
        <s v="ITM11241"/>
        <s v="ITM11242"/>
        <s v="ITM11243"/>
        <s v="ITM11244"/>
        <s v="ITM11245"/>
        <s v="ITM11246"/>
        <s v="ITM11247"/>
        <s v="ITM11248"/>
        <s v="ITM11249"/>
        <s v="ITM11250"/>
        <s v="ITM11251"/>
        <s v="ITM11252"/>
        <s v="ITM11253"/>
        <s v="ITM11254"/>
        <s v="ITM11255"/>
        <s v="ITM11256"/>
        <s v="ITM11257"/>
        <s v="ITM11258"/>
        <s v="ITM11259"/>
        <s v="ITM11260"/>
        <s v="ITM11261"/>
        <s v="ITM11262"/>
        <s v="ITM11263"/>
        <s v="ITM11264"/>
        <s v="ITM11265"/>
        <s v="ITM11266"/>
        <s v="ITM11267"/>
        <s v="ITM11268"/>
        <s v="ITM11269"/>
        <s v="ITM11270"/>
        <s v="ITM11271"/>
        <s v="ITM11272"/>
        <s v="ITM11273"/>
        <s v="ITM11274"/>
        <s v="ITM11275"/>
        <s v="ITM11276"/>
        <s v="ITM11277"/>
        <s v="ITM11278"/>
        <s v="ITM11279"/>
        <s v="ITM11280"/>
        <s v="ITM11281"/>
        <s v="ITM11282"/>
        <s v="ITM11283"/>
        <s v="ITM11284"/>
        <s v="ITM11285"/>
        <s v="ITM11286"/>
        <s v="ITM11287"/>
        <s v="ITM11288"/>
        <s v="ITM11289"/>
        <s v="ITM11290"/>
        <s v="ITM11291"/>
        <s v="ITM11292"/>
        <s v="ITM11293"/>
        <s v="ITM11294"/>
        <s v="ITM11295"/>
        <s v="ITM11296"/>
        <s v="ITM11297"/>
        <s v="ITM11298"/>
        <s v="ITM11299"/>
        <s v="ITM11300"/>
        <s v="ITM11301"/>
        <s v="ITM11302"/>
        <s v="ITM11303"/>
        <s v="ITM11304"/>
        <s v="ITM11305"/>
        <s v="ITM11306"/>
        <s v="ITM11307"/>
        <s v="ITM11308"/>
        <s v="ITM11309"/>
        <s v="ITM11310"/>
        <s v="ITM11311"/>
        <s v="ITM11312"/>
        <s v="ITM11313"/>
        <s v="ITM11314"/>
        <s v="ITM11315"/>
        <s v="ITM11316"/>
        <s v="ITM11317"/>
        <s v="ITM11318"/>
        <s v="ITM11319"/>
        <s v="ITM11320"/>
        <s v="ITM11321"/>
        <s v="ITM11322"/>
        <s v="ITM11323"/>
        <s v="ITM11324"/>
        <s v="ITM11325"/>
        <s v="ITM11326"/>
        <s v="ITM11327"/>
        <s v="ITM11328"/>
        <s v="ITM11329"/>
        <s v="ITM11330"/>
        <s v="ITM11331"/>
        <s v="ITM11332"/>
        <s v="ITM11333"/>
        <s v="ITM11334"/>
        <s v="ITM11335"/>
        <s v="ITM11336"/>
        <s v="ITM11337"/>
        <s v="ITM11338"/>
        <s v="ITM11339"/>
        <s v="ITM11340"/>
        <s v="ITM11341"/>
        <s v="ITM11342"/>
        <s v="ITM11343"/>
        <s v="ITM11344"/>
        <s v="ITM11345"/>
        <s v="ITM11346"/>
        <s v="ITM11347"/>
        <s v="ITM11348"/>
        <s v="ITM11349"/>
        <s v="ITM11350"/>
        <s v="ITM11351"/>
        <s v="ITM11352"/>
        <s v="ITM11353"/>
        <s v="ITM11354"/>
        <s v="ITM11355"/>
        <s v="ITM11356"/>
        <s v="ITM11357"/>
        <s v="ITM11358"/>
        <s v="ITM11359"/>
        <s v="ITM11360"/>
        <s v="ITM11361"/>
        <s v="ITM11362"/>
        <s v="ITM11363"/>
        <s v="ITM11364"/>
        <s v="ITM11365"/>
        <s v="ITM11366"/>
        <s v="ITM11367"/>
        <s v="ITM11368"/>
        <s v="ITM11369"/>
        <s v="ITM11370"/>
        <s v="ITM11371"/>
        <s v="ITM11372"/>
        <s v="ITM11373"/>
        <s v="ITM11374"/>
        <s v="ITM11375"/>
        <s v="ITM11376"/>
        <s v="ITM11377"/>
        <s v="ITM11378"/>
        <s v="ITM11379"/>
        <s v="ITM11380"/>
        <s v="ITM11381"/>
        <s v="ITM11382"/>
        <s v="ITM11383"/>
        <s v="ITM11384"/>
        <s v="ITM11385"/>
        <s v="ITM11386"/>
        <s v="ITM11387"/>
        <s v="ITM11388"/>
        <s v="ITM11389"/>
        <s v="ITM11390"/>
        <s v="ITM11391"/>
        <s v="ITM11392"/>
        <s v="ITM11393"/>
        <s v="ITM11394"/>
        <s v="ITM11395"/>
        <s v="ITM11396"/>
        <s v="ITM11397"/>
        <s v="ITM11398"/>
        <s v="ITM11399"/>
        <s v="ITM11400"/>
        <s v="ITM11401"/>
        <s v="ITM11402"/>
        <s v="ITM11403"/>
        <s v="ITM11404"/>
        <s v="ITM11405"/>
        <s v="ITM11406"/>
        <s v="ITM11407"/>
        <s v="ITM11408"/>
        <s v="ITM11409"/>
        <s v="ITM11410"/>
        <s v="ITM11411"/>
        <s v="ITM11412"/>
        <s v="ITM11413"/>
        <s v="ITM11414"/>
        <s v="ITM11415"/>
        <s v="ITM11416"/>
        <s v="ITM11417"/>
        <s v="ITM11418"/>
        <s v="ITM11419"/>
        <s v="ITM11420"/>
        <s v="ITM11421"/>
        <s v="ITM11422"/>
        <s v="ITM11423"/>
        <s v="ITM11424"/>
        <s v="ITM11425"/>
        <s v="ITM11426"/>
        <s v="ITM11427"/>
        <s v="ITM11428"/>
        <s v="ITM11429"/>
        <s v="ITM11430"/>
        <s v="ITM11431"/>
        <s v="ITM11432"/>
        <s v="ITM11433"/>
        <s v="ITM11434"/>
        <s v="ITM11435"/>
        <s v="ITM11436"/>
        <s v="ITM11437"/>
        <s v="ITM11438"/>
        <s v="ITM11439"/>
        <s v="ITM11440"/>
        <s v="ITM11441"/>
        <s v="ITM11442"/>
        <s v="ITM11443"/>
        <s v="ITM11444"/>
        <s v="ITM11445"/>
        <s v="ITM11446"/>
        <s v="ITM11447"/>
        <s v="ITM11448"/>
        <s v="ITM11449"/>
        <s v="ITM11450"/>
        <s v="ITM11451"/>
        <s v="ITM11452"/>
        <s v="ITM11453"/>
        <s v="ITM11454"/>
        <s v="ITM11455"/>
        <s v="ITM11456"/>
        <s v="ITM11457"/>
        <s v="ITM11458"/>
        <s v="ITM11459"/>
        <s v="ITM11460"/>
        <s v="ITM11461"/>
        <s v="ITM11462"/>
        <s v="ITM11463"/>
        <s v="ITM11464"/>
        <s v="ITM11465"/>
        <s v="ITM11466"/>
        <s v="ITM11467"/>
        <s v="ITM11468"/>
        <s v="ITM11469"/>
        <s v="ITM11470"/>
        <s v="ITM11471"/>
        <s v="ITM11472"/>
        <s v="ITM11473"/>
        <s v="ITM11474"/>
        <s v="ITM11475"/>
        <s v="ITM11476"/>
        <s v="ITM11477"/>
        <s v="ITM11478"/>
        <s v="ITM11479"/>
        <s v="ITM11480"/>
        <s v="ITM11481"/>
        <s v="ITM11482"/>
        <s v="ITM11483"/>
        <s v="ITM11484"/>
        <s v="ITM11485"/>
        <s v="ITM11486"/>
        <s v="ITM11487"/>
        <s v="ITM11488"/>
        <s v="ITM11489"/>
        <s v="ITM11490"/>
        <s v="ITM11491"/>
        <s v="ITM11492"/>
        <s v="ITM11493"/>
        <s v="ITM11494"/>
        <s v="ITM11495"/>
        <s v="ITM11496"/>
        <s v="ITM11497"/>
        <s v="ITM11498"/>
        <s v="ITM11499"/>
        <s v="ITM11500"/>
        <s v="ITM11501"/>
        <s v="ITM11502"/>
        <s v="ITM11503"/>
        <s v="ITM11504"/>
        <s v="ITM11505"/>
        <s v="ITM11506"/>
        <s v="ITM11507"/>
        <s v="ITM11508"/>
        <s v="ITM11509"/>
        <s v="ITM11510"/>
        <s v="ITM11511"/>
        <s v="ITM11512"/>
        <s v="ITM11513"/>
        <s v="ITM11514"/>
        <s v="ITM11515"/>
        <s v="ITM11516"/>
        <s v="ITM11517"/>
        <s v="ITM11518"/>
        <s v="ITM11519"/>
        <s v="ITM11520"/>
        <s v="ITM11521"/>
        <s v="ITM11522"/>
        <s v="ITM11523"/>
        <s v="ITM11524"/>
        <s v="ITM11525"/>
        <s v="ITM11526"/>
        <s v="ITM11527"/>
        <s v="ITM11528"/>
        <s v="ITM11529"/>
        <s v="ITM11530"/>
        <s v="ITM11531"/>
        <s v="ITM11532"/>
        <s v="ITM11533"/>
        <s v="ITM11534"/>
        <s v="ITM11535"/>
        <s v="ITM11536"/>
        <s v="ITM11537"/>
        <s v="ITM11538"/>
        <s v="ITM11539"/>
        <s v="ITM11540"/>
        <s v="ITM11541"/>
        <s v="ITM11542"/>
        <s v="ITM11543"/>
        <s v="ITM11544"/>
        <s v="ITM11545"/>
        <s v="ITM11546"/>
        <s v="ITM11547"/>
        <s v="ITM11548"/>
        <s v="ITM11549"/>
        <s v="ITM11550"/>
        <s v="ITM11551"/>
        <s v="ITM11552"/>
        <s v="ITM11553"/>
        <s v="ITM11554"/>
        <s v="ITM11555"/>
        <s v="ITM11556"/>
        <s v="ITM11557"/>
        <s v="ITM11558"/>
        <s v="ITM11559"/>
        <s v="ITM11560"/>
        <s v="ITM11561"/>
        <s v="ITM11562"/>
        <s v="ITM11563"/>
        <s v="ITM11564"/>
        <s v="ITM11565"/>
        <s v="ITM11566"/>
        <s v="ITM11567"/>
        <s v="ITM11568"/>
        <s v="ITM11569"/>
        <s v="ITM11570"/>
        <s v="ITM11571"/>
        <s v="ITM11572"/>
        <s v="ITM11573"/>
        <s v="ITM11574"/>
        <s v="ITM11575"/>
        <s v="ITM11576"/>
        <s v="ITM11577"/>
        <s v="ITM11578"/>
        <s v="ITM11579"/>
        <s v="ITM11580"/>
        <s v="ITM11581"/>
        <s v="ITM11582"/>
        <s v="ITM11583"/>
        <s v="ITM11584"/>
        <s v="ITM11585"/>
        <s v="ITM11586"/>
        <s v="ITM11587"/>
        <s v="ITM11588"/>
        <s v="ITM11589"/>
        <s v="ITM11590"/>
        <s v="ITM11591"/>
        <s v="ITM11592"/>
        <s v="ITM11593"/>
        <s v="ITM11594"/>
        <s v="ITM11595"/>
        <s v="ITM11596"/>
        <s v="ITM11597"/>
        <s v="ITM11598"/>
        <s v="ITM11599"/>
        <s v="ITM11600"/>
        <s v="ITM11601"/>
        <s v="ITM11602"/>
        <s v="ITM11603"/>
        <s v="ITM11604"/>
        <s v="ITM11605"/>
        <s v="ITM11606"/>
        <s v="ITM11607"/>
        <s v="ITM11608"/>
        <s v="ITM11609"/>
        <s v="ITM11610"/>
        <s v="ITM11611"/>
        <s v="ITM11612"/>
        <s v="ITM11613"/>
        <s v="ITM11614"/>
        <s v="ITM11615"/>
        <s v="ITM11616"/>
        <s v="ITM11617"/>
        <s v="ITM11618"/>
        <s v="ITM11619"/>
        <s v="ITM11620"/>
        <s v="ITM11621"/>
        <s v="ITM11622"/>
        <s v="ITM11623"/>
        <s v="ITM11624"/>
        <s v="ITM11625"/>
        <s v="ITM11626"/>
        <s v="ITM11627"/>
        <s v="ITM11628"/>
        <s v="ITM11629"/>
        <s v="ITM11630"/>
        <s v="ITM11631"/>
        <s v="ITM11632"/>
        <s v="ITM11633"/>
        <s v="ITM11634"/>
        <s v="ITM11635"/>
        <s v="ITM11636"/>
        <s v="ITM11637"/>
        <s v="ITM11638"/>
        <s v="ITM11639"/>
        <s v="ITM11640"/>
        <s v="ITM11641"/>
        <s v="ITM11642"/>
        <s v="ITM11643"/>
        <s v="ITM11644"/>
        <s v="ITM11645"/>
        <s v="ITM11646"/>
        <s v="ITM11647"/>
        <s v="ITM11648"/>
        <s v="ITM11649"/>
        <s v="ITM11650"/>
        <s v="ITM11651"/>
        <s v="ITM11652"/>
        <s v="ITM11653"/>
        <s v="ITM11654"/>
        <s v="ITM11655"/>
        <s v="ITM11656"/>
        <s v="ITM11657"/>
        <s v="ITM11658"/>
        <s v="ITM11659"/>
        <s v="ITM11660"/>
        <s v="ITM11661"/>
        <s v="ITM11662"/>
        <s v="ITM11663"/>
        <s v="ITM11664"/>
        <s v="ITM11665"/>
        <s v="ITM11666"/>
        <s v="ITM11667"/>
        <s v="ITM11668"/>
        <s v="ITM11669"/>
        <s v="ITM11670"/>
        <s v="ITM11671"/>
        <s v="ITM11672"/>
        <s v="ITM11673"/>
        <s v="ITM11674"/>
        <s v="ITM11675"/>
        <s v="ITM11676"/>
        <s v="ITM11677"/>
        <s v="ITM11678"/>
        <s v="ITM11679"/>
        <s v="ITM11680"/>
        <s v="ITM11681"/>
        <s v="ITM11682"/>
        <s v="ITM11683"/>
        <s v="ITM11684"/>
        <s v="ITM11685"/>
        <s v="ITM11686"/>
        <s v="ITM11687"/>
        <s v="ITM11688"/>
        <s v="ITM11689"/>
        <s v="ITM11690"/>
        <s v="ITM11691"/>
        <s v="ITM11692"/>
        <s v="ITM11693"/>
        <s v="ITM11694"/>
        <s v="ITM11695"/>
        <s v="ITM11696"/>
        <s v="ITM11697"/>
        <s v="ITM11698"/>
        <s v="ITM11699"/>
        <s v="ITM11700"/>
        <s v="ITM11701"/>
        <s v="ITM11702"/>
        <s v="ITM11703"/>
        <s v="ITM11704"/>
        <s v="ITM11705"/>
        <s v="ITM11706"/>
        <s v="ITM11707"/>
        <s v="ITM11708"/>
        <s v="ITM11709"/>
        <s v="ITM11710"/>
        <s v="ITM11711"/>
        <s v="ITM11712"/>
        <s v="ITM11713"/>
        <s v="ITM11714"/>
        <s v="ITM11715"/>
        <s v="ITM11716"/>
        <s v="ITM11717"/>
        <s v="ITM11718"/>
        <s v="ITM11719"/>
        <s v="ITM11720"/>
        <s v="ITM11721"/>
        <s v="ITM11722"/>
        <s v="ITM11723"/>
        <s v="ITM11724"/>
        <s v="ITM11725"/>
        <s v="ITM11726"/>
        <s v="ITM11727"/>
        <s v="ITM11728"/>
        <s v="ITM11729"/>
        <s v="ITM11730"/>
        <s v="ITM11731"/>
        <s v="ITM11732"/>
        <s v="ITM11733"/>
        <s v="ITM11734"/>
        <s v="ITM11735"/>
        <s v="ITM11736"/>
        <s v="ITM11737"/>
        <s v="ITM11738"/>
        <s v="ITM11739"/>
        <s v="ITM11740"/>
        <s v="ITM11741"/>
        <s v="ITM11742"/>
        <s v="ITM11743"/>
        <s v="ITM11744"/>
        <s v="ITM11745"/>
        <s v="ITM11746"/>
        <s v="ITM11747"/>
        <s v="ITM11748"/>
        <s v="ITM11749"/>
        <s v="ITM11750"/>
        <s v="ITM11751"/>
        <s v="ITM11752"/>
        <s v="ITM11753"/>
        <s v="ITM11754"/>
        <s v="ITM11755"/>
        <s v="ITM11756"/>
        <s v="ITM11757"/>
        <s v="ITM11758"/>
        <s v="ITM11759"/>
        <s v="ITM11760"/>
        <s v="ITM11761"/>
        <s v="ITM11762"/>
        <s v="ITM11763"/>
        <s v="ITM11764"/>
        <s v="ITM11765"/>
        <s v="ITM11766"/>
        <s v="ITM11767"/>
        <s v="ITM11768"/>
        <s v="ITM11769"/>
        <s v="ITM11770"/>
        <s v="ITM11771"/>
        <s v="ITM11772"/>
        <s v="ITM11773"/>
        <s v="ITM11774"/>
        <s v="ITM11775"/>
        <s v="ITM11776"/>
        <s v="ITM11777"/>
        <s v="ITM11778"/>
        <s v="ITM11779"/>
        <s v="ITM11780"/>
        <s v="ITM11781"/>
        <s v="ITM11782"/>
        <s v="ITM11783"/>
        <s v="ITM11784"/>
        <s v="ITM11785"/>
        <s v="ITM11786"/>
        <s v="ITM11787"/>
        <s v="ITM11788"/>
        <s v="ITM11789"/>
        <s v="ITM11790"/>
        <s v="ITM11791"/>
        <s v="ITM11792"/>
        <s v="ITM11793"/>
        <s v="ITM11794"/>
        <s v="ITM11795"/>
        <s v="ITM11796"/>
        <s v="ITM11797"/>
        <s v="ITM11798"/>
        <s v="ITM11799"/>
        <s v="ITM11800"/>
        <s v="ITM11801"/>
        <s v="ITM11802"/>
        <s v="ITM11803"/>
        <s v="ITM11804"/>
        <s v="ITM11805"/>
        <s v="ITM11806"/>
        <s v="ITM11807"/>
        <s v="ITM11808"/>
        <s v="ITM11809"/>
        <s v="ITM11810"/>
        <s v="ITM11811"/>
        <s v="ITM11812"/>
        <s v="ITM11813"/>
        <s v="ITM11814"/>
        <s v="ITM11815"/>
        <s v="ITM11816"/>
        <s v="ITM11817"/>
        <s v="ITM11818"/>
        <s v="ITM11819"/>
        <s v="ITM11820"/>
        <s v="ITM11821"/>
        <s v="ITM11822"/>
        <s v="ITM11823"/>
        <s v="ITM11824"/>
        <s v="ITM11825"/>
        <s v="ITM11826"/>
        <s v="ITM11827"/>
        <s v="ITM11828"/>
        <s v="ITM11829"/>
        <s v="ITM11830"/>
        <s v="ITM11831"/>
        <s v="ITM11832"/>
        <s v="ITM11833"/>
        <s v="ITM11834"/>
        <s v="ITM11835"/>
        <s v="ITM11836"/>
        <s v="ITM11837"/>
        <s v="ITM11838"/>
        <s v="ITM11839"/>
        <s v="ITM11840"/>
        <s v="ITM11841"/>
        <s v="ITM11842"/>
        <s v="ITM11843"/>
        <s v="ITM11844"/>
        <s v="ITM11845"/>
        <s v="ITM11846"/>
        <s v="ITM11847"/>
        <s v="ITM11848"/>
        <s v="ITM11849"/>
        <s v="ITM11850"/>
        <s v="ITM11851"/>
        <s v="ITM11852"/>
        <s v="ITM11853"/>
        <s v="ITM11854"/>
        <s v="ITM11855"/>
        <s v="ITM11856"/>
        <s v="ITM11857"/>
        <s v="ITM11858"/>
        <s v="ITM11859"/>
        <s v="ITM11860"/>
        <s v="ITM11861"/>
        <s v="ITM11862"/>
        <s v="ITM11863"/>
        <s v="ITM11864"/>
        <s v="ITM11865"/>
        <s v="ITM11866"/>
        <s v="ITM11867"/>
        <s v="ITM11868"/>
        <s v="ITM11869"/>
        <s v="ITM11870"/>
        <s v="ITM11871"/>
        <s v="ITM11872"/>
        <s v="ITM11873"/>
        <s v="ITM11874"/>
        <s v="ITM11875"/>
        <s v="ITM11876"/>
        <s v="ITM11877"/>
        <s v="ITM11878"/>
        <s v="ITM11879"/>
        <s v="ITM11880"/>
        <s v="ITM11881"/>
        <s v="ITM11882"/>
        <s v="ITM11883"/>
        <s v="ITM11884"/>
        <s v="ITM11885"/>
        <s v="ITM11886"/>
        <s v="ITM11887"/>
        <s v="ITM11888"/>
        <s v="ITM11889"/>
        <s v="ITM11890"/>
        <s v="ITM11891"/>
        <s v="ITM11892"/>
        <s v="ITM11893"/>
        <s v="ITM11894"/>
        <s v="ITM11895"/>
        <s v="ITM11896"/>
        <s v="ITM11897"/>
        <s v="ITM11898"/>
        <s v="ITM11899"/>
        <s v="ITM11900"/>
        <s v="ITM11901"/>
        <s v="ITM11902"/>
        <s v="ITM11903"/>
        <s v="ITM11904"/>
        <s v="ITM11905"/>
        <s v="ITM11906"/>
        <s v="ITM11907"/>
        <s v="ITM11908"/>
        <s v="ITM11909"/>
        <s v="ITM11910"/>
        <s v="ITM11911"/>
        <s v="ITM11912"/>
        <s v="ITM11913"/>
        <s v="ITM11914"/>
        <s v="ITM11915"/>
        <s v="ITM11916"/>
        <s v="ITM11917"/>
        <s v="ITM11918"/>
        <s v="ITM11919"/>
        <s v="ITM11920"/>
        <s v="ITM11921"/>
        <s v="ITM11922"/>
        <s v="ITM11923"/>
        <s v="ITM11924"/>
        <s v="ITM11925"/>
        <s v="ITM11926"/>
        <s v="ITM11927"/>
        <s v="ITM11928"/>
        <s v="ITM11929"/>
        <s v="ITM11930"/>
        <s v="ITM11931"/>
        <s v="ITM11932"/>
        <s v="ITM11933"/>
        <s v="ITM11934"/>
        <s v="ITM11935"/>
        <s v="ITM11936"/>
        <s v="ITM11937"/>
        <s v="ITM11938"/>
        <s v="ITM11939"/>
        <s v="ITM11940"/>
        <s v="ITM11941"/>
        <s v="ITM11942"/>
        <s v="ITM11943"/>
        <s v="ITM11944"/>
        <s v="ITM11945"/>
        <s v="ITM11946"/>
        <s v="ITM11947"/>
        <s v="ITM11948"/>
        <s v="ITM11949"/>
        <s v="ITM11950"/>
        <s v="ITM11951"/>
        <s v="ITM11952"/>
        <s v="ITM11953"/>
        <s v="ITM11954"/>
        <s v="ITM11955"/>
        <s v="ITM11956"/>
        <s v="ITM11957"/>
        <s v="ITM11958"/>
        <s v="ITM11959"/>
        <s v="ITM11960"/>
        <s v="ITM11961"/>
        <s v="ITM11962"/>
        <s v="ITM11963"/>
        <s v="ITM11964"/>
        <s v="ITM11965"/>
        <s v="ITM11966"/>
        <s v="ITM11967"/>
        <s v="ITM11968"/>
        <s v="ITM11969"/>
        <s v="ITM11970"/>
        <s v="ITM11971"/>
        <s v="ITM11972"/>
        <s v="ITM11973"/>
        <s v="ITM11974"/>
        <s v="ITM11975"/>
        <s v="ITM11976"/>
        <s v="ITM11977"/>
        <s v="ITM11978"/>
        <s v="ITM11979"/>
        <s v="ITM11980"/>
        <s v="ITM11981"/>
        <s v="ITM11982"/>
        <s v="ITM11983"/>
        <s v="ITM11984"/>
        <s v="ITM11985"/>
        <s v="ITM11986"/>
        <s v="ITM11987"/>
        <s v="ITM11988"/>
        <s v="ITM11989"/>
        <s v="ITM11990"/>
        <s v="ITM11991"/>
        <s v="ITM11992"/>
        <s v="ITM11993"/>
        <s v="ITM11994"/>
        <s v="ITM11995"/>
        <s v="ITM11996"/>
        <s v="ITM11997"/>
        <s v="ITM11998"/>
        <s v="ITM11999"/>
        <s v="ITM12000"/>
        <s v="ITM12001"/>
        <s v="ITM12002"/>
        <s v="ITM12003"/>
        <s v="ITM12004"/>
        <s v="ITM12005"/>
        <s v="ITM12006"/>
        <s v="ITM12007"/>
        <s v="ITM12008"/>
        <s v="ITM12009"/>
        <s v="ITM12010"/>
        <s v="ITM12011"/>
        <s v="ITM12012"/>
        <s v="ITM12013"/>
        <s v="ITM12014"/>
        <s v="ITM12015"/>
        <s v="ITM12016"/>
        <s v="ITM12017"/>
        <s v="ITM12018"/>
        <s v="ITM12019"/>
        <s v="ITM12020"/>
        <s v="ITM12021"/>
        <s v="ITM12022"/>
        <s v="ITM12023"/>
        <s v="ITM12024"/>
        <s v="ITM12025"/>
        <s v="ITM12026"/>
        <s v="ITM12027"/>
        <s v="ITM12028"/>
        <s v="ITM12029"/>
        <s v="ITM12030"/>
        <s v="ITM12031"/>
        <s v="ITM12032"/>
        <s v="ITM12033"/>
        <s v="ITM12034"/>
        <s v="ITM12035"/>
        <s v="ITM12036"/>
        <s v="ITM12037"/>
        <s v="ITM12038"/>
        <s v="ITM12039"/>
        <s v="ITM12040"/>
        <s v="ITM12041"/>
        <s v="ITM12042"/>
        <s v="ITM12043"/>
        <s v="ITM12044"/>
        <s v="ITM12045"/>
        <s v="ITM12046"/>
        <s v="ITM12047"/>
        <s v="ITM12048"/>
        <s v="ITM12049"/>
        <s v="ITM12050"/>
        <s v="ITM12051"/>
        <s v="ITM12052"/>
        <s v="ITM12053"/>
        <s v="ITM12054"/>
        <s v="ITM12055"/>
        <s v="ITM12056"/>
        <s v="ITM12057"/>
        <s v="ITM12058"/>
        <s v="ITM12059"/>
        <s v="ITM12060"/>
        <s v="ITM12061"/>
        <s v="ITM12062"/>
        <s v="ITM12063"/>
        <s v="ITM12064"/>
        <s v="ITM12065"/>
        <s v="ITM12066"/>
        <s v="ITM12067"/>
        <s v="ITM12068"/>
        <s v="ITM12069"/>
        <s v="ITM12070"/>
        <s v="ITM12071"/>
        <s v="ITM12072"/>
        <s v="ITM12073"/>
        <s v="ITM12074"/>
        <s v="ITM12075"/>
        <s v="ITM12076"/>
        <s v="ITM12077"/>
        <s v="ITM12078"/>
        <s v="ITM12079"/>
        <s v="ITM12080"/>
        <s v="ITM12081"/>
        <s v="ITM12082"/>
        <s v="ITM12083"/>
        <s v="ITM12084"/>
        <s v="ITM12085"/>
        <s v="ITM12086"/>
        <s v="ITM12087"/>
        <s v="ITM12088"/>
        <s v="ITM12089"/>
        <s v="ITM12090"/>
        <s v="ITM12091"/>
        <s v="ITM12092"/>
        <s v="ITM12093"/>
        <s v="ITM12094"/>
        <s v="ITM12095"/>
        <s v="ITM12096"/>
        <s v="ITM12097"/>
        <s v="ITM12098"/>
        <s v="ITM12099"/>
        <s v="ITM12100"/>
        <s v="ITM12101"/>
        <s v="ITM12102"/>
        <s v="ITM12103"/>
        <s v="ITM12104"/>
        <s v="ITM12105"/>
        <s v="ITM12106"/>
        <s v="ITM12107"/>
        <s v="ITM12108"/>
        <s v="ITM12109"/>
        <s v="ITM12110"/>
        <s v="ITM12111"/>
        <s v="ITM12112"/>
        <s v="ITM12113"/>
        <s v="ITM12114"/>
        <s v="ITM12115"/>
        <s v="ITM12116"/>
        <s v="ITM12117"/>
        <s v="ITM12118"/>
        <s v="ITM12119"/>
        <s v="ITM12120"/>
        <s v="ITM12121"/>
        <s v="ITM12122"/>
        <s v="ITM12123"/>
        <s v="ITM12124"/>
        <s v="ITM12125"/>
        <s v="ITM12126"/>
        <s v="ITM12127"/>
        <s v="ITM12128"/>
        <s v="ITM12129"/>
        <s v="ITM12130"/>
        <s v="ITM12131"/>
        <s v="ITM12132"/>
        <s v="ITM12133"/>
        <s v="ITM12134"/>
        <s v="ITM12135"/>
        <s v="ITM12136"/>
        <s v="ITM12137"/>
        <s v="ITM12138"/>
        <s v="ITM12139"/>
        <s v="ITM12140"/>
        <s v="ITM12141"/>
        <s v="ITM12142"/>
        <s v="ITM12143"/>
        <s v="ITM12144"/>
        <s v="ITM12145"/>
        <s v="ITM12146"/>
        <s v="ITM12147"/>
        <s v="ITM12148"/>
        <s v="ITM12149"/>
        <s v="ITM12150"/>
        <s v="ITM12151"/>
        <s v="ITM12152"/>
        <s v="ITM12153"/>
        <s v="ITM12154"/>
        <s v="ITM12155"/>
        <s v="ITM12156"/>
        <s v="ITM12157"/>
        <s v="ITM12158"/>
        <s v="ITM12159"/>
        <s v="ITM12160"/>
        <s v="ITM12161"/>
        <s v="ITM12162"/>
        <s v="ITM12163"/>
        <s v="ITM12164"/>
        <s v="ITM12165"/>
        <s v="ITM12166"/>
        <s v="ITM12167"/>
        <s v="ITM12168"/>
        <s v="ITM12169"/>
        <s v="ITM12170"/>
        <s v="ITM12171"/>
        <s v="ITM12172"/>
        <s v="ITM12173"/>
        <s v="ITM12174"/>
        <s v="ITM12175"/>
        <s v="ITM12176"/>
        <s v="ITM12177"/>
        <s v="ITM12178"/>
        <s v="ITM12179"/>
        <s v="ITM12180"/>
        <s v="ITM12181"/>
        <s v="ITM12182"/>
        <s v="ITM12183"/>
        <s v="ITM12184"/>
        <s v="ITM12185"/>
        <s v="ITM12186"/>
        <s v="ITM12187"/>
        <s v="ITM12188"/>
        <s v="ITM12189"/>
        <s v="ITM12190"/>
        <s v="ITM12191"/>
        <s v="ITM12192"/>
        <s v="ITM12193"/>
        <s v="ITM12194"/>
        <s v="ITM12195"/>
        <s v="ITM12196"/>
        <s v="ITM12197"/>
        <s v="ITM12198"/>
        <s v="ITM12199"/>
        <s v="ITM12200"/>
        <s v="ITM12201"/>
        <s v="ITM12202"/>
        <s v="ITM12203"/>
        <s v="ITM12204"/>
        <s v="ITM12205"/>
        <s v="ITM12206"/>
        <s v="ITM12207"/>
        <s v="ITM12208"/>
        <s v="ITM12209"/>
        <s v="ITM12210"/>
        <s v="ITM12211"/>
        <s v="ITM12212"/>
        <s v="ITM12213"/>
        <s v="ITM12214"/>
        <s v="ITM12215"/>
        <s v="ITM12216"/>
        <s v="ITM12217"/>
        <s v="ITM12218"/>
        <s v="ITM12219"/>
        <s v="ITM12220"/>
        <s v="ITM12221"/>
        <s v="ITM12222"/>
        <s v="ITM12223"/>
        <s v="ITM12224"/>
        <s v="ITM12225"/>
        <s v="ITM12226"/>
        <s v="ITM12227"/>
        <s v="ITM12228"/>
        <s v="ITM12229"/>
        <s v="ITM12230"/>
        <s v="ITM12231"/>
        <s v="ITM12232"/>
        <s v="ITM12233"/>
        <s v="ITM12234"/>
        <s v="ITM12235"/>
        <s v="ITM12236"/>
        <s v="ITM12237"/>
        <s v="ITM12238"/>
        <s v="ITM12239"/>
        <s v="ITM12240"/>
        <s v="ITM12241"/>
        <s v="ITM12242"/>
        <s v="ITM12243"/>
        <s v="ITM12244"/>
        <s v="ITM12245"/>
        <s v="ITM12246"/>
        <s v="ITM12247"/>
        <s v="ITM12248"/>
        <s v="ITM12249"/>
        <s v="ITM12250"/>
        <s v="ITM12251"/>
        <s v="ITM12252"/>
        <s v="ITM12253"/>
        <s v="ITM12254"/>
        <s v="ITM12255"/>
        <s v="ITM12256"/>
        <s v="ITM12257"/>
        <s v="ITM12258"/>
        <s v="ITM12259"/>
        <s v="ITM12260"/>
        <s v="ITM12261"/>
        <s v="ITM12262"/>
        <s v="ITM12263"/>
        <s v="ITM12264"/>
        <s v="ITM12265"/>
        <s v="ITM12266"/>
        <s v="ITM12267"/>
        <s v="ITM12268"/>
        <s v="ITM12269"/>
        <s v="ITM12270"/>
        <s v="ITM12271"/>
        <s v="ITM12272"/>
        <s v="ITM12273"/>
        <s v="ITM12274"/>
        <s v="ITM12275"/>
        <s v="ITM12276"/>
        <s v="ITM12277"/>
        <s v="ITM12278"/>
        <s v="ITM12279"/>
        <s v="ITM12280"/>
        <s v="ITM12281"/>
        <s v="ITM12282"/>
        <s v="ITM12283"/>
        <s v="ITM12284"/>
        <s v="ITM12285"/>
        <s v="ITM12286"/>
        <s v="ITM12287"/>
        <s v="ITM12288"/>
        <s v="ITM12289"/>
        <s v="ITM12290"/>
        <s v="ITM12291"/>
        <s v="ITM12292"/>
        <s v="ITM12293"/>
        <s v="ITM12294"/>
        <s v="ITM12295"/>
        <s v="ITM12296"/>
        <s v="ITM12297"/>
        <s v="ITM12298"/>
        <s v="ITM12299"/>
        <s v="ITM12300"/>
        <s v="ITM12301"/>
        <s v="ITM12302"/>
        <s v="ITM12303"/>
        <s v="ITM12304"/>
        <s v="ITM12305"/>
        <s v="ITM12306"/>
        <s v="ITM12307"/>
        <s v="ITM12308"/>
        <s v="ITM12309"/>
        <s v="ITM12310"/>
        <s v="ITM12311"/>
        <s v="ITM12312"/>
        <s v="ITM12313"/>
        <s v="ITM12314"/>
        <s v="ITM12315"/>
        <s v="ITM12316"/>
        <s v="ITM12317"/>
        <s v="ITM12318"/>
        <s v="ITM12319"/>
        <s v="ITM12320"/>
        <s v="ITM12321"/>
        <s v="ITM12322"/>
        <s v="ITM12323"/>
        <s v="ITM12324"/>
        <s v="ITM12325"/>
        <s v="ITM12326"/>
        <s v="ITM12327"/>
        <s v="ITM12328"/>
        <s v="ITM12329"/>
        <s v="ITM12330"/>
        <s v="ITM12331"/>
        <s v="ITM12332"/>
        <s v="ITM12333"/>
        <s v="ITM12334"/>
        <s v="ITM12335"/>
        <s v="ITM12336"/>
        <s v="ITM12337"/>
        <s v="ITM12338"/>
        <s v="ITM12339"/>
        <s v="ITM12340"/>
        <s v="ITM12341"/>
        <s v="ITM12342"/>
        <s v="ITM12343"/>
        <s v="ITM12344"/>
        <s v="ITM12345"/>
        <s v="ITM12346"/>
        <s v="ITM12347"/>
        <s v="ITM12348"/>
        <s v="ITM12349"/>
        <s v="ITM12350"/>
        <s v="ITM12351"/>
        <s v="ITM12352"/>
        <s v="ITM12353"/>
        <s v="ITM12354"/>
        <s v="ITM12355"/>
        <s v="ITM12356"/>
        <s v="ITM12357"/>
        <s v="ITM12358"/>
        <s v="ITM12359"/>
        <s v="ITM12360"/>
        <s v="ITM12361"/>
        <s v="ITM12362"/>
        <s v="ITM12363"/>
        <s v="ITM12364"/>
        <s v="ITM12365"/>
        <s v="ITM12366"/>
        <s v="ITM12367"/>
        <s v="ITM12368"/>
        <s v="ITM12369"/>
        <s v="ITM12370"/>
        <s v="ITM12371"/>
        <s v="ITM12372"/>
        <s v="ITM12373"/>
        <s v="ITM12374"/>
        <s v="ITM12375"/>
        <s v="ITM12376"/>
        <s v="ITM12377"/>
        <s v="ITM12378"/>
        <s v="ITM12379"/>
        <s v="ITM12380"/>
        <s v="ITM12381"/>
        <s v="ITM12382"/>
        <s v="ITM12383"/>
        <s v="ITM12384"/>
        <s v="ITM12385"/>
        <s v="ITM12386"/>
        <s v="ITM12387"/>
        <s v="ITM12388"/>
        <s v="ITM12389"/>
        <s v="ITM12390"/>
        <s v="ITM12391"/>
        <s v="ITM12392"/>
        <s v="ITM12393"/>
        <s v="ITM12394"/>
        <s v="ITM12395"/>
        <s v="ITM12396"/>
        <s v="ITM12397"/>
        <s v="ITM12398"/>
        <s v="ITM12399"/>
        <s v="ITM12400"/>
        <s v="ITM12401"/>
        <s v="ITM12402"/>
        <s v="ITM12403"/>
        <s v="ITM12404"/>
        <s v="ITM12405"/>
        <s v="ITM12406"/>
        <s v="ITM12407"/>
        <s v="ITM12408"/>
        <s v="ITM12409"/>
        <s v="ITM12410"/>
        <s v="ITM12411"/>
        <s v="ITM12412"/>
        <s v="ITM12413"/>
        <s v="ITM12414"/>
        <s v="ITM12415"/>
        <s v="ITM12416"/>
        <s v="ITM12417"/>
        <s v="ITM12418"/>
        <s v="ITM12419"/>
        <s v="ITM12420"/>
        <s v="ITM12421"/>
        <s v="ITM12422"/>
        <s v="ITM12423"/>
        <s v="ITM12424"/>
        <s v="ITM12425"/>
        <s v="ITM12426"/>
        <s v="ITM12427"/>
        <s v="ITM12428"/>
        <s v="ITM12429"/>
        <s v="ITM12430"/>
        <s v="ITM12431"/>
        <s v="ITM12432"/>
        <s v="ITM12433"/>
        <s v="ITM12434"/>
        <s v="ITM12435"/>
        <s v="ITM12436"/>
        <s v="ITM12437"/>
        <s v="ITM12438"/>
        <s v="ITM12439"/>
        <s v="ITM12440"/>
        <s v="ITM12441"/>
        <s v="ITM12442"/>
        <s v="ITM12443"/>
        <s v="ITM12444"/>
        <s v="ITM12445"/>
        <s v="ITM12446"/>
        <s v="ITM12447"/>
        <s v="ITM12448"/>
        <s v="ITM12449"/>
        <s v="ITM12450"/>
        <s v="ITM12451"/>
        <s v="ITM12452"/>
        <s v="ITM12453"/>
        <s v="ITM12454"/>
        <s v="ITM12455"/>
        <s v="ITM12456"/>
        <s v="ITM12457"/>
        <s v="ITM12458"/>
        <s v="ITM12459"/>
        <s v="ITM12460"/>
        <s v="ITM12461"/>
        <s v="ITM12462"/>
        <s v="ITM12463"/>
        <s v="ITM12464"/>
        <s v="ITM12465"/>
        <s v="ITM12466"/>
        <s v="ITM12467"/>
        <s v="ITM12468"/>
        <s v="ITM12469"/>
        <s v="ITM12470"/>
        <s v="ITM12471"/>
        <s v="ITM12472"/>
        <s v="ITM12473"/>
        <s v="ITM12474"/>
        <s v="ITM12475"/>
        <s v="ITM12476"/>
        <s v="ITM12477"/>
        <s v="ITM12478"/>
        <s v="ITM12479"/>
        <s v="ITM12480"/>
        <s v="ITM12481"/>
        <s v="ITM12482"/>
        <s v="ITM12483"/>
        <s v="ITM12484"/>
        <s v="ITM12485"/>
        <s v="ITM12486"/>
        <s v="ITM12487"/>
        <s v="ITM12488"/>
        <s v="ITM12489"/>
        <s v="ITM12490"/>
        <s v="ITM12491"/>
        <s v="ITM12492"/>
        <s v="ITM12493"/>
        <s v="ITM12494"/>
        <s v="ITM12495"/>
        <s v="ITM12496"/>
        <s v="ITM12497"/>
        <s v="ITM12498"/>
        <s v="ITM12499"/>
        <s v="ITM12500"/>
        <s v="ITM12501"/>
        <s v="ITM12502"/>
        <s v="ITM12503"/>
        <s v="ITM12504"/>
        <s v="ITM12505"/>
        <s v="ITM12506"/>
        <s v="ITM12507"/>
        <s v="ITM12508"/>
        <s v="ITM12509"/>
        <s v="ITM12510"/>
        <s v="ITM12511"/>
        <s v="ITM12512"/>
        <s v="ITM12513"/>
        <s v="ITM12514"/>
        <s v="ITM12515"/>
        <s v="ITM12516"/>
        <s v="ITM12517"/>
        <s v="ITM12518"/>
        <s v="ITM12519"/>
        <s v="ITM12520"/>
        <s v="ITM12521"/>
        <s v="ITM12522"/>
        <s v="ITM12523"/>
        <s v="ITM12524"/>
        <s v="ITM12525"/>
        <s v="ITM12526"/>
        <s v="ITM12527"/>
        <s v="ITM12528"/>
        <s v="ITM12529"/>
        <s v="ITM12530"/>
        <s v="ITM12531"/>
        <s v="ITM12532"/>
        <s v="ITM12533"/>
        <s v="ITM12534"/>
        <s v="ITM12535"/>
        <s v="ITM12536"/>
        <s v="ITM12537"/>
        <s v="ITM12538"/>
        <s v="ITM12539"/>
        <s v="ITM12540"/>
        <s v="ITM12541"/>
        <s v="ITM12542"/>
        <s v="ITM12543"/>
        <s v="ITM12544"/>
        <s v="ITM12545"/>
        <s v="ITM12546"/>
        <s v="ITM12547"/>
        <s v="ITM12548"/>
        <s v="ITM12549"/>
        <s v="ITM12550"/>
        <s v="ITM12551"/>
        <s v="ITM12552"/>
        <s v="ITM12553"/>
        <s v="ITM12554"/>
        <s v="ITM12555"/>
        <s v="ITM12556"/>
        <s v="ITM12557"/>
        <s v="ITM12558"/>
        <s v="ITM12559"/>
        <s v="ITM12560"/>
        <s v="ITM12561"/>
        <s v="ITM12562"/>
        <s v="ITM12563"/>
        <s v="ITM12564"/>
        <s v="ITM12565"/>
        <s v="ITM12566"/>
        <s v="ITM12567"/>
        <s v="ITM12568"/>
        <s v="ITM12569"/>
        <s v="ITM12570"/>
        <s v="ITM12571"/>
        <s v="ITM12572"/>
        <s v="ITM12573"/>
        <s v="ITM12574"/>
        <s v="ITM12575"/>
        <s v="ITM12576"/>
        <s v="ITM12577"/>
        <s v="ITM12578"/>
        <s v="ITM12579"/>
        <s v="ITM12580"/>
        <s v="ITM12581"/>
        <s v="ITM12582"/>
        <s v="ITM12583"/>
        <s v="ITM12584"/>
        <s v="ITM12585"/>
        <s v="ITM12586"/>
        <s v="ITM12587"/>
        <s v="ITM12588"/>
        <s v="ITM12589"/>
        <s v="ITM12590"/>
        <s v="ITM12591"/>
        <s v="ITM12592"/>
        <s v="ITM12593"/>
        <s v="ITM12594"/>
        <s v="ITM12595"/>
        <s v="ITM12596"/>
        <s v="ITM12597"/>
        <s v="ITM12598"/>
        <s v="ITM12599"/>
        <s v="ITM12600"/>
        <s v="ITM12601"/>
        <s v="ITM12602"/>
        <s v="ITM12603"/>
        <s v="ITM12604"/>
        <s v="ITM12605"/>
        <s v="ITM12606"/>
        <s v="ITM12607"/>
        <s v="ITM12608"/>
        <s v="ITM12609"/>
        <s v="ITM12610"/>
        <s v="ITM12611"/>
        <s v="ITM12612"/>
        <s v="ITM12613"/>
        <s v="ITM12614"/>
        <s v="ITM12615"/>
        <s v="ITM12616"/>
        <s v="ITM12617"/>
        <s v="ITM12618"/>
        <s v="ITM12619"/>
        <s v="ITM12620"/>
        <s v="ITM12621"/>
        <s v="ITM12622"/>
        <s v="ITM12623"/>
        <s v="ITM12624"/>
        <s v="ITM12625"/>
        <s v="ITM12626"/>
        <s v="ITM12627"/>
        <s v="ITM12628"/>
        <s v="ITM12629"/>
        <s v="ITM12630"/>
        <s v="ITM12631"/>
        <s v="ITM12632"/>
        <s v="ITM12633"/>
        <s v="ITM12634"/>
        <s v="ITM12635"/>
        <s v="ITM12636"/>
        <s v="ITM12637"/>
        <s v="ITM12638"/>
        <s v="ITM12639"/>
        <s v="ITM12640"/>
        <s v="ITM12641"/>
        <s v="ITM12642"/>
        <s v="ITM12643"/>
        <s v="ITM12644"/>
        <s v="ITM12645"/>
        <s v="ITM12646"/>
        <s v="ITM12647"/>
        <s v="ITM12648"/>
        <s v="ITM12649"/>
        <s v="ITM12650"/>
        <s v="ITM12651"/>
        <s v="ITM12652"/>
        <s v="ITM12653"/>
        <s v="ITM12654"/>
        <s v="ITM12655"/>
        <s v="ITM12656"/>
        <s v="ITM12657"/>
        <s v="ITM12658"/>
        <s v="ITM12659"/>
        <s v="ITM12660"/>
        <s v="ITM12661"/>
        <s v="ITM12662"/>
        <s v="ITM12663"/>
        <s v="ITM12664"/>
        <s v="ITM12665"/>
        <s v="ITM12666"/>
        <s v="ITM12667"/>
        <s v="ITM12668"/>
        <s v="ITM12669"/>
        <s v="ITM12670"/>
        <s v="ITM12671"/>
        <s v="ITM12672"/>
        <s v="ITM12673"/>
        <s v="ITM12674"/>
        <s v="ITM12675"/>
        <s v="ITM12676"/>
        <s v="ITM12677"/>
        <s v="ITM12678"/>
        <s v="ITM12679"/>
        <s v="ITM12680"/>
        <s v="ITM12681"/>
        <s v="ITM12682"/>
        <s v="ITM12683"/>
        <s v="ITM12684"/>
        <s v="ITM12685"/>
        <s v="ITM12686"/>
        <s v="ITM12687"/>
        <s v="ITM12688"/>
        <s v="ITM12689"/>
        <s v="ITM12690"/>
        <s v="ITM12691"/>
        <s v="ITM12692"/>
        <s v="ITM12693"/>
        <s v="ITM12694"/>
        <s v="ITM12695"/>
        <s v="ITM12696"/>
        <s v="ITM12697"/>
        <s v="ITM12698"/>
        <s v="ITM12699"/>
        <s v="ITM12700"/>
        <s v="ITM12701"/>
        <s v="ITM12702"/>
        <s v="ITM12703"/>
        <s v="ITM12704"/>
        <s v="ITM12705"/>
        <s v="ITM12706"/>
        <s v="ITM12707"/>
        <s v="ITM12708"/>
        <s v="ITM12709"/>
        <s v="ITM12710"/>
        <s v="ITM12711"/>
        <s v="ITM12712"/>
        <s v="ITM12713"/>
        <s v="ITM12714"/>
        <s v="ITM12715"/>
        <s v="ITM12716"/>
        <s v="ITM12717"/>
        <s v="ITM12718"/>
        <s v="ITM12719"/>
        <s v="ITM12720"/>
        <s v="ITM12721"/>
        <s v="ITM12722"/>
        <s v="ITM12723"/>
        <s v="ITM12724"/>
        <s v="ITM12725"/>
        <s v="ITM12726"/>
        <s v="ITM12727"/>
        <s v="ITM12728"/>
        <s v="ITM12729"/>
        <s v="ITM12730"/>
        <s v="ITM12731"/>
        <s v="ITM12732"/>
        <s v="ITM12733"/>
        <s v="ITM12734"/>
        <s v="ITM12735"/>
        <s v="ITM12736"/>
        <s v="ITM12737"/>
        <s v="ITM12738"/>
        <s v="ITM12739"/>
        <s v="ITM12740"/>
        <s v="ITM12741"/>
        <s v="ITM12742"/>
        <s v="ITM12743"/>
        <s v="ITM12744"/>
        <s v="ITM12745"/>
        <s v="ITM12746"/>
        <s v="ITM12747"/>
        <s v="ITM12748"/>
        <s v="ITM12749"/>
        <s v="ITM12750"/>
        <s v="ITM12751"/>
        <s v="ITM12752"/>
        <s v="ITM12753"/>
        <s v="ITM12754"/>
        <s v="ITM12755"/>
        <s v="ITM12756"/>
        <s v="ITM12757"/>
        <s v="ITM12758"/>
        <s v="ITM12759"/>
        <s v="ITM12760"/>
        <s v="ITM12761"/>
        <s v="ITM12762"/>
        <s v="ITM12763"/>
        <s v="ITM12764"/>
        <s v="ITM12765"/>
        <s v="ITM12766"/>
        <s v="ITM12767"/>
        <s v="ITM12768"/>
        <s v="ITM12769"/>
        <s v="ITM12770"/>
        <s v="ITM12771"/>
        <s v="ITM12772"/>
        <s v="ITM12773"/>
        <s v="ITM12774"/>
        <s v="ITM12775"/>
        <s v="ITM12776"/>
        <s v="ITM12777"/>
        <s v="ITM12778"/>
        <s v="ITM12779"/>
        <s v="ITM12780"/>
        <s v="ITM12781"/>
        <s v="ITM12782"/>
        <s v="ITM12783"/>
        <s v="ITM12784"/>
        <s v="ITM12785"/>
        <s v="ITM12786"/>
        <s v="ITM12787"/>
        <s v="ITM12788"/>
        <s v="ITM12789"/>
        <s v="ITM12790"/>
        <s v="ITM12791"/>
        <s v="ITM12792"/>
        <s v="ITM12793"/>
        <s v="ITM12794"/>
        <s v="ITM12795"/>
        <s v="ITM12796"/>
        <s v="ITM12797"/>
        <s v="ITM12798"/>
        <s v="ITM12799"/>
        <s v="ITM12800"/>
        <s v="ITM12801"/>
        <s v="ITM12802"/>
        <s v="ITM12803"/>
        <s v="ITM12804"/>
        <s v="ITM12805"/>
        <s v="ITM12806"/>
        <s v="ITM12807"/>
        <s v="ITM12808"/>
        <s v="ITM12809"/>
        <s v="ITM12810"/>
        <s v="ITM12811"/>
        <s v="ITM12812"/>
        <s v="ITM12813"/>
        <s v="ITM12814"/>
        <s v="ITM12815"/>
        <s v="ITM12816"/>
        <s v="ITM12817"/>
        <s v="ITM12818"/>
        <s v="ITM12819"/>
        <s v="ITM12820"/>
        <s v="ITM12821"/>
        <s v="ITM12822"/>
        <s v="ITM12823"/>
        <s v="ITM12824"/>
        <s v="ITM12825"/>
        <s v="ITM12826"/>
        <s v="ITM12827"/>
        <s v="ITM12828"/>
        <s v="ITM12829"/>
        <s v="ITM12830"/>
        <s v="ITM12831"/>
        <s v="ITM12832"/>
        <s v="ITM12833"/>
        <s v="ITM12834"/>
        <s v="ITM12835"/>
        <s v="ITM12836"/>
        <s v="ITM12837"/>
        <s v="ITM12838"/>
        <s v="ITM12839"/>
        <s v="ITM12840"/>
        <s v="ITM12841"/>
        <s v="ITM12842"/>
        <s v="ITM12843"/>
        <s v="ITM12844"/>
        <s v="ITM12845"/>
        <s v="ITM12846"/>
        <s v="ITM12847"/>
        <s v="ITM12848"/>
        <s v="ITM12849"/>
        <s v="ITM12850"/>
        <s v="ITM12851"/>
        <s v="ITM12852"/>
        <s v="ITM12853"/>
        <s v="ITM12854"/>
        <s v="ITM12855"/>
        <s v="ITM12856"/>
        <s v="ITM12857"/>
        <s v="ITM12858"/>
        <s v="ITM12859"/>
        <s v="ITM12860"/>
        <s v="ITM12861"/>
        <s v="ITM12862"/>
        <s v="ITM12863"/>
        <s v="ITM12864"/>
        <s v="ITM12865"/>
        <s v="ITM12866"/>
        <s v="ITM12867"/>
        <s v="ITM12868"/>
        <s v="ITM12869"/>
        <s v="ITM12870"/>
        <s v="ITM12871"/>
        <s v="ITM12872"/>
        <s v="ITM12873"/>
        <s v="ITM12874"/>
        <s v="ITM12875"/>
        <s v="ITM12876"/>
        <s v="ITM12877"/>
        <s v="ITM12878"/>
        <s v="ITM12879"/>
        <s v="ITM12880"/>
        <s v="ITM12881"/>
        <s v="ITM12882"/>
        <s v="ITM12883"/>
        <s v="ITM12884"/>
        <s v="ITM12885"/>
        <s v="ITM12886"/>
        <s v="ITM12887"/>
        <s v="ITM12888"/>
        <s v="ITM12889"/>
        <s v="ITM12890"/>
        <s v="ITM12891"/>
        <s v="ITM12892"/>
        <s v="ITM12893"/>
        <s v="ITM12894"/>
        <s v="ITM12895"/>
        <s v="ITM12896"/>
        <s v="ITM12897"/>
        <s v="ITM12898"/>
        <s v="ITM12899"/>
        <s v="ITM12900"/>
        <s v="ITM12901"/>
        <s v="ITM12902"/>
        <s v="ITM12903"/>
        <s v="ITM12904"/>
        <s v="ITM12905"/>
        <s v="ITM12906"/>
        <s v="ITM12907"/>
        <s v="ITM12908"/>
        <s v="ITM12909"/>
        <s v="ITM12910"/>
        <s v="ITM12911"/>
        <s v="ITM12912"/>
        <s v="ITM12913"/>
        <s v="ITM12914"/>
        <s v="ITM12915"/>
        <s v="ITM12916"/>
        <s v="ITM12917"/>
        <s v="ITM12918"/>
        <s v="ITM12919"/>
        <s v="ITM12920"/>
        <s v="ITM12921"/>
        <s v="ITM12922"/>
        <s v="ITM12923"/>
        <s v="ITM12924"/>
        <s v="ITM12925"/>
        <s v="ITM12926"/>
        <s v="ITM12927"/>
        <s v="ITM12928"/>
        <s v="ITM12929"/>
        <s v="ITM12930"/>
        <s v="ITM12931"/>
        <s v="ITM12932"/>
        <s v="ITM12933"/>
        <s v="ITM12934"/>
        <s v="ITM12935"/>
        <s v="ITM12936"/>
        <s v="ITM12937"/>
        <s v="ITM12938"/>
        <s v="ITM12939"/>
        <s v="ITM12940"/>
        <s v="ITM12941"/>
        <s v="ITM12942"/>
        <s v="ITM12943"/>
        <s v="ITM12944"/>
        <s v="ITM12945"/>
        <s v="ITM12946"/>
        <s v="ITM12947"/>
        <s v="ITM12948"/>
        <s v="ITM12949"/>
        <s v="ITM12950"/>
        <s v="ITM12951"/>
        <s v="ITM12952"/>
        <s v="ITM12953"/>
        <s v="ITM12954"/>
        <s v="ITM12955"/>
        <s v="ITM12956"/>
        <s v="ITM12957"/>
        <s v="ITM12958"/>
        <s v="ITM12959"/>
        <s v="ITM12960"/>
        <s v="ITM12961"/>
        <s v="ITM12962"/>
        <s v="ITM12963"/>
        <s v="ITM12964"/>
        <s v="ITM12965"/>
        <s v="ITM12966"/>
        <s v="ITM12967"/>
        <s v="ITM12968"/>
        <s v="ITM12969"/>
        <s v="ITM12970"/>
        <s v="ITM12971"/>
        <s v="ITM12972"/>
        <s v="ITM12973"/>
        <s v="ITM12974"/>
        <s v="ITM12975"/>
        <s v="ITM12976"/>
        <s v="ITM12977"/>
        <s v="ITM12978"/>
        <s v="ITM12979"/>
        <s v="ITM12980"/>
        <s v="ITM12981"/>
        <s v="ITM12982"/>
        <s v="ITM12983"/>
        <s v="ITM12984"/>
        <s v="ITM12985"/>
        <s v="ITM12986"/>
        <s v="ITM12987"/>
        <s v="ITM12988"/>
        <s v="ITM12989"/>
        <s v="ITM12990"/>
        <s v="ITM12991"/>
        <s v="ITM12992"/>
        <s v="ITM12993"/>
        <s v="ITM12994"/>
        <s v="ITM12995"/>
        <s v="ITM12996"/>
        <s v="ITM12997"/>
        <s v="ITM12998"/>
        <s v="ITM12999"/>
        <s v="ITM13000"/>
        <s v="ITM13001"/>
        <s v="ITM13002"/>
        <s v="ITM13003"/>
        <s v="ITM13004"/>
        <s v="ITM13005"/>
        <s v="ITM13006"/>
        <s v="ITM13007"/>
        <s v="ITM13008"/>
        <s v="ITM13009"/>
        <s v="ITM13010"/>
        <s v="ITM13011"/>
        <s v="ITM13012"/>
        <s v="ITM13013"/>
        <s v="ITM13014"/>
        <s v="ITM13015"/>
        <s v="ITM13016"/>
        <s v="ITM13017"/>
        <s v="ITM13018"/>
        <s v="ITM13019"/>
        <s v="ITM13020"/>
        <s v="ITM13021"/>
        <s v="ITM13022"/>
        <s v="ITM13023"/>
        <s v="ITM13024"/>
        <s v="ITM13025"/>
        <s v="ITM13026"/>
        <s v="ITM13027"/>
        <s v="ITM13028"/>
        <s v="ITM13029"/>
        <s v="ITM13030"/>
        <s v="ITM13031"/>
        <s v="ITM13032"/>
        <s v="ITM13033"/>
        <s v="ITM13034"/>
        <s v="ITM13035"/>
        <s v="ITM13036"/>
        <s v="ITM13037"/>
        <s v="ITM13038"/>
        <s v="ITM13039"/>
        <s v="ITM13040"/>
        <s v="ITM13041"/>
        <s v="ITM13042"/>
        <s v="ITM13043"/>
        <s v="ITM13044"/>
        <s v="ITM13045"/>
        <s v="ITM13046"/>
        <s v="ITM13047"/>
        <s v="ITM13048"/>
        <s v="ITM13049"/>
        <s v="ITM13050"/>
        <s v="ITM13051"/>
        <s v="ITM13052"/>
        <s v="ITM13053"/>
        <s v="ITM13054"/>
        <s v="ITM13055"/>
        <s v="ITM13056"/>
        <s v="ITM13057"/>
        <s v="ITM13058"/>
        <s v="ITM13059"/>
        <s v="ITM13060"/>
        <s v="ITM13061"/>
        <s v="ITM13062"/>
        <s v="ITM13063"/>
        <s v="ITM13064"/>
        <s v="ITM13065"/>
        <s v="ITM13066"/>
        <s v="ITM13067"/>
        <s v="ITM13068"/>
        <s v="ITM13069"/>
        <s v="ITM13070"/>
        <s v="ITM13071"/>
        <s v="ITM13072"/>
        <s v="ITM13073"/>
        <s v="ITM13074"/>
        <s v="ITM13075"/>
        <s v="ITM13076"/>
        <s v="ITM13077"/>
        <s v="ITM13078"/>
        <s v="ITM13079"/>
        <s v="ITM13080"/>
        <s v="ITM13081"/>
        <s v="ITM13082"/>
        <s v="ITM13083"/>
        <s v="ITM13084"/>
        <s v="ITM13085"/>
        <s v="ITM13086"/>
        <s v="ITM13087"/>
        <s v="ITM13088"/>
        <s v="ITM13089"/>
        <s v="ITM13090"/>
        <s v="ITM13091"/>
        <s v="ITM13092"/>
        <s v="ITM13093"/>
        <s v="ITM13094"/>
        <s v="ITM13095"/>
        <s v="ITM13096"/>
        <s v="ITM13097"/>
        <s v="ITM13098"/>
        <s v="ITM13099"/>
        <s v="ITM13100"/>
        <s v="ITM13101"/>
        <s v="ITM13102"/>
        <s v="ITM13103"/>
        <s v="ITM13104"/>
        <s v="ITM13105"/>
        <s v="ITM13106"/>
        <s v="ITM13107"/>
        <s v="ITM13108"/>
        <s v="ITM13109"/>
        <s v="ITM13110"/>
        <s v="ITM13111"/>
        <s v="ITM13112"/>
        <s v="ITM13113"/>
        <s v="ITM13114"/>
        <s v="ITM13115"/>
        <s v="ITM13116"/>
        <s v="ITM13117"/>
        <s v="ITM13118"/>
        <s v="ITM13119"/>
        <s v="ITM13120"/>
        <s v="ITM13121"/>
        <s v="ITM13122"/>
        <s v="ITM13123"/>
        <s v="ITM13124"/>
        <s v="ITM13125"/>
        <s v="ITM13126"/>
        <s v="ITM13127"/>
        <s v="ITM13128"/>
        <s v="ITM13129"/>
        <s v="ITM13130"/>
        <s v="ITM13131"/>
        <s v="ITM13132"/>
        <s v="ITM13133"/>
        <s v="ITM13134"/>
        <s v="ITM13135"/>
        <s v="ITM13136"/>
        <s v="ITM13137"/>
        <s v="ITM13138"/>
        <s v="ITM13139"/>
        <s v="ITM13140"/>
        <s v="ITM13141"/>
        <s v="ITM13142"/>
        <s v="ITM13143"/>
        <s v="ITM13144"/>
        <s v="ITM13145"/>
        <s v="ITM13146"/>
        <s v="ITM13147"/>
        <s v="ITM13148"/>
        <s v="ITM13149"/>
        <s v="ITM13150"/>
        <s v="ITM13151"/>
        <s v="ITM13152"/>
        <s v="ITM13153"/>
        <s v="ITM13154"/>
        <s v="ITM13155"/>
        <s v="ITM13156"/>
        <s v="ITM13157"/>
        <s v="ITM13158"/>
        <s v="ITM13159"/>
        <s v="ITM13160"/>
        <s v="ITM13161"/>
        <s v="ITM13162"/>
        <s v="ITM13163"/>
        <s v="ITM13164"/>
        <s v="ITM13165"/>
        <s v="ITM13166"/>
        <s v="ITM13167"/>
        <s v="ITM13168"/>
        <s v="ITM13169"/>
        <s v="ITM13170"/>
        <s v="ITM13171"/>
        <s v="ITM13172"/>
        <s v="ITM13173"/>
        <s v="ITM13174"/>
        <s v="ITM13175"/>
        <s v="ITM13176"/>
        <s v="ITM13177"/>
        <s v="ITM13178"/>
        <s v="ITM13179"/>
        <s v="ITM13180"/>
        <s v="ITM13181"/>
        <s v="ITM13182"/>
        <s v="ITM13183"/>
        <s v="ITM13184"/>
        <s v="ITM13185"/>
        <s v="ITM13186"/>
        <s v="ITM13187"/>
        <s v="ITM13188"/>
        <s v="ITM13189"/>
        <s v="ITM13190"/>
        <s v="ITM13191"/>
        <s v="ITM13192"/>
        <s v="ITM13193"/>
        <s v="ITM13194"/>
        <s v="ITM13195"/>
        <s v="ITM13196"/>
        <s v="ITM13197"/>
        <s v="ITM13198"/>
        <s v="ITM13199"/>
        <s v="ITM13200"/>
        <s v="ITM13201"/>
        <s v="ITM13202"/>
        <s v="ITM13203"/>
      </sharedItems>
    </cacheField>
    <cacheField name="category" numFmtId="0">
      <sharedItems count="5">
        <s v="Pharma"/>
        <s v="Automotive"/>
        <s v="Groceries"/>
        <s v="Apparel"/>
        <s v="Electronics"/>
      </sharedItems>
    </cacheField>
    <cacheField name="stock_level" numFmtId="0">
      <sharedItems containsSemiMixedTypes="0" containsString="0" containsNumber="1" containsInteger="1" minValue="20" maxValue="499"/>
    </cacheField>
    <cacheField name="reorder_point" numFmtId="0">
      <sharedItems containsSemiMixedTypes="0" containsString="0" containsNumber="1" containsInteger="1" minValue="10" maxValue="99"/>
    </cacheField>
    <cacheField name="reorder_frequency_days" numFmtId="0">
      <sharedItems containsSemiMixedTypes="0" containsString="0" containsNumber="1" containsInteger="1" minValue="3" maxValue="14"/>
    </cacheField>
    <cacheField name="lead_time_days" numFmtId="0">
      <sharedItems containsSemiMixedTypes="0" containsString="0" containsNumber="1" containsInteger="1" minValue="2" maxValue="9"/>
    </cacheField>
    <cacheField name="daily_demand" numFmtId="0">
      <sharedItems containsSemiMixedTypes="0" containsString="0" containsNumber="1" minValue="1.01" maxValue="49.98"/>
    </cacheField>
    <cacheField name="storage_location_id" numFmtId="0">
      <sharedItems count="100">
        <s v="L82"/>
        <s v="L15"/>
        <s v="L4"/>
        <s v="L95"/>
        <s v="L36"/>
        <s v="L32"/>
        <s v="L29"/>
        <s v="L18"/>
        <s v="L14"/>
        <s v="L87"/>
        <s v="L70"/>
        <s v="L12"/>
        <s v="L76"/>
        <s v="L55"/>
        <s v="L5"/>
        <s v="L28"/>
        <s v="L30"/>
        <s v="L65"/>
        <s v="L78"/>
        <s v="L72"/>
        <s v="L26"/>
        <s v="L92"/>
        <s v="L84"/>
        <s v="L90"/>
        <s v="L54"/>
        <s v="L58"/>
        <s v="L1"/>
        <s v="L98"/>
        <s v="L21"/>
        <s v="L44"/>
        <s v="L20"/>
        <s v="L49"/>
        <s v="L13"/>
        <s v="L46"/>
        <s v="L45"/>
        <s v="L34"/>
        <s v="L6"/>
        <s v="L94"/>
        <s v="L59"/>
        <s v="L69"/>
        <s v="L16"/>
        <s v="L11"/>
        <s v="L71"/>
        <s v="L38"/>
        <s v="L81"/>
        <s v="L80"/>
        <s v="L47"/>
        <s v="L74"/>
        <s v="L25"/>
        <s v="L91"/>
        <s v="L9"/>
        <s v="L85"/>
        <s v="L99"/>
        <s v="L48"/>
        <s v="L27"/>
        <s v="L86"/>
        <s v="L35"/>
        <s v="L88"/>
        <s v="L83"/>
        <s v="L10"/>
        <s v="L22"/>
        <s v="L60"/>
        <s v="L89"/>
        <s v="L42"/>
        <s v="L100"/>
        <s v="L8"/>
        <s v="L41"/>
        <s v="L52"/>
        <s v="L73"/>
        <s v="L64"/>
        <s v="L51"/>
        <s v="L19"/>
        <s v="L96"/>
        <s v="L75"/>
        <s v="L66"/>
        <s v="L97"/>
        <s v="L7"/>
        <s v="L77"/>
        <s v="L50"/>
        <s v="L68"/>
        <s v="L33"/>
        <s v="L2"/>
        <s v="L93"/>
        <s v="L56"/>
        <s v="L23"/>
        <s v="L39"/>
        <s v="L63"/>
        <s v="L3"/>
        <s v="L40"/>
        <s v="L31"/>
        <s v="L17"/>
        <s v="L61"/>
        <s v="L57"/>
        <s v="L67"/>
        <s v="L43"/>
        <s v="L53"/>
        <s v="L24"/>
        <s v="L62"/>
        <s v="L37"/>
        <s v="L79"/>
      </sharedItems>
    </cacheField>
    <cacheField name="zone" numFmtId="0">
      <sharedItems count="4">
        <s v="B"/>
        <s v="A"/>
        <s v="D"/>
        <s v="C"/>
      </sharedItems>
    </cacheField>
    <cacheField name="picking_time_seconds" numFmtId="0">
      <sharedItems containsSemiMixedTypes="0" containsString="0" containsNumber="1" containsInteger="1" minValue="10" maxValue="179"/>
    </cacheField>
    <cacheField name="handling_cost_per_unit" numFmtId="0">
      <sharedItems containsSemiMixedTypes="0" containsString="0" containsNumber="1" minValue="0.5" maxValue="5"/>
    </cacheField>
    <cacheField name="unit_price" numFmtId="2">
      <sharedItems containsSemiMixedTypes="0" containsString="0" containsNumber="1" minValue="10.220000000000001" maxValue="200"/>
    </cacheField>
    <cacheField name="holding_cost_per_unit_day" numFmtId="0">
      <sharedItems containsSemiMixedTypes="0" containsString="0" containsNumber="1" minValue="0.1" maxValue="2"/>
    </cacheField>
    <cacheField name="stockout_count_last_month" numFmtId="0">
      <sharedItems containsSemiMixedTypes="0" containsString="0" containsNumber="1" containsInteger="1" minValue="0" maxValue="9"/>
    </cacheField>
    <cacheField name="order_fulfillment_rate" numFmtId="0">
      <sharedItems containsSemiMixedTypes="0" containsString="0" containsNumber="1" minValue="0.7" maxValue="1"/>
    </cacheField>
    <cacheField name="total_orders_last_month" numFmtId="0">
      <sharedItems containsSemiMixedTypes="0" containsString="0" containsNumber="1" containsInteger="1" minValue="50" maxValue="999"/>
    </cacheField>
    <cacheField name="turnover_ratio" numFmtId="0">
      <sharedItems containsSemiMixedTypes="0" containsString="0" containsNumber="1" minValue="1" maxValue="15"/>
    </cacheField>
    <cacheField name="layout_efficiency_score" numFmtId="0">
      <sharedItems containsSemiMixedTypes="0" containsString="0" containsNumber="1" minValue="0.2" maxValue="1"/>
    </cacheField>
    <cacheField name="last_restock_date" numFmtId="14">
      <sharedItems containsSemiMixedTypes="0" containsNonDate="0" containsDate="1" containsString="0" minDate="2024-01-01T00:00:00" maxDate="2024-12-31T00:00:00"/>
    </cacheField>
    <cacheField name="forecasted_demand_next_7d" numFmtId="0">
      <sharedItems containsSemiMixedTypes="0" containsString="0" containsNumber="1" minValue="10.09" maxValue="299.94"/>
    </cacheField>
    <cacheField name="KPI_score" numFmtId="0">
      <sharedItems containsSemiMixedTypes="0" containsString="0" containsNumber="1" minValue="0.25900000000000001" maxValue="0.93600000000000005"/>
    </cacheField>
    <cacheField name="Inventory Value" numFmtId="0">
      <sharedItems containsSemiMixedTypes="0" containsString="0" containsNumber="1" minValue="270.5" maxValue="98150.900000000009"/>
    </cacheField>
    <cacheField name="Reorder Status " numFmtId="0">
      <sharedItems count="2">
        <s v="Sufficient"/>
        <s v="Reorder Required"/>
      </sharedItems>
    </cacheField>
    <cacheField name="Stock Status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1845953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4">
  <r>
    <x v="0"/>
    <x v="0"/>
    <n v="283"/>
    <n v="21"/>
    <n v="4"/>
    <n v="4"/>
    <n v="49.85"/>
    <x v="0"/>
    <x v="0"/>
    <n v="106"/>
    <n v="3.61"/>
    <n v="117.8"/>
    <n v="1.1399999999999999"/>
    <n v="0"/>
    <n v="0.8"/>
    <n v="700"/>
    <n v="3.33"/>
    <n v="0.33"/>
    <d v="2024-02-17T00:00:00"/>
    <n v="184.37"/>
    <n v="0.55600000000000005"/>
    <n v="33337.4"/>
    <x v="0"/>
    <x v="0"/>
  </r>
  <r>
    <x v="1"/>
    <x v="1"/>
    <n v="301"/>
    <n v="52"/>
    <n v="9"/>
    <n v="6"/>
    <n v="23.34"/>
    <x v="1"/>
    <x v="1"/>
    <n v="45"/>
    <n v="3.54"/>
    <n v="178.8"/>
    <n v="1.0900000000000001"/>
    <n v="3"/>
    <n v="0.79"/>
    <n v="736"/>
    <n v="10.36"/>
    <n v="0.98"/>
    <d v="2024-10-01T00:00:00"/>
    <n v="221.94"/>
    <n v="0.72299999999999998"/>
    <n v="53818.8"/>
    <x v="0"/>
    <x v="0"/>
  </r>
  <r>
    <x v="2"/>
    <x v="2"/>
    <n v="132"/>
    <n v="60"/>
    <n v="11"/>
    <n v="8"/>
    <n v="37.69"/>
    <x v="2"/>
    <x v="0"/>
    <n v="177"/>
    <n v="0.52"/>
    <n v="54.05"/>
    <n v="0.95"/>
    <n v="7"/>
    <n v="0.75"/>
    <n v="814"/>
    <n v="14.32"/>
    <n v="0.87"/>
    <d v="2024-04-07T00:00:00"/>
    <n v="53.85"/>
    <n v="0.68"/>
    <n v="7134.5999999999995"/>
    <x v="0"/>
    <x v="1"/>
  </r>
  <r>
    <x v="3"/>
    <x v="1"/>
    <n v="346"/>
    <n v="46"/>
    <n v="13"/>
    <n v="5"/>
    <n v="33.69"/>
    <x v="3"/>
    <x v="1"/>
    <n v="39"/>
    <n v="2.64"/>
    <n v="31.1"/>
    <n v="1.9"/>
    <n v="0"/>
    <n v="0.96"/>
    <n v="994"/>
    <n v="2.08"/>
    <n v="0.28999999999999998"/>
    <d v="2024-01-27T00:00:00"/>
    <n v="92.04"/>
    <n v="0.48799999999999999"/>
    <n v="10760.6"/>
    <x v="0"/>
    <x v="0"/>
  </r>
  <r>
    <x v="4"/>
    <x v="1"/>
    <n v="49"/>
    <n v="55"/>
    <n v="4"/>
    <n v="6"/>
    <n v="49.58"/>
    <x v="4"/>
    <x v="2"/>
    <n v="35"/>
    <n v="1.4"/>
    <n v="104.97"/>
    <n v="0.63"/>
    <n v="5"/>
    <n v="0.83"/>
    <n v="299"/>
    <n v="5.65"/>
    <n v="0.96"/>
    <d v="2024-05-17T00:00:00"/>
    <n v="194.58"/>
    <n v="0.67"/>
    <n v="5143.53"/>
    <x v="1"/>
    <x v="2"/>
  </r>
  <r>
    <x v="5"/>
    <x v="3"/>
    <n v="154"/>
    <n v="62"/>
    <n v="9"/>
    <n v="6"/>
    <n v="35.950000000000003"/>
    <x v="5"/>
    <x v="1"/>
    <n v="94"/>
    <n v="1.96"/>
    <n v="164.12"/>
    <n v="0.66"/>
    <n v="1"/>
    <n v="0.99"/>
    <n v="477"/>
    <n v="7.61"/>
    <n v="0.95"/>
    <d v="2024-07-12T00:00:00"/>
    <n v="180.65"/>
    <n v="0.80300000000000005"/>
    <n v="25274.48"/>
    <x v="0"/>
    <x v="1"/>
  </r>
  <r>
    <x v="6"/>
    <x v="2"/>
    <n v="86"/>
    <n v="97"/>
    <n v="6"/>
    <n v="4"/>
    <n v="9.0399999999999991"/>
    <x v="6"/>
    <x v="3"/>
    <n v="110"/>
    <n v="4.9000000000000004"/>
    <n v="134.38"/>
    <n v="0.37"/>
    <n v="8"/>
    <n v="0.88"/>
    <n v="418"/>
    <n v="4.25"/>
    <n v="0.45"/>
    <d v="2024-12-10T00:00:00"/>
    <n v="223.69"/>
    <n v="0.52600000000000002"/>
    <n v="11556.68"/>
    <x v="1"/>
    <x v="2"/>
  </r>
  <r>
    <x v="7"/>
    <x v="2"/>
    <n v="84"/>
    <n v="89"/>
    <n v="13"/>
    <n v="4"/>
    <n v="47.82"/>
    <x v="7"/>
    <x v="2"/>
    <n v="130"/>
    <n v="0.88"/>
    <n v="131.09"/>
    <n v="1.42"/>
    <n v="7"/>
    <n v="0.74"/>
    <n v="958"/>
    <n v="11.37"/>
    <n v="0.7"/>
    <d v="2024-11-05T00:00:00"/>
    <n v="195.75"/>
    <n v="0.55800000000000005"/>
    <n v="11011.56"/>
    <x v="1"/>
    <x v="2"/>
  </r>
  <r>
    <x v="8"/>
    <x v="2"/>
    <n v="311"/>
    <n v="22"/>
    <n v="4"/>
    <n v="9"/>
    <n v="33.72"/>
    <x v="3"/>
    <x v="2"/>
    <n v="40"/>
    <n v="3.75"/>
    <n v="13.32"/>
    <n v="0.71"/>
    <n v="8"/>
    <n v="0.86"/>
    <n v="697"/>
    <n v="10.64"/>
    <n v="0.28999999999999998"/>
    <d v="2024-11-04T00:00:00"/>
    <n v="105.74"/>
    <n v="0.54100000000000004"/>
    <n v="4142.5200000000004"/>
    <x v="0"/>
    <x v="0"/>
  </r>
  <r>
    <x v="9"/>
    <x v="1"/>
    <n v="44"/>
    <n v="98"/>
    <n v="9"/>
    <n v="8"/>
    <n v="3.91"/>
    <x v="8"/>
    <x v="1"/>
    <n v="26"/>
    <n v="1.28"/>
    <n v="70.319999999999993"/>
    <n v="1.63"/>
    <n v="8"/>
    <n v="1"/>
    <n v="496"/>
    <n v="2.65"/>
    <n v="0.27"/>
    <d v="2024-01-21T00:00:00"/>
    <n v="154.78"/>
    <n v="0.36599999999999999"/>
    <n v="3094.08"/>
    <x v="1"/>
    <x v="2"/>
  </r>
  <r>
    <x v="10"/>
    <x v="0"/>
    <n v="56"/>
    <n v="63"/>
    <n v="7"/>
    <n v="2"/>
    <n v="33.22"/>
    <x v="9"/>
    <x v="0"/>
    <n v="107"/>
    <n v="0.53"/>
    <n v="188.5"/>
    <n v="1.95"/>
    <n v="1"/>
    <n v="0.87"/>
    <n v="71"/>
    <n v="8.9700000000000006"/>
    <n v="0.6"/>
    <d v="2024-02-07T00:00:00"/>
    <n v="266.58"/>
    <n v="0.59899999999999998"/>
    <n v="10556"/>
    <x v="1"/>
    <x v="2"/>
  </r>
  <r>
    <x v="11"/>
    <x v="2"/>
    <n v="20"/>
    <n v="66"/>
    <n v="3"/>
    <n v="7"/>
    <n v="44.27"/>
    <x v="3"/>
    <x v="1"/>
    <n v="135"/>
    <n v="2.76"/>
    <n v="35.51"/>
    <n v="0.18"/>
    <n v="1"/>
    <n v="0.7"/>
    <n v="599"/>
    <n v="6.16"/>
    <n v="0.24"/>
    <d v="2024-04-06T00:00:00"/>
    <n v="63.97"/>
    <n v="0.63200000000000001"/>
    <n v="710.19999999999993"/>
    <x v="1"/>
    <x v="2"/>
  </r>
  <r>
    <x v="12"/>
    <x v="1"/>
    <n v="418"/>
    <n v="13"/>
    <n v="7"/>
    <n v="3"/>
    <n v="29.28"/>
    <x v="10"/>
    <x v="1"/>
    <n v="33"/>
    <n v="1.23"/>
    <n v="148.01"/>
    <n v="1.99"/>
    <n v="8"/>
    <n v="0.98"/>
    <n v="588"/>
    <n v="4.2"/>
    <n v="0.9"/>
    <d v="2024-10-27T00:00:00"/>
    <n v="119.26"/>
    <n v="0.47299999999999998"/>
    <n v="61868.179999999993"/>
    <x v="0"/>
    <x v="0"/>
  </r>
  <r>
    <x v="13"/>
    <x v="3"/>
    <n v="56"/>
    <n v="84"/>
    <n v="14"/>
    <n v="5"/>
    <n v="18.350000000000001"/>
    <x v="11"/>
    <x v="2"/>
    <n v="131"/>
    <n v="4.84"/>
    <n v="154.27000000000001"/>
    <n v="0.57999999999999996"/>
    <n v="1"/>
    <n v="0.77"/>
    <n v="331"/>
    <n v="12.88"/>
    <n v="0.94"/>
    <d v="2024-12-09T00:00:00"/>
    <n v="254.1"/>
    <n v="0.83599999999999997"/>
    <n v="8639.1200000000008"/>
    <x v="1"/>
    <x v="2"/>
  </r>
  <r>
    <x v="14"/>
    <x v="0"/>
    <n v="160"/>
    <n v="58"/>
    <n v="14"/>
    <n v="4"/>
    <n v="41.22"/>
    <x v="12"/>
    <x v="3"/>
    <n v="141"/>
    <n v="1.42"/>
    <n v="149.24"/>
    <n v="0.9"/>
    <n v="3"/>
    <n v="0.91"/>
    <n v="328"/>
    <n v="1.77"/>
    <n v="0.25"/>
    <d v="2024-10-13T00:00:00"/>
    <n v="115.62"/>
    <n v="0.50600000000000001"/>
    <n v="23878.400000000001"/>
    <x v="0"/>
    <x v="1"/>
  </r>
  <r>
    <x v="15"/>
    <x v="3"/>
    <n v="251"/>
    <n v="16"/>
    <n v="5"/>
    <n v="5"/>
    <n v="39.340000000000003"/>
    <x v="13"/>
    <x v="0"/>
    <n v="146"/>
    <n v="1.36"/>
    <n v="197.96"/>
    <n v="1.58"/>
    <n v="1"/>
    <n v="0.85"/>
    <n v="169"/>
    <n v="7.54"/>
    <n v="0.24"/>
    <d v="2024-04-21T00:00:00"/>
    <n v="129.55000000000001"/>
    <n v="0.54100000000000004"/>
    <n v="49687.96"/>
    <x v="0"/>
    <x v="0"/>
  </r>
  <r>
    <x v="16"/>
    <x v="0"/>
    <n v="155"/>
    <n v="20"/>
    <n v="9"/>
    <n v="7"/>
    <n v="27.66"/>
    <x v="14"/>
    <x v="1"/>
    <n v="139"/>
    <n v="0.64"/>
    <n v="87.75"/>
    <n v="1.36"/>
    <n v="0"/>
    <n v="0.8"/>
    <n v="302"/>
    <n v="7.65"/>
    <n v="0.38"/>
    <d v="2024-09-02T00:00:00"/>
    <n v="102.57"/>
    <n v="0.60199999999999998"/>
    <n v="13601.25"/>
    <x v="0"/>
    <x v="1"/>
  </r>
  <r>
    <x v="17"/>
    <x v="1"/>
    <n v="408"/>
    <n v="63"/>
    <n v="8"/>
    <n v="7"/>
    <n v="8.56"/>
    <x v="2"/>
    <x v="3"/>
    <n v="172"/>
    <n v="1.98"/>
    <n v="139.62"/>
    <n v="1.58"/>
    <n v="9"/>
    <n v="0.78"/>
    <n v="920"/>
    <n v="8.98"/>
    <n v="0.94"/>
    <d v="2024-04-16T00:00:00"/>
    <n v="270.86"/>
    <n v="0.52600000000000002"/>
    <n v="56964.959999999999"/>
    <x v="0"/>
    <x v="0"/>
  </r>
  <r>
    <x v="18"/>
    <x v="4"/>
    <n v="207"/>
    <n v="96"/>
    <n v="10"/>
    <n v="8"/>
    <n v="13.3"/>
    <x v="11"/>
    <x v="3"/>
    <n v="132"/>
    <n v="0.61"/>
    <n v="46.79"/>
    <n v="0.99"/>
    <n v="6"/>
    <n v="0.98"/>
    <n v="526"/>
    <n v="3.77"/>
    <n v="0.82"/>
    <d v="2024-06-19T00:00:00"/>
    <n v="202.37"/>
    <n v="0.59099999999999997"/>
    <n v="9685.5300000000007"/>
    <x v="0"/>
    <x v="1"/>
  </r>
  <r>
    <x v="19"/>
    <x v="0"/>
    <n v="147"/>
    <n v="54"/>
    <n v="7"/>
    <n v="6"/>
    <n v="37.19"/>
    <x v="15"/>
    <x v="0"/>
    <n v="47"/>
    <n v="2.74"/>
    <n v="85.94"/>
    <n v="1.84"/>
    <n v="4"/>
    <n v="0.97"/>
    <n v="114"/>
    <n v="13.2"/>
    <n v="0.74"/>
    <d v="2024-06-04T00:00:00"/>
    <n v="70.55"/>
    <n v="0.65400000000000003"/>
    <n v="12633.18"/>
    <x v="0"/>
    <x v="1"/>
  </r>
  <r>
    <x v="20"/>
    <x v="3"/>
    <n v="220"/>
    <n v="32"/>
    <n v="4"/>
    <n v="8"/>
    <n v="40.5"/>
    <x v="16"/>
    <x v="3"/>
    <n v="152"/>
    <n v="2.78"/>
    <n v="103.4"/>
    <n v="1.6"/>
    <n v="2"/>
    <n v="0.85"/>
    <n v="635"/>
    <n v="14.51"/>
    <n v="0.82"/>
    <d v="2024-01-08T00:00:00"/>
    <n v="227.39"/>
    <n v="0.72699999999999998"/>
    <n v="22748"/>
    <x v="0"/>
    <x v="1"/>
  </r>
  <r>
    <x v="21"/>
    <x v="1"/>
    <n v="146"/>
    <n v="37"/>
    <n v="11"/>
    <n v="3"/>
    <n v="14.68"/>
    <x v="17"/>
    <x v="1"/>
    <n v="179"/>
    <n v="0.74"/>
    <n v="50.82"/>
    <n v="0.69"/>
    <n v="7"/>
    <n v="0.78"/>
    <n v="352"/>
    <n v="8.69"/>
    <n v="0.36"/>
    <d v="2024-04-18T00:00:00"/>
    <n v="21.17"/>
    <n v="0.53500000000000003"/>
    <n v="7419.72"/>
    <x v="0"/>
    <x v="1"/>
  </r>
  <r>
    <x v="22"/>
    <x v="0"/>
    <n v="276"/>
    <n v="66"/>
    <n v="13"/>
    <n v="2"/>
    <n v="19.03"/>
    <x v="18"/>
    <x v="2"/>
    <n v="140"/>
    <n v="1.58"/>
    <n v="182.29"/>
    <n v="1.9"/>
    <n v="4"/>
    <n v="0.73"/>
    <n v="366"/>
    <n v="4.59"/>
    <n v="0.41"/>
    <d v="2024-04-07T00:00:00"/>
    <n v="124.96"/>
    <n v="0.41899999999999998"/>
    <n v="50312.04"/>
    <x v="0"/>
    <x v="0"/>
  </r>
  <r>
    <x v="23"/>
    <x v="4"/>
    <n v="183"/>
    <n v="35"/>
    <n v="10"/>
    <n v="5"/>
    <n v="4.8"/>
    <x v="2"/>
    <x v="3"/>
    <n v="168"/>
    <n v="4.24"/>
    <n v="146.08000000000001"/>
    <n v="1.93"/>
    <n v="0"/>
    <n v="0.75"/>
    <n v="223"/>
    <n v="13.28"/>
    <n v="0.45"/>
    <d v="2024-03-01T00:00:00"/>
    <n v="273.83"/>
    <n v="0.624"/>
    <n v="26732.640000000003"/>
    <x v="0"/>
    <x v="1"/>
  </r>
  <r>
    <x v="24"/>
    <x v="4"/>
    <n v="54"/>
    <n v="34"/>
    <n v="8"/>
    <n v="3"/>
    <n v="35.96"/>
    <x v="19"/>
    <x v="2"/>
    <n v="178"/>
    <n v="2.58"/>
    <n v="63.91"/>
    <n v="0.89"/>
    <n v="8"/>
    <n v="0.86"/>
    <n v="949"/>
    <n v="14.83"/>
    <n v="0.68"/>
    <d v="2024-09-02T00:00:00"/>
    <n v="210.04"/>
    <n v="0.65700000000000003"/>
    <n v="3451.14"/>
    <x v="0"/>
    <x v="2"/>
  </r>
  <r>
    <x v="25"/>
    <x v="2"/>
    <n v="213"/>
    <n v="63"/>
    <n v="12"/>
    <n v="9"/>
    <n v="1.18"/>
    <x v="20"/>
    <x v="0"/>
    <n v="66"/>
    <n v="2.46"/>
    <n v="35.64"/>
    <n v="1.34"/>
    <n v="4"/>
    <n v="0.79"/>
    <n v="464"/>
    <n v="11.39"/>
    <n v="0.69"/>
    <d v="2024-05-04T00:00:00"/>
    <n v="240"/>
    <n v="0.63400000000000001"/>
    <n v="7591.32"/>
    <x v="0"/>
    <x v="1"/>
  </r>
  <r>
    <x v="26"/>
    <x v="2"/>
    <n v="210"/>
    <n v="38"/>
    <n v="9"/>
    <n v="2"/>
    <n v="3.28"/>
    <x v="21"/>
    <x v="0"/>
    <n v="51"/>
    <n v="3.64"/>
    <n v="64.69"/>
    <n v="1.65"/>
    <n v="2"/>
    <n v="0.71"/>
    <n v="309"/>
    <n v="5.67"/>
    <n v="0.37"/>
    <d v="2024-12-22T00:00:00"/>
    <n v="280.08"/>
    <n v="0.48699999999999999"/>
    <n v="13584.9"/>
    <x v="0"/>
    <x v="1"/>
  </r>
  <r>
    <x v="27"/>
    <x v="3"/>
    <n v="123"/>
    <n v="92"/>
    <n v="11"/>
    <n v="5"/>
    <n v="1.21"/>
    <x v="22"/>
    <x v="3"/>
    <n v="62"/>
    <n v="3.72"/>
    <n v="128.37"/>
    <n v="1.65"/>
    <n v="5"/>
    <n v="0.84"/>
    <n v="334"/>
    <n v="4.3"/>
    <n v="0.55000000000000004"/>
    <d v="2024-11-05T00:00:00"/>
    <n v="234.62"/>
    <n v="0.47"/>
    <n v="15789.51"/>
    <x v="0"/>
    <x v="1"/>
  </r>
  <r>
    <x v="28"/>
    <x v="0"/>
    <n v="42"/>
    <n v="45"/>
    <n v="9"/>
    <n v="3"/>
    <n v="32.619999999999997"/>
    <x v="23"/>
    <x v="2"/>
    <n v="128"/>
    <n v="3.93"/>
    <n v="167.02"/>
    <n v="0.13"/>
    <n v="7"/>
    <n v="0.92"/>
    <n v="122"/>
    <n v="3.19"/>
    <n v="0.75"/>
    <d v="2024-12-26T00:00:00"/>
    <n v="35.69"/>
    <n v="0.624"/>
    <n v="7014.84"/>
    <x v="1"/>
    <x v="2"/>
  </r>
  <r>
    <x v="29"/>
    <x v="0"/>
    <n v="284"/>
    <n v="23"/>
    <n v="5"/>
    <n v="4"/>
    <n v="21.45"/>
    <x v="10"/>
    <x v="1"/>
    <n v="130"/>
    <n v="4.24"/>
    <n v="105.6"/>
    <n v="1.3"/>
    <n v="1"/>
    <n v="0.97"/>
    <n v="128"/>
    <n v="4.29"/>
    <n v="0.45"/>
    <d v="2024-04-14T00:00:00"/>
    <n v="76.89"/>
    <n v="0.59099999999999997"/>
    <n v="29990.399999999998"/>
    <x v="0"/>
    <x v="0"/>
  </r>
  <r>
    <x v="30"/>
    <x v="2"/>
    <n v="309"/>
    <n v="87"/>
    <n v="8"/>
    <n v="5"/>
    <n v="15.58"/>
    <x v="24"/>
    <x v="2"/>
    <n v="65"/>
    <n v="1.55"/>
    <n v="29.47"/>
    <n v="1.95"/>
    <n v="2"/>
    <n v="0.88"/>
    <n v="93"/>
    <n v="4.18"/>
    <n v="0.26"/>
    <d v="2024-07-22T00:00:00"/>
    <n v="155"/>
    <n v="0.44900000000000001"/>
    <n v="9106.23"/>
    <x v="0"/>
    <x v="0"/>
  </r>
  <r>
    <x v="31"/>
    <x v="0"/>
    <n v="449"/>
    <n v="44"/>
    <n v="13"/>
    <n v="3"/>
    <n v="45.72"/>
    <x v="6"/>
    <x v="3"/>
    <n v="96"/>
    <n v="0.8"/>
    <n v="57.37"/>
    <n v="0.54"/>
    <n v="6"/>
    <n v="0.92"/>
    <n v="794"/>
    <n v="14.54"/>
    <n v="0.36"/>
    <d v="2024-05-02T00:00:00"/>
    <n v="14.02"/>
    <n v="0.67600000000000005"/>
    <n v="25759.129999999997"/>
    <x v="0"/>
    <x v="0"/>
  </r>
  <r>
    <x v="32"/>
    <x v="0"/>
    <n v="481"/>
    <n v="39"/>
    <n v="13"/>
    <n v="7"/>
    <n v="10.45"/>
    <x v="25"/>
    <x v="2"/>
    <n v="85"/>
    <n v="2.21"/>
    <n v="75.58"/>
    <n v="1.61"/>
    <n v="1"/>
    <n v="0.81"/>
    <n v="52"/>
    <n v="10.01"/>
    <n v="0.33"/>
    <d v="2024-10-09T00:00:00"/>
    <n v="191.13"/>
    <n v="0.57999999999999996"/>
    <n v="36353.979999999996"/>
    <x v="0"/>
    <x v="0"/>
  </r>
  <r>
    <x v="33"/>
    <x v="4"/>
    <n v="403"/>
    <n v="26"/>
    <n v="9"/>
    <n v="2"/>
    <n v="20.079999999999998"/>
    <x v="12"/>
    <x v="2"/>
    <n v="94"/>
    <n v="4.3499999999999996"/>
    <n v="130.87"/>
    <n v="1.1200000000000001"/>
    <n v="4"/>
    <n v="0.85"/>
    <n v="492"/>
    <n v="3.34"/>
    <n v="0.71"/>
    <d v="2024-06-13T00:00:00"/>
    <n v="200.6"/>
    <n v="0.56499999999999995"/>
    <n v="52740.61"/>
    <x v="0"/>
    <x v="0"/>
  </r>
  <r>
    <x v="34"/>
    <x v="2"/>
    <n v="279"/>
    <n v="76"/>
    <n v="4"/>
    <n v="3"/>
    <n v="47.08"/>
    <x v="4"/>
    <x v="0"/>
    <n v="94"/>
    <n v="0.85"/>
    <n v="56.86"/>
    <n v="0.52"/>
    <n v="8"/>
    <n v="0.92"/>
    <n v="128"/>
    <n v="7.83"/>
    <n v="0.25"/>
    <d v="2024-05-24T00:00:00"/>
    <n v="211.97"/>
    <n v="0.52600000000000002"/>
    <n v="15863.94"/>
    <x v="0"/>
    <x v="0"/>
  </r>
  <r>
    <x v="35"/>
    <x v="1"/>
    <n v="433"/>
    <n v="89"/>
    <n v="5"/>
    <n v="4"/>
    <n v="21.93"/>
    <x v="26"/>
    <x v="3"/>
    <n v="169"/>
    <n v="3.09"/>
    <n v="54.45"/>
    <n v="0.2"/>
    <n v="6"/>
    <n v="0.92"/>
    <n v="426"/>
    <n v="3.58"/>
    <n v="0.91"/>
    <d v="2024-07-13T00:00:00"/>
    <n v="171.16"/>
    <n v="0.67400000000000004"/>
    <n v="23576.850000000002"/>
    <x v="0"/>
    <x v="0"/>
  </r>
  <r>
    <x v="36"/>
    <x v="2"/>
    <n v="498"/>
    <n v="39"/>
    <n v="6"/>
    <n v="8"/>
    <n v="28.18"/>
    <x v="27"/>
    <x v="2"/>
    <n v="90"/>
    <n v="3.65"/>
    <n v="64.38"/>
    <n v="1.54"/>
    <n v="2"/>
    <n v="0.83"/>
    <n v="742"/>
    <n v="9.48"/>
    <n v="0.27"/>
    <d v="2024-08-26T00:00:00"/>
    <n v="141.19"/>
    <n v="0.55200000000000005"/>
    <n v="32061.239999999998"/>
    <x v="0"/>
    <x v="0"/>
  </r>
  <r>
    <x v="37"/>
    <x v="1"/>
    <n v="377"/>
    <n v="54"/>
    <n v="12"/>
    <n v="5"/>
    <n v="4.9400000000000004"/>
    <x v="28"/>
    <x v="3"/>
    <n v="174"/>
    <n v="2.67"/>
    <n v="122.58"/>
    <n v="0.7"/>
    <n v="1"/>
    <n v="0.86"/>
    <n v="188"/>
    <n v="5.78"/>
    <n v="0.68"/>
    <d v="2024-09-30T00:00:00"/>
    <n v="258.11"/>
    <n v="0.69499999999999995"/>
    <n v="46212.659999999996"/>
    <x v="0"/>
    <x v="0"/>
  </r>
  <r>
    <x v="38"/>
    <x v="4"/>
    <n v="94"/>
    <n v="88"/>
    <n v="8"/>
    <n v="9"/>
    <n v="39.72"/>
    <x v="23"/>
    <x v="1"/>
    <n v="17"/>
    <n v="1.65"/>
    <n v="103.6"/>
    <n v="0.81"/>
    <n v="9"/>
    <n v="0.98"/>
    <n v="951"/>
    <n v="3.74"/>
    <n v="0.94"/>
    <d v="2024-11-28T00:00:00"/>
    <n v="232.53"/>
    <n v="0.57299999999999995"/>
    <n v="9738.4"/>
    <x v="0"/>
    <x v="2"/>
  </r>
  <r>
    <x v="39"/>
    <x v="3"/>
    <n v="374"/>
    <n v="98"/>
    <n v="3"/>
    <n v="5"/>
    <n v="21.72"/>
    <x v="13"/>
    <x v="3"/>
    <n v="20"/>
    <n v="1.97"/>
    <n v="169.91"/>
    <n v="1.02"/>
    <n v="8"/>
    <n v="0.89"/>
    <n v="864"/>
    <n v="4.4000000000000004"/>
    <n v="0.25"/>
    <d v="2024-07-02T00:00:00"/>
    <n v="187.58"/>
    <n v="0.42499999999999999"/>
    <n v="63546.34"/>
    <x v="0"/>
    <x v="0"/>
  </r>
  <r>
    <x v="40"/>
    <x v="0"/>
    <n v="91"/>
    <n v="60"/>
    <n v="11"/>
    <n v="5"/>
    <n v="40.229999999999997"/>
    <x v="29"/>
    <x v="1"/>
    <n v="147"/>
    <n v="0.82"/>
    <n v="142.61000000000001"/>
    <n v="1.06"/>
    <n v="8"/>
    <n v="0.89"/>
    <n v="56"/>
    <n v="10.45"/>
    <n v="0.51"/>
    <d v="2024-06-06T00:00:00"/>
    <n v="23.34"/>
    <n v="0.55300000000000005"/>
    <n v="12977.510000000002"/>
    <x v="0"/>
    <x v="2"/>
  </r>
  <r>
    <x v="41"/>
    <x v="4"/>
    <n v="278"/>
    <n v="56"/>
    <n v="7"/>
    <n v="4"/>
    <n v="13.44"/>
    <x v="4"/>
    <x v="3"/>
    <n v="124"/>
    <n v="1.82"/>
    <n v="136.69999999999999"/>
    <n v="0.49"/>
    <n v="8"/>
    <n v="0.94"/>
    <n v="932"/>
    <n v="6.71"/>
    <n v="0.46"/>
    <d v="2024-05-13T00:00:00"/>
    <n v="211.24"/>
    <n v="0.56000000000000005"/>
    <n v="38002.6"/>
    <x v="0"/>
    <x v="0"/>
  </r>
  <r>
    <x v="42"/>
    <x v="0"/>
    <n v="417"/>
    <n v="62"/>
    <n v="14"/>
    <n v="2"/>
    <n v="21.7"/>
    <x v="30"/>
    <x v="3"/>
    <n v="90"/>
    <n v="0.7"/>
    <n v="39.380000000000003"/>
    <n v="1.37"/>
    <n v="9"/>
    <n v="0.73"/>
    <n v="927"/>
    <n v="8.18"/>
    <n v="0.48"/>
    <d v="2024-07-03T00:00:00"/>
    <n v="171.87"/>
    <n v="0.434"/>
    <n v="16421.460000000003"/>
    <x v="0"/>
    <x v="0"/>
  </r>
  <r>
    <x v="43"/>
    <x v="3"/>
    <n v="207"/>
    <n v="73"/>
    <n v="9"/>
    <n v="5"/>
    <n v="39.54"/>
    <x v="15"/>
    <x v="2"/>
    <n v="96"/>
    <n v="3.77"/>
    <n v="20.49"/>
    <n v="1.42"/>
    <n v="2"/>
    <n v="0.86"/>
    <n v="885"/>
    <n v="12.5"/>
    <n v="0.68"/>
    <d v="2024-09-19T00:00:00"/>
    <n v="211.11"/>
    <n v="0.69299999999999995"/>
    <n v="4241.4299999999994"/>
    <x v="0"/>
    <x v="1"/>
  </r>
  <r>
    <x v="44"/>
    <x v="3"/>
    <n v="480"/>
    <n v="47"/>
    <n v="11"/>
    <n v="2"/>
    <n v="48.72"/>
    <x v="27"/>
    <x v="2"/>
    <n v="51"/>
    <n v="4.54"/>
    <n v="106.9"/>
    <n v="0.37"/>
    <n v="0"/>
    <n v="0.99"/>
    <n v="774"/>
    <n v="10.18"/>
    <n v="0.41"/>
    <d v="2024-09-11T00:00:00"/>
    <n v="100.31"/>
    <n v="0.77900000000000003"/>
    <n v="51312"/>
    <x v="0"/>
    <x v="0"/>
  </r>
  <r>
    <x v="45"/>
    <x v="4"/>
    <n v="192"/>
    <n v="73"/>
    <n v="11"/>
    <n v="3"/>
    <n v="3.92"/>
    <x v="29"/>
    <x v="1"/>
    <n v="46"/>
    <n v="3.35"/>
    <n v="23.61"/>
    <n v="1.1100000000000001"/>
    <n v="8"/>
    <n v="0.81"/>
    <n v="562"/>
    <n v="7.47"/>
    <n v="0.22"/>
    <d v="2024-08-26T00:00:00"/>
    <n v="235.33"/>
    <n v="0.435"/>
    <n v="4533.12"/>
    <x v="0"/>
    <x v="1"/>
  </r>
  <r>
    <x v="46"/>
    <x v="3"/>
    <n v="499"/>
    <n v="96"/>
    <n v="3"/>
    <n v="7"/>
    <n v="40.81"/>
    <x v="8"/>
    <x v="1"/>
    <n v="101"/>
    <n v="3.46"/>
    <n v="79.16"/>
    <n v="1.26"/>
    <n v="6"/>
    <n v="0.79"/>
    <n v="745"/>
    <n v="14.36"/>
    <n v="0.97"/>
    <d v="2024-02-20T00:00:00"/>
    <n v="131.19999999999999"/>
    <n v="0.69699999999999995"/>
    <n v="39500.839999999997"/>
    <x v="0"/>
    <x v="0"/>
  </r>
  <r>
    <x v="47"/>
    <x v="1"/>
    <n v="309"/>
    <n v="98"/>
    <n v="3"/>
    <n v="9"/>
    <n v="15.73"/>
    <x v="11"/>
    <x v="0"/>
    <n v="94"/>
    <n v="2.62"/>
    <n v="14.96"/>
    <n v="0.45"/>
    <n v="1"/>
    <n v="0.88"/>
    <n v="812"/>
    <n v="4"/>
    <n v="0.8"/>
    <d v="2024-08-28T00:00:00"/>
    <n v="269.39999999999998"/>
    <n v="0.72399999999999998"/>
    <n v="4622.6400000000003"/>
    <x v="0"/>
    <x v="0"/>
  </r>
  <r>
    <x v="48"/>
    <x v="3"/>
    <n v="64"/>
    <n v="16"/>
    <n v="5"/>
    <n v="7"/>
    <n v="27.99"/>
    <x v="31"/>
    <x v="2"/>
    <n v="68"/>
    <n v="1.2"/>
    <n v="43.59"/>
    <n v="1.8"/>
    <n v="5"/>
    <n v="0.77"/>
    <n v="776"/>
    <n v="5.05"/>
    <n v="0.31"/>
    <d v="2024-06-12T00:00:00"/>
    <n v="40.159999999999997"/>
    <n v="0.40300000000000002"/>
    <n v="2789.76"/>
    <x v="0"/>
    <x v="2"/>
  </r>
  <r>
    <x v="49"/>
    <x v="0"/>
    <n v="80"/>
    <n v="31"/>
    <n v="8"/>
    <n v="2"/>
    <n v="15.21"/>
    <x v="32"/>
    <x v="1"/>
    <n v="161"/>
    <n v="0.53"/>
    <n v="30.97"/>
    <n v="1.02"/>
    <n v="8"/>
    <n v="0.87"/>
    <n v="126"/>
    <n v="13.76"/>
    <n v="0.56000000000000005"/>
    <d v="2024-04-14T00:00:00"/>
    <n v="150.52000000000001"/>
    <n v="0.60699999999999998"/>
    <n v="2477.6"/>
    <x v="0"/>
    <x v="2"/>
  </r>
  <r>
    <x v="50"/>
    <x v="0"/>
    <n v="102"/>
    <n v="90"/>
    <n v="4"/>
    <n v="2"/>
    <n v="31.06"/>
    <x v="33"/>
    <x v="2"/>
    <n v="165"/>
    <n v="2.0499999999999998"/>
    <n v="162.19"/>
    <n v="0.32"/>
    <n v="7"/>
    <n v="0.75"/>
    <n v="92"/>
    <n v="12.95"/>
    <n v="0.25"/>
    <d v="2024-07-08T00:00:00"/>
    <n v="69.66"/>
    <n v="0.60099999999999998"/>
    <n v="16543.38"/>
    <x v="0"/>
    <x v="1"/>
  </r>
  <r>
    <x v="51"/>
    <x v="0"/>
    <n v="142"/>
    <n v="91"/>
    <n v="12"/>
    <n v="7"/>
    <n v="18.34"/>
    <x v="34"/>
    <x v="3"/>
    <n v="46"/>
    <n v="3.88"/>
    <n v="75.760000000000005"/>
    <n v="0.74"/>
    <n v="5"/>
    <n v="0.87"/>
    <n v="973"/>
    <n v="2.82"/>
    <n v="0.22"/>
    <d v="2024-06-09T00:00:00"/>
    <n v="141.51"/>
    <n v="0.48199999999999998"/>
    <n v="10757.92"/>
    <x v="0"/>
    <x v="1"/>
  </r>
  <r>
    <x v="52"/>
    <x v="0"/>
    <n v="377"/>
    <n v="50"/>
    <n v="14"/>
    <n v="5"/>
    <n v="17.350000000000001"/>
    <x v="18"/>
    <x v="0"/>
    <n v="30"/>
    <n v="4.82"/>
    <n v="24.98"/>
    <n v="1.01"/>
    <n v="5"/>
    <n v="0.88"/>
    <n v="206"/>
    <n v="14.02"/>
    <n v="0.24"/>
    <d v="2024-07-30T00:00:00"/>
    <n v="112.59"/>
    <n v="0.61"/>
    <n v="9417.4600000000009"/>
    <x v="0"/>
    <x v="0"/>
  </r>
  <r>
    <x v="53"/>
    <x v="1"/>
    <n v="35"/>
    <n v="83"/>
    <n v="13"/>
    <n v="6"/>
    <n v="2.86"/>
    <x v="35"/>
    <x v="2"/>
    <n v="170"/>
    <n v="2.44"/>
    <n v="60.44"/>
    <n v="0.12"/>
    <n v="7"/>
    <n v="0.83"/>
    <n v="579"/>
    <n v="1.1399999999999999"/>
    <n v="0.8"/>
    <d v="2024-01-24T00:00:00"/>
    <n v="243"/>
    <n v="0.58899999999999997"/>
    <n v="2115.4"/>
    <x v="1"/>
    <x v="2"/>
  </r>
  <r>
    <x v="54"/>
    <x v="2"/>
    <n v="85"/>
    <n v="19"/>
    <n v="3"/>
    <n v="6"/>
    <n v="8.1999999999999993"/>
    <x v="36"/>
    <x v="2"/>
    <n v="139"/>
    <n v="2.14"/>
    <n v="139.72999999999999"/>
    <n v="0.16"/>
    <n v="8"/>
    <n v="0.81"/>
    <n v="904"/>
    <n v="12.51"/>
    <n v="0.56000000000000005"/>
    <d v="2024-10-15T00:00:00"/>
    <n v="58.48"/>
    <n v="0.66500000000000004"/>
    <n v="11877.05"/>
    <x v="0"/>
    <x v="2"/>
  </r>
  <r>
    <x v="55"/>
    <x v="4"/>
    <n v="443"/>
    <n v="66"/>
    <n v="3"/>
    <n v="4"/>
    <n v="45.94"/>
    <x v="37"/>
    <x v="2"/>
    <n v="92"/>
    <n v="2.5099999999999998"/>
    <n v="151.66999999999999"/>
    <n v="0.21"/>
    <n v="7"/>
    <n v="0.77"/>
    <n v="269"/>
    <n v="4.9000000000000004"/>
    <n v="0.88"/>
    <d v="2024-04-23T00:00:00"/>
    <n v="183.63"/>
    <n v="0.63400000000000001"/>
    <n v="67189.81"/>
    <x v="0"/>
    <x v="0"/>
  </r>
  <r>
    <x v="56"/>
    <x v="0"/>
    <n v="164"/>
    <n v="16"/>
    <n v="7"/>
    <n v="9"/>
    <n v="49.92"/>
    <x v="38"/>
    <x v="2"/>
    <n v="165"/>
    <n v="2.42"/>
    <n v="32.770000000000003"/>
    <n v="1.1200000000000001"/>
    <n v="0"/>
    <n v="0.8"/>
    <n v="634"/>
    <n v="3.64"/>
    <n v="0.44"/>
    <d v="2024-03-15T00:00:00"/>
    <n v="127.88"/>
    <n v="0.58499999999999996"/>
    <n v="5374.2800000000007"/>
    <x v="0"/>
    <x v="1"/>
  </r>
  <r>
    <x v="57"/>
    <x v="3"/>
    <n v="394"/>
    <n v="59"/>
    <n v="6"/>
    <n v="8"/>
    <n v="39.25"/>
    <x v="39"/>
    <x v="1"/>
    <n v="152"/>
    <n v="3.32"/>
    <n v="157.93"/>
    <n v="0.74"/>
    <n v="1"/>
    <n v="0.85"/>
    <n v="239"/>
    <n v="7.28"/>
    <n v="0.82"/>
    <d v="2024-01-09T00:00:00"/>
    <n v="160.24"/>
    <n v="0.73699999999999999"/>
    <n v="62224.420000000006"/>
    <x v="0"/>
    <x v="0"/>
  </r>
  <r>
    <x v="58"/>
    <x v="0"/>
    <n v="181"/>
    <n v="61"/>
    <n v="3"/>
    <n v="7"/>
    <n v="15.05"/>
    <x v="40"/>
    <x v="1"/>
    <n v="10"/>
    <n v="3.8"/>
    <n v="80.41"/>
    <n v="1.8"/>
    <n v="5"/>
    <n v="0.77"/>
    <n v="924"/>
    <n v="13.56"/>
    <n v="0.26"/>
    <d v="2024-05-13T00:00:00"/>
    <n v="217.18"/>
    <n v="0.50700000000000001"/>
    <n v="14554.21"/>
    <x v="0"/>
    <x v="1"/>
  </r>
  <r>
    <x v="59"/>
    <x v="3"/>
    <n v="253"/>
    <n v="42"/>
    <n v="6"/>
    <n v="7"/>
    <n v="20.72"/>
    <x v="31"/>
    <x v="0"/>
    <n v="116"/>
    <n v="4.03"/>
    <n v="139.08000000000001"/>
    <n v="1.1599999999999999"/>
    <n v="7"/>
    <n v="0.93"/>
    <n v="311"/>
    <n v="12"/>
    <n v="0.71"/>
    <d v="2024-10-10T00:00:00"/>
    <n v="113.56"/>
    <n v="0.63200000000000001"/>
    <n v="35187.240000000005"/>
    <x v="0"/>
    <x v="0"/>
  </r>
  <r>
    <x v="60"/>
    <x v="3"/>
    <n v="399"/>
    <n v="10"/>
    <n v="5"/>
    <n v="4"/>
    <n v="37.24"/>
    <x v="41"/>
    <x v="3"/>
    <n v="37"/>
    <n v="3.42"/>
    <n v="137.59"/>
    <n v="1.54"/>
    <n v="3"/>
    <n v="0.91"/>
    <n v="193"/>
    <n v="14.54"/>
    <n v="0.49"/>
    <d v="2024-10-26T00:00:00"/>
    <n v="116.45"/>
    <n v="0.66"/>
    <n v="54898.41"/>
    <x v="0"/>
    <x v="0"/>
  </r>
  <r>
    <x v="61"/>
    <x v="0"/>
    <n v="163"/>
    <n v="62"/>
    <n v="4"/>
    <n v="9"/>
    <n v="48.46"/>
    <x v="42"/>
    <x v="3"/>
    <n v="59"/>
    <n v="2.4700000000000002"/>
    <n v="160.78"/>
    <n v="1.41"/>
    <n v="3"/>
    <n v="0.78"/>
    <n v="534"/>
    <n v="8.57"/>
    <n v="0.42"/>
    <d v="2024-10-23T00:00:00"/>
    <n v="32.270000000000003"/>
    <n v="0.55300000000000005"/>
    <n v="26207.14"/>
    <x v="0"/>
    <x v="1"/>
  </r>
  <r>
    <x v="62"/>
    <x v="1"/>
    <n v="377"/>
    <n v="69"/>
    <n v="11"/>
    <n v="6"/>
    <n v="23.32"/>
    <x v="43"/>
    <x v="0"/>
    <n v="44"/>
    <n v="4.78"/>
    <n v="142.46"/>
    <n v="1.0900000000000001"/>
    <n v="1"/>
    <n v="0.73"/>
    <n v="690"/>
    <n v="8.15"/>
    <n v="0.85"/>
    <d v="2024-08-01T00:00:00"/>
    <n v="170.06"/>
    <n v="0.69599999999999995"/>
    <n v="53707.420000000006"/>
    <x v="0"/>
    <x v="0"/>
  </r>
  <r>
    <x v="63"/>
    <x v="3"/>
    <n v="207"/>
    <n v="43"/>
    <n v="13"/>
    <n v="3"/>
    <n v="41.65"/>
    <x v="44"/>
    <x v="3"/>
    <n v="165"/>
    <n v="3.7"/>
    <n v="17.38"/>
    <n v="1.51"/>
    <n v="9"/>
    <n v="0.7"/>
    <n v="327"/>
    <n v="1.18"/>
    <n v="0.24"/>
    <d v="2024-05-31T00:00:00"/>
    <n v="130.9"/>
    <n v="0.27300000000000002"/>
    <n v="3597.66"/>
    <x v="0"/>
    <x v="1"/>
  </r>
  <r>
    <x v="64"/>
    <x v="3"/>
    <n v="341"/>
    <n v="13"/>
    <n v="3"/>
    <n v="5"/>
    <n v="48.78"/>
    <x v="45"/>
    <x v="1"/>
    <n v="146"/>
    <n v="2.42"/>
    <n v="108.7"/>
    <n v="1.1299999999999999"/>
    <n v="0"/>
    <n v="0.88"/>
    <n v="863"/>
    <n v="3.53"/>
    <n v="0.96"/>
    <d v="2024-03-19T00:00:00"/>
    <n v="245.56"/>
    <n v="0.70199999999999996"/>
    <n v="37066.700000000004"/>
    <x v="0"/>
    <x v="0"/>
  </r>
  <r>
    <x v="65"/>
    <x v="0"/>
    <n v="469"/>
    <n v="26"/>
    <n v="9"/>
    <n v="5"/>
    <n v="43.8"/>
    <x v="46"/>
    <x v="2"/>
    <n v="161"/>
    <n v="2.5099999999999998"/>
    <n v="41.57"/>
    <n v="0.83"/>
    <n v="9"/>
    <n v="0.76"/>
    <n v="751"/>
    <n v="7.97"/>
    <n v="0.83"/>
    <d v="2024-04-10T00:00:00"/>
    <n v="137.38999999999999"/>
    <n v="0.56100000000000005"/>
    <n v="19496.330000000002"/>
    <x v="0"/>
    <x v="0"/>
  </r>
  <r>
    <x v="66"/>
    <x v="3"/>
    <n v="493"/>
    <n v="13"/>
    <n v="6"/>
    <n v="3"/>
    <n v="12.13"/>
    <x v="47"/>
    <x v="3"/>
    <n v="141"/>
    <n v="4.18"/>
    <n v="194.29"/>
    <n v="0.93"/>
    <n v="8"/>
    <n v="0.7"/>
    <n v="712"/>
    <n v="11.54"/>
    <n v="0.48"/>
    <d v="2024-06-17T00:00:00"/>
    <n v="291.52999999999997"/>
    <n v="0.53700000000000003"/>
    <n v="95784.97"/>
    <x v="0"/>
    <x v="0"/>
  </r>
  <r>
    <x v="67"/>
    <x v="3"/>
    <n v="32"/>
    <n v="52"/>
    <n v="7"/>
    <n v="3"/>
    <n v="1.39"/>
    <x v="48"/>
    <x v="2"/>
    <n v="50"/>
    <n v="2.48"/>
    <n v="58.61"/>
    <n v="1.69"/>
    <n v="6"/>
    <n v="0.81"/>
    <n v="966"/>
    <n v="12.52"/>
    <n v="0.99"/>
    <d v="2024-04-27T00:00:00"/>
    <n v="59.82"/>
    <n v="0.63800000000000001"/>
    <n v="1875.52"/>
    <x v="1"/>
    <x v="2"/>
  </r>
  <r>
    <x v="68"/>
    <x v="0"/>
    <n v="203"/>
    <n v="99"/>
    <n v="12"/>
    <n v="9"/>
    <n v="25.11"/>
    <x v="49"/>
    <x v="2"/>
    <n v="76"/>
    <n v="2.82"/>
    <n v="89.82"/>
    <n v="1.17"/>
    <n v="8"/>
    <n v="0.99"/>
    <n v="356"/>
    <n v="4.97"/>
    <n v="0.36"/>
    <d v="2024-07-13T00:00:00"/>
    <n v="87.45"/>
    <n v="0.45900000000000002"/>
    <n v="18233.46"/>
    <x v="0"/>
    <x v="1"/>
  </r>
  <r>
    <x v="69"/>
    <x v="0"/>
    <n v="130"/>
    <n v="13"/>
    <n v="7"/>
    <n v="6"/>
    <n v="27.04"/>
    <x v="50"/>
    <x v="1"/>
    <n v="57"/>
    <n v="1.81"/>
    <n v="47.37"/>
    <n v="0.82"/>
    <n v="1"/>
    <n v="0.91"/>
    <n v="945"/>
    <n v="10.97"/>
    <n v="0.52"/>
    <d v="2024-10-18T00:00:00"/>
    <n v="123.65"/>
    <n v="0.73"/>
    <n v="6158.0999999999995"/>
    <x v="0"/>
    <x v="1"/>
  </r>
  <r>
    <x v="70"/>
    <x v="4"/>
    <n v="434"/>
    <n v="10"/>
    <n v="3"/>
    <n v="4"/>
    <n v="10.86"/>
    <x v="36"/>
    <x v="2"/>
    <n v="95"/>
    <n v="4.28"/>
    <n v="35.57"/>
    <n v="0.44"/>
    <n v="9"/>
    <n v="0.96"/>
    <n v="656"/>
    <n v="12.6"/>
    <n v="0.91"/>
    <d v="2024-05-05T00:00:00"/>
    <n v="59.42"/>
    <n v="0.71799999999999997"/>
    <n v="15437.380000000001"/>
    <x v="0"/>
    <x v="0"/>
  </r>
  <r>
    <x v="71"/>
    <x v="1"/>
    <n v="309"/>
    <n v="80"/>
    <n v="8"/>
    <n v="3"/>
    <n v="14.95"/>
    <x v="51"/>
    <x v="3"/>
    <n v="67"/>
    <n v="2.85"/>
    <n v="124.18"/>
    <n v="1.04"/>
    <n v="4"/>
    <n v="0.74"/>
    <n v="599"/>
    <n v="6.25"/>
    <n v="1"/>
    <d v="2024-09-12T00:00:00"/>
    <n v="291.97000000000003"/>
    <n v="0.64700000000000002"/>
    <n v="38371.620000000003"/>
    <x v="0"/>
    <x v="0"/>
  </r>
  <r>
    <x v="72"/>
    <x v="1"/>
    <n v="314"/>
    <n v="59"/>
    <n v="11"/>
    <n v="4"/>
    <n v="38.49"/>
    <x v="16"/>
    <x v="1"/>
    <n v="48"/>
    <n v="2.99"/>
    <n v="103.7"/>
    <n v="0.57999999999999996"/>
    <n v="1"/>
    <n v="0.72"/>
    <n v="205"/>
    <n v="10.74"/>
    <n v="0.39"/>
    <d v="2024-10-08T00:00:00"/>
    <n v="195.88"/>
    <n v="0.68700000000000006"/>
    <n v="32561.8"/>
    <x v="0"/>
    <x v="0"/>
  </r>
  <r>
    <x v="73"/>
    <x v="3"/>
    <n v="470"/>
    <n v="82"/>
    <n v="4"/>
    <n v="9"/>
    <n v="24.05"/>
    <x v="52"/>
    <x v="0"/>
    <n v="34"/>
    <n v="4.46"/>
    <n v="81.19"/>
    <n v="1.92"/>
    <n v="9"/>
    <n v="0.7"/>
    <n v="349"/>
    <n v="7.12"/>
    <n v="0.79"/>
    <d v="2024-12-01T00:00:00"/>
    <n v="13.25"/>
    <n v="0.42099999999999999"/>
    <n v="38159.299999999996"/>
    <x v="0"/>
    <x v="0"/>
  </r>
  <r>
    <x v="74"/>
    <x v="1"/>
    <n v="411"/>
    <n v="70"/>
    <n v="9"/>
    <n v="8"/>
    <n v="16.55"/>
    <x v="43"/>
    <x v="1"/>
    <n v="69"/>
    <n v="4.6399999999999997"/>
    <n v="26.23"/>
    <n v="1.03"/>
    <n v="6"/>
    <n v="0.99"/>
    <n v="396"/>
    <n v="14.8"/>
    <n v="0.44"/>
    <d v="2024-12-16T00:00:00"/>
    <n v="177.77"/>
    <n v="0.66"/>
    <n v="10780.53"/>
    <x v="0"/>
    <x v="0"/>
  </r>
  <r>
    <x v="75"/>
    <x v="3"/>
    <n v="234"/>
    <n v="44"/>
    <n v="8"/>
    <n v="2"/>
    <n v="31.51"/>
    <x v="41"/>
    <x v="3"/>
    <n v="126"/>
    <n v="4.21"/>
    <n v="149.83000000000001"/>
    <n v="0.12"/>
    <n v="8"/>
    <n v="0.79"/>
    <n v="472"/>
    <n v="1.0900000000000001"/>
    <n v="0.81"/>
    <d v="2024-06-21T00:00:00"/>
    <n v="236.56"/>
    <n v="0.56299999999999994"/>
    <n v="35060.22"/>
    <x v="0"/>
    <x v="1"/>
  </r>
  <r>
    <x v="76"/>
    <x v="4"/>
    <n v="481"/>
    <n v="17"/>
    <n v="7"/>
    <n v="5"/>
    <n v="32.99"/>
    <x v="16"/>
    <x v="1"/>
    <n v="95"/>
    <n v="0.79"/>
    <n v="11.11"/>
    <n v="0.28000000000000003"/>
    <n v="2"/>
    <n v="0.84"/>
    <n v="475"/>
    <n v="6.8"/>
    <n v="0.3"/>
    <d v="2024-05-11T00:00:00"/>
    <n v="24.88"/>
    <n v="0.65100000000000002"/>
    <n v="5343.91"/>
    <x v="0"/>
    <x v="0"/>
  </r>
  <r>
    <x v="77"/>
    <x v="0"/>
    <n v="139"/>
    <n v="33"/>
    <n v="6"/>
    <n v="6"/>
    <n v="38.700000000000003"/>
    <x v="32"/>
    <x v="3"/>
    <n v="123"/>
    <n v="2.5"/>
    <n v="96.96"/>
    <n v="0.64"/>
    <n v="0"/>
    <n v="0.82"/>
    <n v="91"/>
    <n v="4.6900000000000004"/>
    <n v="0.47"/>
    <d v="2024-09-07T00:00:00"/>
    <n v="177.6"/>
    <n v="0.65700000000000003"/>
    <n v="13477.439999999999"/>
    <x v="0"/>
    <x v="1"/>
  </r>
  <r>
    <x v="78"/>
    <x v="0"/>
    <n v="401"/>
    <n v="92"/>
    <n v="6"/>
    <n v="5"/>
    <n v="8.68"/>
    <x v="31"/>
    <x v="3"/>
    <n v="93"/>
    <n v="2.04"/>
    <n v="130.19"/>
    <n v="0.28000000000000003"/>
    <n v="3"/>
    <n v="0.92"/>
    <n v="365"/>
    <n v="12.9"/>
    <n v="0.26"/>
    <d v="2024-11-24T00:00:00"/>
    <n v="118.55"/>
    <n v="0.72"/>
    <n v="52206.19"/>
    <x v="0"/>
    <x v="0"/>
  </r>
  <r>
    <x v="79"/>
    <x v="0"/>
    <n v="74"/>
    <n v="45"/>
    <n v="8"/>
    <n v="6"/>
    <n v="37.33"/>
    <x v="4"/>
    <x v="1"/>
    <n v="164"/>
    <n v="1.46"/>
    <n v="91.84"/>
    <n v="1.8"/>
    <n v="3"/>
    <n v="0.79"/>
    <n v="687"/>
    <n v="5.0199999999999996"/>
    <n v="0.59"/>
    <d v="2024-09-08T00:00:00"/>
    <n v="178.63"/>
    <n v="0.503"/>
    <n v="6796.16"/>
    <x v="0"/>
    <x v="2"/>
  </r>
  <r>
    <x v="80"/>
    <x v="1"/>
    <n v="46"/>
    <n v="59"/>
    <n v="6"/>
    <n v="9"/>
    <n v="30.37"/>
    <x v="38"/>
    <x v="3"/>
    <n v="133"/>
    <n v="4.59"/>
    <n v="33.979999999999997"/>
    <n v="1.72"/>
    <n v="5"/>
    <n v="0.86"/>
    <n v="874"/>
    <n v="8.61"/>
    <n v="0.76"/>
    <d v="2024-08-23T00:00:00"/>
    <n v="83.26"/>
    <n v="0.56699999999999995"/>
    <n v="1563.08"/>
    <x v="1"/>
    <x v="2"/>
  </r>
  <r>
    <x v="81"/>
    <x v="4"/>
    <n v="137"/>
    <n v="52"/>
    <n v="7"/>
    <n v="2"/>
    <n v="3.82"/>
    <x v="0"/>
    <x v="0"/>
    <n v="120"/>
    <n v="4.51"/>
    <n v="157.87"/>
    <n v="1.94"/>
    <n v="4"/>
    <n v="1"/>
    <n v="126"/>
    <n v="11.36"/>
    <n v="0.5"/>
    <d v="2024-03-27T00:00:00"/>
    <n v="203.14"/>
    <n v="0.57699999999999996"/>
    <n v="21628.190000000002"/>
    <x v="0"/>
    <x v="1"/>
  </r>
  <r>
    <x v="82"/>
    <x v="1"/>
    <n v="240"/>
    <n v="36"/>
    <n v="8"/>
    <n v="5"/>
    <n v="39.090000000000003"/>
    <x v="46"/>
    <x v="3"/>
    <n v="51"/>
    <n v="2.59"/>
    <n v="71.55"/>
    <n v="1.44"/>
    <n v="4"/>
    <n v="0.83"/>
    <n v="145"/>
    <n v="7.96"/>
    <n v="0.69"/>
    <d v="2024-06-29T00:00:00"/>
    <n v="204.69"/>
    <n v="0.58599999999999997"/>
    <n v="17172"/>
    <x v="0"/>
    <x v="1"/>
  </r>
  <r>
    <x v="83"/>
    <x v="1"/>
    <n v="250"/>
    <n v="41"/>
    <n v="7"/>
    <n v="2"/>
    <n v="19.77"/>
    <x v="28"/>
    <x v="0"/>
    <n v="61"/>
    <n v="1.1100000000000001"/>
    <n v="35.6"/>
    <n v="1.33"/>
    <n v="8"/>
    <n v="0.87"/>
    <n v="312"/>
    <n v="6.75"/>
    <n v="0.66"/>
    <d v="2024-03-27T00:00:00"/>
    <n v="166.46"/>
    <n v="0.503"/>
    <n v="8900"/>
    <x v="0"/>
    <x v="0"/>
  </r>
  <r>
    <x v="84"/>
    <x v="4"/>
    <n v="72"/>
    <n v="87"/>
    <n v="9"/>
    <n v="9"/>
    <n v="17.190000000000001"/>
    <x v="53"/>
    <x v="0"/>
    <n v="57"/>
    <n v="0.56000000000000005"/>
    <n v="114.55"/>
    <n v="1.85"/>
    <n v="0"/>
    <n v="0.85"/>
    <n v="868"/>
    <n v="1.6"/>
    <n v="0.44"/>
    <d v="2024-03-12T00:00:00"/>
    <n v="277.89"/>
    <n v="0.49399999999999999"/>
    <n v="8247.6"/>
    <x v="1"/>
    <x v="2"/>
  </r>
  <r>
    <x v="85"/>
    <x v="4"/>
    <n v="314"/>
    <n v="27"/>
    <n v="11"/>
    <n v="6"/>
    <n v="22.96"/>
    <x v="33"/>
    <x v="3"/>
    <n v="41"/>
    <n v="2.4700000000000002"/>
    <n v="13.64"/>
    <n v="1.9"/>
    <n v="7"/>
    <n v="0.94"/>
    <n v="786"/>
    <n v="1.32"/>
    <n v="0.59"/>
    <d v="2024-10-06T00:00:00"/>
    <n v="273.75"/>
    <n v="0.39400000000000002"/>
    <n v="4282.96"/>
    <x v="0"/>
    <x v="0"/>
  </r>
  <r>
    <x v="86"/>
    <x v="4"/>
    <n v="340"/>
    <n v="37"/>
    <n v="12"/>
    <n v="3"/>
    <n v="17.96"/>
    <x v="54"/>
    <x v="2"/>
    <n v="161"/>
    <n v="0.68"/>
    <n v="71.569999999999993"/>
    <n v="1.77"/>
    <n v="7"/>
    <n v="0.78"/>
    <n v="672"/>
    <n v="14.4"/>
    <n v="0.26"/>
    <d v="2024-09-07T00:00:00"/>
    <n v="23.79"/>
    <n v="0.48299999999999998"/>
    <n v="24333.8"/>
    <x v="0"/>
    <x v="0"/>
  </r>
  <r>
    <x v="87"/>
    <x v="4"/>
    <n v="420"/>
    <n v="38"/>
    <n v="9"/>
    <n v="8"/>
    <n v="17.579999999999998"/>
    <x v="55"/>
    <x v="0"/>
    <n v="140"/>
    <n v="3.24"/>
    <n v="152.62"/>
    <n v="1.74"/>
    <n v="7"/>
    <n v="0.75"/>
    <n v="799"/>
    <n v="10.01"/>
    <n v="0.56999999999999995"/>
    <d v="2024-04-04T00:00:00"/>
    <n v="94.07"/>
    <n v="0.48299999999999998"/>
    <n v="64100.4"/>
    <x v="0"/>
    <x v="0"/>
  </r>
  <r>
    <x v="88"/>
    <x v="0"/>
    <n v="252"/>
    <n v="25"/>
    <n v="9"/>
    <n v="5"/>
    <n v="40.6"/>
    <x v="56"/>
    <x v="0"/>
    <n v="127"/>
    <n v="3.24"/>
    <n v="183.42"/>
    <n v="1.38"/>
    <n v="2"/>
    <n v="0.93"/>
    <n v="254"/>
    <n v="12.55"/>
    <n v="0.56999999999999995"/>
    <d v="2024-10-04T00:00:00"/>
    <n v="115.64"/>
    <n v="0.68899999999999995"/>
    <n v="46221.84"/>
    <x v="0"/>
    <x v="0"/>
  </r>
  <r>
    <x v="89"/>
    <x v="2"/>
    <n v="177"/>
    <n v="56"/>
    <n v="6"/>
    <n v="2"/>
    <n v="7.1"/>
    <x v="23"/>
    <x v="1"/>
    <n v="164"/>
    <n v="4.55"/>
    <n v="122.43"/>
    <n v="0.1"/>
    <n v="9"/>
    <n v="0.82"/>
    <n v="337"/>
    <n v="7.73"/>
    <n v="0.22"/>
    <d v="2024-11-24T00:00:00"/>
    <n v="26.03"/>
    <n v="0.52100000000000002"/>
    <n v="21670.11"/>
    <x v="0"/>
    <x v="1"/>
  </r>
  <r>
    <x v="90"/>
    <x v="2"/>
    <n v="456"/>
    <n v="68"/>
    <n v="3"/>
    <n v="7"/>
    <n v="48.56"/>
    <x v="57"/>
    <x v="0"/>
    <n v="177"/>
    <n v="1.36"/>
    <n v="51.35"/>
    <n v="0.92"/>
    <n v="7"/>
    <n v="0.97"/>
    <n v="312"/>
    <n v="4.66"/>
    <n v="0.61"/>
    <d v="2024-01-31T00:00:00"/>
    <n v="161.85"/>
    <n v="0.54600000000000004"/>
    <n v="23415.600000000002"/>
    <x v="0"/>
    <x v="0"/>
  </r>
  <r>
    <x v="91"/>
    <x v="4"/>
    <n v="288"/>
    <n v="40"/>
    <n v="10"/>
    <n v="5"/>
    <n v="28.19"/>
    <x v="58"/>
    <x v="0"/>
    <n v="32"/>
    <n v="2.17"/>
    <n v="51.8"/>
    <n v="1.31"/>
    <n v="1"/>
    <n v="0.89"/>
    <n v="637"/>
    <n v="5.12"/>
    <n v="0.79"/>
    <d v="2024-09-25T00:00:00"/>
    <n v="17.13"/>
    <n v="0.65300000000000002"/>
    <n v="14918.4"/>
    <x v="0"/>
    <x v="0"/>
  </r>
  <r>
    <x v="92"/>
    <x v="2"/>
    <n v="40"/>
    <n v="13"/>
    <n v="6"/>
    <n v="5"/>
    <n v="9.9600000000000009"/>
    <x v="59"/>
    <x v="0"/>
    <n v="144"/>
    <n v="4.37"/>
    <n v="124.74"/>
    <n v="1.1399999999999999"/>
    <n v="7"/>
    <n v="0.87"/>
    <n v="985"/>
    <n v="1.61"/>
    <n v="0.56000000000000005"/>
    <d v="2024-01-18T00:00:00"/>
    <n v="206.64"/>
    <n v="0.45300000000000001"/>
    <n v="4989.5999999999995"/>
    <x v="0"/>
    <x v="2"/>
  </r>
  <r>
    <x v="93"/>
    <x v="2"/>
    <n v="422"/>
    <n v="46"/>
    <n v="3"/>
    <n v="5"/>
    <n v="7.43"/>
    <x v="18"/>
    <x v="0"/>
    <n v="136"/>
    <n v="2.63"/>
    <n v="87.28"/>
    <n v="1.66"/>
    <n v="7"/>
    <n v="0.72"/>
    <n v="704"/>
    <n v="12.07"/>
    <n v="0.72"/>
    <d v="2024-02-08T00:00:00"/>
    <n v="10.78"/>
    <n v="0.54300000000000004"/>
    <n v="36832.160000000003"/>
    <x v="0"/>
    <x v="0"/>
  </r>
  <r>
    <x v="94"/>
    <x v="4"/>
    <n v="72"/>
    <n v="26"/>
    <n v="7"/>
    <n v="4"/>
    <n v="29.98"/>
    <x v="0"/>
    <x v="2"/>
    <n v="46"/>
    <n v="0.77"/>
    <n v="43.68"/>
    <n v="1.66"/>
    <n v="2"/>
    <n v="0.92"/>
    <n v="364"/>
    <n v="9.14"/>
    <n v="0.63"/>
    <d v="2024-12-08T00:00:00"/>
    <n v="19.260000000000002"/>
    <n v="0.626"/>
    <n v="3144.96"/>
    <x v="0"/>
    <x v="2"/>
  </r>
  <r>
    <x v="95"/>
    <x v="2"/>
    <n v="294"/>
    <n v="48"/>
    <n v="10"/>
    <n v="2"/>
    <n v="32.020000000000003"/>
    <x v="60"/>
    <x v="0"/>
    <n v="16"/>
    <n v="1"/>
    <n v="159.61000000000001"/>
    <n v="1.24"/>
    <n v="3"/>
    <n v="0.91"/>
    <n v="418"/>
    <n v="7.73"/>
    <n v="0.83"/>
    <d v="2024-01-25T00:00:00"/>
    <n v="251.79"/>
    <n v="0.66700000000000004"/>
    <n v="46925.340000000004"/>
    <x v="0"/>
    <x v="0"/>
  </r>
  <r>
    <x v="96"/>
    <x v="1"/>
    <n v="332"/>
    <n v="57"/>
    <n v="6"/>
    <n v="2"/>
    <n v="3.6"/>
    <x v="39"/>
    <x v="3"/>
    <n v="86"/>
    <n v="4.16"/>
    <n v="48.05"/>
    <n v="0.14000000000000001"/>
    <n v="8"/>
    <n v="0.89"/>
    <n v="646"/>
    <n v="12.93"/>
    <n v="0.61"/>
    <d v="2024-01-04T00:00:00"/>
    <n v="83.26"/>
    <n v="0.69799999999999995"/>
    <n v="15952.599999999999"/>
    <x v="0"/>
    <x v="0"/>
  </r>
  <r>
    <x v="97"/>
    <x v="3"/>
    <n v="300"/>
    <n v="55"/>
    <n v="14"/>
    <n v="5"/>
    <n v="12.91"/>
    <x v="37"/>
    <x v="2"/>
    <n v="91"/>
    <n v="3.85"/>
    <n v="71.11"/>
    <n v="0.8"/>
    <n v="8"/>
    <n v="0.78"/>
    <n v="957"/>
    <n v="7.23"/>
    <n v="0.47"/>
    <d v="2024-07-30T00:00:00"/>
    <n v="33.56"/>
    <n v="0.50600000000000001"/>
    <n v="21333"/>
    <x v="0"/>
    <x v="0"/>
  </r>
  <r>
    <x v="98"/>
    <x v="3"/>
    <n v="233"/>
    <n v="99"/>
    <n v="10"/>
    <n v="9"/>
    <n v="39.979999999999997"/>
    <x v="5"/>
    <x v="0"/>
    <n v="104"/>
    <n v="4.4400000000000004"/>
    <n v="21.67"/>
    <n v="0.53"/>
    <n v="9"/>
    <n v="0.98"/>
    <n v="301"/>
    <n v="14.27"/>
    <n v="0.86"/>
    <d v="2024-03-11T00:00:00"/>
    <n v="125.85"/>
    <n v="0.72499999999999998"/>
    <n v="5049.1100000000006"/>
    <x v="0"/>
    <x v="1"/>
  </r>
  <r>
    <x v="99"/>
    <x v="4"/>
    <n v="50"/>
    <n v="57"/>
    <n v="10"/>
    <n v="9"/>
    <n v="3.43"/>
    <x v="28"/>
    <x v="3"/>
    <n v="31"/>
    <n v="1.03"/>
    <n v="143.26"/>
    <n v="0.74"/>
    <n v="8"/>
    <n v="0.8"/>
    <n v="382"/>
    <n v="1.19"/>
    <n v="0.25"/>
    <d v="2024-11-18T00:00:00"/>
    <n v="24.78"/>
    <n v="0.39200000000000002"/>
    <n v="7163"/>
    <x v="1"/>
    <x v="2"/>
  </r>
  <r>
    <x v="100"/>
    <x v="0"/>
    <n v="356"/>
    <n v="48"/>
    <n v="5"/>
    <n v="3"/>
    <n v="42.9"/>
    <x v="61"/>
    <x v="3"/>
    <n v="87"/>
    <n v="3.92"/>
    <n v="62.3"/>
    <n v="1.27"/>
    <n v="9"/>
    <n v="0.75"/>
    <n v="793"/>
    <n v="14.78"/>
    <n v="0.43"/>
    <d v="2024-04-28T00:00:00"/>
    <n v="227.62"/>
    <n v="0.52600000000000002"/>
    <n v="22178.799999999999"/>
    <x v="0"/>
    <x v="0"/>
  </r>
  <r>
    <x v="101"/>
    <x v="4"/>
    <n v="202"/>
    <n v="13"/>
    <n v="11"/>
    <n v="5"/>
    <n v="33.25"/>
    <x v="31"/>
    <x v="2"/>
    <n v="91"/>
    <n v="3.45"/>
    <n v="54.24"/>
    <n v="0.23"/>
    <n v="5"/>
    <n v="1"/>
    <n v="475"/>
    <n v="12.42"/>
    <n v="0.67"/>
    <d v="2024-02-04T00:00:00"/>
    <n v="153.30000000000001"/>
    <n v="0.77700000000000002"/>
    <n v="10956.48"/>
    <x v="0"/>
    <x v="1"/>
  </r>
  <r>
    <x v="102"/>
    <x v="0"/>
    <n v="42"/>
    <n v="39"/>
    <n v="5"/>
    <n v="4"/>
    <n v="22.29"/>
    <x v="56"/>
    <x v="2"/>
    <n v="154"/>
    <n v="1.55"/>
    <n v="67.64"/>
    <n v="0.14000000000000001"/>
    <n v="0"/>
    <n v="0.92"/>
    <n v="344"/>
    <n v="5.97"/>
    <n v="0.88"/>
    <d v="2024-12-28T00:00:00"/>
    <n v="170.06"/>
    <n v="0.82599999999999996"/>
    <n v="2840.88"/>
    <x v="0"/>
    <x v="2"/>
  </r>
  <r>
    <x v="103"/>
    <x v="3"/>
    <n v="51"/>
    <n v="39"/>
    <n v="3"/>
    <n v="6"/>
    <n v="17.98"/>
    <x v="0"/>
    <x v="3"/>
    <n v="28"/>
    <n v="4.88"/>
    <n v="176.08"/>
    <n v="0.93"/>
    <n v="7"/>
    <n v="0.82"/>
    <n v="880"/>
    <n v="9.34"/>
    <n v="0.26"/>
    <d v="2024-03-18T00:00:00"/>
    <n v="228.37"/>
    <n v="0.50800000000000001"/>
    <n v="8980.08"/>
    <x v="0"/>
    <x v="2"/>
  </r>
  <r>
    <x v="104"/>
    <x v="4"/>
    <n v="465"/>
    <n v="31"/>
    <n v="4"/>
    <n v="4"/>
    <n v="1.94"/>
    <x v="62"/>
    <x v="2"/>
    <n v="104"/>
    <n v="3.07"/>
    <n v="108.42"/>
    <n v="1.61"/>
    <n v="8"/>
    <n v="0.98"/>
    <n v="691"/>
    <n v="13.1"/>
    <n v="0.28000000000000003"/>
    <d v="2024-01-05T00:00:00"/>
    <n v="237.49"/>
    <n v="0.50600000000000001"/>
    <n v="50415.3"/>
    <x v="0"/>
    <x v="0"/>
  </r>
  <r>
    <x v="105"/>
    <x v="1"/>
    <n v="93"/>
    <n v="84"/>
    <n v="8"/>
    <n v="9"/>
    <n v="41.44"/>
    <x v="19"/>
    <x v="2"/>
    <n v="48"/>
    <n v="4.58"/>
    <n v="40"/>
    <n v="0.16"/>
    <n v="7"/>
    <n v="0.73"/>
    <n v="334"/>
    <n v="7.74"/>
    <n v="0.43"/>
    <d v="2024-04-21T00:00:00"/>
    <n v="49.51"/>
    <n v="0.57899999999999996"/>
    <n v="3720"/>
    <x v="0"/>
    <x v="2"/>
  </r>
  <r>
    <x v="106"/>
    <x v="2"/>
    <n v="29"/>
    <n v="75"/>
    <n v="14"/>
    <n v="3"/>
    <n v="7.99"/>
    <x v="6"/>
    <x v="1"/>
    <n v="126"/>
    <n v="4.37"/>
    <n v="157.15"/>
    <n v="1.71"/>
    <n v="0"/>
    <n v="0.73"/>
    <n v="366"/>
    <n v="1.71"/>
    <n v="0.48"/>
    <d v="2024-09-15T00:00:00"/>
    <n v="91.28"/>
    <n v="0.49399999999999999"/>
    <n v="4557.3500000000004"/>
    <x v="1"/>
    <x v="2"/>
  </r>
  <r>
    <x v="107"/>
    <x v="0"/>
    <n v="475"/>
    <n v="21"/>
    <n v="12"/>
    <n v="9"/>
    <n v="16.170000000000002"/>
    <x v="57"/>
    <x v="2"/>
    <n v="45"/>
    <n v="2"/>
    <n v="49.61"/>
    <n v="0.83"/>
    <n v="5"/>
    <n v="0.9"/>
    <n v="561"/>
    <n v="13.65"/>
    <n v="0.87"/>
    <d v="2024-08-21T00:00:00"/>
    <n v="60.94"/>
    <n v="0.753"/>
    <n v="23564.75"/>
    <x v="0"/>
    <x v="0"/>
  </r>
  <r>
    <x v="108"/>
    <x v="2"/>
    <n v="73"/>
    <n v="45"/>
    <n v="4"/>
    <n v="9"/>
    <n v="28.89"/>
    <x v="63"/>
    <x v="1"/>
    <n v="24"/>
    <n v="2.91"/>
    <n v="88.37"/>
    <n v="0.32"/>
    <n v="8"/>
    <n v="0.75"/>
    <n v="78"/>
    <n v="8.24"/>
    <n v="0.97"/>
    <d v="2024-07-10T00:00:00"/>
    <n v="25.67"/>
    <n v="0.66200000000000003"/>
    <n v="6451.01"/>
    <x v="0"/>
    <x v="2"/>
  </r>
  <r>
    <x v="109"/>
    <x v="2"/>
    <n v="71"/>
    <n v="27"/>
    <n v="8"/>
    <n v="9"/>
    <n v="13.05"/>
    <x v="52"/>
    <x v="2"/>
    <n v="166"/>
    <n v="2.44"/>
    <n v="117.93"/>
    <n v="1.18"/>
    <n v="8"/>
    <n v="0.98"/>
    <n v="789"/>
    <n v="8.6300000000000008"/>
    <n v="0.21"/>
    <d v="2024-01-31T00:00:00"/>
    <n v="165.88"/>
    <n v="0.47499999999999998"/>
    <n v="8373.0300000000007"/>
    <x v="0"/>
    <x v="2"/>
  </r>
  <r>
    <x v="110"/>
    <x v="4"/>
    <n v="167"/>
    <n v="99"/>
    <n v="3"/>
    <n v="5"/>
    <n v="25.36"/>
    <x v="64"/>
    <x v="2"/>
    <n v="69"/>
    <n v="3.69"/>
    <n v="121.04"/>
    <n v="1.91"/>
    <n v="6"/>
    <n v="0.95"/>
    <n v="343"/>
    <n v="1.19"/>
    <n v="0.21"/>
    <d v="2024-11-12T00:00:00"/>
    <n v="82.44"/>
    <n v="0.33700000000000002"/>
    <n v="20213.68"/>
    <x v="0"/>
    <x v="1"/>
  </r>
  <r>
    <x v="111"/>
    <x v="2"/>
    <n v="179"/>
    <n v="62"/>
    <n v="13"/>
    <n v="9"/>
    <n v="40.659999999999997"/>
    <x v="65"/>
    <x v="3"/>
    <n v="177"/>
    <n v="3.15"/>
    <n v="23.12"/>
    <n v="1.1299999999999999"/>
    <n v="6"/>
    <n v="0.79"/>
    <n v="56"/>
    <n v="2.4"/>
    <n v="0.89"/>
    <d v="2024-11-22T00:00:00"/>
    <n v="54.65"/>
    <n v="0.53500000000000003"/>
    <n v="4138.4800000000005"/>
    <x v="0"/>
    <x v="1"/>
  </r>
  <r>
    <x v="112"/>
    <x v="1"/>
    <n v="389"/>
    <n v="80"/>
    <n v="3"/>
    <n v="2"/>
    <n v="24.06"/>
    <x v="16"/>
    <x v="1"/>
    <n v="153"/>
    <n v="4.03"/>
    <n v="168.99"/>
    <n v="1.4"/>
    <n v="3"/>
    <n v="0.97"/>
    <n v="591"/>
    <n v="11.88"/>
    <n v="0.31"/>
    <d v="2024-12-07T00:00:00"/>
    <n v="157.94"/>
    <n v="0.61399999999999999"/>
    <n v="65737.11"/>
    <x v="0"/>
    <x v="0"/>
  </r>
  <r>
    <x v="113"/>
    <x v="2"/>
    <n v="33"/>
    <n v="10"/>
    <n v="7"/>
    <n v="8"/>
    <n v="47.5"/>
    <x v="14"/>
    <x v="2"/>
    <n v="170"/>
    <n v="0.55000000000000004"/>
    <n v="101.09"/>
    <n v="1.65"/>
    <n v="6"/>
    <n v="0.71"/>
    <n v="264"/>
    <n v="7.09"/>
    <n v="0.47"/>
    <d v="2024-11-11T00:00:00"/>
    <n v="193.86"/>
    <n v="0.44600000000000001"/>
    <n v="3335.9700000000003"/>
    <x v="0"/>
    <x v="2"/>
  </r>
  <r>
    <x v="114"/>
    <x v="4"/>
    <n v="197"/>
    <n v="67"/>
    <n v="12"/>
    <n v="7"/>
    <n v="42.53"/>
    <x v="66"/>
    <x v="0"/>
    <n v="98"/>
    <n v="3.6"/>
    <n v="197.96"/>
    <n v="1.62"/>
    <n v="9"/>
    <n v="0.86"/>
    <n v="676"/>
    <n v="14.97"/>
    <n v="0.42"/>
    <d v="2024-09-04T00:00:00"/>
    <n v="233.91"/>
    <n v="0.51400000000000001"/>
    <n v="38998.120000000003"/>
    <x v="0"/>
    <x v="1"/>
  </r>
  <r>
    <x v="115"/>
    <x v="1"/>
    <n v="431"/>
    <n v="99"/>
    <n v="13"/>
    <n v="5"/>
    <n v="17.32"/>
    <x v="67"/>
    <x v="2"/>
    <n v="25"/>
    <n v="1.94"/>
    <n v="146.31"/>
    <n v="0.24"/>
    <n v="4"/>
    <n v="0.98"/>
    <n v="264"/>
    <n v="10.74"/>
    <n v="0.43"/>
    <d v="2024-12-03T00:00:00"/>
    <n v="15.07"/>
    <n v="0.72099999999999997"/>
    <n v="63059.61"/>
    <x v="0"/>
    <x v="0"/>
  </r>
  <r>
    <x v="116"/>
    <x v="3"/>
    <n v="385"/>
    <n v="96"/>
    <n v="11"/>
    <n v="3"/>
    <n v="20.6"/>
    <x v="56"/>
    <x v="3"/>
    <n v="167"/>
    <n v="1.51"/>
    <n v="198.59"/>
    <n v="1.51"/>
    <n v="9"/>
    <n v="0.96"/>
    <n v="213"/>
    <n v="14.29"/>
    <n v="0.46"/>
    <d v="2024-09-06T00:00:00"/>
    <n v="162.62"/>
    <n v="0.54400000000000004"/>
    <n v="76457.149999999994"/>
    <x v="0"/>
    <x v="0"/>
  </r>
  <r>
    <x v="117"/>
    <x v="2"/>
    <n v="72"/>
    <n v="99"/>
    <n v="10"/>
    <n v="2"/>
    <n v="21.74"/>
    <x v="50"/>
    <x v="3"/>
    <n v="107"/>
    <n v="4.1100000000000003"/>
    <n v="96.16"/>
    <n v="1.9"/>
    <n v="4"/>
    <n v="0.81"/>
    <n v="219"/>
    <n v="4.91"/>
    <n v="0.47"/>
    <d v="2024-01-09T00:00:00"/>
    <n v="87.45"/>
    <n v="0.45100000000000001"/>
    <n v="6923.5199999999995"/>
    <x v="1"/>
    <x v="2"/>
  </r>
  <r>
    <x v="118"/>
    <x v="4"/>
    <n v="427"/>
    <n v="15"/>
    <n v="5"/>
    <n v="4"/>
    <n v="31.68"/>
    <x v="15"/>
    <x v="3"/>
    <n v="113"/>
    <n v="0.9"/>
    <n v="36.75"/>
    <n v="1.43"/>
    <n v="0"/>
    <n v="0.75"/>
    <n v="270"/>
    <n v="3.47"/>
    <n v="0.7"/>
    <d v="2024-01-04T00:00:00"/>
    <n v="297.56"/>
    <n v="0.59299999999999997"/>
    <n v="15692.25"/>
    <x v="0"/>
    <x v="0"/>
  </r>
  <r>
    <x v="119"/>
    <x v="3"/>
    <n v="354"/>
    <n v="79"/>
    <n v="5"/>
    <n v="9"/>
    <n v="15.05"/>
    <x v="68"/>
    <x v="1"/>
    <n v="53"/>
    <n v="1.53"/>
    <n v="148.19"/>
    <n v="1.69"/>
    <n v="1"/>
    <n v="0.76"/>
    <n v="309"/>
    <n v="6.27"/>
    <n v="0.7"/>
    <d v="2024-09-29T00:00:00"/>
    <n v="55.51"/>
    <n v="0.58699999999999997"/>
    <n v="52459.26"/>
    <x v="0"/>
    <x v="0"/>
  </r>
  <r>
    <x v="120"/>
    <x v="3"/>
    <n v="41"/>
    <n v="53"/>
    <n v="3"/>
    <n v="6"/>
    <n v="48.49"/>
    <x v="21"/>
    <x v="1"/>
    <n v="175"/>
    <n v="1.42"/>
    <n v="157.77000000000001"/>
    <n v="1.02"/>
    <n v="8"/>
    <n v="0.85"/>
    <n v="773"/>
    <n v="4.71"/>
    <n v="0.62"/>
    <d v="2024-10-09T00:00:00"/>
    <n v="136.97999999999999"/>
    <n v="0.495"/>
    <n v="6468.5700000000006"/>
    <x v="1"/>
    <x v="2"/>
  </r>
  <r>
    <x v="121"/>
    <x v="0"/>
    <n v="49"/>
    <n v="81"/>
    <n v="5"/>
    <n v="6"/>
    <n v="30.83"/>
    <x v="66"/>
    <x v="1"/>
    <n v="60"/>
    <n v="2.39"/>
    <n v="172.04"/>
    <n v="0.71"/>
    <n v="1"/>
    <n v="0.88"/>
    <n v="310"/>
    <n v="9.59"/>
    <n v="0.89"/>
    <d v="2024-07-29T00:00:00"/>
    <n v="291.31"/>
    <n v="0.79100000000000004"/>
    <n v="8429.9599999999991"/>
    <x v="1"/>
    <x v="2"/>
  </r>
  <r>
    <x v="122"/>
    <x v="1"/>
    <n v="210"/>
    <n v="33"/>
    <n v="14"/>
    <n v="8"/>
    <n v="20.57"/>
    <x v="15"/>
    <x v="0"/>
    <n v="27"/>
    <n v="1.95"/>
    <n v="67.28"/>
    <n v="1.38"/>
    <n v="9"/>
    <n v="0.71"/>
    <n v="863"/>
    <n v="11.42"/>
    <n v="0.88"/>
    <d v="2024-01-07T00:00:00"/>
    <n v="71.8"/>
    <n v="0.55200000000000005"/>
    <n v="14128.800000000001"/>
    <x v="0"/>
    <x v="1"/>
  </r>
  <r>
    <x v="123"/>
    <x v="2"/>
    <n v="279"/>
    <n v="95"/>
    <n v="14"/>
    <n v="5"/>
    <n v="32.61"/>
    <x v="22"/>
    <x v="1"/>
    <n v="14"/>
    <n v="3.74"/>
    <n v="107.03"/>
    <n v="1.04"/>
    <n v="1"/>
    <n v="0.82"/>
    <n v="892"/>
    <n v="6.63"/>
    <n v="0.37"/>
    <d v="2024-01-09T00:00:00"/>
    <n v="244"/>
    <n v="0.60199999999999998"/>
    <n v="29861.37"/>
    <x v="0"/>
    <x v="0"/>
  </r>
  <r>
    <x v="124"/>
    <x v="4"/>
    <n v="224"/>
    <n v="28"/>
    <n v="14"/>
    <n v="4"/>
    <n v="20.37"/>
    <x v="69"/>
    <x v="3"/>
    <n v="177"/>
    <n v="3.65"/>
    <n v="172.93"/>
    <n v="1.8"/>
    <n v="8"/>
    <n v="0.95"/>
    <n v="691"/>
    <n v="2.2599999999999998"/>
    <n v="0.63"/>
    <d v="2024-09-28T00:00:00"/>
    <n v="80.48"/>
    <n v="0.40600000000000003"/>
    <n v="38736.32"/>
    <x v="0"/>
    <x v="1"/>
  </r>
  <r>
    <x v="125"/>
    <x v="0"/>
    <n v="78"/>
    <n v="27"/>
    <n v="13"/>
    <n v="8"/>
    <n v="41.07"/>
    <x v="70"/>
    <x v="1"/>
    <n v="15"/>
    <n v="1.96"/>
    <n v="174.3"/>
    <n v="1.95"/>
    <n v="2"/>
    <n v="0.83"/>
    <n v="666"/>
    <n v="1.37"/>
    <n v="0.83"/>
    <d v="2024-05-20T00:00:00"/>
    <n v="31.83"/>
    <n v="0.51500000000000001"/>
    <n v="13595.400000000001"/>
    <x v="0"/>
    <x v="2"/>
  </r>
  <r>
    <x v="126"/>
    <x v="1"/>
    <n v="490"/>
    <n v="39"/>
    <n v="3"/>
    <n v="7"/>
    <n v="28.82"/>
    <x v="58"/>
    <x v="1"/>
    <n v="85"/>
    <n v="2.4700000000000002"/>
    <n v="14.88"/>
    <n v="1.66"/>
    <n v="1"/>
    <n v="0.75"/>
    <n v="615"/>
    <n v="4.05"/>
    <n v="0.89"/>
    <d v="2024-10-01T00:00:00"/>
    <n v="22.4"/>
    <n v="0.59599999999999997"/>
    <n v="7291.2000000000007"/>
    <x v="0"/>
    <x v="0"/>
  </r>
  <r>
    <x v="127"/>
    <x v="0"/>
    <n v="283"/>
    <n v="51"/>
    <n v="10"/>
    <n v="7"/>
    <n v="3.06"/>
    <x v="38"/>
    <x v="2"/>
    <n v="124"/>
    <n v="1.44"/>
    <n v="137.47"/>
    <n v="1.99"/>
    <n v="6"/>
    <n v="0.99"/>
    <n v="669"/>
    <n v="11.25"/>
    <n v="0.4"/>
    <d v="2024-05-26T00:00:00"/>
    <n v="285.13"/>
    <n v="0.50900000000000001"/>
    <n v="38904.01"/>
    <x v="0"/>
    <x v="0"/>
  </r>
  <r>
    <x v="128"/>
    <x v="1"/>
    <n v="485"/>
    <n v="42"/>
    <n v="3"/>
    <n v="8"/>
    <n v="9.66"/>
    <x v="71"/>
    <x v="1"/>
    <n v="21"/>
    <n v="3.52"/>
    <n v="124.32"/>
    <n v="0.76"/>
    <n v="8"/>
    <n v="0.78"/>
    <n v="521"/>
    <n v="4.0999999999999996"/>
    <n v="0.6"/>
    <d v="2024-01-09T00:00:00"/>
    <n v="71.739999999999995"/>
    <n v="0.495"/>
    <n v="60295.199999999997"/>
    <x v="0"/>
    <x v="0"/>
  </r>
  <r>
    <x v="129"/>
    <x v="1"/>
    <n v="31"/>
    <n v="83"/>
    <n v="7"/>
    <n v="3"/>
    <n v="43.38"/>
    <x v="35"/>
    <x v="2"/>
    <n v="21"/>
    <n v="2.2799999999999998"/>
    <n v="25.83"/>
    <n v="1.8"/>
    <n v="5"/>
    <n v="0.94"/>
    <n v="876"/>
    <n v="13.75"/>
    <n v="0.62"/>
    <d v="2024-09-14T00:00:00"/>
    <n v="94.67"/>
    <n v="0.61499999999999999"/>
    <n v="800.7299999999999"/>
    <x v="1"/>
    <x v="2"/>
  </r>
  <r>
    <x v="130"/>
    <x v="2"/>
    <n v="138"/>
    <n v="21"/>
    <n v="11"/>
    <n v="6"/>
    <n v="28.58"/>
    <x v="7"/>
    <x v="1"/>
    <n v="82"/>
    <n v="1.1000000000000001"/>
    <n v="186.73"/>
    <n v="0.73"/>
    <n v="6"/>
    <n v="0.76"/>
    <n v="850"/>
    <n v="10.119999999999999"/>
    <n v="0.76"/>
    <d v="2024-12-23T00:00:00"/>
    <n v="290.39999999999998"/>
    <n v="0.64600000000000002"/>
    <n v="25768.739999999998"/>
    <x v="0"/>
    <x v="1"/>
  </r>
  <r>
    <x v="131"/>
    <x v="1"/>
    <n v="434"/>
    <n v="36"/>
    <n v="9"/>
    <n v="4"/>
    <n v="47.57"/>
    <x v="5"/>
    <x v="2"/>
    <n v="115"/>
    <n v="1.07"/>
    <n v="94.62"/>
    <n v="0.32"/>
    <n v="2"/>
    <n v="0.83"/>
    <n v="304"/>
    <n v="13.07"/>
    <n v="0.46"/>
    <d v="2024-12-11T00:00:00"/>
    <n v="200.64"/>
    <n v="0.76"/>
    <n v="41065.08"/>
    <x v="0"/>
    <x v="0"/>
  </r>
  <r>
    <x v="132"/>
    <x v="0"/>
    <n v="481"/>
    <n v="48"/>
    <n v="6"/>
    <n v="5"/>
    <n v="4.55"/>
    <x v="72"/>
    <x v="3"/>
    <n v="159"/>
    <n v="1.95"/>
    <n v="138.11000000000001"/>
    <n v="1.28"/>
    <n v="2"/>
    <n v="0.85"/>
    <n v="327"/>
    <n v="6.4"/>
    <n v="0.43"/>
    <d v="2024-08-08T00:00:00"/>
    <n v="151.56"/>
    <n v="0.57299999999999995"/>
    <n v="66430.91"/>
    <x v="0"/>
    <x v="0"/>
  </r>
  <r>
    <x v="133"/>
    <x v="1"/>
    <n v="309"/>
    <n v="18"/>
    <n v="13"/>
    <n v="9"/>
    <n v="15.47"/>
    <x v="19"/>
    <x v="1"/>
    <n v="58"/>
    <n v="3.86"/>
    <n v="177.73"/>
    <n v="0.96"/>
    <n v="7"/>
    <n v="0.85"/>
    <n v="608"/>
    <n v="14.77"/>
    <n v="0.76"/>
    <d v="2024-04-01T00:00:00"/>
    <n v="136.27000000000001"/>
    <n v="0.68300000000000005"/>
    <n v="54918.57"/>
    <x v="0"/>
    <x v="0"/>
  </r>
  <r>
    <x v="134"/>
    <x v="2"/>
    <n v="357"/>
    <n v="30"/>
    <n v="11"/>
    <n v="2"/>
    <n v="10.48"/>
    <x v="39"/>
    <x v="3"/>
    <n v="13"/>
    <n v="0.61"/>
    <n v="34.72"/>
    <n v="1.85"/>
    <n v="6"/>
    <n v="0.85"/>
    <n v="695"/>
    <n v="10.51"/>
    <n v="0.52"/>
    <d v="2024-02-24T00:00:00"/>
    <n v="24.08"/>
    <n v="0.50900000000000001"/>
    <n v="12395.039999999999"/>
    <x v="0"/>
    <x v="0"/>
  </r>
  <r>
    <x v="135"/>
    <x v="2"/>
    <n v="267"/>
    <n v="85"/>
    <n v="11"/>
    <n v="5"/>
    <n v="28.14"/>
    <x v="35"/>
    <x v="1"/>
    <n v="12"/>
    <n v="1.66"/>
    <n v="172.61"/>
    <n v="1.04"/>
    <n v="4"/>
    <n v="0.77"/>
    <n v="73"/>
    <n v="6"/>
    <n v="0.2"/>
    <d v="2024-02-19T00:00:00"/>
    <n v="253.29"/>
    <n v="0.49"/>
    <n v="46086.87"/>
    <x v="0"/>
    <x v="0"/>
  </r>
  <r>
    <x v="136"/>
    <x v="0"/>
    <n v="373"/>
    <n v="38"/>
    <n v="4"/>
    <n v="5"/>
    <n v="19.760000000000002"/>
    <x v="72"/>
    <x v="0"/>
    <n v="153"/>
    <n v="1.23"/>
    <n v="147.62"/>
    <n v="1.86"/>
    <n v="5"/>
    <n v="0.85"/>
    <n v="482"/>
    <n v="3.98"/>
    <n v="0.95"/>
    <d v="2024-09-25T00:00:00"/>
    <n v="230.99"/>
    <n v="0.52700000000000002"/>
    <n v="55062.26"/>
    <x v="0"/>
    <x v="0"/>
  </r>
  <r>
    <x v="137"/>
    <x v="3"/>
    <n v="146"/>
    <n v="42"/>
    <n v="12"/>
    <n v="4"/>
    <n v="8.7100000000000009"/>
    <x v="73"/>
    <x v="0"/>
    <n v="23"/>
    <n v="4.8"/>
    <n v="169.52"/>
    <n v="0.25"/>
    <n v="8"/>
    <n v="0.84"/>
    <n v="678"/>
    <n v="13.13"/>
    <n v="0.32"/>
    <d v="2024-03-17T00:00:00"/>
    <n v="36.299999999999997"/>
    <n v="0.622"/>
    <n v="24749.920000000002"/>
    <x v="0"/>
    <x v="1"/>
  </r>
  <r>
    <x v="138"/>
    <x v="3"/>
    <n v="94"/>
    <n v="71"/>
    <n v="12"/>
    <n v="6"/>
    <n v="32.49"/>
    <x v="13"/>
    <x v="3"/>
    <n v="73"/>
    <n v="3.67"/>
    <n v="104.02"/>
    <n v="1.68"/>
    <n v="2"/>
    <n v="0.76"/>
    <n v="800"/>
    <n v="5.45"/>
    <n v="0.32"/>
    <d v="2024-05-03T00:00:00"/>
    <n v="112.5"/>
    <n v="0.48099999999999998"/>
    <n v="9777.8799999999992"/>
    <x v="0"/>
    <x v="2"/>
  </r>
  <r>
    <x v="139"/>
    <x v="1"/>
    <n v="380"/>
    <n v="24"/>
    <n v="13"/>
    <n v="4"/>
    <n v="27.28"/>
    <x v="73"/>
    <x v="3"/>
    <n v="129"/>
    <n v="1.55"/>
    <n v="16.36"/>
    <n v="1.54"/>
    <n v="2"/>
    <n v="1"/>
    <n v="527"/>
    <n v="1.62"/>
    <n v="0.85"/>
    <d v="2024-04-08T00:00:00"/>
    <n v="266.77"/>
    <n v="0.59799999999999998"/>
    <n v="6216.8"/>
    <x v="0"/>
    <x v="0"/>
  </r>
  <r>
    <x v="140"/>
    <x v="4"/>
    <n v="223"/>
    <n v="11"/>
    <n v="14"/>
    <n v="2"/>
    <n v="14.46"/>
    <x v="67"/>
    <x v="0"/>
    <n v="178"/>
    <n v="1.43"/>
    <n v="137.4"/>
    <n v="1.47"/>
    <n v="5"/>
    <n v="0.96"/>
    <n v="543"/>
    <n v="4.9000000000000004"/>
    <n v="0.47"/>
    <d v="2024-11-13T00:00:00"/>
    <n v="78.569999999999993"/>
    <n v="0.504"/>
    <n v="30640.2"/>
    <x v="0"/>
    <x v="1"/>
  </r>
  <r>
    <x v="141"/>
    <x v="1"/>
    <n v="68"/>
    <n v="61"/>
    <n v="8"/>
    <n v="8"/>
    <n v="24.51"/>
    <x v="46"/>
    <x v="0"/>
    <n v="77"/>
    <n v="4.3600000000000003"/>
    <n v="81.16"/>
    <n v="0.77"/>
    <n v="7"/>
    <n v="0.97"/>
    <n v="431"/>
    <n v="3.51"/>
    <n v="0.46"/>
    <d v="2024-09-26T00:00:00"/>
    <n v="187.26"/>
    <n v="0.51600000000000001"/>
    <n v="5518.88"/>
    <x v="0"/>
    <x v="2"/>
  </r>
  <r>
    <x v="142"/>
    <x v="0"/>
    <n v="98"/>
    <n v="53"/>
    <n v="6"/>
    <n v="4"/>
    <n v="37.54"/>
    <x v="6"/>
    <x v="2"/>
    <n v="68"/>
    <n v="1.36"/>
    <n v="86.46"/>
    <n v="1.59"/>
    <n v="4"/>
    <n v="0.91"/>
    <n v="868"/>
    <n v="5.48"/>
    <n v="0.7"/>
    <d v="2024-05-09T00:00:00"/>
    <n v="151.5"/>
    <n v="0.55600000000000005"/>
    <n v="8473.08"/>
    <x v="0"/>
    <x v="2"/>
  </r>
  <r>
    <x v="143"/>
    <x v="0"/>
    <n v="460"/>
    <n v="63"/>
    <n v="10"/>
    <n v="3"/>
    <n v="11.06"/>
    <x v="7"/>
    <x v="1"/>
    <n v="139"/>
    <n v="4.99"/>
    <n v="93.84"/>
    <n v="1.02"/>
    <n v="0"/>
    <n v="0.75"/>
    <n v="423"/>
    <n v="9.59"/>
    <n v="0.25"/>
    <d v="2024-06-30T00:00:00"/>
    <n v="247.37"/>
    <n v="0.626"/>
    <n v="43166.400000000001"/>
    <x v="0"/>
    <x v="0"/>
  </r>
  <r>
    <x v="144"/>
    <x v="0"/>
    <n v="498"/>
    <n v="27"/>
    <n v="14"/>
    <n v="5"/>
    <n v="15.35"/>
    <x v="74"/>
    <x v="0"/>
    <n v="128"/>
    <n v="1.77"/>
    <n v="103.65"/>
    <n v="1.46"/>
    <n v="2"/>
    <n v="0.87"/>
    <n v="602"/>
    <n v="8.01"/>
    <n v="0.39"/>
    <d v="2024-05-16T00:00:00"/>
    <n v="20.46"/>
    <n v="0.57299999999999995"/>
    <n v="51617.700000000004"/>
    <x v="0"/>
    <x v="0"/>
  </r>
  <r>
    <x v="145"/>
    <x v="0"/>
    <n v="260"/>
    <n v="12"/>
    <n v="13"/>
    <n v="6"/>
    <n v="17.96"/>
    <x v="69"/>
    <x v="3"/>
    <n v="19"/>
    <n v="0.88"/>
    <n v="135.77000000000001"/>
    <n v="1.1499999999999999"/>
    <n v="7"/>
    <n v="0.95"/>
    <n v="811"/>
    <n v="10.95"/>
    <n v="0.24"/>
    <d v="2024-07-22T00:00:00"/>
    <n v="246.68"/>
    <n v="0.52900000000000003"/>
    <n v="35300.200000000004"/>
    <x v="0"/>
    <x v="0"/>
  </r>
  <r>
    <x v="146"/>
    <x v="0"/>
    <n v="368"/>
    <n v="16"/>
    <n v="9"/>
    <n v="9"/>
    <n v="37.590000000000003"/>
    <x v="11"/>
    <x v="3"/>
    <n v="84"/>
    <n v="3.61"/>
    <n v="148.09"/>
    <n v="0.4"/>
    <n v="3"/>
    <n v="0.71"/>
    <n v="372"/>
    <n v="5.67"/>
    <n v="0.43"/>
    <d v="2024-02-10T00:00:00"/>
    <n v="49.36"/>
    <n v="0.60399999999999998"/>
    <n v="54497.120000000003"/>
    <x v="0"/>
    <x v="0"/>
  </r>
  <r>
    <x v="147"/>
    <x v="2"/>
    <n v="173"/>
    <n v="52"/>
    <n v="9"/>
    <n v="7"/>
    <n v="42.5"/>
    <x v="75"/>
    <x v="0"/>
    <n v="99"/>
    <n v="3.24"/>
    <n v="157.6"/>
    <n v="0.22"/>
    <n v="8"/>
    <n v="0.85"/>
    <n v="138"/>
    <n v="2.68"/>
    <n v="0.9"/>
    <d v="2024-07-10T00:00:00"/>
    <n v="14.37"/>
    <n v="0.60399999999999998"/>
    <n v="27264.799999999999"/>
    <x v="0"/>
    <x v="1"/>
  </r>
  <r>
    <x v="148"/>
    <x v="3"/>
    <n v="293"/>
    <n v="91"/>
    <n v="13"/>
    <n v="2"/>
    <n v="19.440000000000001"/>
    <x v="76"/>
    <x v="3"/>
    <n v="110"/>
    <n v="5"/>
    <n v="137.61000000000001"/>
    <n v="0.8"/>
    <n v="5"/>
    <n v="0.82"/>
    <n v="141"/>
    <n v="3.24"/>
    <n v="0.93"/>
    <d v="2024-07-26T00:00:00"/>
    <n v="182.7"/>
    <n v="0.61299999999999999"/>
    <n v="40319.730000000003"/>
    <x v="0"/>
    <x v="0"/>
  </r>
  <r>
    <x v="149"/>
    <x v="0"/>
    <n v="115"/>
    <n v="47"/>
    <n v="12"/>
    <n v="7"/>
    <n v="15.53"/>
    <x v="1"/>
    <x v="1"/>
    <n v="163"/>
    <n v="4.1100000000000003"/>
    <n v="162.66"/>
    <n v="1.87"/>
    <n v="9"/>
    <n v="0.76"/>
    <n v="426"/>
    <n v="12.16"/>
    <n v="0.45"/>
    <d v="2024-08-23T00:00:00"/>
    <n v="85.01"/>
    <n v="0.437"/>
    <n v="18705.899999999998"/>
    <x v="0"/>
    <x v="1"/>
  </r>
  <r>
    <x v="150"/>
    <x v="4"/>
    <n v="233"/>
    <n v="46"/>
    <n v="11"/>
    <n v="5"/>
    <n v="44.58"/>
    <x v="30"/>
    <x v="2"/>
    <n v="141"/>
    <n v="2.4300000000000002"/>
    <n v="33.21"/>
    <n v="1.1100000000000001"/>
    <n v="3"/>
    <n v="0.81"/>
    <n v="130"/>
    <n v="2.37"/>
    <n v="0.35"/>
    <d v="2024-10-16T00:00:00"/>
    <n v="215.69"/>
    <n v="0.49299999999999999"/>
    <n v="7737.93"/>
    <x v="0"/>
    <x v="1"/>
  </r>
  <r>
    <x v="151"/>
    <x v="4"/>
    <n v="313"/>
    <n v="67"/>
    <n v="7"/>
    <n v="4"/>
    <n v="49.97"/>
    <x v="44"/>
    <x v="1"/>
    <n v="37"/>
    <n v="3.54"/>
    <n v="169"/>
    <n v="1.62"/>
    <n v="3"/>
    <n v="1"/>
    <n v="691"/>
    <n v="12.17"/>
    <n v="0.31"/>
    <d v="2024-05-04T00:00:00"/>
    <n v="146.24"/>
    <n v="0.60199999999999998"/>
    <n v="52897"/>
    <x v="0"/>
    <x v="0"/>
  </r>
  <r>
    <x v="152"/>
    <x v="4"/>
    <n v="228"/>
    <n v="42"/>
    <n v="8"/>
    <n v="7"/>
    <n v="33.85"/>
    <x v="28"/>
    <x v="2"/>
    <n v="139"/>
    <n v="4.18"/>
    <n v="83.58"/>
    <n v="1.19"/>
    <n v="9"/>
    <n v="0.92"/>
    <n v="652"/>
    <n v="3.98"/>
    <n v="0.52"/>
    <d v="2024-12-22T00:00:00"/>
    <n v="185.6"/>
    <n v="0.442"/>
    <n v="19056.239999999998"/>
    <x v="0"/>
    <x v="1"/>
  </r>
  <r>
    <x v="153"/>
    <x v="4"/>
    <n v="362"/>
    <n v="68"/>
    <n v="3"/>
    <n v="3"/>
    <n v="49.51"/>
    <x v="57"/>
    <x v="2"/>
    <n v="75"/>
    <n v="2.81"/>
    <n v="110.47"/>
    <n v="1.92"/>
    <n v="4"/>
    <n v="0.79"/>
    <n v="149"/>
    <n v="10.5"/>
    <n v="0.86"/>
    <d v="2024-04-25T00:00:00"/>
    <n v="210.01"/>
    <n v="0.59799999999999998"/>
    <n v="39990.14"/>
    <x v="0"/>
    <x v="0"/>
  </r>
  <r>
    <x v="154"/>
    <x v="2"/>
    <n v="107"/>
    <n v="20"/>
    <n v="8"/>
    <n v="4"/>
    <n v="33.340000000000003"/>
    <x v="13"/>
    <x v="0"/>
    <n v="153"/>
    <n v="1.73"/>
    <n v="92.42"/>
    <n v="0.8"/>
    <n v="6"/>
    <n v="0.88"/>
    <n v="639"/>
    <n v="9.7200000000000006"/>
    <n v="0.88"/>
    <d v="2024-06-02T00:00:00"/>
    <n v="278.81"/>
    <n v="0.68200000000000005"/>
    <n v="9888.94"/>
    <x v="0"/>
    <x v="1"/>
  </r>
  <r>
    <x v="155"/>
    <x v="4"/>
    <n v="325"/>
    <n v="77"/>
    <n v="4"/>
    <n v="5"/>
    <n v="36.94"/>
    <x v="77"/>
    <x v="3"/>
    <n v="133"/>
    <n v="1.45"/>
    <n v="100.39"/>
    <n v="0.21"/>
    <n v="6"/>
    <n v="0.77"/>
    <n v="604"/>
    <n v="2.38"/>
    <n v="0.24"/>
    <d v="2024-12-16T00:00:00"/>
    <n v="248.7"/>
    <n v="0.49299999999999999"/>
    <n v="32626.75"/>
    <x v="0"/>
    <x v="0"/>
  </r>
  <r>
    <x v="156"/>
    <x v="0"/>
    <n v="283"/>
    <n v="91"/>
    <n v="8"/>
    <n v="7"/>
    <n v="20.04"/>
    <x v="50"/>
    <x v="2"/>
    <n v="66"/>
    <n v="1.83"/>
    <n v="64.23"/>
    <n v="1.58"/>
    <n v="9"/>
    <n v="0.88"/>
    <n v="172"/>
    <n v="10.32"/>
    <n v="0.37"/>
    <d v="2024-02-11T00:00:00"/>
    <n v="153.58000000000001"/>
    <n v="0.45"/>
    <n v="18177.09"/>
    <x v="0"/>
    <x v="0"/>
  </r>
  <r>
    <x v="157"/>
    <x v="1"/>
    <n v="444"/>
    <n v="77"/>
    <n v="11"/>
    <n v="9"/>
    <n v="22.22"/>
    <x v="78"/>
    <x v="0"/>
    <n v="160"/>
    <n v="4.32"/>
    <n v="42.29"/>
    <n v="1.44"/>
    <n v="6"/>
    <n v="0.97"/>
    <n v="849"/>
    <n v="7.27"/>
    <n v="0.36"/>
    <d v="2024-11-30T00:00:00"/>
    <n v="137.02000000000001"/>
    <n v="0.499"/>
    <n v="18776.759999999998"/>
    <x v="0"/>
    <x v="0"/>
  </r>
  <r>
    <x v="158"/>
    <x v="4"/>
    <n v="409"/>
    <n v="97"/>
    <n v="10"/>
    <n v="8"/>
    <n v="8.06"/>
    <x v="31"/>
    <x v="3"/>
    <n v="160"/>
    <n v="2.21"/>
    <n v="29.93"/>
    <n v="1.1000000000000001"/>
    <n v="4"/>
    <n v="0.87"/>
    <n v="445"/>
    <n v="10.9"/>
    <n v="0.86"/>
    <d v="2024-11-28T00:00:00"/>
    <n v="199.86"/>
    <n v="0.70099999999999996"/>
    <n v="12241.369999999999"/>
    <x v="0"/>
    <x v="0"/>
  </r>
  <r>
    <x v="159"/>
    <x v="2"/>
    <n v="344"/>
    <n v="31"/>
    <n v="11"/>
    <n v="2"/>
    <n v="41.31"/>
    <x v="77"/>
    <x v="3"/>
    <n v="30"/>
    <n v="1.79"/>
    <n v="95.77"/>
    <n v="0.72"/>
    <n v="8"/>
    <n v="0.92"/>
    <n v="72"/>
    <n v="12.7"/>
    <n v="0.56999999999999995"/>
    <d v="2024-01-17T00:00:00"/>
    <n v="222.72"/>
    <n v="0.63500000000000001"/>
    <n v="32944.879999999997"/>
    <x v="0"/>
    <x v="0"/>
  </r>
  <r>
    <x v="160"/>
    <x v="2"/>
    <n v="447"/>
    <n v="75"/>
    <n v="12"/>
    <n v="7"/>
    <n v="46.62"/>
    <x v="61"/>
    <x v="2"/>
    <n v="112"/>
    <n v="4.13"/>
    <n v="33.799999999999997"/>
    <n v="0.46"/>
    <n v="1"/>
    <n v="0.84"/>
    <n v="705"/>
    <n v="1.55"/>
    <n v="0.49"/>
    <d v="2024-02-17T00:00:00"/>
    <n v="60.07"/>
    <n v="0.621"/>
    <n v="15108.599999999999"/>
    <x v="0"/>
    <x v="0"/>
  </r>
  <r>
    <x v="161"/>
    <x v="4"/>
    <n v="396"/>
    <n v="53"/>
    <n v="10"/>
    <n v="9"/>
    <n v="31.55"/>
    <x v="79"/>
    <x v="3"/>
    <n v="162"/>
    <n v="0.64"/>
    <n v="56.55"/>
    <n v="1.02"/>
    <n v="7"/>
    <n v="0.86"/>
    <n v="989"/>
    <n v="10.07"/>
    <n v="0.97"/>
    <d v="2024-07-26T00:00:00"/>
    <n v="19.43"/>
    <n v="0.65800000000000003"/>
    <n v="22393.8"/>
    <x v="0"/>
    <x v="0"/>
  </r>
  <r>
    <x v="162"/>
    <x v="1"/>
    <n v="339"/>
    <n v="15"/>
    <n v="5"/>
    <n v="8"/>
    <n v="17.84"/>
    <x v="80"/>
    <x v="1"/>
    <n v="67"/>
    <n v="3.17"/>
    <n v="35.39"/>
    <n v="1.37"/>
    <n v="9"/>
    <n v="0.91"/>
    <n v="819"/>
    <n v="2.4700000000000002"/>
    <n v="0.94"/>
    <d v="2024-07-13T00:00:00"/>
    <n v="141.85"/>
    <n v="0.48599999999999999"/>
    <n v="11997.210000000001"/>
    <x v="0"/>
    <x v="0"/>
  </r>
  <r>
    <x v="163"/>
    <x v="4"/>
    <n v="176"/>
    <n v="51"/>
    <n v="10"/>
    <n v="8"/>
    <n v="8.5500000000000007"/>
    <x v="42"/>
    <x v="3"/>
    <n v="46"/>
    <n v="4.43"/>
    <n v="30.73"/>
    <n v="1.2"/>
    <n v="7"/>
    <n v="0.94"/>
    <n v="568"/>
    <n v="6.3"/>
    <n v="0.55000000000000004"/>
    <d v="2024-07-12T00:00:00"/>
    <n v="38.840000000000003"/>
    <n v="0.52200000000000002"/>
    <n v="5408.4800000000005"/>
    <x v="0"/>
    <x v="1"/>
  </r>
  <r>
    <x v="164"/>
    <x v="2"/>
    <n v="175"/>
    <n v="34"/>
    <n v="8"/>
    <n v="7"/>
    <n v="13.99"/>
    <x v="81"/>
    <x v="1"/>
    <n v="152"/>
    <n v="2.35"/>
    <n v="177.67"/>
    <n v="0.93"/>
    <n v="2"/>
    <n v="0.9"/>
    <n v="326"/>
    <n v="1.18"/>
    <n v="0.3"/>
    <d v="2024-10-09T00:00:00"/>
    <n v="89.09"/>
    <n v="0.52300000000000002"/>
    <n v="31092.249999999996"/>
    <x v="0"/>
    <x v="1"/>
  </r>
  <r>
    <x v="165"/>
    <x v="3"/>
    <n v="158"/>
    <n v="66"/>
    <n v="8"/>
    <n v="6"/>
    <n v="13.52"/>
    <x v="57"/>
    <x v="3"/>
    <n v="165"/>
    <n v="1.71"/>
    <n v="138.06"/>
    <n v="1.1299999999999999"/>
    <n v="4"/>
    <n v="0.99"/>
    <n v="747"/>
    <n v="5.6"/>
    <n v="0.34"/>
    <d v="2024-08-31T00:00:00"/>
    <n v="179.57"/>
    <n v="0.54800000000000004"/>
    <n v="21813.48"/>
    <x v="0"/>
    <x v="1"/>
  </r>
  <r>
    <x v="166"/>
    <x v="0"/>
    <n v="140"/>
    <n v="94"/>
    <n v="8"/>
    <n v="7"/>
    <n v="31.06"/>
    <x v="82"/>
    <x v="2"/>
    <n v="141"/>
    <n v="2.71"/>
    <n v="185.51"/>
    <n v="0.31"/>
    <n v="7"/>
    <n v="0.95"/>
    <n v="144"/>
    <n v="3.37"/>
    <n v="0.28999999999999998"/>
    <d v="2024-01-29T00:00:00"/>
    <n v="53.92"/>
    <n v="0.52200000000000002"/>
    <n v="25971.399999999998"/>
    <x v="0"/>
    <x v="1"/>
  </r>
  <r>
    <x v="167"/>
    <x v="2"/>
    <n v="84"/>
    <n v="64"/>
    <n v="5"/>
    <n v="5"/>
    <n v="47.31"/>
    <x v="1"/>
    <x v="2"/>
    <n v="56"/>
    <n v="3.73"/>
    <n v="132.36000000000001"/>
    <n v="1.42"/>
    <n v="9"/>
    <n v="0.93"/>
    <n v="968"/>
    <n v="8.7899999999999991"/>
    <n v="0.74"/>
    <d v="2024-11-22T00:00:00"/>
    <n v="18.260000000000002"/>
    <n v="0.52900000000000003"/>
    <n v="11118.240000000002"/>
    <x v="0"/>
    <x v="2"/>
  </r>
  <r>
    <x v="168"/>
    <x v="4"/>
    <n v="126"/>
    <n v="25"/>
    <n v="12"/>
    <n v="8"/>
    <n v="3.37"/>
    <x v="57"/>
    <x v="0"/>
    <n v="112"/>
    <n v="2.82"/>
    <n v="170.35"/>
    <n v="1.5"/>
    <n v="8"/>
    <n v="0.95"/>
    <n v="431"/>
    <n v="8.17"/>
    <n v="0.64"/>
    <d v="2024-01-05T00:00:00"/>
    <n v="170.83"/>
    <n v="0.51700000000000002"/>
    <n v="21464.1"/>
    <x v="0"/>
    <x v="1"/>
  </r>
  <r>
    <x v="169"/>
    <x v="0"/>
    <n v="166"/>
    <n v="23"/>
    <n v="3"/>
    <n v="2"/>
    <n v="1.05"/>
    <x v="39"/>
    <x v="1"/>
    <n v="81"/>
    <n v="0.53"/>
    <n v="115.51"/>
    <n v="0.12"/>
    <n v="6"/>
    <n v="0.78"/>
    <n v="426"/>
    <n v="12.11"/>
    <n v="0.65"/>
    <d v="2024-12-25T00:00:00"/>
    <n v="145.21"/>
    <n v="0.71499999999999997"/>
    <n v="19174.66"/>
    <x v="0"/>
    <x v="1"/>
  </r>
  <r>
    <x v="170"/>
    <x v="4"/>
    <n v="156"/>
    <n v="48"/>
    <n v="14"/>
    <n v="5"/>
    <n v="30.41"/>
    <x v="75"/>
    <x v="1"/>
    <n v="98"/>
    <n v="0.85"/>
    <n v="97.9"/>
    <n v="0.61"/>
    <n v="3"/>
    <n v="0.83"/>
    <n v="74"/>
    <n v="9.9600000000000009"/>
    <n v="0.28000000000000003"/>
    <d v="2024-03-28T00:00:00"/>
    <n v="98.83"/>
    <n v="0.63400000000000001"/>
    <n v="15272.400000000001"/>
    <x v="0"/>
    <x v="1"/>
  </r>
  <r>
    <x v="171"/>
    <x v="4"/>
    <n v="430"/>
    <n v="37"/>
    <n v="6"/>
    <n v="3"/>
    <n v="14.92"/>
    <x v="56"/>
    <x v="2"/>
    <n v="67"/>
    <n v="3.75"/>
    <n v="110.41"/>
    <n v="0.28000000000000003"/>
    <n v="3"/>
    <n v="0.87"/>
    <n v="340"/>
    <n v="11"/>
    <n v="0.83"/>
    <d v="2024-02-12T00:00:00"/>
    <n v="145.94999999999999"/>
    <n v="0.79900000000000004"/>
    <n v="47476.299999999996"/>
    <x v="0"/>
    <x v="0"/>
  </r>
  <r>
    <x v="172"/>
    <x v="3"/>
    <n v="181"/>
    <n v="60"/>
    <n v="12"/>
    <n v="4"/>
    <n v="44.15"/>
    <x v="52"/>
    <x v="2"/>
    <n v="114"/>
    <n v="2.2999999999999998"/>
    <n v="70.84"/>
    <n v="2"/>
    <n v="2"/>
    <n v="0.84"/>
    <n v="276"/>
    <n v="2.29"/>
    <n v="0.63"/>
    <d v="2024-09-12T00:00:00"/>
    <n v="208.22"/>
    <n v="0.48499999999999999"/>
    <n v="12822.04"/>
    <x v="0"/>
    <x v="1"/>
  </r>
  <r>
    <x v="173"/>
    <x v="0"/>
    <n v="447"/>
    <n v="58"/>
    <n v="14"/>
    <n v="7"/>
    <n v="17.04"/>
    <x v="58"/>
    <x v="2"/>
    <n v="78"/>
    <n v="4.03"/>
    <n v="135.01"/>
    <n v="1.23"/>
    <n v="7"/>
    <n v="0.95"/>
    <n v="222"/>
    <n v="1.39"/>
    <n v="0.27"/>
    <d v="2024-08-10T00:00:00"/>
    <n v="41.61"/>
    <n v="0.4"/>
    <n v="60349.469999999994"/>
    <x v="0"/>
    <x v="0"/>
  </r>
  <r>
    <x v="174"/>
    <x v="0"/>
    <n v="471"/>
    <n v="18"/>
    <n v="8"/>
    <n v="6"/>
    <n v="15.2"/>
    <x v="29"/>
    <x v="1"/>
    <n v="55"/>
    <n v="3.42"/>
    <n v="180.46"/>
    <n v="0.98"/>
    <n v="5"/>
    <n v="0.71"/>
    <n v="696"/>
    <n v="14.57"/>
    <n v="0.8"/>
    <d v="2024-11-26T00:00:00"/>
    <n v="84.15"/>
    <n v="0.69799999999999995"/>
    <n v="84996.66"/>
    <x v="0"/>
    <x v="0"/>
  </r>
  <r>
    <x v="175"/>
    <x v="3"/>
    <n v="119"/>
    <n v="67"/>
    <n v="13"/>
    <n v="2"/>
    <n v="14.21"/>
    <x v="1"/>
    <x v="0"/>
    <n v="162"/>
    <n v="3.12"/>
    <n v="158.65"/>
    <n v="0.98"/>
    <n v="9"/>
    <n v="0.76"/>
    <n v="502"/>
    <n v="6.98"/>
    <n v="0.99"/>
    <d v="2024-06-18T00:00:00"/>
    <n v="240.54"/>
    <n v="0.56499999999999995"/>
    <n v="18879.350000000002"/>
    <x v="0"/>
    <x v="1"/>
  </r>
  <r>
    <x v="176"/>
    <x v="2"/>
    <n v="357"/>
    <n v="54"/>
    <n v="14"/>
    <n v="6"/>
    <n v="8.1"/>
    <x v="43"/>
    <x v="1"/>
    <n v="34"/>
    <n v="4.5599999999999996"/>
    <n v="97.78"/>
    <n v="1.93"/>
    <n v="5"/>
    <n v="0.96"/>
    <n v="337"/>
    <n v="6.53"/>
    <n v="0.55000000000000004"/>
    <d v="2024-10-16T00:00:00"/>
    <n v="204.34"/>
    <n v="0.496"/>
    <n v="34907.46"/>
    <x v="0"/>
    <x v="0"/>
  </r>
  <r>
    <x v="177"/>
    <x v="4"/>
    <n v="418"/>
    <n v="31"/>
    <n v="12"/>
    <n v="6"/>
    <n v="29.49"/>
    <x v="83"/>
    <x v="2"/>
    <n v="130"/>
    <n v="0.6"/>
    <n v="191.24"/>
    <n v="1.35"/>
    <n v="9"/>
    <n v="0.72"/>
    <n v="870"/>
    <n v="1.49"/>
    <n v="0.28999999999999998"/>
    <d v="2024-02-18T00:00:00"/>
    <n v="87.21"/>
    <n v="0.307"/>
    <n v="79938.320000000007"/>
    <x v="0"/>
    <x v="0"/>
  </r>
  <r>
    <x v="178"/>
    <x v="1"/>
    <n v="326"/>
    <n v="41"/>
    <n v="4"/>
    <n v="6"/>
    <n v="9.24"/>
    <x v="28"/>
    <x v="0"/>
    <n v="44"/>
    <n v="1.2"/>
    <n v="197.23"/>
    <n v="0.42"/>
    <n v="9"/>
    <n v="0.77"/>
    <n v="118"/>
    <n v="2.66"/>
    <n v="0.28000000000000003"/>
    <d v="2024-09-27T00:00:00"/>
    <n v="125.46"/>
    <n v="0.42299999999999999"/>
    <n v="64296.979999999996"/>
    <x v="0"/>
    <x v="0"/>
  </r>
  <r>
    <x v="179"/>
    <x v="4"/>
    <n v="160"/>
    <n v="78"/>
    <n v="9"/>
    <n v="7"/>
    <n v="21.81"/>
    <x v="38"/>
    <x v="3"/>
    <n v="24"/>
    <n v="3.31"/>
    <n v="103.69"/>
    <n v="0.95"/>
    <n v="8"/>
    <n v="0.81"/>
    <n v="330"/>
    <n v="14.17"/>
    <n v="0.22"/>
    <d v="2024-01-22T00:00:00"/>
    <n v="44.73"/>
    <n v="0.54"/>
    <n v="16590.400000000001"/>
    <x v="0"/>
    <x v="1"/>
  </r>
  <r>
    <x v="180"/>
    <x v="4"/>
    <n v="102"/>
    <n v="96"/>
    <n v="9"/>
    <n v="2"/>
    <n v="23.59"/>
    <x v="26"/>
    <x v="3"/>
    <n v="115"/>
    <n v="0.8"/>
    <n v="174.28"/>
    <n v="1.57"/>
    <n v="2"/>
    <n v="0.93"/>
    <n v="912"/>
    <n v="10.73"/>
    <n v="0.82"/>
    <d v="2024-04-27T00:00:00"/>
    <n v="83.41"/>
    <n v="0.69599999999999995"/>
    <n v="17776.560000000001"/>
    <x v="0"/>
    <x v="1"/>
  </r>
  <r>
    <x v="181"/>
    <x v="2"/>
    <n v="196"/>
    <n v="78"/>
    <n v="13"/>
    <n v="2"/>
    <n v="2"/>
    <x v="82"/>
    <x v="2"/>
    <n v="137"/>
    <n v="3.4"/>
    <n v="10.91"/>
    <n v="0.9"/>
    <n v="3"/>
    <n v="0.87"/>
    <n v="391"/>
    <n v="6.73"/>
    <n v="0.76"/>
    <d v="2024-04-18T00:00:00"/>
    <n v="253.93"/>
    <n v="0.66600000000000004"/>
    <n v="2138.36"/>
    <x v="0"/>
    <x v="1"/>
  </r>
  <r>
    <x v="182"/>
    <x v="4"/>
    <n v="217"/>
    <n v="51"/>
    <n v="6"/>
    <n v="8"/>
    <n v="1.82"/>
    <x v="82"/>
    <x v="0"/>
    <n v="83"/>
    <n v="4.93"/>
    <n v="22.66"/>
    <n v="0.69"/>
    <n v="2"/>
    <n v="0.99"/>
    <n v="919"/>
    <n v="13.66"/>
    <n v="0.67"/>
    <d v="2024-12-20T00:00:00"/>
    <n v="137.72"/>
    <n v="0.80500000000000005"/>
    <n v="4917.22"/>
    <x v="0"/>
    <x v="1"/>
  </r>
  <r>
    <x v="183"/>
    <x v="3"/>
    <n v="131"/>
    <n v="62"/>
    <n v="6"/>
    <n v="6"/>
    <n v="26.49"/>
    <x v="35"/>
    <x v="2"/>
    <n v="97"/>
    <n v="4.45"/>
    <n v="14.25"/>
    <n v="1.98"/>
    <n v="2"/>
    <n v="0.77"/>
    <n v="382"/>
    <n v="9.26"/>
    <n v="0.81"/>
    <d v="2024-10-17T00:00:00"/>
    <n v="195.68"/>
    <n v="0.60099999999999998"/>
    <n v="1866.75"/>
    <x v="0"/>
    <x v="1"/>
  </r>
  <r>
    <x v="184"/>
    <x v="3"/>
    <n v="75"/>
    <n v="68"/>
    <n v="3"/>
    <n v="8"/>
    <n v="35.11"/>
    <x v="17"/>
    <x v="1"/>
    <n v="172"/>
    <n v="3.16"/>
    <n v="156.9"/>
    <n v="1.88"/>
    <n v="0"/>
    <n v="0.96"/>
    <n v="792"/>
    <n v="11.45"/>
    <n v="1"/>
    <d v="2024-08-31T00:00:00"/>
    <n v="56.33"/>
    <n v="0.75700000000000001"/>
    <n v="11767.5"/>
    <x v="0"/>
    <x v="2"/>
  </r>
  <r>
    <x v="185"/>
    <x v="0"/>
    <n v="479"/>
    <n v="83"/>
    <n v="4"/>
    <n v="8"/>
    <n v="47.16"/>
    <x v="27"/>
    <x v="1"/>
    <n v="38"/>
    <n v="4.5199999999999996"/>
    <n v="25.16"/>
    <n v="1.89"/>
    <n v="9"/>
    <n v="0.78"/>
    <n v="435"/>
    <n v="7.04"/>
    <n v="0.52"/>
    <d v="2024-05-18T00:00:00"/>
    <n v="63.16"/>
    <n v="0.38500000000000001"/>
    <n v="12051.64"/>
    <x v="0"/>
    <x v="0"/>
  </r>
  <r>
    <x v="186"/>
    <x v="1"/>
    <n v="198"/>
    <n v="48"/>
    <n v="11"/>
    <n v="4"/>
    <n v="9.7799999999999994"/>
    <x v="84"/>
    <x v="0"/>
    <n v="47"/>
    <n v="1.02"/>
    <n v="13.24"/>
    <n v="0.35"/>
    <n v="5"/>
    <n v="0.77"/>
    <n v="391"/>
    <n v="7.04"/>
    <n v="0.76"/>
    <d v="2024-01-24T00:00:00"/>
    <n v="282.87"/>
    <n v="0.66500000000000004"/>
    <n v="2621.52"/>
    <x v="0"/>
    <x v="1"/>
  </r>
  <r>
    <x v="187"/>
    <x v="4"/>
    <n v="440"/>
    <n v="24"/>
    <n v="12"/>
    <n v="7"/>
    <n v="6.06"/>
    <x v="17"/>
    <x v="2"/>
    <n v="33"/>
    <n v="2.5499999999999998"/>
    <n v="38.01"/>
    <n v="0.55000000000000004"/>
    <n v="8"/>
    <n v="0.85"/>
    <n v="366"/>
    <n v="1.96"/>
    <n v="0.5"/>
    <d v="2024-02-08T00:00:00"/>
    <n v="254.02"/>
    <n v="0.48099999999999998"/>
    <n v="16724.399999999998"/>
    <x v="0"/>
    <x v="0"/>
  </r>
  <r>
    <x v="188"/>
    <x v="4"/>
    <n v="420"/>
    <n v="80"/>
    <n v="10"/>
    <n v="7"/>
    <n v="3.55"/>
    <x v="8"/>
    <x v="2"/>
    <n v="28"/>
    <n v="2.4300000000000002"/>
    <n v="68.2"/>
    <n v="0.94"/>
    <n v="4"/>
    <n v="0.72"/>
    <n v="954"/>
    <n v="11.28"/>
    <n v="0.48"/>
    <d v="2024-12-16T00:00:00"/>
    <n v="239.2"/>
    <n v="0.61599999999999999"/>
    <n v="28644"/>
    <x v="0"/>
    <x v="0"/>
  </r>
  <r>
    <x v="189"/>
    <x v="2"/>
    <n v="205"/>
    <n v="38"/>
    <n v="10"/>
    <n v="5"/>
    <n v="22.37"/>
    <x v="44"/>
    <x v="3"/>
    <n v="58"/>
    <n v="2.0099999999999998"/>
    <n v="98.29"/>
    <n v="1.68"/>
    <n v="9"/>
    <n v="0.82"/>
    <n v="356"/>
    <n v="2.39"/>
    <n v="0.88"/>
    <d v="2024-05-23T00:00:00"/>
    <n v="105.58"/>
    <n v="0.42399999999999999"/>
    <n v="20149.45"/>
    <x v="0"/>
    <x v="1"/>
  </r>
  <r>
    <x v="190"/>
    <x v="3"/>
    <n v="490"/>
    <n v="12"/>
    <n v="11"/>
    <n v="9"/>
    <n v="31.53"/>
    <x v="85"/>
    <x v="0"/>
    <n v="53"/>
    <n v="0.5"/>
    <n v="22.43"/>
    <n v="1.5"/>
    <n v="1"/>
    <n v="0.81"/>
    <n v="819"/>
    <n v="11.7"/>
    <n v="0.66"/>
    <d v="2024-10-05T00:00:00"/>
    <n v="173.2"/>
    <n v="0.68"/>
    <n v="10990.7"/>
    <x v="0"/>
    <x v="0"/>
  </r>
  <r>
    <x v="191"/>
    <x v="1"/>
    <n v="237"/>
    <n v="92"/>
    <n v="9"/>
    <n v="8"/>
    <n v="42.19"/>
    <x v="0"/>
    <x v="2"/>
    <n v="163"/>
    <n v="4.51"/>
    <n v="104.81"/>
    <n v="1.71"/>
    <n v="9"/>
    <n v="0.75"/>
    <n v="222"/>
    <n v="3.67"/>
    <n v="0.3"/>
    <d v="2024-10-15T00:00:00"/>
    <n v="152.78"/>
    <n v="0.308"/>
    <n v="24839.97"/>
    <x v="0"/>
    <x v="1"/>
  </r>
  <r>
    <x v="192"/>
    <x v="0"/>
    <n v="432"/>
    <n v="19"/>
    <n v="11"/>
    <n v="7"/>
    <n v="34.450000000000003"/>
    <x v="17"/>
    <x v="1"/>
    <n v="162"/>
    <n v="4"/>
    <n v="57.13"/>
    <n v="1.85"/>
    <n v="3"/>
    <n v="0.96"/>
    <n v="593"/>
    <n v="4.46"/>
    <n v="0.52"/>
    <d v="2024-12-02T00:00:00"/>
    <n v="287.31"/>
    <n v="0.51"/>
    <n v="24680.16"/>
    <x v="0"/>
    <x v="0"/>
  </r>
  <r>
    <x v="193"/>
    <x v="3"/>
    <n v="436"/>
    <n v="38"/>
    <n v="12"/>
    <n v="6"/>
    <n v="11.21"/>
    <x v="18"/>
    <x v="2"/>
    <n v="44"/>
    <n v="3.44"/>
    <n v="62.13"/>
    <n v="1.58"/>
    <n v="5"/>
    <n v="0.82"/>
    <n v="249"/>
    <n v="13.85"/>
    <n v="0.84"/>
    <d v="2024-01-17T00:00:00"/>
    <n v="79.489999999999995"/>
    <n v="0.65900000000000003"/>
    <n v="27088.68"/>
    <x v="0"/>
    <x v="0"/>
  </r>
  <r>
    <x v="194"/>
    <x v="0"/>
    <n v="335"/>
    <n v="88"/>
    <n v="14"/>
    <n v="9"/>
    <n v="23.63"/>
    <x v="20"/>
    <x v="2"/>
    <n v="173"/>
    <n v="1.08"/>
    <n v="166.16"/>
    <n v="0.6"/>
    <n v="6"/>
    <n v="0.99"/>
    <n v="641"/>
    <n v="7.6"/>
    <n v="0.95"/>
    <d v="2024-04-01T00:00:00"/>
    <n v="284.7"/>
    <n v="0.70899999999999996"/>
    <n v="55663.6"/>
    <x v="0"/>
    <x v="0"/>
  </r>
  <r>
    <x v="195"/>
    <x v="2"/>
    <n v="494"/>
    <n v="44"/>
    <n v="4"/>
    <n v="3"/>
    <n v="45.61"/>
    <x v="30"/>
    <x v="1"/>
    <n v="151"/>
    <n v="2.2000000000000002"/>
    <n v="197.52"/>
    <n v="0.64"/>
    <n v="6"/>
    <n v="0.97"/>
    <n v="914"/>
    <n v="2.75"/>
    <n v="0.69"/>
    <d v="2024-06-10T00:00:00"/>
    <n v="214.99"/>
    <n v="0.58499999999999996"/>
    <n v="97574.88"/>
    <x v="0"/>
    <x v="0"/>
  </r>
  <r>
    <x v="196"/>
    <x v="2"/>
    <n v="236"/>
    <n v="15"/>
    <n v="8"/>
    <n v="6"/>
    <n v="17.010000000000002"/>
    <x v="53"/>
    <x v="1"/>
    <n v="65"/>
    <n v="4.66"/>
    <n v="98.13"/>
    <n v="0.77"/>
    <n v="3"/>
    <n v="0.76"/>
    <n v="124"/>
    <n v="13.67"/>
    <n v="0.52"/>
    <d v="2024-01-09T00:00:00"/>
    <n v="129.97"/>
    <n v="0.70099999999999996"/>
    <n v="23158.68"/>
    <x v="0"/>
    <x v="1"/>
  </r>
  <r>
    <x v="197"/>
    <x v="4"/>
    <n v="139"/>
    <n v="21"/>
    <n v="5"/>
    <n v="2"/>
    <n v="25.44"/>
    <x v="27"/>
    <x v="2"/>
    <n v="143"/>
    <n v="3.28"/>
    <n v="71.14"/>
    <n v="0.68"/>
    <n v="9"/>
    <n v="0.85"/>
    <n v="977"/>
    <n v="7.33"/>
    <n v="0.4"/>
    <d v="2024-04-16T00:00:00"/>
    <n v="87.24"/>
    <n v="0.5"/>
    <n v="9888.4600000000009"/>
    <x v="0"/>
    <x v="1"/>
  </r>
  <r>
    <x v="198"/>
    <x v="1"/>
    <n v="458"/>
    <n v="47"/>
    <n v="13"/>
    <n v="7"/>
    <n v="47.97"/>
    <x v="28"/>
    <x v="1"/>
    <n v="41"/>
    <n v="3.22"/>
    <n v="186.98"/>
    <n v="0.56999999999999995"/>
    <n v="9"/>
    <n v="0.88"/>
    <n v="825"/>
    <n v="2.83"/>
    <n v="0.54"/>
    <d v="2024-10-27T00:00:00"/>
    <n v="229.63"/>
    <n v="0.48499999999999999"/>
    <n v="85636.84"/>
    <x v="0"/>
    <x v="0"/>
  </r>
  <r>
    <x v="199"/>
    <x v="0"/>
    <n v="413"/>
    <n v="86"/>
    <n v="8"/>
    <n v="9"/>
    <n v="37"/>
    <x v="10"/>
    <x v="3"/>
    <n v="35"/>
    <n v="4.6100000000000003"/>
    <n v="105.09"/>
    <n v="1.53"/>
    <n v="4"/>
    <n v="0.95"/>
    <n v="646"/>
    <n v="6.47"/>
    <n v="0.65"/>
    <d v="2024-03-14T00:00:00"/>
    <n v="248.65"/>
    <n v="0.57299999999999995"/>
    <n v="43402.17"/>
    <x v="0"/>
    <x v="0"/>
  </r>
  <r>
    <x v="200"/>
    <x v="3"/>
    <n v="194"/>
    <n v="28"/>
    <n v="5"/>
    <n v="7"/>
    <n v="37.64"/>
    <x v="64"/>
    <x v="3"/>
    <n v="152"/>
    <n v="3.02"/>
    <n v="148.77000000000001"/>
    <n v="0.16"/>
    <n v="3"/>
    <n v="0.97"/>
    <n v="266"/>
    <n v="9.25"/>
    <n v="0.2"/>
    <d v="2024-12-30T00:00:00"/>
    <n v="113.68"/>
    <n v="0.68100000000000005"/>
    <n v="28861.38"/>
    <x v="0"/>
    <x v="1"/>
  </r>
  <r>
    <x v="201"/>
    <x v="2"/>
    <n v="42"/>
    <n v="76"/>
    <n v="10"/>
    <n v="5"/>
    <n v="13.36"/>
    <x v="79"/>
    <x v="3"/>
    <n v="65"/>
    <n v="3.19"/>
    <n v="88.61"/>
    <n v="1.48"/>
    <n v="9"/>
    <n v="0.89"/>
    <n v="682"/>
    <n v="6.07"/>
    <n v="0.41"/>
    <d v="2024-07-22T00:00:00"/>
    <n v="59.85"/>
    <n v="0.41299999999999998"/>
    <n v="3721.62"/>
    <x v="1"/>
    <x v="2"/>
  </r>
  <r>
    <x v="202"/>
    <x v="4"/>
    <n v="232"/>
    <n v="17"/>
    <n v="13"/>
    <n v="8"/>
    <n v="21.32"/>
    <x v="26"/>
    <x v="1"/>
    <n v="46"/>
    <n v="2.06"/>
    <n v="48.48"/>
    <n v="1.66"/>
    <n v="5"/>
    <n v="0.71"/>
    <n v="581"/>
    <n v="13.94"/>
    <n v="0.74"/>
    <d v="2024-02-09T00:00:00"/>
    <n v="152.75"/>
    <n v="0.61"/>
    <n v="11247.359999999999"/>
    <x v="0"/>
    <x v="1"/>
  </r>
  <r>
    <x v="203"/>
    <x v="4"/>
    <n v="424"/>
    <n v="17"/>
    <n v="6"/>
    <n v="3"/>
    <n v="5.03"/>
    <x v="77"/>
    <x v="1"/>
    <n v="134"/>
    <n v="2.17"/>
    <n v="134.43"/>
    <n v="0.23"/>
    <n v="6"/>
    <n v="0.84"/>
    <n v="498"/>
    <n v="4.78"/>
    <n v="0.74"/>
    <d v="2024-06-02T00:00:00"/>
    <n v="145.87"/>
    <n v="0.63700000000000001"/>
    <n v="56998.32"/>
    <x v="0"/>
    <x v="0"/>
  </r>
  <r>
    <x v="204"/>
    <x v="0"/>
    <n v="254"/>
    <n v="93"/>
    <n v="14"/>
    <n v="7"/>
    <n v="30.72"/>
    <x v="63"/>
    <x v="1"/>
    <n v="62"/>
    <n v="3.59"/>
    <n v="136.32"/>
    <n v="0.22"/>
    <n v="1"/>
    <n v="0.97"/>
    <n v="710"/>
    <n v="3.46"/>
    <n v="0.72"/>
    <d v="2024-03-24T00:00:00"/>
    <n v="220.37"/>
    <n v="0.74199999999999999"/>
    <n v="34625.279999999999"/>
    <x v="0"/>
    <x v="0"/>
  </r>
  <r>
    <x v="205"/>
    <x v="2"/>
    <n v="32"/>
    <n v="56"/>
    <n v="12"/>
    <n v="5"/>
    <n v="6.08"/>
    <x v="86"/>
    <x v="0"/>
    <n v="110"/>
    <n v="1.94"/>
    <n v="97.43"/>
    <n v="0.64"/>
    <n v="9"/>
    <n v="0.91"/>
    <n v="56"/>
    <n v="4.09"/>
    <n v="0.96"/>
    <d v="2024-10-15T00:00:00"/>
    <n v="292.22000000000003"/>
    <n v="0.58499999999999996"/>
    <n v="3117.76"/>
    <x v="1"/>
    <x v="2"/>
  </r>
  <r>
    <x v="206"/>
    <x v="1"/>
    <n v="120"/>
    <n v="13"/>
    <n v="8"/>
    <n v="5"/>
    <n v="41.96"/>
    <x v="87"/>
    <x v="1"/>
    <n v="87"/>
    <n v="3.02"/>
    <n v="61.29"/>
    <n v="0.5"/>
    <n v="2"/>
    <n v="0.96"/>
    <n v="938"/>
    <n v="2.17"/>
    <n v="0.65"/>
    <d v="2024-05-03T00:00:00"/>
    <n v="164.07"/>
    <n v="0.66100000000000003"/>
    <n v="7354.8"/>
    <x v="0"/>
    <x v="1"/>
  </r>
  <r>
    <x v="207"/>
    <x v="2"/>
    <n v="436"/>
    <n v="60"/>
    <n v="11"/>
    <n v="3"/>
    <n v="40.909999999999997"/>
    <x v="1"/>
    <x v="3"/>
    <n v="45"/>
    <n v="1.76"/>
    <n v="168.04"/>
    <n v="1.2"/>
    <n v="7"/>
    <n v="0.9"/>
    <n v="939"/>
    <n v="7.33"/>
    <n v="0.42"/>
    <d v="2024-10-17T00:00:00"/>
    <n v="222.2"/>
    <n v="0.502"/>
    <n v="73265.440000000002"/>
    <x v="0"/>
    <x v="0"/>
  </r>
  <r>
    <x v="208"/>
    <x v="0"/>
    <n v="43"/>
    <n v="94"/>
    <n v="4"/>
    <n v="6"/>
    <n v="27.15"/>
    <x v="46"/>
    <x v="3"/>
    <n v="110"/>
    <n v="1.25"/>
    <n v="62.31"/>
    <n v="1.38"/>
    <n v="6"/>
    <n v="0.71"/>
    <n v="442"/>
    <n v="13.3"/>
    <n v="0.85"/>
    <d v="2024-07-18T00:00:00"/>
    <n v="111.67"/>
    <n v="0.63100000000000001"/>
    <n v="2679.33"/>
    <x v="1"/>
    <x v="2"/>
  </r>
  <r>
    <x v="209"/>
    <x v="0"/>
    <n v="383"/>
    <n v="76"/>
    <n v="4"/>
    <n v="6"/>
    <n v="7.92"/>
    <x v="88"/>
    <x v="3"/>
    <n v="20"/>
    <n v="2.54"/>
    <n v="135.21"/>
    <n v="1.3"/>
    <n v="0"/>
    <n v="0.99"/>
    <n v="647"/>
    <n v="5.27"/>
    <n v="0.51"/>
    <d v="2024-12-12T00:00:00"/>
    <n v="183.88"/>
    <n v="0.64"/>
    <n v="51785.43"/>
    <x v="0"/>
    <x v="0"/>
  </r>
  <r>
    <x v="210"/>
    <x v="2"/>
    <n v="30"/>
    <n v="54"/>
    <n v="9"/>
    <n v="6"/>
    <n v="2.25"/>
    <x v="89"/>
    <x v="0"/>
    <n v="36"/>
    <n v="1.48"/>
    <n v="82.96"/>
    <n v="0.78"/>
    <n v="3"/>
    <n v="0.98"/>
    <n v="435"/>
    <n v="4.62"/>
    <n v="0.39"/>
    <d v="2024-10-03T00:00:00"/>
    <n v="43.45"/>
    <n v="0.59799999999999998"/>
    <n v="2488.7999999999997"/>
    <x v="1"/>
    <x v="2"/>
  </r>
  <r>
    <x v="211"/>
    <x v="0"/>
    <n v="292"/>
    <n v="17"/>
    <n v="4"/>
    <n v="4"/>
    <n v="40.04"/>
    <x v="65"/>
    <x v="2"/>
    <n v="11"/>
    <n v="4.54"/>
    <n v="99.77"/>
    <n v="1.05"/>
    <n v="4"/>
    <n v="0.74"/>
    <n v="550"/>
    <n v="12.72"/>
    <n v="0.65"/>
    <d v="2024-06-18T00:00:00"/>
    <n v="246.33"/>
    <n v="0.66300000000000003"/>
    <n v="29132.84"/>
    <x v="0"/>
    <x v="0"/>
  </r>
  <r>
    <x v="212"/>
    <x v="2"/>
    <n v="471"/>
    <n v="96"/>
    <n v="4"/>
    <n v="8"/>
    <n v="30.41"/>
    <x v="89"/>
    <x v="3"/>
    <n v="31"/>
    <n v="1.87"/>
    <n v="50.17"/>
    <n v="1.32"/>
    <n v="2"/>
    <n v="0.73"/>
    <n v="196"/>
    <n v="5.28"/>
    <n v="0.43"/>
    <d v="2024-07-15T00:00:00"/>
    <n v="109.85"/>
    <n v="0.53"/>
    <n v="23630.07"/>
    <x v="0"/>
    <x v="0"/>
  </r>
  <r>
    <x v="213"/>
    <x v="3"/>
    <n v="450"/>
    <n v="25"/>
    <n v="6"/>
    <n v="9"/>
    <n v="35.840000000000003"/>
    <x v="68"/>
    <x v="0"/>
    <n v="75"/>
    <n v="3.19"/>
    <n v="133.4"/>
    <n v="0.33"/>
    <n v="3"/>
    <n v="0.86"/>
    <n v="365"/>
    <n v="7.68"/>
    <n v="0.52"/>
    <d v="2024-03-12T00:00:00"/>
    <n v="33.21"/>
    <n v="0.68500000000000005"/>
    <n v="60030"/>
    <x v="0"/>
    <x v="0"/>
  </r>
  <r>
    <x v="214"/>
    <x v="2"/>
    <n v="300"/>
    <n v="86"/>
    <n v="11"/>
    <n v="8"/>
    <n v="15.89"/>
    <x v="41"/>
    <x v="2"/>
    <n v="121"/>
    <n v="1.69"/>
    <n v="52.91"/>
    <n v="0.54"/>
    <n v="9"/>
    <n v="0.93"/>
    <n v="503"/>
    <n v="1.44"/>
    <n v="0.75"/>
    <d v="2024-12-18T00:00:00"/>
    <n v="297.26"/>
    <n v="0.52100000000000002"/>
    <n v="15872.999999999998"/>
    <x v="0"/>
    <x v="0"/>
  </r>
  <r>
    <x v="215"/>
    <x v="2"/>
    <n v="113"/>
    <n v="76"/>
    <n v="10"/>
    <n v="6"/>
    <n v="25.96"/>
    <x v="41"/>
    <x v="0"/>
    <n v="26"/>
    <n v="1.66"/>
    <n v="102.29"/>
    <n v="1.79"/>
    <n v="9"/>
    <n v="0.81"/>
    <n v="236"/>
    <n v="5.0199999999999996"/>
    <n v="1"/>
    <d v="2024-02-10T00:00:00"/>
    <n v="271.52"/>
    <n v="0.47"/>
    <n v="11558.77"/>
    <x v="0"/>
    <x v="1"/>
  </r>
  <r>
    <x v="216"/>
    <x v="0"/>
    <n v="220"/>
    <n v="18"/>
    <n v="4"/>
    <n v="3"/>
    <n v="37.61"/>
    <x v="37"/>
    <x v="0"/>
    <n v="141"/>
    <n v="2.08"/>
    <n v="72.41"/>
    <n v="0.75"/>
    <n v="9"/>
    <n v="0.74"/>
    <n v="374"/>
    <n v="2.83"/>
    <n v="0.72"/>
    <d v="2024-09-13T00:00:00"/>
    <n v="67.260000000000005"/>
    <n v="0.47499999999999998"/>
    <n v="15930.199999999999"/>
    <x v="0"/>
    <x v="1"/>
  </r>
  <r>
    <x v="217"/>
    <x v="0"/>
    <n v="40"/>
    <n v="69"/>
    <n v="10"/>
    <n v="4"/>
    <n v="23.67"/>
    <x v="86"/>
    <x v="2"/>
    <n v="23"/>
    <n v="4.62"/>
    <n v="193.09"/>
    <n v="1.62"/>
    <n v="6"/>
    <n v="0.85"/>
    <n v="862"/>
    <n v="2.48"/>
    <n v="0.42"/>
    <d v="2024-06-26T00:00:00"/>
    <n v="115.33"/>
    <n v="0.40500000000000003"/>
    <n v="7723.6"/>
    <x v="1"/>
    <x v="2"/>
  </r>
  <r>
    <x v="218"/>
    <x v="4"/>
    <n v="359"/>
    <n v="87"/>
    <n v="6"/>
    <n v="8"/>
    <n v="30.47"/>
    <x v="50"/>
    <x v="1"/>
    <n v="16"/>
    <n v="2.2599999999999998"/>
    <n v="196.62"/>
    <n v="0.57999999999999996"/>
    <n v="7"/>
    <n v="0.8"/>
    <n v="367"/>
    <n v="7.04"/>
    <n v="0.27"/>
    <d v="2024-01-28T00:00:00"/>
    <n v="281.64999999999998"/>
    <n v="0.51"/>
    <n v="70586.58"/>
    <x v="0"/>
    <x v="0"/>
  </r>
  <r>
    <x v="219"/>
    <x v="4"/>
    <n v="486"/>
    <n v="86"/>
    <n v="4"/>
    <n v="6"/>
    <n v="39.700000000000003"/>
    <x v="27"/>
    <x v="1"/>
    <n v="88"/>
    <n v="4.2"/>
    <n v="153.16"/>
    <n v="0.18"/>
    <n v="8"/>
    <n v="0.81"/>
    <n v="443"/>
    <n v="4.88"/>
    <n v="0.49"/>
    <d v="2024-02-20T00:00:00"/>
    <n v="240.94"/>
    <n v="0.54700000000000004"/>
    <n v="74435.759999999995"/>
    <x v="0"/>
    <x v="0"/>
  </r>
  <r>
    <x v="220"/>
    <x v="3"/>
    <n v="230"/>
    <n v="80"/>
    <n v="13"/>
    <n v="4"/>
    <n v="11.55"/>
    <x v="39"/>
    <x v="3"/>
    <n v="153"/>
    <n v="1.39"/>
    <n v="196.94"/>
    <n v="1.05"/>
    <n v="1"/>
    <n v="0.89"/>
    <n v="428"/>
    <n v="3.33"/>
    <n v="0.22"/>
    <d v="2024-08-11T00:00:00"/>
    <n v="272.86"/>
    <n v="0.54100000000000004"/>
    <n v="45296.2"/>
    <x v="0"/>
    <x v="1"/>
  </r>
  <r>
    <x v="221"/>
    <x v="4"/>
    <n v="159"/>
    <n v="24"/>
    <n v="12"/>
    <n v="9"/>
    <n v="4.2300000000000004"/>
    <x v="52"/>
    <x v="2"/>
    <n v="113"/>
    <n v="0.72"/>
    <n v="31.57"/>
    <n v="1.8"/>
    <n v="3"/>
    <n v="0.97"/>
    <n v="754"/>
    <n v="8.16"/>
    <n v="0.56999999999999995"/>
    <d v="2024-04-28T00:00:00"/>
    <n v="173.14"/>
    <n v="0.57699999999999996"/>
    <n v="5019.63"/>
    <x v="0"/>
    <x v="1"/>
  </r>
  <r>
    <x v="222"/>
    <x v="2"/>
    <n v="312"/>
    <n v="80"/>
    <n v="9"/>
    <n v="3"/>
    <n v="27.06"/>
    <x v="90"/>
    <x v="3"/>
    <n v="156"/>
    <n v="4.0199999999999996"/>
    <n v="198.54"/>
    <n v="1.66"/>
    <n v="0"/>
    <n v="0.87"/>
    <n v="843"/>
    <n v="11.98"/>
    <n v="0.73"/>
    <d v="2024-02-08T00:00:00"/>
    <n v="80.5"/>
    <n v="0.71399999999999997"/>
    <n v="61944.479999999996"/>
    <x v="0"/>
    <x v="0"/>
  </r>
  <r>
    <x v="223"/>
    <x v="0"/>
    <n v="317"/>
    <n v="50"/>
    <n v="8"/>
    <n v="6"/>
    <n v="4.04"/>
    <x v="90"/>
    <x v="0"/>
    <n v="10"/>
    <n v="2.94"/>
    <n v="29.68"/>
    <n v="0.57999999999999996"/>
    <n v="2"/>
    <n v="0.91"/>
    <n v="523"/>
    <n v="11.29"/>
    <n v="0.61"/>
    <d v="2024-06-23T00:00:00"/>
    <n v="75.849999999999994"/>
    <n v="0.75700000000000001"/>
    <n v="9408.56"/>
    <x v="0"/>
    <x v="0"/>
  </r>
  <r>
    <x v="224"/>
    <x v="4"/>
    <n v="420"/>
    <n v="31"/>
    <n v="12"/>
    <n v="9"/>
    <n v="38.56"/>
    <x v="51"/>
    <x v="1"/>
    <n v="40"/>
    <n v="2.77"/>
    <n v="88.94"/>
    <n v="1.83"/>
    <n v="7"/>
    <n v="0.9"/>
    <n v="749"/>
    <n v="4.51"/>
    <n v="0.89"/>
    <d v="2024-11-05T00:00:00"/>
    <n v="162.44"/>
    <n v="0.495"/>
    <n v="37354.799999999996"/>
    <x v="0"/>
    <x v="0"/>
  </r>
  <r>
    <x v="225"/>
    <x v="4"/>
    <n v="120"/>
    <n v="33"/>
    <n v="7"/>
    <n v="2"/>
    <n v="36.24"/>
    <x v="91"/>
    <x v="3"/>
    <n v="137"/>
    <n v="1.72"/>
    <n v="55.4"/>
    <n v="1.01"/>
    <n v="6"/>
    <n v="0.87"/>
    <n v="67"/>
    <n v="4.68"/>
    <n v="0.6"/>
    <d v="2024-11-10T00:00:00"/>
    <n v="277.95999999999998"/>
    <n v="0.53500000000000003"/>
    <n v="6648"/>
    <x v="0"/>
    <x v="1"/>
  </r>
  <r>
    <x v="226"/>
    <x v="3"/>
    <n v="323"/>
    <n v="53"/>
    <n v="13"/>
    <n v="9"/>
    <n v="44.2"/>
    <x v="42"/>
    <x v="3"/>
    <n v="141"/>
    <n v="0.83"/>
    <n v="191.23"/>
    <n v="0.19"/>
    <n v="7"/>
    <n v="0.79"/>
    <n v="876"/>
    <n v="11.25"/>
    <n v="0.56999999999999995"/>
    <d v="2024-10-31T00:00:00"/>
    <n v="193.16"/>
    <n v="0.66300000000000003"/>
    <n v="61767.289999999994"/>
    <x v="0"/>
    <x v="0"/>
  </r>
  <r>
    <x v="227"/>
    <x v="3"/>
    <n v="378"/>
    <n v="10"/>
    <n v="3"/>
    <n v="7"/>
    <n v="32.340000000000003"/>
    <x v="60"/>
    <x v="1"/>
    <n v="100"/>
    <n v="2.67"/>
    <n v="130.80000000000001"/>
    <n v="0.15"/>
    <n v="5"/>
    <n v="0.81"/>
    <n v="198"/>
    <n v="8.8000000000000007"/>
    <n v="0.45"/>
    <d v="2024-07-22T00:00:00"/>
    <n v="19.97"/>
    <n v="0.65400000000000003"/>
    <n v="49442.400000000001"/>
    <x v="0"/>
    <x v="0"/>
  </r>
  <r>
    <x v="228"/>
    <x v="2"/>
    <n v="47"/>
    <n v="19"/>
    <n v="4"/>
    <n v="3"/>
    <n v="4.29"/>
    <x v="35"/>
    <x v="0"/>
    <n v="67"/>
    <n v="4.4000000000000004"/>
    <n v="123.45"/>
    <n v="1.02"/>
    <n v="4"/>
    <n v="0.79"/>
    <n v="607"/>
    <n v="11.39"/>
    <n v="0.87"/>
    <d v="2024-06-16T00:00:00"/>
    <n v="172.54"/>
    <n v="0.70199999999999996"/>
    <n v="5802.1500000000005"/>
    <x v="0"/>
    <x v="2"/>
  </r>
  <r>
    <x v="229"/>
    <x v="0"/>
    <n v="60"/>
    <n v="89"/>
    <n v="10"/>
    <n v="9"/>
    <n v="13.4"/>
    <x v="79"/>
    <x v="3"/>
    <n v="65"/>
    <n v="1.04"/>
    <n v="199.51"/>
    <n v="1.1399999999999999"/>
    <n v="9"/>
    <n v="0.98"/>
    <n v="61"/>
    <n v="1.02"/>
    <n v="0.92"/>
    <d v="2024-01-16T00:00:00"/>
    <n v="186.45"/>
    <n v="0.5"/>
    <n v="11970.599999999999"/>
    <x v="1"/>
    <x v="2"/>
  </r>
  <r>
    <x v="230"/>
    <x v="3"/>
    <n v="374"/>
    <n v="81"/>
    <n v="3"/>
    <n v="9"/>
    <n v="40.590000000000003"/>
    <x v="18"/>
    <x v="3"/>
    <n v="52"/>
    <n v="4.68"/>
    <n v="126.36"/>
    <n v="0.25"/>
    <n v="8"/>
    <n v="0.95"/>
    <n v="791"/>
    <n v="2.2200000000000002"/>
    <n v="0.98"/>
    <d v="2024-11-20T00:00:00"/>
    <n v="178.65"/>
    <n v="0.63100000000000001"/>
    <n v="47258.64"/>
    <x v="0"/>
    <x v="0"/>
  </r>
  <r>
    <x v="231"/>
    <x v="4"/>
    <n v="322"/>
    <n v="65"/>
    <n v="5"/>
    <n v="5"/>
    <n v="9.19"/>
    <x v="13"/>
    <x v="2"/>
    <n v="83"/>
    <n v="1.74"/>
    <n v="132.77000000000001"/>
    <n v="1.85"/>
    <n v="4"/>
    <n v="0.87"/>
    <n v="511"/>
    <n v="12.23"/>
    <n v="0.98"/>
    <d v="2024-05-19T00:00:00"/>
    <n v="210.41"/>
    <n v="0.66800000000000004"/>
    <n v="42751.94"/>
    <x v="0"/>
    <x v="0"/>
  </r>
  <r>
    <x v="232"/>
    <x v="0"/>
    <n v="165"/>
    <n v="98"/>
    <n v="4"/>
    <n v="5"/>
    <n v="35.229999999999997"/>
    <x v="15"/>
    <x v="2"/>
    <n v="58"/>
    <n v="2.89"/>
    <n v="18.510000000000002"/>
    <n v="1.46"/>
    <n v="8"/>
    <n v="0.97"/>
    <n v="674"/>
    <n v="12.92"/>
    <n v="0.98"/>
    <d v="2024-08-18T00:00:00"/>
    <n v="95.12"/>
    <n v="0.65600000000000003"/>
    <n v="3054.15"/>
    <x v="0"/>
    <x v="1"/>
  </r>
  <r>
    <x v="233"/>
    <x v="0"/>
    <n v="275"/>
    <n v="59"/>
    <n v="7"/>
    <n v="9"/>
    <n v="39.229999999999997"/>
    <x v="10"/>
    <x v="1"/>
    <n v="121"/>
    <n v="0.8"/>
    <n v="173.22"/>
    <n v="1.62"/>
    <n v="3"/>
    <n v="0.97"/>
    <n v="209"/>
    <n v="5.81"/>
    <n v="0.77"/>
    <d v="2024-09-08T00:00:00"/>
    <n v="51.69"/>
    <n v="0.60299999999999998"/>
    <n v="47635.5"/>
    <x v="0"/>
    <x v="0"/>
  </r>
  <r>
    <x v="234"/>
    <x v="4"/>
    <n v="481"/>
    <n v="21"/>
    <n v="6"/>
    <n v="9"/>
    <n v="17.18"/>
    <x v="75"/>
    <x v="1"/>
    <n v="117"/>
    <n v="2.41"/>
    <n v="194.32"/>
    <n v="1.21"/>
    <n v="4"/>
    <n v="0.98"/>
    <n v="984"/>
    <n v="14.42"/>
    <n v="0.65"/>
    <d v="2024-04-26T00:00:00"/>
    <n v="227.51"/>
    <n v="0.71699999999999997"/>
    <n v="93467.92"/>
    <x v="0"/>
    <x v="0"/>
  </r>
  <r>
    <x v="235"/>
    <x v="3"/>
    <n v="246"/>
    <n v="98"/>
    <n v="9"/>
    <n v="3"/>
    <n v="16.79"/>
    <x v="37"/>
    <x v="0"/>
    <n v="69"/>
    <n v="1.07"/>
    <n v="192.46"/>
    <n v="1.36"/>
    <n v="0"/>
    <n v="0.77"/>
    <n v="788"/>
    <n v="5.22"/>
    <n v="0.34"/>
    <d v="2024-07-01T00:00:00"/>
    <n v="66.94"/>
    <n v="0.55600000000000005"/>
    <n v="47345.16"/>
    <x v="0"/>
    <x v="1"/>
  </r>
  <r>
    <x v="236"/>
    <x v="4"/>
    <n v="255"/>
    <n v="90"/>
    <n v="7"/>
    <n v="5"/>
    <n v="28.33"/>
    <x v="62"/>
    <x v="0"/>
    <n v="103"/>
    <n v="0.72"/>
    <n v="52.01"/>
    <n v="0.84"/>
    <n v="5"/>
    <n v="0.92"/>
    <n v="744"/>
    <n v="13.46"/>
    <n v="0.81"/>
    <d v="2024-10-10T00:00:00"/>
    <n v="43.11"/>
    <n v="0.74099999999999999"/>
    <n v="13262.55"/>
    <x v="0"/>
    <x v="0"/>
  </r>
  <r>
    <x v="237"/>
    <x v="0"/>
    <n v="380"/>
    <n v="69"/>
    <n v="10"/>
    <n v="8"/>
    <n v="43.2"/>
    <x v="20"/>
    <x v="3"/>
    <n v="153"/>
    <n v="4.8499999999999996"/>
    <n v="52.92"/>
    <n v="1.39"/>
    <n v="2"/>
    <n v="0.88"/>
    <n v="616"/>
    <n v="6.9"/>
    <n v="0.79"/>
    <d v="2024-07-11T00:00:00"/>
    <n v="114.22"/>
    <n v="0.64700000000000002"/>
    <n v="20109.600000000002"/>
    <x v="0"/>
    <x v="0"/>
  </r>
  <r>
    <x v="238"/>
    <x v="1"/>
    <n v="399"/>
    <n v="35"/>
    <n v="6"/>
    <n v="3"/>
    <n v="11.97"/>
    <x v="21"/>
    <x v="2"/>
    <n v="82"/>
    <n v="3.79"/>
    <n v="79.55"/>
    <n v="1.96"/>
    <n v="9"/>
    <n v="0.92"/>
    <n v="315"/>
    <n v="8.8699999999999992"/>
    <n v="0.87"/>
    <d v="2024-08-09T00:00:00"/>
    <n v="251.5"/>
    <n v="0.5"/>
    <n v="31740.449999999997"/>
    <x v="0"/>
    <x v="0"/>
  </r>
  <r>
    <x v="239"/>
    <x v="1"/>
    <n v="474"/>
    <n v="87"/>
    <n v="14"/>
    <n v="2"/>
    <n v="47.12"/>
    <x v="88"/>
    <x v="0"/>
    <n v="108"/>
    <n v="3.74"/>
    <n v="68.94"/>
    <n v="1.33"/>
    <n v="1"/>
    <n v="0.78"/>
    <n v="596"/>
    <n v="10.01"/>
    <n v="0.56999999999999995"/>
    <d v="2024-04-05T00:00:00"/>
    <n v="33.81"/>
    <n v="0.65"/>
    <n v="32677.559999999998"/>
    <x v="0"/>
    <x v="0"/>
  </r>
  <r>
    <x v="240"/>
    <x v="2"/>
    <n v="32"/>
    <n v="50"/>
    <n v="8"/>
    <n v="3"/>
    <n v="30.36"/>
    <x v="67"/>
    <x v="3"/>
    <n v="123"/>
    <n v="0.91"/>
    <n v="68.069999999999993"/>
    <n v="0.75"/>
    <n v="5"/>
    <n v="0.91"/>
    <n v="129"/>
    <n v="2.86"/>
    <n v="0.91"/>
    <d v="2024-12-14T00:00:00"/>
    <n v="66.709999999999994"/>
    <n v="0.627"/>
    <n v="2178.2399999999998"/>
    <x v="1"/>
    <x v="2"/>
  </r>
  <r>
    <x v="241"/>
    <x v="4"/>
    <n v="229"/>
    <n v="45"/>
    <n v="6"/>
    <n v="6"/>
    <n v="49.61"/>
    <x v="55"/>
    <x v="3"/>
    <n v="24"/>
    <n v="4.68"/>
    <n v="124.99"/>
    <n v="0.64"/>
    <n v="0"/>
    <n v="0.82"/>
    <n v="567"/>
    <n v="1.52"/>
    <n v="0.77"/>
    <d v="2024-10-26T00:00:00"/>
    <n v="147.83000000000001"/>
    <n v="0.67400000000000004"/>
    <n v="28622.71"/>
    <x v="0"/>
    <x v="1"/>
  </r>
  <r>
    <x v="242"/>
    <x v="4"/>
    <n v="248"/>
    <n v="32"/>
    <n v="4"/>
    <n v="6"/>
    <n v="5.39"/>
    <x v="22"/>
    <x v="1"/>
    <n v="72"/>
    <n v="2.61"/>
    <n v="163.07"/>
    <n v="1.93"/>
    <n v="8"/>
    <n v="0.95"/>
    <n v="688"/>
    <n v="6.98"/>
    <n v="0.34"/>
    <d v="2024-12-04T00:00:00"/>
    <n v="93.42"/>
    <n v="0.39800000000000002"/>
    <n v="40441.360000000001"/>
    <x v="0"/>
    <x v="1"/>
  </r>
  <r>
    <x v="243"/>
    <x v="2"/>
    <n v="416"/>
    <n v="52"/>
    <n v="3"/>
    <n v="4"/>
    <n v="7.2"/>
    <x v="53"/>
    <x v="2"/>
    <n v="37"/>
    <n v="4.34"/>
    <n v="187.99"/>
    <n v="0.45"/>
    <n v="4"/>
    <n v="0.94"/>
    <n v="117"/>
    <n v="3.24"/>
    <n v="0.37"/>
    <d v="2024-07-13T00:00:00"/>
    <n v="219.28"/>
    <n v="0.57999999999999996"/>
    <n v="78203.839999999997"/>
    <x v="0"/>
    <x v="0"/>
  </r>
  <r>
    <x v="244"/>
    <x v="2"/>
    <n v="119"/>
    <n v="15"/>
    <n v="3"/>
    <n v="5"/>
    <n v="41.51"/>
    <x v="92"/>
    <x v="3"/>
    <n v="157"/>
    <n v="0.56000000000000005"/>
    <n v="22.89"/>
    <n v="1.63"/>
    <n v="6"/>
    <n v="0.76"/>
    <n v="751"/>
    <n v="8.69"/>
    <n v="0.85"/>
    <d v="2024-02-13T00:00:00"/>
    <n v="205.72"/>
    <n v="0.55500000000000005"/>
    <n v="2723.91"/>
    <x v="0"/>
    <x v="1"/>
  </r>
  <r>
    <x v="245"/>
    <x v="2"/>
    <n v="50"/>
    <n v="78"/>
    <n v="10"/>
    <n v="9"/>
    <n v="43.37"/>
    <x v="93"/>
    <x v="1"/>
    <n v="170"/>
    <n v="1.84"/>
    <n v="62.82"/>
    <n v="0.98"/>
    <n v="9"/>
    <n v="0.76"/>
    <n v="293"/>
    <n v="7.35"/>
    <n v="0.54"/>
    <d v="2024-11-12T00:00:00"/>
    <n v="254.33"/>
    <n v="0.48"/>
    <n v="3141"/>
    <x v="1"/>
    <x v="2"/>
  </r>
  <r>
    <x v="246"/>
    <x v="0"/>
    <n v="405"/>
    <n v="52"/>
    <n v="6"/>
    <n v="7"/>
    <n v="22.83"/>
    <x v="25"/>
    <x v="3"/>
    <n v="45"/>
    <n v="4.9800000000000004"/>
    <n v="58.45"/>
    <n v="0.94"/>
    <n v="8"/>
    <n v="0.92"/>
    <n v="58"/>
    <n v="2.71"/>
    <n v="0.4"/>
    <d v="2024-05-31T00:00:00"/>
    <n v="69.11"/>
    <n v="0.44600000000000001"/>
    <n v="23672.25"/>
    <x v="0"/>
    <x v="0"/>
  </r>
  <r>
    <x v="247"/>
    <x v="4"/>
    <n v="35"/>
    <n v="34"/>
    <n v="7"/>
    <n v="5"/>
    <n v="35.99"/>
    <x v="40"/>
    <x v="2"/>
    <n v="134"/>
    <n v="2.4300000000000002"/>
    <n v="77.91"/>
    <n v="1.52"/>
    <n v="8"/>
    <n v="0.87"/>
    <n v="206"/>
    <n v="10.32"/>
    <n v="0.54"/>
    <d v="2024-05-06T00:00:00"/>
    <n v="198.19"/>
    <n v="0.50800000000000001"/>
    <n v="2726.85"/>
    <x v="0"/>
    <x v="2"/>
  </r>
  <r>
    <x v="248"/>
    <x v="0"/>
    <n v="156"/>
    <n v="27"/>
    <n v="13"/>
    <n v="8"/>
    <n v="43.51"/>
    <x v="5"/>
    <x v="3"/>
    <n v="150"/>
    <n v="4.5"/>
    <n v="90.62"/>
    <n v="0.38"/>
    <n v="6"/>
    <n v="0.87"/>
    <n v="632"/>
    <n v="1.29"/>
    <n v="0.33"/>
    <d v="2024-02-07T00:00:00"/>
    <n v="234.67"/>
    <n v="0.499"/>
    <n v="14136.720000000001"/>
    <x v="0"/>
    <x v="1"/>
  </r>
  <r>
    <x v="249"/>
    <x v="2"/>
    <n v="348"/>
    <n v="71"/>
    <n v="10"/>
    <n v="3"/>
    <n v="3.11"/>
    <x v="6"/>
    <x v="3"/>
    <n v="71"/>
    <n v="1.98"/>
    <n v="83.94"/>
    <n v="0.99"/>
    <n v="3"/>
    <n v="0.93"/>
    <n v="513"/>
    <n v="2.77"/>
    <n v="0.91"/>
    <d v="2024-02-12T00:00:00"/>
    <n v="28.17"/>
    <n v="0.64600000000000002"/>
    <n v="29211.119999999999"/>
    <x v="0"/>
    <x v="0"/>
  </r>
  <r>
    <x v="250"/>
    <x v="4"/>
    <n v="185"/>
    <n v="22"/>
    <n v="14"/>
    <n v="7"/>
    <n v="29.12"/>
    <x v="50"/>
    <x v="0"/>
    <n v="160"/>
    <n v="2.86"/>
    <n v="190.91"/>
    <n v="0.17"/>
    <n v="3"/>
    <n v="0.96"/>
    <n v="695"/>
    <n v="10.8"/>
    <n v="0.26"/>
    <d v="2024-05-17T00:00:00"/>
    <n v="20.68"/>
    <n v="0.71099999999999997"/>
    <n v="35318.35"/>
    <x v="0"/>
    <x v="1"/>
  </r>
  <r>
    <x v="251"/>
    <x v="0"/>
    <n v="478"/>
    <n v="52"/>
    <n v="9"/>
    <n v="7"/>
    <n v="42.82"/>
    <x v="29"/>
    <x v="0"/>
    <n v="22"/>
    <n v="4.34"/>
    <n v="93.05"/>
    <n v="1.37"/>
    <n v="6"/>
    <n v="0.77"/>
    <n v="349"/>
    <n v="8.39"/>
    <n v="0.48"/>
    <d v="2024-03-19T00:00:00"/>
    <n v="172.18"/>
    <n v="0.505"/>
    <n v="44477.9"/>
    <x v="0"/>
    <x v="0"/>
  </r>
  <r>
    <x v="252"/>
    <x v="0"/>
    <n v="329"/>
    <n v="87"/>
    <n v="10"/>
    <n v="9"/>
    <n v="20.51"/>
    <x v="87"/>
    <x v="1"/>
    <n v="97"/>
    <n v="3.23"/>
    <n v="114.8"/>
    <n v="0.21"/>
    <n v="7"/>
    <n v="0.87"/>
    <n v="369"/>
    <n v="4.95"/>
    <n v="0.65"/>
    <d v="2024-07-13T00:00:00"/>
    <n v="180.48"/>
    <n v="0.60899999999999999"/>
    <n v="37769.199999999997"/>
    <x v="0"/>
    <x v="0"/>
  </r>
  <r>
    <x v="253"/>
    <x v="2"/>
    <n v="459"/>
    <n v="37"/>
    <n v="10"/>
    <n v="9"/>
    <n v="15.82"/>
    <x v="12"/>
    <x v="3"/>
    <n v="49"/>
    <n v="3.76"/>
    <n v="152.24"/>
    <n v="0.27"/>
    <n v="6"/>
    <n v="0.95"/>
    <n v="298"/>
    <n v="3.52"/>
    <n v="0.9"/>
    <d v="2024-12-30T00:00:00"/>
    <n v="123.91"/>
    <n v="0.67"/>
    <n v="69878.16"/>
    <x v="0"/>
    <x v="0"/>
  </r>
  <r>
    <x v="254"/>
    <x v="4"/>
    <n v="489"/>
    <n v="27"/>
    <n v="8"/>
    <n v="5"/>
    <n v="39.99"/>
    <x v="42"/>
    <x v="1"/>
    <n v="167"/>
    <n v="1.53"/>
    <n v="147.77000000000001"/>
    <n v="1.71"/>
    <n v="9"/>
    <n v="0.96"/>
    <n v="372"/>
    <n v="9.99"/>
    <n v="0.83"/>
    <d v="2024-11-20T00:00:00"/>
    <n v="20.46"/>
    <n v="0.54"/>
    <n v="72259.53"/>
    <x v="0"/>
    <x v="0"/>
  </r>
  <r>
    <x v="255"/>
    <x v="2"/>
    <n v="119"/>
    <n v="68"/>
    <n v="12"/>
    <n v="7"/>
    <n v="17.45"/>
    <x v="16"/>
    <x v="2"/>
    <n v="133"/>
    <n v="1.2"/>
    <n v="120.76"/>
    <n v="0.94"/>
    <n v="3"/>
    <n v="0.79"/>
    <n v="605"/>
    <n v="3.88"/>
    <n v="0.22"/>
    <d v="2024-03-19T00:00:00"/>
    <n v="126.56"/>
    <n v="0.5"/>
    <n v="14370.44"/>
    <x v="0"/>
    <x v="1"/>
  </r>
  <r>
    <x v="256"/>
    <x v="4"/>
    <n v="128"/>
    <n v="69"/>
    <n v="4"/>
    <n v="7"/>
    <n v="1.1599999999999999"/>
    <x v="12"/>
    <x v="1"/>
    <n v="34"/>
    <n v="1.54"/>
    <n v="173.56"/>
    <n v="0.48"/>
    <n v="3"/>
    <n v="0.73"/>
    <n v="677"/>
    <n v="14.78"/>
    <n v="0.86"/>
    <d v="2024-07-18T00:00:00"/>
    <n v="196.21"/>
    <n v="0.80700000000000005"/>
    <n v="22215.68"/>
    <x v="0"/>
    <x v="1"/>
  </r>
  <r>
    <x v="257"/>
    <x v="1"/>
    <n v="362"/>
    <n v="72"/>
    <n v="8"/>
    <n v="6"/>
    <n v="48.02"/>
    <x v="6"/>
    <x v="3"/>
    <n v="163"/>
    <n v="2.72"/>
    <n v="128.59"/>
    <n v="1.23"/>
    <n v="7"/>
    <n v="0.77"/>
    <n v="511"/>
    <n v="13.17"/>
    <n v="0.71"/>
    <d v="2024-06-11T00:00:00"/>
    <n v="213.55"/>
    <n v="0.60899999999999999"/>
    <n v="46549.58"/>
    <x v="0"/>
    <x v="0"/>
  </r>
  <r>
    <x v="258"/>
    <x v="3"/>
    <n v="192"/>
    <n v="66"/>
    <n v="3"/>
    <n v="2"/>
    <n v="30.01"/>
    <x v="26"/>
    <x v="0"/>
    <n v="33"/>
    <n v="4.0999999999999996"/>
    <n v="176.2"/>
    <n v="1.0900000000000001"/>
    <n v="8"/>
    <n v="0.98"/>
    <n v="447"/>
    <n v="2.85"/>
    <n v="0.31"/>
    <d v="2024-07-03T00:00:00"/>
    <n v="152.91"/>
    <n v="0.42699999999999999"/>
    <n v="33830.399999999994"/>
    <x v="0"/>
    <x v="1"/>
  </r>
  <r>
    <x v="259"/>
    <x v="3"/>
    <n v="256"/>
    <n v="60"/>
    <n v="3"/>
    <n v="9"/>
    <n v="41.16"/>
    <x v="59"/>
    <x v="0"/>
    <n v="106"/>
    <n v="2.09"/>
    <n v="67.53"/>
    <n v="0.88"/>
    <n v="6"/>
    <n v="0.84"/>
    <n v="442"/>
    <n v="13.03"/>
    <n v="0.69"/>
    <d v="2024-02-24T00:00:00"/>
    <n v="162.26"/>
    <n v="0.67200000000000004"/>
    <n v="17287.68"/>
    <x v="0"/>
    <x v="0"/>
  </r>
  <r>
    <x v="260"/>
    <x v="3"/>
    <n v="181"/>
    <n v="65"/>
    <n v="13"/>
    <n v="3"/>
    <n v="41.44"/>
    <x v="49"/>
    <x v="1"/>
    <n v="48"/>
    <n v="3.04"/>
    <n v="35.08"/>
    <n v="1.82"/>
    <n v="2"/>
    <n v="0.83"/>
    <n v="277"/>
    <n v="5.83"/>
    <n v="0.85"/>
    <d v="2024-02-16T00:00:00"/>
    <n v="205.08"/>
    <n v="0.59199999999999997"/>
    <n v="6349.48"/>
    <x v="0"/>
    <x v="1"/>
  </r>
  <r>
    <x v="261"/>
    <x v="2"/>
    <n v="412"/>
    <n v="36"/>
    <n v="5"/>
    <n v="5"/>
    <n v="4.25"/>
    <x v="44"/>
    <x v="0"/>
    <n v="118"/>
    <n v="4.12"/>
    <n v="165.71"/>
    <n v="1.52"/>
    <n v="9"/>
    <n v="0.7"/>
    <n v="968"/>
    <n v="7.86"/>
    <n v="0.68"/>
    <d v="2024-01-03T00:00:00"/>
    <n v="140.30000000000001"/>
    <n v="0.44900000000000001"/>
    <n v="68272.52"/>
    <x v="0"/>
    <x v="0"/>
  </r>
  <r>
    <x v="262"/>
    <x v="1"/>
    <n v="235"/>
    <n v="41"/>
    <n v="5"/>
    <n v="9"/>
    <n v="9.3699999999999992"/>
    <x v="65"/>
    <x v="3"/>
    <n v="70"/>
    <n v="1.57"/>
    <n v="82.68"/>
    <n v="0.39"/>
    <n v="0"/>
    <n v="0.72"/>
    <n v="618"/>
    <n v="3"/>
    <n v="1"/>
    <d v="2024-06-06T00:00:00"/>
    <n v="86.42"/>
    <n v="0.745"/>
    <n v="19429.800000000003"/>
    <x v="0"/>
    <x v="1"/>
  </r>
  <r>
    <x v="263"/>
    <x v="4"/>
    <n v="283"/>
    <n v="18"/>
    <n v="13"/>
    <n v="6"/>
    <n v="16.239999999999998"/>
    <x v="16"/>
    <x v="3"/>
    <n v="178"/>
    <n v="4.47"/>
    <n v="133.71"/>
    <n v="1.18"/>
    <n v="4"/>
    <n v="0.9"/>
    <n v="293"/>
    <n v="2.66"/>
    <n v="0.61"/>
    <d v="2024-08-15T00:00:00"/>
    <n v="74.66"/>
    <n v="0.53900000000000003"/>
    <n v="37839.93"/>
    <x v="0"/>
    <x v="0"/>
  </r>
  <r>
    <x v="264"/>
    <x v="0"/>
    <n v="282"/>
    <n v="93"/>
    <n v="7"/>
    <n v="8"/>
    <n v="16.71"/>
    <x v="50"/>
    <x v="2"/>
    <n v="29"/>
    <n v="4.79"/>
    <n v="150.09"/>
    <n v="0.27"/>
    <n v="5"/>
    <n v="0.88"/>
    <n v="106"/>
    <n v="13.12"/>
    <n v="0.74"/>
    <d v="2024-07-03T00:00:00"/>
    <n v="228.3"/>
    <n v="0.77200000000000002"/>
    <n v="42325.38"/>
    <x v="0"/>
    <x v="0"/>
  </r>
  <r>
    <x v="265"/>
    <x v="4"/>
    <n v="311"/>
    <n v="77"/>
    <n v="3"/>
    <n v="9"/>
    <n v="33.28"/>
    <x v="14"/>
    <x v="0"/>
    <n v="25"/>
    <n v="0.68"/>
    <n v="72.069999999999993"/>
    <n v="0.56000000000000005"/>
    <n v="8"/>
    <n v="0.87"/>
    <n v="192"/>
    <n v="9.82"/>
    <n v="0.26"/>
    <d v="2024-05-18T00:00:00"/>
    <n v="151.38999999999999"/>
    <n v="0.54100000000000004"/>
    <n v="22413.769999999997"/>
    <x v="0"/>
    <x v="0"/>
  </r>
  <r>
    <x v="266"/>
    <x v="0"/>
    <n v="293"/>
    <n v="55"/>
    <n v="12"/>
    <n v="8"/>
    <n v="31.53"/>
    <x v="94"/>
    <x v="0"/>
    <n v="158"/>
    <n v="0.77"/>
    <n v="105.98"/>
    <n v="1.83"/>
    <n v="4"/>
    <n v="0.73"/>
    <n v="241"/>
    <n v="7.45"/>
    <n v="0.85"/>
    <d v="2024-02-22T00:00:00"/>
    <n v="190.98"/>
    <n v="0.55200000000000005"/>
    <n v="31052.14"/>
    <x v="0"/>
    <x v="0"/>
  </r>
  <r>
    <x v="267"/>
    <x v="4"/>
    <n v="22"/>
    <n v="76"/>
    <n v="8"/>
    <n v="4"/>
    <n v="25.23"/>
    <x v="59"/>
    <x v="2"/>
    <n v="24"/>
    <n v="0.91"/>
    <n v="180.04"/>
    <n v="0.98"/>
    <n v="0"/>
    <n v="0.81"/>
    <n v="568"/>
    <n v="1.51"/>
    <n v="0.7"/>
    <d v="2024-03-08T00:00:00"/>
    <n v="146.62"/>
    <n v="0.624"/>
    <n v="3960.8799999999997"/>
    <x v="1"/>
    <x v="2"/>
  </r>
  <r>
    <x v="268"/>
    <x v="1"/>
    <n v="47"/>
    <n v="35"/>
    <n v="9"/>
    <n v="7"/>
    <n v="11.35"/>
    <x v="74"/>
    <x v="1"/>
    <n v="176"/>
    <n v="4"/>
    <n v="177.16"/>
    <n v="1.8"/>
    <n v="3"/>
    <n v="0.94"/>
    <n v="453"/>
    <n v="13.91"/>
    <n v="0.65"/>
    <d v="2024-02-14T00:00:00"/>
    <n v="247.46"/>
    <n v="0.66300000000000003"/>
    <n v="8326.52"/>
    <x v="0"/>
    <x v="2"/>
  </r>
  <r>
    <x v="269"/>
    <x v="0"/>
    <n v="345"/>
    <n v="17"/>
    <n v="12"/>
    <n v="7"/>
    <n v="19.72"/>
    <x v="89"/>
    <x v="2"/>
    <n v="51"/>
    <n v="1.35"/>
    <n v="152.38"/>
    <n v="0.42"/>
    <n v="1"/>
    <n v="0.75"/>
    <n v="324"/>
    <n v="6.27"/>
    <n v="0.77"/>
    <d v="2024-04-05T00:00:00"/>
    <n v="154.09"/>
    <n v="0.72599999999999998"/>
    <n v="52571.1"/>
    <x v="0"/>
    <x v="0"/>
  </r>
  <r>
    <x v="270"/>
    <x v="2"/>
    <n v="447"/>
    <n v="15"/>
    <n v="14"/>
    <n v="5"/>
    <n v="27.64"/>
    <x v="4"/>
    <x v="0"/>
    <n v="13"/>
    <n v="3.77"/>
    <n v="154.91999999999999"/>
    <n v="0.49"/>
    <n v="3"/>
    <n v="0.96"/>
    <n v="695"/>
    <n v="6.83"/>
    <n v="0.65"/>
    <d v="2024-08-08T00:00:00"/>
    <n v="296.54000000000002"/>
    <n v="0.70399999999999996"/>
    <n v="69249.239999999991"/>
    <x v="0"/>
    <x v="0"/>
  </r>
  <r>
    <x v="271"/>
    <x v="4"/>
    <n v="168"/>
    <n v="89"/>
    <n v="13"/>
    <n v="2"/>
    <n v="23.93"/>
    <x v="55"/>
    <x v="1"/>
    <n v="161"/>
    <n v="2.4900000000000002"/>
    <n v="180.56"/>
    <n v="0.77"/>
    <n v="6"/>
    <n v="0.74"/>
    <n v="996"/>
    <n v="5.0599999999999996"/>
    <n v="0.81"/>
    <d v="2024-08-17T00:00:00"/>
    <n v="80.36"/>
    <n v="0.57999999999999996"/>
    <n v="30334.080000000002"/>
    <x v="0"/>
    <x v="1"/>
  </r>
  <r>
    <x v="272"/>
    <x v="4"/>
    <n v="47"/>
    <n v="33"/>
    <n v="5"/>
    <n v="2"/>
    <n v="7.24"/>
    <x v="86"/>
    <x v="3"/>
    <n v="140"/>
    <n v="4.26"/>
    <n v="149.9"/>
    <n v="0.8"/>
    <n v="8"/>
    <n v="0.75"/>
    <n v="88"/>
    <n v="13.48"/>
    <n v="0.67"/>
    <d v="2024-10-12T00:00:00"/>
    <n v="50.17"/>
    <n v="0.624"/>
    <n v="7045.3"/>
    <x v="0"/>
    <x v="2"/>
  </r>
  <r>
    <x v="273"/>
    <x v="0"/>
    <n v="329"/>
    <n v="57"/>
    <n v="6"/>
    <n v="5"/>
    <n v="32.83"/>
    <x v="15"/>
    <x v="3"/>
    <n v="123"/>
    <n v="4.1399999999999997"/>
    <n v="74.52"/>
    <n v="1.52"/>
    <n v="2"/>
    <n v="0.84"/>
    <n v="242"/>
    <n v="5.82"/>
    <n v="0.62"/>
    <d v="2024-10-11T00:00:00"/>
    <n v="118.34"/>
    <n v="0.57799999999999996"/>
    <n v="24517.079999999998"/>
    <x v="0"/>
    <x v="0"/>
  </r>
  <r>
    <x v="274"/>
    <x v="2"/>
    <n v="457"/>
    <n v="54"/>
    <n v="12"/>
    <n v="5"/>
    <n v="4.58"/>
    <x v="10"/>
    <x v="2"/>
    <n v="138"/>
    <n v="4.82"/>
    <n v="32.950000000000003"/>
    <n v="1.24"/>
    <n v="2"/>
    <n v="0.98"/>
    <n v="376"/>
    <n v="3.44"/>
    <n v="0.31"/>
    <d v="2024-09-19T00:00:00"/>
    <n v="276.41000000000003"/>
    <n v="0.54"/>
    <n v="15058.150000000001"/>
    <x v="0"/>
    <x v="0"/>
  </r>
  <r>
    <x v="275"/>
    <x v="2"/>
    <n v="84"/>
    <n v="22"/>
    <n v="13"/>
    <n v="6"/>
    <n v="19.53"/>
    <x v="90"/>
    <x v="3"/>
    <n v="150"/>
    <n v="1.63"/>
    <n v="90.16"/>
    <n v="1.1499999999999999"/>
    <n v="3"/>
    <n v="0.8"/>
    <n v="532"/>
    <n v="8.01"/>
    <n v="0.57999999999999996"/>
    <d v="2024-07-27T00:00:00"/>
    <n v="257.17"/>
    <n v="0.60799999999999998"/>
    <n v="7573.44"/>
    <x v="0"/>
    <x v="2"/>
  </r>
  <r>
    <x v="276"/>
    <x v="1"/>
    <n v="375"/>
    <n v="78"/>
    <n v="12"/>
    <n v="8"/>
    <n v="35.79"/>
    <x v="82"/>
    <x v="0"/>
    <n v="63"/>
    <n v="1.53"/>
    <n v="26.6"/>
    <n v="1.24"/>
    <n v="6"/>
    <n v="0.9"/>
    <n v="74"/>
    <n v="11.94"/>
    <n v="0.63"/>
    <d v="2024-02-22T00:00:00"/>
    <n v="81.73"/>
    <n v="0.621"/>
    <n v="9975"/>
    <x v="0"/>
    <x v="0"/>
  </r>
  <r>
    <x v="277"/>
    <x v="2"/>
    <n v="40"/>
    <n v="34"/>
    <n v="14"/>
    <n v="5"/>
    <n v="1.98"/>
    <x v="47"/>
    <x v="2"/>
    <n v="91"/>
    <n v="0.64"/>
    <n v="32"/>
    <n v="1.49"/>
    <n v="5"/>
    <n v="0.88"/>
    <n v="151"/>
    <n v="6.2"/>
    <n v="0.7"/>
    <d v="2024-01-14T00:00:00"/>
    <n v="183.91"/>
    <n v="0.55000000000000004"/>
    <n v="1280"/>
    <x v="0"/>
    <x v="2"/>
  </r>
  <r>
    <x v="278"/>
    <x v="2"/>
    <n v="271"/>
    <n v="29"/>
    <n v="12"/>
    <n v="8"/>
    <n v="28.93"/>
    <x v="47"/>
    <x v="0"/>
    <n v="49"/>
    <n v="2.35"/>
    <n v="190.53"/>
    <n v="1.8"/>
    <n v="4"/>
    <n v="0.74"/>
    <n v="712"/>
    <n v="10.130000000000001"/>
    <n v="0.56000000000000005"/>
    <d v="2024-02-15T00:00:00"/>
    <n v="180.79"/>
    <n v="0.53500000000000003"/>
    <n v="51633.63"/>
    <x v="0"/>
    <x v="0"/>
  </r>
  <r>
    <x v="279"/>
    <x v="2"/>
    <n v="254"/>
    <n v="91"/>
    <n v="12"/>
    <n v="9"/>
    <n v="17.39"/>
    <x v="91"/>
    <x v="0"/>
    <n v="136"/>
    <n v="2.57"/>
    <n v="138.41999999999999"/>
    <n v="0.89"/>
    <n v="3"/>
    <n v="0.77"/>
    <n v="266"/>
    <n v="5.26"/>
    <n v="0.32"/>
    <d v="2024-06-30T00:00:00"/>
    <n v="95.09"/>
    <n v="0.53900000000000003"/>
    <n v="35158.68"/>
    <x v="0"/>
    <x v="0"/>
  </r>
  <r>
    <x v="280"/>
    <x v="3"/>
    <n v="246"/>
    <n v="91"/>
    <n v="12"/>
    <n v="9"/>
    <n v="1.43"/>
    <x v="5"/>
    <x v="1"/>
    <n v="148"/>
    <n v="4.84"/>
    <n v="171.81"/>
    <n v="1.63"/>
    <n v="7"/>
    <n v="0.98"/>
    <n v="791"/>
    <n v="11.08"/>
    <n v="0.32"/>
    <d v="2024-10-10T00:00:00"/>
    <n v="78.260000000000005"/>
    <n v="0.505"/>
    <n v="42265.26"/>
    <x v="0"/>
    <x v="1"/>
  </r>
  <r>
    <x v="281"/>
    <x v="1"/>
    <n v="32"/>
    <n v="75"/>
    <n v="5"/>
    <n v="4"/>
    <n v="10.33"/>
    <x v="91"/>
    <x v="1"/>
    <n v="51"/>
    <n v="4.24"/>
    <n v="132.15"/>
    <n v="1.04"/>
    <n v="3"/>
    <n v="0.76"/>
    <n v="316"/>
    <n v="10.36"/>
    <n v="0.78"/>
    <d v="2024-02-17T00:00:00"/>
    <n v="123.11"/>
    <n v="0.68200000000000005"/>
    <n v="4228.8"/>
    <x v="1"/>
    <x v="2"/>
  </r>
  <r>
    <x v="282"/>
    <x v="4"/>
    <n v="332"/>
    <n v="83"/>
    <n v="3"/>
    <n v="8"/>
    <n v="47.11"/>
    <x v="95"/>
    <x v="1"/>
    <n v="102"/>
    <n v="1.25"/>
    <n v="89.52"/>
    <n v="1.47"/>
    <n v="2"/>
    <n v="0.91"/>
    <n v="211"/>
    <n v="10.53"/>
    <n v="0.73"/>
    <d v="2024-11-01T00:00:00"/>
    <n v="238.7"/>
    <n v="0.68100000000000005"/>
    <n v="29720.639999999999"/>
    <x v="0"/>
    <x v="0"/>
  </r>
  <r>
    <x v="283"/>
    <x v="0"/>
    <n v="68"/>
    <n v="54"/>
    <n v="10"/>
    <n v="6"/>
    <n v="26.54"/>
    <x v="48"/>
    <x v="3"/>
    <n v="13"/>
    <n v="4.09"/>
    <n v="14.78"/>
    <n v="1.76"/>
    <n v="6"/>
    <n v="0.99"/>
    <n v="336"/>
    <n v="10.039999999999999"/>
    <n v="0.41"/>
    <d v="2024-11-02T00:00:00"/>
    <n v="65.599999999999994"/>
    <n v="0.51800000000000002"/>
    <n v="1005.04"/>
    <x v="0"/>
    <x v="2"/>
  </r>
  <r>
    <x v="284"/>
    <x v="4"/>
    <n v="137"/>
    <n v="56"/>
    <n v="12"/>
    <n v="9"/>
    <n v="49.86"/>
    <x v="32"/>
    <x v="1"/>
    <n v="34"/>
    <n v="1.3"/>
    <n v="191.61"/>
    <n v="0.16"/>
    <n v="1"/>
    <n v="0.74"/>
    <n v="727"/>
    <n v="3.19"/>
    <n v="0.56000000000000005"/>
    <d v="2024-06-15T00:00:00"/>
    <n v="139.26"/>
    <n v="0.66700000000000004"/>
    <n v="26250.570000000003"/>
    <x v="0"/>
    <x v="1"/>
  </r>
  <r>
    <x v="285"/>
    <x v="1"/>
    <n v="73"/>
    <n v="72"/>
    <n v="12"/>
    <n v="7"/>
    <n v="26.72"/>
    <x v="32"/>
    <x v="0"/>
    <n v="109"/>
    <n v="0.85"/>
    <n v="23.48"/>
    <n v="1.1399999999999999"/>
    <n v="3"/>
    <n v="0.82"/>
    <n v="935"/>
    <n v="13.43"/>
    <n v="0.45"/>
    <d v="2024-07-16T00:00:00"/>
    <n v="149.69"/>
    <n v="0.65900000000000003"/>
    <n v="1714.04"/>
    <x v="0"/>
    <x v="2"/>
  </r>
  <r>
    <x v="286"/>
    <x v="0"/>
    <n v="157"/>
    <n v="85"/>
    <n v="4"/>
    <n v="7"/>
    <n v="27.65"/>
    <x v="51"/>
    <x v="2"/>
    <n v="173"/>
    <n v="4.2699999999999996"/>
    <n v="125.93"/>
    <n v="1.98"/>
    <n v="7"/>
    <n v="0.77"/>
    <n v="931"/>
    <n v="9.1999999999999993"/>
    <n v="0.34"/>
    <d v="2024-01-07T00:00:00"/>
    <n v="282.35000000000002"/>
    <n v="0.40699999999999997"/>
    <n v="19771.010000000002"/>
    <x v="0"/>
    <x v="1"/>
  </r>
  <r>
    <x v="287"/>
    <x v="1"/>
    <n v="72"/>
    <n v="86"/>
    <n v="3"/>
    <n v="9"/>
    <n v="20.2"/>
    <x v="83"/>
    <x v="2"/>
    <n v="134"/>
    <n v="4.8899999999999997"/>
    <n v="29.42"/>
    <n v="1.04"/>
    <n v="3"/>
    <n v="0.77"/>
    <n v="296"/>
    <n v="6.35"/>
    <n v="0.46"/>
    <d v="2024-05-29T00:00:00"/>
    <n v="98.02"/>
    <n v="0.56699999999999995"/>
    <n v="2118.2400000000002"/>
    <x v="1"/>
    <x v="2"/>
  </r>
  <r>
    <x v="288"/>
    <x v="2"/>
    <n v="63"/>
    <n v="64"/>
    <n v="10"/>
    <n v="9"/>
    <n v="16.190000000000001"/>
    <x v="33"/>
    <x v="0"/>
    <n v="49"/>
    <n v="0.9"/>
    <n v="63.99"/>
    <n v="1.74"/>
    <n v="9"/>
    <n v="0.74"/>
    <n v="223"/>
    <n v="3.41"/>
    <n v="0.41"/>
    <d v="2024-07-30T00:00:00"/>
    <n v="15.7"/>
    <n v="0.32100000000000001"/>
    <n v="4031.3700000000003"/>
    <x v="1"/>
    <x v="2"/>
  </r>
  <r>
    <x v="289"/>
    <x v="0"/>
    <n v="322"/>
    <n v="84"/>
    <n v="9"/>
    <n v="9"/>
    <n v="13.33"/>
    <x v="13"/>
    <x v="3"/>
    <n v="101"/>
    <n v="4.16"/>
    <n v="45.31"/>
    <n v="0.45"/>
    <n v="6"/>
    <n v="0.89"/>
    <n v="445"/>
    <n v="11.97"/>
    <n v="0.27"/>
    <d v="2024-07-17T00:00:00"/>
    <n v="211.18"/>
    <n v="0.627"/>
    <n v="14589.820000000002"/>
    <x v="0"/>
    <x v="0"/>
  </r>
  <r>
    <x v="290"/>
    <x v="2"/>
    <n v="72"/>
    <n v="28"/>
    <n v="9"/>
    <n v="8"/>
    <n v="17.829999999999998"/>
    <x v="95"/>
    <x v="2"/>
    <n v="145"/>
    <n v="4.37"/>
    <n v="115.21"/>
    <n v="1.25"/>
    <n v="1"/>
    <n v="0.92"/>
    <n v="58"/>
    <n v="8.1300000000000008"/>
    <n v="0.6"/>
    <d v="2024-02-13T00:00:00"/>
    <n v="229.18"/>
    <n v="0.66700000000000004"/>
    <n v="8295.119999999999"/>
    <x v="0"/>
    <x v="2"/>
  </r>
  <r>
    <x v="291"/>
    <x v="4"/>
    <n v="93"/>
    <n v="44"/>
    <n v="6"/>
    <n v="7"/>
    <n v="23.53"/>
    <x v="61"/>
    <x v="0"/>
    <n v="94"/>
    <n v="1.03"/>
    <n v="178.54"/>
    <n v="1.75"/>
    <n v="4"/>
    <n v="0.9"/>
    <n v="958"/>
    <n v="3.06"/>
    <n v="0.56000000000000005"/>
    <d v="2024-10-13T00:00:00"/>
    <n v="213.88"/>
    <n v="0.47799999999999998"/>
    <n v="16604.219999999998"/>
    <x v="0"/>
    <x v="2"/>
  </r>
  <r>
    <x v="292"/>
    <x v="4"/>
    <n v="65"/>
    <n v="62"/>
    <n v="13"/>
    <n v="7"/>
    <n v="10.41"/>
    <x v="37"/>
    <x v="0"/>
    <n v="44"/>
    <n v="1.77"/>
    <n v="130.77000000000001"/>
    <n v="0.92"/>
    <n v="3"/>
    <n v="0.98"/>
    <n v="497"/>
    <n v="13.9"/>
    <n v="0.77"/>
    <d v="2024-05-04T00:00:00"/>
    <n v="213.21"/>
    <n v="0.78300000000000003"/>
    <n v="8500.0500000000011"/>
    <x v="0"/>
    <x v="2"/>
  </r>
  <r>
    <x v="293"/>
    <x v="0"/>
    <n v="32"/>
    <n v="35"/>
    <n v="11"/>
    <n v="3"/>
    <n v="12.02"/>
    <x v="76"/>
    <x v="0"/>
    <n v="155"/>
    <n v="3.8"/>
    <n v="136.19999999999999"/>
    <n v="1.02"/>
    <n v="8"/>
    <n v="0.74"/>
    <n v="837"/>
    <n v="2.4900000000000002"/>
    <n v="0.7"/>
    <d v="2024-10-19T00:00:00"/>
    <n v="150.13999999999999"/>
    <n v="0.45900000000000002"/>
    <n v="4358.3999999999996"/>
    <x v="1"/>
    <x v="2"/>
  </r>
  <r>
    <x v="294"/>
    <x v="0"/>
    <n v="184"/>
    <n v="23"/>
    <n v="8"/>
    <n v="9"/>
    <n v="14.31"/>
    <x v="9"/>
    <x v="2"/>
    <n v="56"/>
    <n v="4.13"/>
    <n v="182.7"/>
    <n v="0.26"/>
    <n v="6"/>
    <n v="0.8"/>
    <n v="620"/>
    <n v="8.34"/>
    <n v="0.47"/>
    <d v="2024-09-23T00:00:00"/>
    <n v="15.41"/>
    <n v="0.61899999999999999"/>
    <n v="33616.799999999996"/>
    <x v="0"/>
    <x v="1"/>
  </r>
  <r>
    <x v="295"/>
    <x v="1"/>
    <n v="121"/>
    <n v="54"/>
    <n v="4"/>
    <n v="4"/>
    <n v="23.01"/>
    <x v="22"/>
    <x v="2"/>
    <n v="162"/>
    <n v="2.09"/>
    <n v="152.38999999999999"/>
    <n v="0.18"/>
    <n v="8"/>
    <n v="0.8"/>
    <n v="646"/>
    <n v="9.5500000000000007"/>
    <n v="0.6"/>
    <d v="2024-03-27T00:00:00"/>
    <n v="221.68"/>
    <n v="0.629"/>
    <n v="18439.189999999999"/>
    <x v="0"/>
    <x v="1"/>
  </r>
  <r>
    <x v="296"/>
    <x v="1"/>
    <n v="299"/>
    <n v="53"/>
    <n v="3"/>
    <n v="9"/>
    <n v="32.99"/>
    <x v="58"/>
    <x v="1"/>
    <n v="178"/>
    <n v="1.22"/>
    <n v="174.53"/>
    <n v="0.99"/>
    <n v="9"/>
    <n v="0.77"/>
    <n v="711"/>
    <n v="14.99"/>
    <n v="0.63"/>
    <d v="2024-12-16T00:00:00"/>
    <n v="281.58999999999997"/>
    <n v="0.60099999999999998"/>
    <n v="52184.47"/>
    <x v="0"/>
    <x v="0"/>
  </r>
  <r>
    <x v="297"/>
    <x v="2"/>
    <n v="277"/>
    <n v="97"/>
    <n v="3"/>
    <n v="6"/>
    <n v="42.95"/>
    <x v="32"/>
    <x v="1"/>
    <n v="14"/>
    <n v="3.42"/>
    <n v="89.11"/>
    <n v="1.7"/>
    <n v="6"/>
    <n v="0.74"/>
    <n v="370"/>
    <n v="2.97"/>
    <n v="0.93"/>
    <d v="2024-07-13T00:00:00"/>
    <n v="55.64"/>
    <n v="0.48399999999999999"/>
    <n v="24683.47"/>
    <x v="0"/>
    <x v="0"/>
  </r>
  <r>
    <x v="298"/>
    <x v="0"/>
    <n v="489"/>
    <n v="74"/>
    <n v="11"/>
    <n v="6"/>
    <n v="15.07"/>
    <x v="65"/>
    <x v="0"/>
    <n v="134"/>
    <n v="3.66"/>
    <n v="174.42"/>
    <n v="1.87"/>
    <n v="1"/>
    <n v="0.85"/>
    <n v="621"/>
    <n v="9.59"/>
    <n v="0.99"/>
    <d v="2024-03-27T00:00:00"/>
    <n v="29.7"/>
    <n v="0.68899999999999995"/>
    <n v="85291.37999999999"/>
    <x v="0"/>
    <x v="0"/>
  </r>
  <r>
    <x v="299"/>
    <x v="4"/>
    <n v="356"/>
    <n v="60"/>
    <n v="6"/>
    <n v="7"/>
    <n v="10"/>
    <x v="67"/>
    <x v="0"/>
    <n v="120"/>
    <n v="2.77"/>
    <n v="132.71"/>
    <n v="1.35"/>
    <n v="1"/>
    <n v="0.95"/>
    <n v="174"/>
    <n v="7.67"/>
    <n v="0.85"/>
    <d v="2024-03-12T00:00:00"/>
    <n v="86.91"/>
    <n v="0.70699999999999996"/>
    <n v="47244.76"/>
    <x v="0"/>
    <x v="0"/>
  </r>
  <r>
    <x v="300"/>
    <x v="1"/>
    <n v="375"/>
    <n v="52"/>
    <n v="7"/>
    <n v="9"/>
    <n v="19.559999999999999"/>
    <x v="37"/>
    <x v="0"/>
    <n v="81"/>
    <n v="1.1499999999999999"/>
    <n v="35.770000000000003"/>
    <n v="1.67"/>
    <n v="1"/>
    <n v="0.99"/>
    <n v="90"/>
    <n v="4.5999999999999996"/>
    <n v="0.65"/>
    <d v="2024-05-17T00:00:00"/>
    <n v="256.44"/>
    <n v="0.60199999999999998"/>
    <n v="13413.750000000002"/>
    <x v="0"/>
    <x v="0"/>
  </r>
  <r>
    <x v="301"/>
    <x v="1"/>
    <n v="417"/>
    <n v="95"/>
    <n v="5"/>
    <n v="2"/>
    <n v="44.82"/>
    <x v="29"/>
    <x v="0"/>
    <n v="96"/>
    <n v="4.3"/>
    <n v="17.36"/>
    <n v="1.5"/>
    <n v="4"/>
    <n v="0.74"/>
    <n v="386"/>
    <n v="14.19"/>
    <n v="0.94"/>
    <d v="2024-06-03T00:00:00"/>
    <n v="40.78"/>
    <n v="0.69499999999999995"/>
    <n v="7239.12"/>
    <x v="0"/>
    <x v="0"/>
  </r>
  <r>
    <x v="302"/>
    <x v="4"/>
    <n v="157"/>
    <n v="32"/>
    <n v="6"/>
    <n v="6"/>
    <n v="1.48"/>
    <x v="8"/>
    <x v="2"/>
    <n v="12"/>
    <n v="3.4"/>
    <n v="56.37"/>
    <n v="1.43"/>
    <n v="0"/>
    <n v="0.95"/>
    <n v="734"/>
    <n v="12.07"/>
    <n v="0.34"/>
    <d v="2024-05-17T00:00:00"/>
    <n v="217.4"/>
    <n v="0.67600000000000005"/>
    <n v="8850.09"/>
    <x v="0"/>
    <x v="1"/>
  </r>
  <r>
    <x v="303"/>
    <x v="1"/>
    <n v="182"/>
    <n v="65"/>
    <n v="14"/>
    <n v="9"/>
    <n v="34.22"/>
    <x v="5"/>
    <x v="1"/>
    <n v="174"/>
    <n v="4.41"/>
    <n v="81.89"/>
    <n v="1.56"/>
    <n v="6"/>
    <n v="0.95"/>
    <n v="821"/>
    <n v="11.88"/>
    <n v="0.76"/>
    <d v="2024-09-09T00:00:00"/>
    <n v="28.25"/>
    <n v="0.624"/>
    <n v="14903.98"/>
    <x v="0"/>
    <x v="1"/>
  </r>
  <r>
    <x v="304"/>
    <x v="2"/>
    <n v="428"/>
    <n v="28"/>
    <n v="10"/>
    <n v="4"/>
    <n v="24.38"/>
    <x v="48"/>
    <x v="3"/>
    <n v="102"/>
    <n v="4.7"/>
    <n v="169.14"/>
    <n v="1.06"/>
    <n v="1"/>
    <n v="0.82"/>
    <n v="375"/>
    <n v="13.59"/>
    <n v="0.56999999999999995"/>
    <d v="2024-03-15T00:00:00"/>
    <n v="19.510000000000002"/>
    <n v="0.73299999999999998"/>
    <n v="72391.92"/>
    <x v="0"/>
    <x v="0"/>
  </r>
  <r>
    <x v="305"/>
    <x v="0"/>
    <n v="406"/>
    <n v="91"/>
    <n v="6"/>
    <n v="5"/>
    <n v="8.89"/>
    <x v="48"/>
    <x v="0"/>
    <n v="50"/>
    <n v="4.13"/>
    <n v="150.84"/>
    <n v="0.97"/>
    <n v="3"/>
    <n v="0.73"/>
    <n v="734"/>
    <n v="11.15"/>
    <n v="0.32"/>
    <d v="2024-02-02T00:00:00"/>
    <n v="268.48"/>
    <n v="0.60199999999999998"/>
    <n v="61241.04"/>
    <x v="0"/>
    <x v="0"/>
  </r>
  <r>
    <x v="306"/>
    <x v="4"/>
    <n v="130"/>
    <n v="85"/>
    <n v="11"/>
    <n v="9"/>
    <n v="16.73"/>
    <x v="39"/>
    <x v="1"/>
    <n v="157"/>
    <n v="4.8099999999999996"/>
    <n v="191.52"/>
    <n v="0.4"/>
    <n v="8"/>
    <n v="1"/>
    <n v="235"/>
    <n v="8.09"/>
    <n v="0.26"/>
    <d v="2024-03-26T00:00:00"/>
    <n v="233.46"/>
    <n v="0.56000000000000005"/>
    <n v="24897.600000000002"/>
    <x v="0"/>
    <x v="1"/>
  </r>
  <r>
    <x v="307"/>
    <x v="0"/>
    <n v="121"/>
    <n v="64"/>
    <n v="11"/>
    <n v="4"/>
    <n v="12.02"/>
    <x v="25"/>
    <x v="0"/>
    <n v="96"/>
    <n v="4.79"/>
    <n v="116.24"/>
    <n v="1.7"/>
    <n v="7"/>
    <n v="0.9"/>
    <n v="290"/>
    <n v="6.48"/>
    <n v="0.57999999999999996"/>
    <d v="2024-08-10T00:00:00"/>
    <n v="183.59"/>
    <n v="0.47199999999999998"/>
    <n v="14065.039999999999"/>
    <x v="0"/>
    <x v="1"/>
  </r>
  <r>
    <x v="308"/>
    <x v="1"/>
    <n v="36"/>
    <n v="69"/>
    <n v="8"/>
    <n v="7"/>
    <n v="44.01"/>
    <x v="7"/>
    <x v="2"/>
    <n v="177"/>
    <n v="3.29"/>
    <n v="152.07"/>
    <n v="0.18"/>
    <n v="9"/>
    <n v="0.99"/>
    <n v="388"/>
    <n v="10.86"/>
    <n v="0.39"/>
    <d v="2024-05-21T00:00:00"/>
    <n v="59.88"/>
    <n v="0.623"/>
    <n v="5474.5199999999995"/>
    <x v="1"/>
    <x v="2"/>
  </r>
  <r>
    <x v="309"/>
    <x v="1"/>
    <n v="287"/>
    <n v="68"/>
    <n v="4"/>
    <n v="7"/>
    <n v="24.61"/>
    <x v="13"/>
    <x v="3"/>
    <n v="94"/>
    <n v="3.78"/>
    <n v="62.3"/>
    <n v="0.61"/>
    <n v="1"/>
    <n v="0.85"/>
    <n v="143"/>
    <n v="9.44"/>
    <n v="0.4"/>
    <d v="2024-08-03T00:00:00"/>
    <n v="90.87"/>
    <n v="0.69499999999999995"/>
    <n v="17880.099999999999"/>
    <x v="0"/>
    <x v="0"/>
  </r>
  <r>
    <x v="310"/>
    <x v="4"/>
    <n v="201"/>
    <n v="42"/>
    <n v="14"/>
    <n v="3"/>
    <n v="28.59"/>
    <x v="96"/>
    <x v="1"/>
    <n v="145"/>
    <n v="3.65"/>
    <n v="139.12"/>
    <n v="1.0900000000000001"/>
    <n v="3"/>
    <n v="0.82"/>
    <n v="968"/>
    <n v="8.6"/>
    <n v="0.46"/>
    <d v="2024-06-02T00:00:00"/>
    <n v="24.1"/>
    <n v="0.60199999999999998"/>
    <n v="27963.120000000003"/>
    <x v="0"/>
    <x v="1"/>
  </r>
  <r>
    <x v="311"/>
    <x v="2"/>
    <n v="391"/>
    <n v="28"/>
    <n v="12"/>
    <n v="8"/>
    <n v="30.09"/>
    <x v="4"/>
    <x v="1"/>
    <n v="142"/>
    <n v="3.3"/>
    <n v="144.16999999999999"/>
    <n v="1.95"/>
    <n v="3"/>
    <n v="0.77"/>
    <n v="465"/>
    <n v="9.25"/>
    <n v="0.77"/>
    <d v="2024-09-04T00:00:00"/>
    <n v="197.16"/>
    <n v="0.57599999999999996"/>
    <n v="56370.469999999994"/>
    <x v="0"/>
    <x v="0"/>
  </r>
  <r>
    <x v="312"/>
    <x v="3"/>
    <n v="43"/>
    <n v="37"/>
    <n v="13"/>
    <n v="6"/>
    <n v="32.340000000000003"/>
    <x v="61"/>
    <x v="3"/>
    <n v="34"/>
    <n v="0.59"/>
    <n v="171.2"/>
    <n v="1.59"/>
    <n v="1"/>
    <n v="1"/>
    <n v="112"/>
    <n v="10.17"/>
    <n v="0.33"/>
    <d v="2024-02-09T00:00:00"/>
    <n v="208.96"/>
    <n v="0.623"/>
    <n v="7361.5999999999995"/>
    <x v="0"/>
    <x v="2"/>
  </r>
  <r>
    <x v="313"/>
    <x v="4"/>
    <n v="48"/>
    <n v="61"/>
    <n v="9"/>
    <n v="8"/>
    <n v="25.28"/>
    <x v="5"/>
    <x v="2"/>
    <n v="48"/>
    <n v="2.1"/>
    <n v="111.92"/>
    <n v="0.8"/>
    <n v="1"/>
    <n v="0.78"/>
    <n v="782"/>
    <n v="14.56"/>
    <n v="0.77"/>
    <d v="2024-07-03T00:00:00"/>
    <n v="104.77"/>
    <n v="0.80400000000000005"/>
    <n v="5372.16"/>
    <x v="1"/>
    <x v="2"/>
  </r>
  <r>
    <x v="314"/>
    <x v="3"/>
    <n v="190"/>
    <n v="58"/>
    <n v="11"/>
    <n v="9"/>
    <n v="1.88"/>
    <x v="59"/>
    <x v="3"/>
    <n v="174"/>
    <n v="0.95"/>
    <n v="133.31"/>
    <n v="1.46"/>
    <n v="4"/>
    <n v="0.71"/>
    <n v="569"/>
    <n v="11.54"/>
    <n v="0.83"/>
    <d v="2024-05-08T00:00:00"/>
    <n v="108.14"/>
    <n v="0.63600000000000001"/>
    <n v="25328.9"/>
    <x v="0"/>
    <x v="1"/>
  </r>
  <r>
    <x v="315"/>
    <x v="3"/>
    <n v="428"/>
    <n v="46"/>
    <n v="8"/>
    <n v="8"/>
    <n v="17.399999999999999"/>
    <x v="92"/>
    <x v="1"/>
    <n v="134"/>
    <n v="1.85"/>
    <n v="48.58"/>
    <n v="1.87"/>
    <n v="3"/>
    <n v="0.85"/>
    <n v="774"/>
    <n v="3.47"/>
    <n v="0.68"/>
    <d v="2024-05-06T00:00:00"/>
    <n v="192.4"/>
    <n v="0.505"/>
    <n v="20792.239999999998"/>
    <x v="0"/>
    <x v="0"/>
  </r>
  <r>
    <x v="316"/>
    <x v="2"/>
    <n v="247"/>
    <n v="35"/>
    <n v="5"/>
    <n v="6"/>
    <n v="10.01"/>
    <x v="42"/>
    <x v="3"/>
    <n v="114"/>
    <n v="0.81"/>
    <n v="149.97999999999999"/>
    <n v="1.1200000000000001"/>
    <n v="7"/>
    <n v="0.81"/>
    <n v="258"/>
    <n v="7.53"/>
    <n v="0.4"/>
    <d v="2024-11-16T00:00:00"/>
    <n v="284.24"/>
    <n v="0.49"/>
    <n v="37045.06"/>
    <x v="0"/>
    <x v="1"/>
  </r>
  <r>
    <x v="317"/>
    <x v="3"/>
    <n v="397"/>
    <n v="49"/>
    <n v="9"/>
    <n v="6"/>
    <n v="34.33"/>
    <x v="32"/>
    <x v="2"/>
    <n v="14"/>
    <n v="4.6399999999999997"/>
    <n v="169.3"/>
    <n v="0.98"/>
    <n v="3"/>
    <n v="0.78"/>
    <n v="258"/>
    <n v="10.5"/>
    <n v="0.24"/>
    <d v="2024-09-10T00:00:00"/>
    <n v="124.47"/>
    <n v="0.58599999999999997"/>
    <n v="67212.100000000006"/>
    <x v="0"/>
    <x v="0"/>
  </r>
  <r>
    <x v="318"/>
    <x v="3"/>
    <n v="207"/>
    <n v="89"/>
    <n v="7"/>
    <n v="9"/>
    <n v="3.78"/>
    <x v="76"/>
    <x v="2"/>
    <n v="145"/>
    <n v="2.5299999999999998"/>
    <n v="122.81"/>
    <n v="1.1499999999999999"/>
    <n v="7"/>
    <n v="0.89"/>
    <n v="425"/>
    <n v="3.46"/>
    <n v="0.53"/>
    <d v="2024-10-31T00:00:00"/>
    <n v="153.13999999999999"/>
    <n v="0.47499999999999998"/>
    <n v="25421.670000000002"/>
    <x v="0"/>
    <x v="1"/>
  </r>
  <r>
    <x v="319"/>
    <x v="2"/>
    <n v="365"/>
    <n v="47"/>
    <n v="3"/>
    <n v="7"/>
    <n v="28.63"/>
    <x v="22"/>
    <x v="0"/>
    <n v="13"/>
    <n v="1.35"/>
    <n v="31.98"/>
    <n v="0.69"/>
    <n v="4"/>
    <n v="0.81"/>
    <n v="134"/>
    <n v="14.06"/>
    <n v="0.88"/>
    <d v="2024-11-11T00:00:00"/>
    <n v="212.5"/>
    <n v="0.77600000000000002"/>
    <n v="11672.7"/>
    <x v="0"/>
    <x v="0"/>
  </r>
  <r>
    <x v="320"/>
    <x v="3"/>
    <n v="249"/>
    <n v="86"/>
    <n v="5"/>
    <n v="6"/>
    <n v="11.32"/>
    <x v="10"/>
    <x v="3"/>
    <n v="178"/>
    <n v="3.13"/>
    <n v="69.44"/>
    <n v="1.82"/>
    <n v="0"/>
    <n v="0.82"/>
    <n v="256"/>
    <n v="2.08"/>
    <n v="0.28000000000000003"/>
    <d v="2024-04-10T00:00:00"/>
    <n v="109.27"/>
    <n v="0.46600000000000003"/>
    <n v="17290.559999999998"/>
    <x v="0"/>
    <x v="1"/>
  </r>
  <r>
    <x v="321"/>
    <x v="3"/>
    <n v="340"/>
    <n v="96"/>
    <n v="7"/>
    <n v="2"/>
    <n v="47.49"/>
    <x v="81"/>
    <x v="3"/>
    <n v="69"/>
    <n v="1.38"/>
    <n v="100.35"/>
    <n v="1.61"/>
    <n v="8"/>
    <n v="0.71"/>
    <n v="396"/>
    <n v="9.5500000000000007"/>
    <n v="0.8"/>
    <d v="2024-08-22T00:00:00"/>
    <n v="261.97000000000003"/>
    <n v="0.50800000000000001"/>
    <n v="34119"/>
    <x v="0"/>
    <x v="0"/>
  </r>
  <r>
    <x v="322"/>
    <x v="3"/>
    <n v="359"/>
    <n v="63"/>
    <n v="9"/>
    <n v="2"/>
    <n v="17.440000000000001"/>
    <x v="11"/>
    <x v="1"/>
    <n v="63"/>
    <n v="4.12"/>
    <n v="138.66"/>
    <n v="1.44"/>
    <n v="7"/>
    <n v="0.88"/>
    <n v="714"/>
    <n v="14.66"/>
    <n v="0.56999999999999995"/>
    <d v="2024-02-24T00:00:00"/>
    <n v="255.39"/>
    <n v="0.60099999999999998"/>
    <n v="49778.94"/>
    <x v="0"/>
    <x v="0"/>
  </r>
  <r>
    <x v="323"/>
    <x v="4"/>
    <n v="138"/>
    <n v="31"/>
    <n v="5"/>
    <n v="5"/>
    <n v="16.940000000000001"/>
    <x v="75"/>
    <x v="2"/>
    <n v="159"/>
    <n v="1.88"/>
    <n v="70.86"/>
    <n v="1.22"/>
    <n v="0"/>
    <n v="0.74"/>
    <n v="210"/>
    <n v="11.19"/>
    <n v="0.92"/>
    <d v="2024-03-10T00:00:00"/>
    <n v="205.54"/>
    <n v="0.75900000000000001"/>
    <n v="9778.68"/>
    <x v="0"/>
    <x v="1"/>
  </r>
  <r>
    <x v="324"/>
    <x v="4"/>
    <n v="175"/>
    <n v="25"/>
    <n v="8"/>
    <n v="6"/>
    <n v="46.25"/>
    <x v="89"/>
    <x v="3"/>
    <n v="87"/>
    <n v="1.92"/>
    <n v="169.66"/>
    <n v="1.94"/>
    <n v="2"/>
    <n v="0.76"/>
    <n v="499"/>
    <n v="10.48"/>
    <n v="0.48"/>
    <d v="2024-06-04T00:00:00"/>
    <n v="165.71"/>
    <n v="0.55400000000000005"/>
    <n v="29690.5"/>
    <x v="0"/>
    <x v="1"/>
  </r>
  <r>
    <x v="325"/>
    <x v="4"/>
    <n v="291"/>
    <n v="37"/>
    <n v="7"/>
    <n v="3"/>
    <n v="21.45"/>
    <x v="60"/>
    <x v="1"/>
    <n v="28"/>
    <n v="4.41"/>
    <n v="80.64"/>
    <n v="0.67"/>
    <n v="2"/>
    <n v="0.92"/>
    <n v="165"/>
    <n v="14.96"/>
    <n v="0.76"/>
    <d v="2024-01-04T00:00:00"/>
    <n v="295.22000000000003"/>
    <n v="0.82799999999999996"/>
    <n v="23466.240000000002"/>
    <x v="0"/>
    <x v="0"/>
  </r>
  <r>
    <x v="326"/>
    <x v="2"/>
    <n v="194"/>
    <n v="44"/>
    <n v="3"/>
    <n v="5"/>
    <n v="48.18"/>
    <x v="95"/>
    <x v="0"/>
    <n v="108"/>
    <n v="3.02"/>
    <n v="18.14"/>
    <n v="0.64"/>
    <n v="4"/>
    <n v="0.79"/>
    <n v="411"/>
    <n v="12.09"/>
    <n v="0.79"/>
    <d v="2024-07-21T00:00:00"/>
    <n v="213.69"/>
    <n v="0.73299999999999998"/>
    <n v="3519.1600000000003"/>
    <x v="0"/>
    <x v="1"/>
  </r>
  <r>
    <x v="327"/>
    <x v="1"/>
    <n v="484"/>
    <n v="69"/>
    <n v="12"/>
    <n v="7"/>
    <n v="2.1800000000000002"/>
    <x v="86"/>
    <x v="3"/>
    <n v="77"/>
    <n v="4.49"/>
    <n v="160.86000000000001"/>
    <n v="0.56000000000000005"/>
    <n v="6"/>
    <n v="0.75"/>
    <n v="300"/>
    <n v="14.58"/>
    <n v="0.36"/>
    <d v="2024-06-19T00:00:00"/>
    <n v="196.54"/>
    <n v="0.64"/>
    <n v="77856.240000000005"/>
    <x v="0"/>
    <x v="0"/>
  </r>
  <r>
    <x v="328"/>
    <x v="3"/>
    <n v="123"/>
    <n v="54"/>
    <n v="8"/>
    <n v="6"/>
    <n v="16.010000000000002"/>
    <x v="97"/>
    <x v="3"/>
    <n v="42"/>
    <n v="2.36"/>
    <n v="132.4"/>
    <n v="1.51"/>
    <n v="0"/>
    <n v="0.87"/>
    <n v="961"/>
    <n v="10.78"/>
    <n v="0.33"/>
    <d v="2024-11-13T00:00:00"/>
    <n v="264.27999999999997"/>
    <n v="0.63300000000000001"/>
    <n v="16285.2"/>
    <x v="0"/>
    <x v="1"/>
  </r>
  <r>
    <x v="329"/>
    <x v="3"/>
    <n v="111"/>
    <n v="55"/>
    <n v="10"/>
    <n v="2"/>
    <n v="33.64"/>
    <x v="15"/>
    <x v="1"/>
    <n v="159"/>
    <n v="2.0499999999999998"/>
    <n v="162.37"/>
    <n v="1.61"/>
    <n v="0"/>
    <n v="0.76"/>
    <n v="232"/>
    <n v="10.32"/>
    <n v="0.27"/>
    <d v="2024-07-13T00:00:00"/>
    <n v="170.95"/>
    <n v="0.58299999999999996"/>
    <n v="18023.07"/>
    <x v="0"/>
    <x v="1"/>
  </r>
  <r>
    <x v="330"/>
    <x v="2"/>
    <n v="205"/>
    <n v="81"/>
    <n v="3"/>
    <n v="3"/>
    <n v="44.65"/>
    <x v="67"/>
    <x v="1"/>
    <n v="148"/>
    <n v="2.78"/>
    <n v="76.290000000000006"/>
    <n v="1.23"/>
    <n v="9"/>
    <n v="0.78"/>
    <n v="725"/>
    <n v="11.68"/>
    <n v="0.76"/>
    <d v="2024-06-17T00:00:00"/>
    <n v="80.45"/>
    <n v="0.56100000000000005"/>
    <n v="15639.45"/>
    <x v="0"/>
    <x v="1"/>
  </r>
  <r>
    <x v="331"/>
    <x v="3"/>
    <n v="479"/>
    <n v="64"/>
    <n v="4"/>
    <n v="9"/>
    <n v="13.56"/>
    <x v="65"/>
    <x v="2"/>
    <n v="25"/>
    <n v="0.78"/>
    <n v="13.35"/>
    <n v="1.34"/>
    <n v="5"/>
    <n v="0.89"/>
    <n v="377"/>
    <n v="3.64"/>
    <n v="0.64"/>
    <d v="2024-08-13T00:00:00"/>
    <n v="49.95"/>
    <n v="0.52100000000000002"/>
    <n v="6394.65"/>
    <x v="0"/>
    <x v="0"/>
  </r>
  <r>
    <x v="332"/>
    <x v="4"/>
    <n v="302"/>
    <n v="95"/>
    <n v="6"/>
    <n v="5"/>
    <n v="46.59"/>
    <x v="60"/>
    <x v="2"/>
    <n v="136"/>
    <n v="1.19"/>
    <n v="24.01"/>
    <n v="0.76"/>
    <n v="4"/>
    <n v="0.92"/>
    <n v="641"/>
    <n v="12.28"/>
    <n v="0.27"/>
    <d v="2024-06-20T00:00:00"/>
    <n v="146.6"/>
    <n v="0.64600000000000002"/>
    <n v="7251.02"/>
    <x v="0"/>
    <x v="0"/>
  </r>
  <r>
    <x v="333"/>
    <x v="1"/>
    <n v="200"/>
    <n v="94"/>
    <n v="14"/>
    <n v="3"/>
    <n v="30.11"/>
    <x v="31"/>
    <x v="2"/>
    <n v="102"/>
    <n v="1.49"/>
    <n v="31.24"/>
    <n v="0.18"/>
    <n v="2"/>
    <n v="0.92"/>
    <n v="56"/>
    <n v="14.58"/>
    <n v="0.45"/>
    <d v="2024-08-08T00:00:00"/>
    <n v="159.54"/>
    <n v="0.81"/>
    <n v="6248"/>
    <x v="0"/>
    <x v="1"/>
  </r>
  <r>
    <x v="334"/>
    <x v="0"/>
    <n v="189"/>
    <n v="35"/>
    <n v="4"/>
    <n v="6"/>
    <n v="40.25"/>
    <x v="26"/>
    <x v="3"/>
    <n v="53"/>
    <n v="4.18"/>
    <n v="162.97999999999999"/>
    <n v="0.57999999999999996"/>
    <n v="2"/>
    <n v="0.84"/>
    <n v="886"/>
    <n v="9.56"/>
    <n v="0.31"/>
    <d v="2024-11-29T00:00:00"/>
    <n v="250.03"/>
    <n v="0.65900000000000003"/>
    <n v="30803.219999999998"/>
    <x v="0"/>
    <x v="1"/>
  </r>
  <r>
    <x v="335"/>
    <x v="3"/>
    <n v="206"/>
    <n v="94"/>
    <n v="13"/>
    <n v="4"/>
    <n v="20.46"/>
    <x v="78"/>
    <x v="1"/>
    <n v="18"/>
    <n v="3.8"/>
    <n v="67.27"/>
    <n v="1.21"/>
    <n v="3"/>
    <n v="0.84"/>
    <n v="648"/>
    <n v="1.17"/>
    <n v="0.27"/>
    <d v="2024-10-31T00:00:00"/>
    <n v="50.45"/>
    <n v="0.45700000000000002"/>
    <n v="13857.619999999999"/>
    <x v="0"/>
    <x v="1"/>
  </r>
  <r>
    <x v="336"/>
    <x v="4"/>
    <n v="194"/>
    <n v="34"/>
    <n v="11"/>
    <n v="3"/>
    <n v="11.4"/>
    <x v="35"/>
    <x v="2"/>
    <n v="87"/>
    <n v="1.37"/>
    <n v="199.6"/>
    <n v="1.64"/>
    <n v="9"/>
    <n v="0.94"/>
    <n v="569"/>
    <n v="2.0099999999999998"/>
    <n v="0.44"/>
    <d v="2024-03-10T00:00:00"/>
    <n v="207.56"/>
    <n v="0.35899999999999999"/>
    <n v="38722.400000000001"/>
    <x v="0"/>
    <x v="1"/>
  </r>
  <r>
    <x v="337"/>
    <x v="0"/>
    <n v="241"/>
    <n v="74"/>
    <n v="12"/>
    <n v="3"/>
    <n v="45.65"/>
    <x v="38"/>
    <x v="3"/>
    <n v="88"/>
    <n v="1.75"/>
    <n v="154.09"/>
    <n v="1.58"/>
    <n v="1"/>
    <n v="0.76"/>
    <n v="436"/>
    <n v="4.29"/>
    <n v="0.28000000000000003"/>
    <d v="2024-06-02T00:00:00"/>
    <n v="98.2"/>
    <n v="0.48699999999999999"/>
    <n v="37135.69"/>
    <x v="0"/>
    <x v="1"/>
  </r>
  <r>
    <x v="338"/>
    <x v="1"/>
    <n v="252"/>
    <n v="15"/>
    <n v="10"/>
    <n v="7"/>
    <n v="46.72"/>
    <x v="98"/>
    <x v="2"/>
    <n v="95"/>
    <n v="4.75"/>
    <n v="124.22"/>
    <n v="0.44"/>
    <n v="8"/>
    <n v="0.75"/>
    <n v="980"/>
    <n v="7.88"/>
    <n v="0.41"/>
    <d v="2024-06-13T00:00:00"/>
    <n v="282.32"/>
    <n v="0.53300000000000003"/>
    <n v="31303.439999999999"/>
    <x v="0"/>
    <x v="0"/>
  </r>
  <r>
    <x v="339"/>
    <x v="0"/>
    <n v="181"/>
    <n v="32"/>
    <n v="10"/>
    <n v="2"/>
    <n v="25.38"/>
    <x v="13"/>
    <x v="0"/>
    <n v="24"/>
    <n v="0.89"/>
    <n v="196.89"/>
    <n v="0.2"/>
    <n v="3"/>
    <n v="0.9"/>
    <n v="419"/>
    <n v="6.79"/>
    <n v="0.64"/>
    <d v="2024-11-04T00:00:00"/>
    <n v="146.41999999999999"/>
    <n v="0.71899999999999997"/>
    <n v="35637.089999999997"/>
    <x v="0"/>
    <x v="1"/>
  </r>
  <r>
    <x v="340"/>
    <x v="4"/>
    <n v="440"/>
    <n v="73"/>
    <n v="6"/>
    <n v="9"/>
    <n v="1.32"/>
    <x v="23"/>
    <x v="3"/>
    <n v="15"/>
    <n v="2.96"/>
    <n v="70.099999999999994"/>
    <n v="1.72"/>
    <n v="9"/>
    <n v="0.82"/>
    <n v="597"/>
    <n v="14.71"/>
    <n v="0.65"/>
    <d v="2024-12-21T00:00:00"/>
    <n v="190.5"/>
    <n v="0.53800000000000003"/>
    <n v="30843.999999999996"/>
    <x v="0"/>
    <x v="0"/>
  </r>
  <r>
    <x v="341"/>
    <x v="0"/>
    <n v="153"/>
    <n v="96"/>
    <n v="7"/>
    <n v="6"/>
    <n v="6.38"/>
    <x v="37"/>
    <x v="2"/>
    <n v="10"/>
    <n v="2.85"/>
    <n v="41.47"/>
    <n v="0.24"/>
    <n v="2"/>
    <n v="0.91"/>
    <n v="812"/>
    <n v="14.24"/>
    <n v="0.33"/>
    <d v="2024-04-12T00:00:00"/>
    <n v="198.53"/>
    <n v="0.77400000000000002"/>
    <n v="6344.91"/>
    <x v="0"/>
    <x v="1"/>
  </r>
  <r>
    <x v="342"/>
    <x v="2"/>
    <n v="410"/>
    <n v="52"/>
    <n v="6"/>
    <n v="3"/>
    <n v="29.08"/>
    <x v="19"/>
    <x v="2"/>
    <n v="29"/>
    <n v="3.77"/>
    <n v="150.08000000000001"/>
    <n v="0.85"/>
    <n v="9"/>
    <n v="0.78"/>
    <n v="661"/>
    <n v="6.5"/>
    <n v="0.35"/>
    <d v="2024-09-02T00:00:00"/>
    <n v="36.39"/>
    <n v="0.44800000000000001"/>
    <n v="61532.800000000003"/>
    <x v="0"/>
    <x v="0"/>
  </r>
  <r>
    <x v="343"/>
    <x v="0"/>
    <n v="499"/>
    <n v="32"/>
    <n v="11"/>
    <n v="6"/>
    <n v="2.17"/>
    <x v="51"/>
    <x v="0"/>
    <n v="173"/>
    <n v="1.68"/>
    <n v="62.84"/>
    <n v="0.28000000000000003"/>
    <n v="6"/>
    <n v="0.8"/>
    <n v="128"/>
    <n v="12.12"/>
    <n v="0.88"/>
    <d v="2024-06-09T00:00:00"/>
    <n v="257.14"/>
    <n v="0.75"/>
    <n v="31357.160000000003"/>
    <x v="0"/>
    <x v="0"/>
  </r>
  <r>
    <x v="344"/>
    <x v="3"/>
    <n v="243"/>
    <n v="39"/>
    <n v="4"/>
    <n v="2"/>
    <n v="20.45"/>
    <x v="21"/>
    <x v="0"/>
    <n v="139"/>
    <n v="4.71"/>
    <n v="192.6"/>
    <n v="1.17"/>
    <n v="8"/>
    <n v="0.97"/>
    <n v="847"/>
    <n v="9.91"/>
    <n v="0.33"/>
    <d v="2024-03-31T00:00:00"/>
    <n v="57.63"/>
    <n v="0.51500000000000001"/>
    <n v="46801.799999999996"/>
    <x v="0"/>
    <x v="1"/>
  </r>
  <r>
    <x v="345"/>
    <x v="3"/>
    <n v="172"/>
    <n v="86"/>
    <n v="13"/>
    <n v="7"/>
    <n v="15.87"/>
    <x v="86"/>
    <x v="2"/>
    <n v="79"/>
    <n v="2.35"/>
    <n v="197.73"/>
    <n v="0.79"/>
    <n v="1"/>
    <n v="0.83"/>
    <n v="832"/>
    <n v="4.4000000000000004"/>
    <n v="0.24"/>
    <d v="2024-07-22T00:00:00"/>
    <n v="125.25"/>
    <n v="0.57399999999999995"/>
    <n v="34009.56"/>
    <x v="0"/>
    <x v="1"/>
  </r>
  <r>
    <x v="346"/>
    <x v="2"/>
    <n v="52"/>
    <n v="27"/>
    <n v="10"/>
    <n v="6"/>
    <n v="36"/>
    <x v="30"/>
    <x v="2"/>
    <n v="11"/>
    <n v="1.79"/>
    <n v="186.02"/>
    <n v="0.48"/>
    <n v="5"/>
    <n v="0.88"/>
    <n v="270"/>
    <n v="14.04"/>
    <n v="0.4"/>
    <d v="2024-06-12T00:00:00"/>
    <n v="205.04"/>
    <n v="0.69499999999999995"/>
    <n v="9673.0400000000009"/>
    <x v="0"/>
    <x v="2"/>
  </r>
  <r>
    <x v="347"/>
    <x v="4"/>
    <n v="74"/>
    <n v="96"/>
    <n v="4"/>
    <n v="8"/>
    <n v="3.72"/>
    <x v="48"/>
    <x v="1"/>
    <n v="140"/>
    <n v="2.02"/>
    <n v="189.5"/>
    <n v="1.23"/>
    <n v="4"/>
    <n v="0.73"/>
    <n v="757"/>
    <n v="4.63"/>
    <n v="0.66"/>
    <d v="2024-05-29T00:00:00"/>
    <n v="26.01"/>
    <n v="0.53700000000000003"/>
    <n v="14023"/>
    <x v="1"/>
    <x v="2"/>
  </r>
  <r>
    <x v="348"/>
    <x v="3"/>
    <n v="461"/>
    <n v="88"/>
    <n v="3"/>
    <n v="2"/>
    <n v="24.95"/>
    <x v="43"/>
    <x v="2"/>
    <n v="16"/>
    <n v="2.0699999999999998"/>
    <n v="126.97"/>
    <n v="0.79"/>
    <n v="0"/>
    <n v="0.75"/>
    <n v="787"/>
    <n v="13.18"/>
    <n v="0.21"/>
    <d v="2024-12-21T00:00:00"/>
    <n v="178.32"/>
    <n v="0.68899999999999995"/>
    <n v="58533.17"/>
    <x v="0"/>
    <x v="0"/>
  </r>
  <r>
    <x v="349"/>
    <x v="1"/>
    <n v="26"/>
    <n v="30"/>
    <n v="12"/>
    <n v="2"/>
    <n v="29.38"/>
    <x v="15"/>
    <x v="2"/>
    <n v="93"/>
    <n v="1.4"/>
    <n v="141.5"/>
    <n v="0.42"/>
    <n v="6"/>
    <n v="0.71"/>
    <n v="648"/>
    <n v="9.93"/>
    <n v="0.99"/>
    <d v="2024-11-20T00:00:00"/>
    <n v="128.88"/>
    <n v="0.71"/>
    <n v="3679"/>
    <x v="1"/>
    <x v="2"/>
  </r>
  <r>
    <x v="350"/>
    <x v="3"/>
    <n v="263"/>
    <n v="66"/>
    <n v="5"/>
    <n v="9"/>
    <n v="31.25"/>
    <x v="65"/>
    <x v="1"/>
    <n v="178"/>
    <n v="4.68"/>
    <n v="27.91"/>
    <n v="1.43"/>
    <n v="0"/>
    <n v="0.83"/>
    <n v="619"/>
    <n v="9.6999999999999993"/>
    <n v="0.38"/>
    <d v="2024-09-08T00:00:00"/>
    <n v="28.52"/>
    <n v="0.628"/>
    <n v="7340.33"/>
    <x v="0"/>
    <x v="0"/>
  </r>
  <r>
    <x v="351"/>
    <x v="3"/>
    <n v="332"/>
    <n v="32"/>
    <n v="11"/>
    <n v="5"/>
    <n v="20.85"/>
    <x v="73"/>
    <x v="1"/>
    <n v="63"/>
    <n v="1.29"/>
    <n v="154.97999999999999"/>
    <n v="1.69"/>
    <n v="9"/>
    <n v="1"/>
    <n v="461"/>
    <n v="12.74"/>
    <n v="0.39"/>
    <d v="2024-10-21T00:00:00"/>
    <n v="220.65"/>
    <n v="0.499"/>
    <n v="51453.359999999993"/>
    <x v="0"/>
    <x v="0"/>
  </r>
  <r>
    <x v="352"/>
    <x v="4"/>
    <n v="145"/>
    <n v="54"/>
    <n v="14"/>
    <n v="7"/>
    <n v="15.91"/>
    <x v="3"/>
    <x v="2"/>
    <n v="50"/>
    <n v="4.47"/>
    <n v="48.39"/>
    <n v="0.62"/>
    <n v="8"/>
    <n v="0.96"/>
    <n v="528"/>
    <n v="7.92"/>
    <n v="0.79"/>
    <d v="2024-05-04T00:00:00"/>
    <n v="155.38999999999999"/>
    <n v="0.63400000000000001"/>
    <n v="7016.55"/>
    <x v="0"/>
    <x v="1"/>
  </r>
  <r>
    <x v="353"/>
    <x v="0"/>
    <n v="31"/>
    <n v="53"/>
    <n v="5"/>
    <n v="7"/>
    <n v="34.44"/>
    <x v="10"/>
    <x v="1"/>
    <n v="124"/>
    <n v="2.3199999999999998"/>
    <n v="169.66"/>
    <n v="0.45"/>
    <n v="3"/>
    <n v="0.89"/>
    <n v="731"/>
    <n v="12.95"/>
    <n v="0.4"/>
    <d v="2024-06-15T00:00:00"/>
    <n v="98"/>
    <n v="0.72599999999999998"/>
    <n v="5259.46"/>
    <x v="1"/>
    <x v="2"/>
  </r>
  <r>
    <x v="354"/>
    <x v="3"/>
    <n v="35"/>
    <n v="91"/>
    <n v="11"/>
    <n v="9"/>
    <n v="42.53"/>
    <x v="65"/>
    <x v="3"/>
    <n v="142"/>
    <n v="1.71"/>
    <n v="192.69"/>
    <n v="0.24"/>
    <n v="7"/>
    <n v="0.96"/>
    <n v="146"/>
    <n v="8.6999999999999993"/>
    <n v="0.52"/>
    <d v="2024-07-11T00:00:00"/>
    <n v="34.46"/>
    <n v="0.64800000000000002"/>
    <n v="6744.15"/>
    <x v="1"/>
    <x v="2"/>
  </r>
  <r>
    <x v="355"/>
    <x v="2"/>
    <n v="227"/>
    <n v="97"/>
    <n v="9"/>
    <n v="8"/>
    <n v="34.99"/>
    <x v="72"/>
    <x v="0"/>
    <n v="111"/>
    <n v="1.39"/>
    <n v="50.35"/>
    <n v="1.1000000000000001"/>
    <n v="0"/>
    <n v="0.88"/>
    <n v="707"/>
    <n v="14.79"/>
    <n v="0.64"/>
    <d v="2024-05-23T00:00:00"/>
    <n v="168.77"/>
    <n v="0.79100000000000004"/>
    <n v="11429.45"/>
    <x v="0"/>
    <x v="1"/>
  </r>
  <r>
    <x v="356"/>
    <x v="0"/>
    <n v="62"/>
    <n v="56"/>
    <n v="12"/>
    <n v="6"/>
    <n v="46.67"/>
    <x v="66"/>
    <x v="3"/>
    <n v="91"/>
    <n v="2.77"/>
    <n v="24.83"/>
    <n v="1.68"/>
    <n v="4"/>
    <n v="0.81"/>
    <n v="950"/>
    <n v="10.24"/>
    <n v="0.22"/>
    <d v="2024-07-20T00:00:00"/>
    <n v="98.73"/>
    <n v="0.495"/>
    <n v="1539.4599999999998"/>
    <x v="0"/>
    <x v="2"/>
  </r>
  <r>
    <x v="357"/>
    <x v="1"/>
    <n v="392"/>
    <n v="49"/>
    <n v="3"/>
    <n v="4"/>
    <n v="36.15"/>
    <x v="65"/>
    <x v="0"/>
    <n v="72"/>
    <n v="3.51"/>
    <n v="101.94"/>
    <n v="0.57999999999999996"/>
    <n v="2"/>
    <n v="0.75"/>
    <n v="442"/>
    <n v="6.24"/>
    <n v="0.87"/>
    <d v="2024-07-05T00:00:00"/>
    <n v="284.54000000000002"/>
    <n v="0.70899999999999996"/>
    <n v="39960.479999999996"/>
    <x v="0"/>
    <x v="0"/>
  </r>
  <r>
    <x v="358"/>
    <x v="4"/>
    <n v="480"/>
    <n v="60"/>
    <n v="12"/>
    <n v="8"/>
    <n v="38.47"/>
    <x v="76"/>
    <x v="0"/>
    <n v="10"/>
    <n v="4.54"/>
    <n v="160.38999999999999"/>
    <n v="0.98"/>
    <n v="3"/>
    <n v="0.9"/>
    <n v="517"/>
    <n v="11.69"/>
    <n v="0.61"/>
    <d v="2024-02-28T00:00:00"/>
    <n v="181.54"/>
    <n v="0.7"/>
    <n v="76987.199999999997"/>
    <x v="0"/>
    <x v="0"/>
  </r>
  <r>
    <x v="359"/>
    <x v="1"/>
    <n v="154"/>
    <n v="51"/>
    <n v="7"/>
    <n v="5"/>
    <n v="9.23"/>
    <x v="73"/>
    <x v="2"/>
    <n v="34"/>
    <n v="3.44"/>
    <n v="156.41999999999999"/>
    <n v="0.41"/>
    <n v="3"/>
    <n v="0.76"/>
    <n v="919"/>
    <n v="8.14"/>
    <n v="0.45"/>
    <d v="2024-10-15T00:00:00"/>
    <n v="92.67"/>
    <n v="0.65"/>
    <n v="24088.679999999997"/>
    <x v="0"/>
    <x v="1"/>
  </r>
  <r>
    <x v="360"/>
    <x v="0"/>
    <n v="247"/>
    <n v="16"/>
    <n v="11"/>
    <n v="7"/>
    <n v="21.56"/>
    <x v="97"/>
    <x v="0"/>
    <n v="152"/>
    <n v="2.68"/>
    <n v="142.4"/>
    <n v="0.87"/>
    <n v="7"/>
    <n v="0.83"/>
    <n v="420"/>
    <n v="12.28"/>
    <n v="0.52"/>
    <d v="2024-04-12T00:00:00"/>
    <n v="163.30000000000001"/>
    <n v="0.60699999999999998"/>
    <n v="35172.800000000003"/>
    <x v="0"/>
    <x v="1"/>
  </r>
  <r>
    <x v="361"/>
    <x v="0"/>
    <n v="130"/>
    <n v="59"/>
    <n v="14"/>
    <n v="2"/>
    <n v="24.77"/>
    <x v="17"/>
    <x v="3"/>
    <n v="154"/>
    <n v="0.65"/>
    <n v="165.93"/>
    <n v="0.13"/>
    <n v="9"/>
    <n v="0.95"/>
    <n v="442"/>
    <n v="12.67"/>
    <n v="0.24"/>
    <d v="2024-10-30T00:00:00"/>
    <n v="166.45"/>
    <n v="0.61399999999999999"/>
    <n v="21570.9"/>
    <x v="0"/>
    <x v="1"/>
  </r>
  <r>
    <x v="362"/>
    <x v="0"/>
    <n v="326"/>
    <n v="57"/>
    <n v="5"/>
    <n v="7"/>
    <n v="13.56"/>
    <x v="79"/>
    <x v="2"/>
    <n v="158"/>
    <n v="4.62"/>
    <n v="43.25"/>
    <n v="1.83"/>
    <n v="9"/>
    <n v="0.74"/>
    <n v="67"/>
    <n v="9.64"/>
    <n v="0.77"/>
    <d v="2024-10-06T00:00:00"/>
    <n v="220.76"/>
    <n v="0.46800000000000003"/>
    <n v="14099.5"/>
    <x v="0"/>
    <x v="0"/>
  </r>
  <r>
    <x v="363"/>
    <x v="1"/>
    <n v="476"/>
    <n v="93"/>
    <n v="11"/>
    <n v="8"/>
    <n v="26.9"/>
    <x v="28"/>
    <x v="1"/>
    <n v="64"/>
    <n v="4.5599999999999996"/>
    <n v="133.87"/>
    <n v="1.39"/>
    <n v="2"/>
    <n v="0.74"/>
    <n v="233"/>
    <n v="13.21"/>
    <n v="0.63"/>
    <d v="2024-04-02T00:00:00"/>
    <n v="271.64"/>
    <n v="0.67100000000000004"/>
    <n v="63722.12"/>
    <x v="0"/>
    <x v="0"/>
  </r>
  <r>
    <x v="364"/>
    <x v="0"/>
    <n v="179"/>
    <n v="15"/>
    <n v="7"/>
    <n v="4"/>
    <n v="15.25"/>
    <x v="65"/>
    <x v="3"/>
    <n v="116"/>
    <n v="2.2000000000000002"/>
    <n v="125.08"/>
    <n v="0.73"/>
    <n v="0"/>
    <n v="0.77"/>
    <n v="192"/>
    <n v="6.65"/>
    <n v="0.93"/>
    <d v="2024-12-15T00:00:00"/>
    <n v="289.14999999999998"/>
    <n v="0.75600000000000001"/>
    <n v="22389.32"/>
    <x v="0"/>
    <x v="1"/>
  </r>
  <r>
    <x v="365"/>
    <x v="1"/>
    <n v="350"/>
    <n v="18"/>
    <n v="11"/>
    <n v="3"/>
    <n v="34.69"/>
    <x v="74"/>
    <x v="2"/>
    <n v="147"/>
    <n v="0.63"/>
    <n v="39.15"/>
    <n v="1.77"/>
    <n v="4"/>
    <n v="0.87"/>
    <n v="512"/>
    <n v="1.8"/>
    <n v="0.56999999999999995"/>
    <d v="2024-10-08T00:00:00"/>
    <n v="218.19"/>
    <n v="0.45500000000000002"/>
    <n v="13702.5"/>
    <x v="0"/>
    <x v="0"/>
  </r>
  <r>
    <x v="366"/>
    <x v="0"/>
    <n v="283"/>
    <n v="66"/>
    <n v="12"/>
    <n v="3"/>
    <n v="24.04"/>
    <x v="41"/>
    <x v="0"/>
    <n v="74"/>
    <n v="3.8"/>
    <n v="88.74"/>
    <n v="0.45"/>
    <n v="1"/>
    <n v="0.78"/>
    <n v="556"/>
    <n v="10.28"/>
    <n v="0.86"/>
    <d v="2024-01-14T00:00:00"/>
    <n v="168.31"/>
    <n v="0.8"/>
    <n v="25113.42"/>
    <x v="0"/>
    <x v="0"/>
  </r>
  <r>
    <x v="367"/>
    <x v="2"/>
    <n v="244"/>
    <n v="40"/>
    <n v="8"/>
    <n v="9"/>
    <n v="23.48"/>
    <x v="96"/>
    <x v="3"/>
    <n v="46"/>
    <n v="4.0599999999999996"/>
    <n v="171.98"/>
    <n v="0.25"/>
    <n v="5"/>
    <n v="0.85"/>
    <n v="383"/>
    <n v="11.7"/>
    <n v="0.35"/>
    <d v="2024-08-24T00:00:00"/>
    <n v="75.23"/>
    <n v="0.67100000000000004"/>
    <n v="41963.119999999995"/>
    <x v="0"/>
    <x v="1"/>
  </r>
  <r>
    <x v="368"/>
    <x v="0"/>
    <n v="490"/>
    <n v="30"/>
    <n v="11"/>
    <n v="7"/>
    <n v="49.2"/>
    <x v="50"/>
    <x v="0"/>
    <n v="121"/>
    <n v="2.94"/>
    <n v="194.64"/>
    <n v="1.89"/>
    <n v="3"/>
    <n v="0.79"/>
    <n v="111"/>
    <n v="2.02"/>
    <n v="0.25"/>
    <d v="2024-12-28T00:00:00"/>
    <n v="126.88"/>
    <n v="0.38600000000000001"/>
    <n v="95373.599999999991"/>
    <x v="0"/>
    <x v="0"/>
  </r>
  <r>
    <x v="369"/>
    <x v="1"/>
    <n v="236"/>
    <n v="99"/>
    <n v="9"/>
    <n v="7"/>
    <n v="20.23"/>
    <x v="77"/>
    <x v="2"/>
    <n v="16"/>
    <n v="2.31"/>
    <n v="136.43"/>
    <n v="0.69"/>
    <n v="8"/>
    <n v="0.85"/>
    <n v="212"/>
    <n v="11.79"/>
    <n v="0.96"/>
    <d v="2024-04-17T00:00:00"/>
    <n v="151.75"/>
    <n v="0.69"/>
    <n v="32197.480000000003"/>
    <x v="0"/>
    <x v="1"/>
  </r>
  <r>
    <x v="370"/>
    <x v="3"/>
    <n v="475"/>
    <n v="49"/>
    <n v="9"/>
    <n v="5"/>
    <n v="18.75"/>
    <x v="50"/>
    <x v="2"/>
    <n v="85"/>
    <n v="4.33"/>
    <n v="185.17"/>
    <n v="1.88"/>
    <n v="6"/>
    <n v="0.78"/>
    <n v="601"/>
    <n v="9.9499999999999993"/>
    <n v="0.41"/>
    <d v="2024-08-12T00:00:00"/>
    <n v="47.23"/>
    <n v="0.46300000000000002"/>
    <n v="87955.75"/>
    <x v="0"/>
    <x v="0"/>
  </r>
  <r>
    <x v="371"/>
    <x v="0"/>
    <n v="64"/>
    <n v="54"/>
    <n v="10"/>
    <n v="7"/>
    <n v="16.61"/>
    <x v="9"/>
    <x v="1"/>
    <n v="49"/>
    <n v="1.37"/>
    <n v="35.090000000000003"/>
    <n v="1.31"/>
    <n v="1"/>
    <n v="0.99"/>
    <n v="228"/>
    <n v="2.63"/>
    <n v="0.87"/>
    <d v="2024-05-29T00:00:00"/>
    <n v="84.36"/>
    <n v="0.65600000000000003"/>
    <n v="2245.7600000000002"/>
    <x v="0"/>
    <x v="2"/>
  </r>
  <r>
    <x v="372"/>
    <x v="3"/>
    <n v="233"/>
    <n v="86"/>
    <n v="9"/>
    <n v="4"/>
    <n v="44.84"/>
    <x v="89"/>
    <x v="1"/>
    <n v="10"/>
    <n v="2.48"/>
    <n v="195.26"/>
    <n v="1.96"/>
    <n v="6"/>
    <n v="0.85"/>
    <n v="284"/>
    <n v="8.56"/>
    <n v="0.41"/>
    <d v="2024-12-20T00:00:00"/>
    <n v="295.49"/>
    <n v="0.45"/>
    <n v="45495.579999999994"/>
    <x v="0"/>
    <x v="1"/>
  </r>
  <r>
    <x v="373"/>
    <x v="2"/>
    <n v="78"/>
    <n v="58"/>
    <n v="14"/>
    <n v="7"/>
    <n v="25.34"/>
    <x v="67"/>
    <x v="3"/>
    <n v="157"/>
    <n v="0.61"/>
    <n v="16.37"/>
    <n v="1.53"/>
    <n v="9"/>
    <n v="0.92"/>
    <n v="941"/>
    <n v="2.52"/>
    <n v="0.32"/>
    <d v="2024-02-05T00:00:00"/>
    <n v="229.44"/>
    <n v="0.34899999999999998"/>
    <n v="1276.8600000000001"/>
    <x v="0"/>
    <x v="2"/>
  </r>
  <r>
    <x v="374"/>
    <x v="4"/>
    <n v="151"/>
    <n v="96"/>
    <n v="11"/>
    <n v="6"/>
    <n v="30.4"/>
    <x v="40"/>
    <x v="1"/>
    <n v="117"/>
    <n v="1.24"/>
    <n v="110.18"/>
    <n v="0.3"/>
    <n v="7"/>
    <n v="0.91"/>
    <n v="109"/>
    <n v="5.5"/>
    <n v="0.79"/>
    <d v="2024-07-28T00:00:00"/>
    <n v="149.78"/>
    <n v="0.64300000000000002"/>
    <n v="16637.18"/>
    <x v="0"/>
    <x v="1"/>
  </r>
  <r>
    <x v="375"/>
    <x v="2"/>
    <n v="123"/>
    <n v="29"/>
    <n v="13"/>
    <n v="8"/>
    <n v="9.86"/>
    <x v="68"/>
    <x v="0"/>
    <n v="168"/>
    <n v="4.7300000000000004"/>
    <n v="65.290000000000006"/>
    <n v="1.72"/>
    <n v="2"/>
    <n v="0.85"/>
    <n v="277"/>
    <n v="12.26"/>
    <n v="0.82"/>
    <d v="2024-12-10T00:00:00"/>
    <n v="75.55"/>
    <n v="0.68500000000000005"/>
    <n v="8030.670000000001"/>
    <x v="0"/>
    <x v="1"/>
  </r>
  <r>
    <x v="376"/>
    <x v="0"/>
    <n v="214"/>
    <n v="26"/>
    <n v="11"/>
    <n v="9"/>
    <n v="27.51"/>
    <x v="5"/>
    <x v="0"/>
    <n v="77"/>
    <n v="3.1"/>
    <n v="164.64"/>
    <n v="0.38"/>
    <n v="2"/>
    <n v="0.77"/>
    <n v="288"/>
    <n v="2.41"/>
    <n v="0.87"/>
    <d v="2024-09-12T00:00:00"/>
    <n v="176.3"/>
    <n v="0.68200000000000005"/>
    <n v="35232.959999999999"/>
    <x v="0"/>
    <x v="1"/>
  </r>
  <r>
    <x v="377"/>
    <x v="3"/>
    <n v="432"/>
    <n v="37"/>
    <n v="8"/>
    <n v="4"/>
    <n v="14.46"/>
    <x v="73"/>
    <x v="1"/>
    <n v="21"/>
    <n v="4.13"/>
    <n v="51.33"/>
    <n v="1.42"/>
    <n v="1"/>
    <n v="0.85"/>
    <n v="617"/>
    <n v="7.43"/>
    <n v="0.89"/>
    <d v="2024-03-12T00:00:00"/>
    <n v="77.239999999999995"/>
    <n v="0.68500000000000005"/>
    <n v="22174.559999999998"/>
    <x v="0"/>
    <x v="0"/>
  </r>
  <r>
    <x v="378"/>
    <x v="3"/>
    <n v="176"/>
    <n v="50"/>
    <n v="9"/>
    <n v="5"/>
    <n v="36.799999999999997"/>
    <x v="77"/>
    <x v="1"/>
    <n v="159"/>
    <n v="2.69"/>
    <n v="12.19"/>
    <n v="1.05"/>
    <n v="0"/>
    <n v="0.9"/>
    <n v="795"/>
    <n v="9.48"/>
    <n v="0.59"/>
    <d v="2024-11-20T00:00:00"/>
    <n v="66"/>
    <n v="0.71899999999999997"/>
    <n v="2145.44"/>
    <x v="0"/>
    <x v="1"/>
  </r>
  <r>
    <x v="379"/>
    <x v="1"/>
    <n v="117"/>
    <n v="75"/>
    <n v="4"/>
    <n v="6"/>
    <n v="41.79"/>
    <x v="36"/>
    <x v="1"/>
    <n v="138"/>
    <n v="4.26"/>
    <n v="88.78"/>
    <n v="1.44"/>
    <n v="2"/>
    <n v="0.84"/>
    <n v="133"/>
    <n v="14.17"/>
    <n v="0.52"/>
    <d v="2024-06-04T00:00:00"/>
    <n v="37.19"/>
    <n v="0.67700000000000005"/>
    <n v="10387.26"/>
    <x v="0"/>
    <x v="1"/>
  </r>
  <r>
    <x v="380"/>
    <x v="3"/>
    <n v="245"/>
    <n v="34"/>
    <n v="11"/>
    <n v="6"/>
    <n v="36.03"/>
    <x v="45"/>
    <x v="3"/>
    <n v="135"/>
    <n v="2.93"/>
    <n v="22.18"/>
    <n v="1.55"/>
    <n v="9"/>
    <n v="0.72"/>
    <n v="764"/>
    <n v="11.32"/>
    <n v="0.8"/>
    <d v="2024-05-03T00:00:00"/>
    <n v="110.3"/>
    <n v="0.52"/>
    <n v="5434.1"/>
    <x v="0"/>
    <x v="1"/>
  </r>
  <r>
    <x v="381"/>
    <x v="1"/>
    <n v="431"/>
    <n v="67"/>
    <n v="14"/>
    <n v="8"/>
    <n v="36.78"/>
    <x v="41"/>
    <x v="3"/>
    <n v="10"/>
    <n v="0.52"/>
    <n v="65.12"/>
    <n v="1.63"/>
    <n v="6"/>
    <n v="0.71"/>
    <n v="90"/>
    <n v="2.95"/>
    <n v="0.66"/>
    <d v="2024-05-09T00:00:00"/>
    <n v="167.1"/>
    <n v="0.43"/>
    <n v="28066.720000000001"/>
    <x v="0"/>
    <x v="0"/>
  </r>
  <r>
    <x v="382"/>
    <x v="4"/>
    <n v="224"/>
    <n v="50"/>
    <n v="3"/>
    <n v="3"/>
    <n v="26.11"/>
    <x v="24"/>
    <x v="0"/>
    <n v="140"/>
    <n v="4.55"/>
    <n v="132.31"/>
    <n v="1.69"/>
    <n v="8"/>
    <n v="0.8"/>
    <n v="487"/>
    <n v="14.56"/>
    <n v="0.97"/>
    <d v="2024-12-03T00:00:00"/>
    <n v="56.21"/>
    <n v="0.61899999999999999"/>
    <n v="29637.440000000002"/>
    <x v="0"/>
    <x v="1"/>
  </r>
  <r>
    <x v="383"/>
    <x v="0"/>
    <n v="98"/>
    <n v="15"/>
    <n v="3"/>
    <n v="4"/>
    <n v="35.89"/>
    <x v="51"/>
    <x v="3"/>
    <n v="126"/>
    <n v="1.17"/>
    <n v="65.989999999999995"/>
    <n v="1.71"/>
    <n v="8"/>
    <n v="0.75"/>
    <n v="578"/>
    <n v="7.69"/>
    <n v="0.5"/>
    <d v="2024-03-19T00:00:00"/>
    <n v="68.13"/>
    <n v="0.42199999999999999"/>
    <n v="6467.0199999999995"/>
    <x v="0"/>
    <x v="2"/>
  </r>
  <r>
    <x v="384"/>
    <x v="1"/>
    <n v="143"/>
    <n v="84"/>
    <n v="5"/>
    <n v="8"/>
    <n v="21.71"/>
    <x v="73"/>
    <x v="3"/>
    <n v="158"/>
    <n v="2.5299999999999998"/>
    <n v="56.7"/>
    <n v="0.88"/>
    <n v="5"/>
    <n v="0.97"/>
    <n v="154"/>
    <n v="6.18"/>
    <n v="0.23"/>
    <d v="2024-08-04T00:00:00"/>
    <n v="123.43"/>
    <n v="0.53400000000000003"/>
    <n v="8108.1"/>
    <x v="0"/>
    <x v="1"/>
  </r>
  <r>
    <x v="385"/>
    <x v="4"/>
    <n v="490"/>
    <n v="47"/>
    <n v="14"/>
    <n v="6"/>
    <n v="32.92"/>
    <x v="68"/>
    <x v="2"/>
    <n v="22"/>
    <n v="2.65"/>
    <n v="39.54"/>
    <n v="1.79"/>
    <n v="5"/>
    <n v="0.75"/>
    <n v="586"/>
    <n v="2.8"/>
    <n v="0.67"/>
    <d v="2024-07-12T00:00:00"/>
    <n v="151.96"/>
    <n v="0.442"/>
    <n v="19374.599999999999"/>
    <x v="0"/>
    <x v="0"/>
  </r>
  <r>
    <x v="386"/>
    <x v="3"/>
    <n v="447"/>
    <n v="15"/>
    <n v="8"/>
    <n v="5"/>
    <n v="13.69"/>
    <x v="93"/>
    <x v="0"/>
    <n v="150"/>
    <n v="0.71"/>
    <n v="35.68"/>
    <n v="1.47"/>
    <n v="4"/>
    <n v="0.82"/>
    <n v="431"/>
    <n v="14.07"/>
    <n v="0.48"/>
    <d v="2024-02-07T00:00:00"/>
    <n v="231.06"/>
    <n v="0.621"/>
    <n v="15948.96"/>
    <x v="0"/>
    <x v="0"/>
  </r>
  <r>
    <x v="387"/>
    <x v="3"/>
    <n v="237"/>
    <n v="54"/>
    <n v="7"/>
    <n v="8"/>
    <n v="4.42"/>
    <x v="66"/>
    <x v="0"/>
    <n v="114"/>
    <n v="0.74"/>
    <n v="109.91"/>
    <n v="1.69"/>
    <n v="1"/>
    <n v="0.91"/>
    <n v="142"/>
    <n v="9.2100000000000009"/>
    <n v="0.47"/>
    <d v="2024-08-17T00:00:00"/>
    <n v="174.32"/>
    <n v="0.61"/>
    <n v="26048.67"/>
    <x v="0"/>
    <x v="1"/>
  </r>
  <r>
    <x v="388"/>
    <x v="4"/>
    <n v="23"/>
    <n v="84"/>
    <n v="4"/>
    <n v="3"/>
    <n v="21.26"/>
    <x v="35"/>
    <x v="1"/>
    <n v="170"/>
    <n v="3.93"/>
    <n v="139.49"/>
    <n v="1.98"/>
    <n v="6"/>
    <n v="0.94"/>
    <n v="264"/>
    <n v="14.83"/>
    <n v="0.65"/>
    <d v="2024-11-02T00:00:00"/>
    <n v="189.13"/>
    <n v="0.59799999999999998"/>
    <n v="3208.2700000000004"/>
    <x v="1"/>
    <x v="2"/>
  </r>
  <r>
    <x v="389"/>
    <x v="3"/>
    <n v="109"/>
    <n v="23"/>
    <n v="11"/>
    <n v="6"/>
    <n v="23.63"/>
    <x v="54"/>
    <x v="2"/>
    <n v="143"/>
    <n v="1.85"/>
    <n v="96.02"/>
    <n v="0.32"/>
    <n v="0"/>
    <n v="0.84"/>
    <n v="954"/>
    <n v="3.43"/>
    <n v="0.94"/>
    <d v="2024-09-02T00:00:00"/>
    <n v="211.9"/>
    <n v="0.77"/>
    <n v="10466.18"/>
    <x v="0"/>
    <x v="1"/>
  </r>
  <r>
    <x v="390"/>
    <x v="4"/>
    <n v="123"/>
    <n v="75"/>
    <n v="12"/>
    <n v="8"/>
    <n v="13.56"/>
    <x v="55"/>
    <x v="1"/>
    <n v="34"/>
    <n v="2.34"/>
    <n v="33.479999999999997"/>
    <n v="0.8"/>
    <n v="5"/>
    <n v="0.75"/>
    <n v="745"/>
    <n v="8.64"/>
    <n v="0.41"/>
    <d v="2024-10-25T00:00:00"/>
    <n v="140.79"/>
    <n v="0.56699999999999995"/>
    <n v="4118.04"/>
    <x v="0"/>
    <x v="1"/>
  </r>
  <r>
    <x v="391"/>
    <x v="1"/>
    <n v="412"/>
    <n v="49"/>
    <n v="6"/>
    <n v="4"/>
    <n v="36.659999999999997"/>
    <x v="21"/>
    <x v="3"/>
    <n v="160"/>
    <n v="3.04"/>
    <n v="133.07"/>
    <n v="1.63"/>
    <n v="3"/>
    <n v="0.78"/>
    <n v="266"/>
    <n v="2.54"/>
    <n v="0.5"/>
    <d v="2024-07-24T00:00:00"/>
    <n v="109.51"/>
    <n v="0.46700000000000003"/>
    <n v="54824.84"/>
    <x v="0"/>
    <x v="0"/>
  </r>
  <r>
    <x v="392"/>
    <x v="1"/>
    <n v="138"/>
    <n v="12"/>
    <n v="6"/>
    <n v="3"/>
    <n v="4.5999999999999996"/>
    <x v="66"/>
    <x v="0"/>
    <n v="97"/>
    <n v="2.1800000000000002"/>
    <n v="115.85"/>
    <n v="0.26"/>
    <n v="2"/>
    <n v="0.83"/>
    <n v="538"/>
    <n v="8.34"/>
    <n v="0.91"/>
    <d v="2024-09-30T00:00:00"/>
    <n v="242.12"/>
    <n v="0.79300000000000004"/>
    <n v="15987.3"/>
    <x v="0"/>
    <x v="1"/>
  </r>
  <r>
    <x v="393"/>
    <x v="4"/>
    <n v="152"/>
    <n v="33"/>
    <n v="7"/>
    <n v="4"/>
    <n v="11.91"/>
    <x v="89"/>
    <x v="3"/>
    <n v="110"/>
    <n v="3.99"/>
    <n v="82.44"/>
    <n v="1.1299999999999999"/>
    <n v="0"/>
    <n v="0.81"/>
    <n v="200"/>
    <n v="13.46"/>
    <n v="0.92"/>
    <d v="2024-09-16T00:00:00"/>
    <n v="250.21"/>
    <n v="0.81200000000000006"/>
    <n v="12530.88"/>
    <x v="0"/>
    <x v="1"/>
  </r>
  <r>
    <x v="394"/>
    <x v="1"/>
    <n v="331"/>
    <n v="28"/>
    <n v="10"/>
    <n v="4"/>
    <n v="37.68"/>
    <x v="35"/>
    <x v="3"/>
    <n v="35"/>
    <n v="4.4800000000000004"/>
    <n v="72.709999999999994"/>
    <n v="1.73"/>
    <n v="5"/>
    <n v="0.8"/>
    <n v="423"/>
    <n v="2.5299999999999998"/>
    <n v="0.39"/>
    <d v="2024-12-20T00:00:00"/>
    <n v="54.65"/>
    <n v="0.39900000000000002"/>
    <n v="24067.01"/>
    <x v="0"/>
    <x v="0"/>
  </r>
  <r>
    <x v="395"/>
    <x v="1"/>
    <n v="115"/>
    <n v="27"/>
    <n v="12"/>
    <n v="4"/>
    <n v="22.42"/>
    <x v="70"/>
    <x v="2"/>
    <n v="141"/>
    <n v="0.77"/>
    <n v="44.8"/>
    <n v="0.14000000000000001"/>
    <n v="6"/>
    <n v="0.74"/>
    <n v="819"/>
    <n v="4.78"/>
    <n v="0.77"/>
    <d v="2024-08-02T00:00:00"/>
    <n v="286.48"/>
    <n v="0.63200000000000001"/>
    <n v="5152"/>
    <x v="0"/>
    <x v="1"/>
  </r>
  <r>
    <x v="396"/>
    <x v="1"/>
    <n v="487"/>
    <n v="73"/>
    <n v="6"/>
    <n v="8"/>
    <n v="35.56"/>
    <x v="90"/>
    <x v="2"/>
    <n v="111"/>
    <n v="3.36"/>
    <n v="37.799999999999997"/>
    <n v="1.89"/>
    <n v="0"/>
    <n v="0.97"/>
    <n v="862"/>
    <n v="10.55"/>
    <n v="0.53"/>
    <d v="2024-10-05T00:00:00"/>
    <n v="279.68"/>
    <n v="0.65200000000000002"/>
    <n v="18408.599999999999"/>
    <x v="0"/>
    <x v="0"/>
  </r>
  <r>
    <x v="397"/>
    <x v="2"/>
    <n v="453"/>
    <n v="97"/>
    <n v="7"/>
    <n v="3"/>
    <n v="28.81"/>
    <x v="55"/>
    <x v="0"/>
    <n v="172"/>
    <n v="1.93"/>
    <n v="74.37"/>
    <n v="1.96"/>
    <n v="0"/>
    <n v="0.71"/>
    <n v="680"/>
    <n v="2.0699999999999998"/>
    <n v="0.95"/>
    <d v="2024-01-19T00:00:00"/>
    <n v="262.55"/>
    <n v="0.56399999999999995"/>
    <n v="33689.61"/>
    <x v="0"/>
    <x v="0"/>
  </r>
  <r>
    <x v="398"/>
    <x v="0"/>
    <n v="350"/>
    <n v="44"/>
    <n v="14"/>
    <n v="8"/>
    <n v="47.58"/>
    <x v="58"/>
    <x v="0"/>
    <n v="109"/>
    <n v="3.12"/>
    <n v="17.91"/>
    <n v="0.71"/>
    <n v="6"/>
    <n v="0.83"/>
    <n v="498"/>
    <n v="7.36"/>
    <n v="0.79"/>
    <d v="2024-07-03T00:00:00"/>
    <n v="132.57"/>
    <n v="0.63100000000000001"/>
    <n v="6268.5"/>
    <x v="0"/>
    <x v="0"/>
  </r>
  <r>
    <x v="399"/>
    <x v="3"/>
    <n v="162"/>
    <n v="71"/>
    <n v="6"/>
    <n v="8"/>
    <n v="30.29"/>
    <x v="85"/>
    <x v="2"/>
    <n v="34"/>
    <n v="2.68"/>
    <n v="92.96"/>
    <n v="1.56"/>
    <n v="5"/>
    <n v="0.99"/>
    <n v="471"/>
    <n v="5.66"/>
    <n v="0.6"/>
    <d v="2024-12-25T00:00:00"/>
    <n v="254.23"/>
    <n v="0.53700000000000003"/>
    <n v="15059.519999999999"/>
    <x v="0"/>
    <x v="1"/>
  </r>
  <r>
    <x v="400"/>
    <x v="2"/>
    <n v="307"/>
    <n v="10"/>
    <n v="8"/>
    <n v="8"/>
    <n v="1.73"/>
    <x v="38"/>
    <x v="2"/>
    <n v="157"/>
    <n v="2"/>
    <n v="124.3"/>
    <n v="0.34"/>
    <n v="6"/>
    <n v="0.9"/>
    <n v="695"/>
    <n v="12.73"/>
    <n v="0.85"/>
    <d v="2024-10-01T00:00:00"/>
    <n v="192.14"/>
    <n v="0.76600000000000001"/>
    <n v="38160.1"/>
    <x v="0"/>
    <x v="0"/>
  </r>
  <r>
    <x v="401"/>
    <x v="1"/>
    <n v="47"/>
    <n v="34"/>
    <n v="14"/>
    <n v="6"/>
    <n v="18.29"/>
    <x v="66"/>
    <x v="2"/>
    <n v="10"/>
    <n v="0.93"/>
    <n v="188.91"/>
    <n v="1.57"/>
    <n v="7"/>
    <n v="0.81"/>
    <n v="993"/>
    <n v="1.69"/>
    <n v="1"/>
    <d v="2024-10-31T00:00:00"/>
    <n v="69.56"/>
    <n v="0.48799999999999999"/>
    <n v="8878.77"/>
    <x v="0"/>
    <x v="2"/>
  </r>
  <r>
    <x v="402"/>
    <x v="4"/>
    <n v="297"/>
    <n v="54"/>
    <n v="5"/>
    <n v="7"/>
    <n v="8.01"/>
    <x v="75"/>
    <x v="2"/>
    <n v="103"/>
    <n v="3.02"/>
    <n v="128.91"/>
    <n v="1.01"/>
    <n v="7"/>
    <n v="0.74"/>
    <n v="989"/>
    <n v="13.09"/>
    <n v="0.56000000000000005"/>
    <d v="2024-11-22T00:00:00"/>
    <n v="234.72"/>
    <n v="0.59399999999999997"/>
    <n v="38286.269999999997"/>
    <x v="0"/>
    <x v="0"/>
  </r>
  <r>
    <x v="403"/>
    <x v="1"/>
    <n v="252"/>
    <n v="58"/>
    <n v="10"/>
    <n v="2"/>
    <n v="46.31"/>
    <x v="59"/>
    <x v="0"/>
    <n v="77"/>
    <n v="1.01"/>
    <n v="128.57"/>
    <n v="1.73"/>
    <n v="8"/>
    <n v="0.99"/>
    <n v="256"/>
    <n v="10.85"/>
    <n v="0.5"/>
    <d v="2024-02-13T00:00:00"/>
    <n v="127.77"/>
    <n v="0.51"/>
    <n v="32399.64"/>
    <x v="0"/>
    <x v="0"/>
  </r>
  <r>
    <x v="404"/>
    <x v="0"/>
    <n v="36"/>
    <n v="98"/>
    <n v="8"/>
    <n v="6"/>
    <n v="6.1"/>
    <x v="81"/>
    <x v="0"/>
    <n v="32"/>
    <n v="1.2"/>
    <n v="81.14"/>
    <n v="0.5"/>
    <n v="8"/>
    <n v="0.7"/>
    <n v="824"/>
    <n v="5.16"/>
    <n v="0.69"/>
    <d v="2024-02-25T00:00:00"/>
    <n v="94.73"/>
    <n v="0.53700000000000003"/>
    <n v="2921.04"/>
    <x v="1"/>
    <x v="2"/>
  </r>
  <r>
    <x v="405"/>
    <x v="1"/>
    <n v="78"/>
    <n v="25"/>
    <n v="12"/>
    <n v="3"/>
    <n v="20"/>
    <x v="38"/>
    <x v="3"/>
    <n v="115"/>
    <n v="4.92"/>
    <n v="35.33"/>
    <n v="1.38"/>
    <n v="6"/>
    <n v="0.9"/>
    <n v="883"/>
    <n v="3.77"/>
    <n v="0.75"/>
    <d v="2024-05-07T00:00:00"/>
    <n v="264.7"/>
    <n v="0.52200000000000002"/>
    <n v="2755.74"/>
    <x v="0"/>
    <x v="2"/>
  </r>
  <r>
    <x v="406"/>
    <x v="4"/>
    <n v="109"/>
    <n v="28"/>
    <n v="7"/>
    <n v="2"/>
    <n v="12.08"/>
    <x v="45"/>
    <x v="3"/>
    <n v="159"/>
    <n v="1.93"/>
    <n v="94.92"/>
    <n v="1.59"/>
    <n v="8"/>
    <n v="0.96"/>
    <n v="751"/>
    <n v="14.3"/>
    <n v="0.76"/>
    <d v="2024-12-02T00:00:00"/>
    <n v="260.06"/>
    <n v="0.61599999999999999"/>
    <n v="10346.280000000001"/>
    <x v="0"/>
    <x v="1"/>
  </r>
  <r>
    <x v="407"/>
    <x v="0"/>
    <n v="218"/>
    <n v="32"/>
    <n v="4"/>
    <n v="2"/>
    <n v="42.49"/>
    <x v="68"/>
    <x v="3"/>
    <n v="104"/>
    <n v="3.13"/>
    <n v="123.75"/>
    <n v="0.48"/>
    <n v="5"/>
    <n v="0.71"/>
    <n v="719"/>
    <n v="8.75"/>
    <n v="0.57999999999999996"/>
    <d v="2024-12-06T00:00:00"/>
    <n v="260.67"/>
    <n v="0.627"/>
    <n v="26977.5"/>
    <x v="0"/>
    <x v="1"/>
  </r>
  <r>
    <x v="408"/>
    <x v="1"/>
    <n v="381"/>
    <n v="92"/>
    <n v="12"/>
    <n v="2"/>
    <n v="16.12"/>
    <x v="32"/>
    <x v="0"/>
    <n v="71"/>
    <n v="1.73"/>
    <n v="147.57"/>
    <n v="1.65"/>
    <n v="8"/>
    <n v="0.92"/>
    <n v="526"/>
    <n v="5.83"/>
    <n v="0.47"/>
    <d v="2024-06-30T00:00:00"/>
    <n v="259.26"/>
    <n v="0.43099999999999999"/>
    <n v="56224.17"/>
    <x v="0"/>
    <x v="0"/>
  </r>
  <r>
    <x v="409"/>
    <x v="0"/>
    <n v="460"/>
    <n v="34"/>
    <n v="12"/>
    <n v="7"/>
    <n v="49.6"/>
    <x v="59"/>
    <x v="1"/>
    <n v="138"/>
    <n v="4.3899999999999997"/>
    <n v="166.96"/>
    <n v="1.92"/>
    <n v="1"/>
    <n v="1"/>
    <n v="637"/>
    <n v="1.62"/>
    <n v="0.86"/>
    <d v="2024-03-26T00:00:00"/>
    <n v="170.73"/>
    <n v="0.58199999999999996"/>
    <n v="76801.600000000006"/>
    <x v="0"/>
    <x v="0"/>
  </r>
  <r>
    <x v="410"/>
    <x v="3"/>
    <n v="45"/>
    <n v="25"/>
    <n v="9"/>
    <n v="8"/>
    <n v="2.89"/>
    <x v="39"/>
    <x v="3"/>
    <n v="77"/>
    <n v="1.78"/>
    <n v="58.63"/>
    <n v="1.27"/>
    <n v="1"/>
    <n v="0.89"/>
    <n v="613"/>
    <n v="3.32"/>
    <n v="0.97"/>
    <d v="2024-11-27T00:00:00"/>
    <n v="188.91"/>
    <n v="0.66900000000000004"/>
    <n v="2638.35"/>
    <x v="0"/>
    <x v="2"/>
  </r>
  <r>
    <x v="411"/>
    <x v="3"/>
    <n v="44"/>
    <n v="63"/>
    <n v="4"/>
    <n v="9"/>
    <n v="7.29"/>
    <x v="15"/>
    <x v="1"/>
    <n v="156"/>
    <n v="2.15"/>
    <n v="55.83"/>
    <n v="1.59"/>
    <n v="5"/>
    <n v="0.82"/>
    <n v="275"/>
    <n v="9.3699999999999992"/>
    <n v="0.89"/>
    <d v="2024-11-09T00:00:00"/>
    <n v="285.17"/>
    <n v="0.60799999999999998"/>
    <n v="2456.52"/>
    <x v="1"/>
    <x v="2"/>
  </r>
  <r>
    <x v="412"/>
    <x v="1"/>
    <n v="413"/>
    <n v="82"/>
    <n v="3"/>
    <n v="5"/>
    <n v="12.01"/>
    <x v="17"/>
    <x v="1"/>
    <n v="39"/>
    <n v="3.24"/>
    <n v="117.41"/>
    <n v="1.1100000000000001"/>
    <n v="2"/>
    <n v="0.96"/>
    <n v="655"/>
    <n v="8.18"/>
    <n v="0.75"/>
    <d v="2024-01-23T00:00:00"/>
    <n v="47.51"/>
    <n v="0.7"/>
    <n v="48490.33"/>
    <x v="0"/>
    <x v="0"/>
  </r>
  <r>
    <x v="413"/>
    <x v="0"/>
    <n v="320"/>
    <n v="10"/>
    <n v="9"/>
    <n v="3"/>
    <n v="40.74"/>
    <x v="35"/>
    <x v="1"/>
    <n v="138"/>
    <n v="4.41"/>
    <n v="117.54"/>
    <n v="1.24"/>
    <n v="1"/>
    <n v="0.87"/>
    <n v="853"/>
    <n v="11.61"/>
    <n v="0.49"/>
    <d v="2024-10-15T00:00:00"/>
    <n v="243.82"/>
    <n v="0.68300000000000005"/>
    <n v="37612.800000000003"/>
    <x v="0"/>
    <x v="0"/>
  </r>
  <r>
    <x v="414"/>
    <x v="4"/>
    <n v="358"/>
    <n v="51"/>
    <n v="7"/>
    <n v="9"/>
    <n v="44.05"/>
    <x v="90"/>
    <x v="2"/>
    <n v="57"/>
    <n v="4.17"/>
    <n v="51.41"/>
    <n v="0.13"/>
    <n v="7"/>
    <n v="0.92"/>
    <n v="852"/>
    <n v="12.69"/>
    <n v="0.7"/>
    <d v="2024-11-26T00:00:00"/>
    <n v="162.62"/>
    <n v="0.74"/>
    <n v="18404.78"/>
    <x v="0"/>
    <x v="0"/>
  </r>
  <r>
    <x v="415"/>
    <x v="1"/>
    <n v="286"/>
    <n v="28"/>
    <n v="3"/>
    <n v="7"/>
    <n v="4.5"/>
    <x v="34"/>
    <x v="0"/>
    <n v="28"/>
    <n v="1.69"/>
    <n v="121.62"/>
    <n v="1.1000000000000001"/>
    <n v="6"/>
    <n v="0.88"/>
    <n v="883"/>
    <n v="6.56"/>
    <n v="0.28000000000000003"/>
    <d v="2024-12-12T00:00:00"/>
    <n v="293.74"/>
    <n v="0.48899999999999999"/>
    <n v="34783.32"/>
    <x v="0"/>
    <x v="0"/>
  </r>
  <r>
    <x v="416"/>
    <x v="3"/>
    <n v="480"/>
    <n v="43"/>
    <n v="6"/>
    <n v="7"/>
    <n v="2.59"/>
    <x v="50"/>
    <x v="0"/>
    <n v="136"/>
    <n v="4.2300000000000004"/>
    <n v="75.72"/>
    <n v="1.19"/>
    <n v="7"/>
    <n v="0.71"/>
    <n v="739"/>
    <n v="2.41"/>
    <n v="0.63"/>
    <d v="2024-11-27T00:00:00"/>
    <n v="195.37"/>
    <n v="0.441"/>
    <n v="36345.599999999999"/>
    <x v="0"/>
    <x v="0"/>
  </r>
  <r>
    <x v="417"/>
    <x v="3"/>
    <n v="200"/>
    <n v="89"/>
    <n v="14"/>
    <n v="5"/>
    <n v="37.479999999999997"/>
    <x v="5"/>
    <x v="3"/>
    <n v="159"/>
    <n v="3.66"/>
    <n v="131.47"/>
    <n v="1.37"/>
    <n v="5"/>
    <n v="0.76"/>
    <n v="436"/>
    <n v="12.08"/>
    <n v="0.82"/>
    <d v="2024-07-23T00:00:00"/>
    <n v="57.14"/>
    <n v="0.64"/>
    <n v="26294"/>
    <x v="0"/>
    <x v="1"/>
  </r>
  <r>
    <x v="418"/>
    <x v="1"/>
    <n v="475"/>
    <n v="64"/>
    <n v="6"/>
    <n v="2"/>
    <n v="7.53"/>
    <x v="53"/>
    <x v="3"/>
    <n v="59"/>
    <n v="4.95"/>
    <n v="65.3"/>
    <n v="0.42"/>
    <n v="8"/>
    <n v="0.72"/>
    <n v="155"/>
    <n v="8.75"/>
    <n v="0.4"/>
    <d v="2024-06-18T00:00:00"/>
    <n v="246.49"/>
    <n v="0.53900000000000003"/>
    <n v="31017.5"/>
    <x v="0"/>
    <x v="0"/>
  </r>
  <r>
    <x v="419"/>
    <x v="0"/>
    <n v="379"/>
    <n v="27"/>
    <n v="12"/>
    <n v="8"/>
    <n v="7.52"/>
    <x v="98"/>
    <x v="0"/>
    <n v="143"/>
    <n v="4.71"/>
    <n v="122.54"/>
    <n v="0.56000000000000005"/>
    <n v="8"/>
    <n v="0.73"/>
    <n v="125"/>
    <n v="14.72"/>
    <n v="0.6"/>
    <d v="2024-08-08T00:00:00"/>
    <n v="205.07"/>
    <n v="0.64600000000000002"/>
    <n v="46442.66"/>
    <x v="0"/>
    <x v="0"/>
  </r>
  <r>
    <x v="420"/>
    <x v="3"/>
    <n v="87"/>
    <n v="43"/>
    <n v="9"/>
    <n v="5"/>
    <n v="2.1"/>
    <x v="28"/>
    <x v="2"/>
    <n v="158"/>
    <n v="2.9"/>
    <n v="155.97999999999999"/>
    <n v="1.54"/>
    <n v="1"/>
    <n v="0.7"/>
    <n v="565"/>
    <n v="12.15"/>
    <n v="0.26"/>
    <d v="2024-02-24T00:00:00"/>
    <n v="53.19"/>
    <n v="0.57999999999999996"/>
    <n v="13570.259999999998"/>
    <x v="0"/>
    <x v="2"/>
  </r>
  <r>
    <x v="421"/>
    <x v="0"/>
    <n v="370"/>
    <n v="98"/>
    <n v="11"/>
    <n v="9"/>
    <n v="3.44"/>
    <x v="92"/>
    <x v="0"/>
    <n v="156"/>
    <n v="3.87"/>
    <n v="196.23"/>
    <n v="0.42"/>
    <n v="9"/>
    <n v="0.83"/>
    <n v="872"/>
    <n v="5.61"/>
    <n v="0.87"/>
    <d v="2024-01-06T00:00:00"/>
    <n v="12.61"/>
    <n v="0.59299999999999997"/>
    <n v="72605.099999999991"/>
    <x v="0"/>
    <x v="0"/>
  </r>
  <r>
    <x v="422"/>
    <x v="3"/>
    <n v="431"/>
    <n v="54"/>
    <n v="4"/>
    <n v="9"/>
    <n v="13.92"/>
    <x v="10"/>
    <x v="1"/>
    <n v="174"/>
    <n v="3.07"/>
    <n v="183.1"/>
    <n v="0.89"/>
    <n v="4"/>
    <n v="0.75"/>
    <n v="997"/>
    <n v="7"/>
    <n v="0.48"/>
    <d v="2024-02-20T00:00:00"/>
    <n v="167.66"/>
    <n v="0.56999999999999995"/>
    <n v="78916.099999999991"/>
    <x v="0"/>
    <x v="0"/>
  </r>
  <r>
    <x v="423"/>
    <x v="3"/>
    <n v="478"/>
    <n v="15"/>
    <n v="14"/>
    <n v="5"/>
    <n v="4.1900000000000004"/>
    <x v="49"/>
    <x v="0"/>
    <n v="72"/>
    <n v="3.18"/>
    <n v="105.67"/>
    <n v="0.57999999999999996"/>
    <n v="8"/>
    <n v="0.96"/>
    <n v="236"/>
    <n v="4.3"/>
    <n v="0.67"/>
    <d v="2024-05-12T00:00:00"/>
    <n v="80.03"/>
    <n v="0.56499999999999995"/>
    <n v="50510.26"/>
    <x v="0"/>
    <x v="0"/>
  </r>
  <r>
    <x v="424"/>
    <x v="2"/>
    <n v="340"/>
    <n v="30"/>
    <n v="3"/>
    <n v="7"/>
    <n v="19.079999999999998"/>
    <x v="85"/>
    <x v="2"/>
    <n v="166"/>
    <n v="0.96"/>
    <n v="102.79"/>
    <n v="1.1399999999999999"/>
    <n v="2"/>
    <n v="0.93"/>
    <n v="581"/>
    <n v="8.17"/>
    <n v="0.5"/>
    <d v="2024-04-23T00:00:00"/>
    <n v="261.5"/>
    <n v="0.64100000000000001"/>
    <n v="34948.6"/>
    <x v="0"/>
    <x v="0"/>
  </r>
  <r>
    <x v="425"/>
    <x v="3"/>
    <n v="68"/>
    <n v="79"/>
    <n v="4"/>
    <n v="3"/>
    <n v="41.81"/>
    <x v="99"/>
    <x v="0"/>
    <n v="171"/>
    <n v="0.51"/>
    <n v="93.16"/>
    <n v="1.98"/>
    <n v="4"/>
    <n v="0.87"/>
    <n v="324"/>
    <n v="10.95"/>
    <n v="0.68"/>
    <d v="2024-09-18T00:00:00"/>
    <n v="82.77"/>
    <n v="0.57799999999999996"/>
    <n v="6334.88"/>
    <x v="1"/>
    <x v="2"/>
  </r>
  <r>
    <x v="426"/>
    <x v="4"/>
    <n v="194"/>
    <n v="57"/>
    <n v="9"/>
    <n v="4"/>
    <n v="16.989999999999998"/>
    <x v="22"/>
    <x v="0"/>
    <n v="138"/>
    <n v="0.72"/>
    <n v="15.27"/>
    <n v="1.72"/>
    <n v="7"/>
    <n v="0.85"/>
    <n v="697"/>
    <n v="9.57"/>
    <n v="0.8"/>
    <d v="2024-09-22T00:00:00"/>
    <n v="202.23"/>
    <n v="0.54600000000000004"/>
    <n v="2962.38"/>
    <x v="0"/>
    <x v="1"/>
  </r>
  <r>
    <x v="427"/>
    <x v="1"/>
    <n v="71"/>
    <n v="48"/>
    <n v="12"/>
    <n v="8"/>
    <n v="36.659999999999997"/>
    <x v="79"/>
    <x v="0"/>
    <n v="57"/>
    <n v="4.8499999999999996"/>
    <n v="41.53"/>
    <n v="0.61"/>
    <n v="1"/>
    <n v="0.78"/>
    <n v="588"/>
    <n v="5.79"/>
    <n v="0.46"/>
    <d v="2024-10-12T00:00:00"/>
    <n v="110.09"/>
    <n v="0.64400000000000002"/>
    <n v="2948.63"/>
    <x v="0"/>
    <x v="2"/>
  </r>
  <r>
    <x v="428"/>
    <x v="1"/>
    <n v="121"/>
    <n v="40"/>
    <n v="8"/>
    <n v="9"/>
    <n v="5.6"/>
    <x v="81"/>
    <x v="1"/>
    <n v="98"/>
    <n v="1.07"/>
    <n v="21.25"/>
    <n v="0.8"/>
    <n v="5"/>
    <n v="0.84"/>
    <n v="697"/>
    <n v="12.53"/>
    <n v="0.62"/>
    <d v="2024-10-24T00:00:00"/>
    <n v="111.59"/>
    <n v="0.67900000000000005"/>
    <n v="2571.25"/>
    <x v="0"/>
    <x v="1"/>
  </r>
  <r>
    <x v="429"/>
    <x v="0"/>
    <n v="235"/>
    <n v="19"/>
    <n v="6"/>
    <n v="9"/>
    <n v="33.31"/>
    <x v="55"/>
    <x v="3"/>
    <n v="136"/>
    <n v="0.7"/>
    <n v="142.31"/>
    <n v="1.85"/>
    <n v="3"/>
    <n v="0.89"/>
    <n v="67"/>
    <n v="2.4700000000000002"/>
    <n v="0.84"/>
    <d v="2024-12-18T00:00:00"/>
    <n v="62.73"/>
    <n v="0.53400000000000003"/>
    <n v="33442.85"/>
    <x v="0"/>
    <x v="1"/>
  </r>
  <r>
    <x v="430"/>
    <x v="3"/>
    <n v="457"/>
    <n v="39"/>
    <n v="3"/>
    <n v="5"/>
    <n v="16.52"/>
    <x v="42"/>
    <x v="2"/>
    <n v="158"/>
    <n v="1.89"/>
    <n v="88.51"/>
    <n v="1.81"/>
    <n v="5"/>
    <n v="0.93"/>
    <n v="334"/>
    <n v="3"/>
    <n v="0.75"/>
    <d v="2024-10-21T00:00:00"/>
    <n v="155.79"/>
    <n v="0.495"/>
    <n v="40449.07"/>
    <x v="0"/>
    <x v="0"/>
  </r>
  <r>
    <x v="431"/>
    <x v="4"/>
    <n v="207"/>
    <n v="27"/>
    <n v="3"/>
    <n v="8"/>
    <n v="37.74"/>
    <x v="85"/>
    <x v="1"/>
    <n v="171"/>
    <n v="3.15"/>
    <n v="22.12"/>
    <n v="0.41"/>
    <n v="2"/>
    <n v="0.72"/>
    <n v="351"/>
    <n v="6.66"/>
    <n v="0.25"/>
    <d v="2024-04-23T00:00:00"/>
    <n v="177.99"/>
    <n v="0.60199999999999998"/>
    <n v="4578.84"/>
    <x v="0"/>
    <x v="1"/>
  </r>
  <r>
    <x v="432"/>
    <x v="0"/>
    <n v="76"/>
    <n v="69"/>
    <n v="7"/>
    <n v="5"/>
    <n v="7.68"/>
    <x v="51"/>
    <x v="0"/>
    <n v="163"/>
    <n v="4.7699999999999996"/>
    <n v="141.21"/>
    <n v="1.68"/>
    <n v="5"/>
    <n v="0.91"/>
    <n v="548"/>
    <n v="10.83"/>
    <n v="0.66"/>
    <d v="2024-08-16T00:00:00"/>
    <n v="178.49"/>
    <n v="0.59"/>
    <n v="10731.960000000001"/>
    <x v="0"/>
    <x v="2"/>
  </r>
  <r>
    <x v="433"/>
    <x v="2"/>
    <n v="66"/>
    <n v="97"/>
    <n v="3"/>
    <n v="2"/>
    <n v="45"/>
    <x v="8"/>
    <x v="0"/>
    <n v="45"/>
    <n v="3.65"/>
    <n v="132.44"/>
    <n v="0.67"/>
    <n v="6"/>
    <n v="0.92"/>
    <n v="981"/>
    <n v="10.72"/>
    <n v="0.5"/>
    <d v="2024-07-10T00:00:00"/>
    <n v="258.42"/>
    <n v="0.64"/>
    <n v="8741.0399999999991"/>
    <x v="1"/>
    <x v="2"/>
  </r>
  <r>
    <x v="434"/>
    <x v="0"/>
    <n v="178"/>
    <n v="82"/>
    <n v="14"/>
    <n v="8"/>
    <n v="12.89"/>
    <x v="7"/>
    <x v="3"/>
    <n v="160"/>
    <n v="1.74"/>
    <n v="146.79"/>
    <n v="1.1299999999999999"/>
    <n v="9"/>
    <n v="0.87"/>
    <n v="948"/>
    <n v="6.13"/>
    <n v="0.77"/>
    <d v="2024-07-19T00:00:00"/>
    <n v="199.18"/>
    <n v="0.51700000000000002"/>
    <n v="26128.62"/>
    <x v="0"/>
    <x v="1"/>
  </r>
  <r>
    <x v="435"/>
    <x v="0"/>
    <n v="193"/>
    <n v="24"/>
    <n v="9"/>
    <n v="2"/>
    <n v="18.3"/>
    <x v="35"/>
    <x v="3"/>
    <n v="90"/>
    <n v="4.7300000000000004"/>
    <n v="123.97"/>
    <n v="0.11"/>
    <n v="2"/>
    <n v="0.76"/>
    <n v="954"/>
    <n v="10.75"/>
    <n v="0.21"/>
    <d v="2024-08-25T00:00:00"/>
    <n v="224.67"/>
    <n v="0.68600000000000005"/>
    <n v="23926.21"/>
    <x v="0"/>
    <x v="1"/>
  </r>
  <r>
    <x v="436"/>
    <x v="3"/>
    <n v="261"/>
    <n v="13"/>
    <n v="13"/>
    <n v="9"/>
    <n v="47.56"/>
    <x v="1"/>
    <x v="3"/>
    <n v="56"/>
    <n v="0.66"/>
    <n v="40.69"/>
    <n v="2"/>
    <n v="4"/>
    <n v="0.86"/>
    <n v="699"/>
    <n v="1.85"/>
    <n v="0.46"/>
    <d v="2024-12-13T00:00:00"/>
    <n v="103.8"/>
    <n v="0.40899999999999997"/>
    <n v="10620.09"/>
    <x v="0"/>
    <x v="0"/>
  </r>
  <r>
    <x v="437"/>
    <x v="2"/>
    <n v="301"/>
    <n v="72"/>
    <n v="3"/>
    <n v="7"/>
    <n v="29.35"/>
    <x v="8"/>
    <x v="1"/>
    <n v="157"/>
    <n v="4.91"/>
    <n v="21.66"/>
    <n v="1.55"/>
    <n v="7"/>
    <n v="0.85"/>
    <n v="793"/>
    <n v="5.0599999999999996"/>
    <n v="0.27"/>
    <d v="2024-10-28T00:00:00"/>
    <n v="132"/>
    <n v="0.39600000000000002"/>
    <n v="6519.66"/>
    <x v="0"/>
    <x v="0"/>
  </r>
  <r>
    <x v="438"/>
    <x v="0"/>
    <n v="260"/>
    <n v="49"/>
    <n v="3"/>
    <n v="2"/>
    <n v="18.920000000000002"/>
    <x v="72"/>
    <x v="2"/>
    <n v="36"/>
    <n v="0.76"/>
    <n v="165.26"/>
    <n v="0.56000000000000005"/>
    <n v="1"/>
    <n v="0.84"/>
    <n v="901"/>
    <n v="10.71"/>
    <n v="0.94"/>
    <d v="2024-12-19T00:00:00"/>
    <n v="15.3"/>
    <n v="0.82299999999999995"/>
    <n v="42967.6"/>
    <x v="0"/>
    <x v="0"/>
  </r>
  <r>
    <x v="439"/>
    <x v="4"/>
    <n v="389"/>
    <n v="18"/>
    <n v="4"/>
    <n v="8"/>
    <n v="47.53"/>
    <x v="42"/>
    <x v="3"/>
    <n v="174"/>
    <n v="3.89"/>
    <n v="51"/>
    <n v="1.4"/>
    <n v="6"/>
    <n v="0.84"/>
    <n v="306"/>
    <n v="3.58"/>
    <n v="0.9"/>
    <d v="2024-09-13T00:00:00"/>
    <n v="32.94"/>
    <n v="0.53600000000000003"/>
    <n v="19839"/>
    <x v="0"/>
    <x v="0"/>
  </r>
  <r>
    <x v="440"/>
    <x v="4"/>
    <n v="24"/>
    <n v="18"/>
    <n v="13"/>
    <n v="6"/>
    <n v="17.12"/>
    <x v="30"/>
    <x v="0"/>
    <n v="61"/>
    <n v="0.7"/>
    <n v="113.08"/>
    <n v="0.66"/>
    <n v="0"/>
    <n v="0.73"/>
    <n v="268"/>
    <n v="3.98"/>
    <n v="0.97"/>
    <d v="2024-03-18T00:00:00"/>
    <n v="121.68"/>
    <n v="0.72699999999999998"/>
    <n v="2713.92"/>
    <x v="0"/>
    <x v="2"/>
  </r>
  <r>
    <x v="441"/>
    <x v="1"/>
    <n v="103"/>
    <n v="35"/>
    <n v="14"/>
    <n v="8"/>
    <n v="5.65"/>
    <x v="56"/>
    <x v="2"/>
    <n v="84"/>
    <n v="4.6900000000000004"/>
    <n v="102.19"/>
    <n v="0.27"/>
    <n v="6"/>
    <n v="0.75"/>
    <n v="693"/>
    <n v="2.2200000000000002"/>
    <n v="0.71"/>
    <d v="2024-06-25T00:00:00"/>
    <n v="70.819999999999993"/>
    <n v="0.57499999999999996"/>
    <n v="10525.57"/>
    <x v="0"/>
    <x v="1"/>
  </r>
  <r>
    <x v="442"/>
    <x v="2"/>
    <n v="327"/>
    <n v="13"/>
    <n v="12"/>
    <n v="5"/>
    <n v="49.85"/>
    <x v="98"/>
    <x v="0"/>
    <n v="101"/>
    <n v="0.99"/>
    <n v="185"/>
    <n v="0.91"/>
    <n v="0"/>
    <n v="0.73"/>
    <n v="993"/>
    <n v="6.1"/>
    <n v="0.85"/>
    <d v="2024-01-13T00:00:00"/>
    <n v="245.76"/>
    <n v="0.70599999999999996"/>
    <n v="60495"/>
    <x v="0"/>
    <x v="0"/>
  </r>
  <r>
    <x v="443"/>
    <x v="2"/>
    <n v="380"/>
    <n v="90"/>
    <n v="5"/>
    <n v="2"/>
    <n v="14.12"/>
    <x v="18"/>
    <x v="0"/>
    <n v="71"/>
    <n v="0.73"/>
    <n v="114.96"/>
    <n v="1.27"/>
    <n v="3"/>
    <n v="0.77"/>
    <n v="406"/>
    <n v="12.55"/>
    <n v="0.69"/>
    <d v="2024-09-04T00:00:00"/>
    <n v="206.18"/>
    <n v="0.67200000000000004"/>
    <n v="43684.799999999996"/>
    <x v="0"/>
    <x v="0"/>
  </r>
  <r>
    <x v="444"/>
    <x v="1"/>
    <n v="478"/>
    <n v="25"/>
    <n v="13"/>
    <n v="3"/>
    <n v="42.71"/>
    <x v="54"/>
    <x v="2"/>
    <n v="75"/>
    <n v="4.5"/>
    <n v="120.2"/>
    <n v="0.27"/>
    <n v="3"/>
    <n v="0.78"/>
    <n v="305"/>
    <n v="12.71"/>
    <n v="0.59"/>
    <d v="2024-02-23T00:00:00"/>
    <n v="291.39"/>
    <n v="0.75600000000000001"/>
    <n v="57455.6"/>
    <x v="0"/>
    <x v="0"/>
  </r>
  <r>
    <x v="445"/>
    <x v="0"/>
    <n v="267"/>
    <n v="24"/>
    <n v="3"/>
    <n v="6"/>
    <n v="9.11"/>
    <x v="21"/>
    <x v="1"/>
    <n v="161"/>
    <n v="0.93"/>
    <n v="70.709999999999994"/>
    <n v="1.08"/>
    <n v="4"/>
    <n v="0.77"/>
    <n v="657"/>
    <n v="13.07"/>
    <n v="0.87"/>
    <d v="2024-05-31T00:00:00"/>
    <n v="267.24"/>
    <n v="0.71399999999999997"/>
    <n v="18879.57"/>
    <x v="0"/>
    <x v="0"/>
  </r>
  <r>
    <x v="446"/>
    <x v="2"/>
    <n v="73"/>
    <n v="61"/>
    <n v="11"/>
    <n v="7"/>
    <n v="36.840000000000003"/>
    <x v="29"/>
    <x v="2"/>
    <n v="89"/>
    <n v="4.09"/>
    <n v="192.15"/>
    <n v="1.08"/>
    <n v="1"/>
    <n v="0.76"/>
    <n v="323"/>
    <n v="1.51"/>
    <n v="0.82"/>
    <d v="2024-07-31T00:00:00"/>
    <n v="293.52"/>
    <n v="0.60799999999999998"/>
    <n v="14026.95"/>
    <x v="0"/>
    <x v="2"/>
  </r>
  <r>
    <x v="447"/>
    <x v="4"/>
    <n v="180"/>
    <n v="78"/>
    <n v="12"/>
    <n v="4"/>
    <n v="26.7"/>
    <x v="54"/>
    <x v="3"/>
    <n v="149"/>
    <n v="3.86"/>
    <n v="126.35"/>
    <n v="1.29"/>
    <n v="5"/>
    <n v="0.92"/>
    <n v="383"/>
    <n v="14.91"/>
    <n v="0.79"/>
    <d v="2024-02-13T00:00:00"/>
    <n v="115.93"/>
    <n v="0.71199999999999997"/>
    <n v="22743"/>
    <x v="0"/>
    <x v="1"/>
  </r>
  <r>
    <x v="448"/>
    <x v="4"/>
    <n v="453"/>
    <n v="14"/>
    <n v="10"/>
    <n v="5"/>
    <n v="49.06"/>
    <x v="57"/>
    <x v="2"/>
    <n v="153"/>
    <n v="3.19"/>
    <n v="10.95"/>
    <n v="0.56000000000000005"/>
    <n v="5"/>
    <n v="0.95"/>
    <n v="862"/>
    <n v="8.0399999999999991"/>
    <n v="0.92"/>
    <d v="2024-02-29T00:00:00"/>
    <n v="150.47"/>
    <n v="0.72499999999999998"/>
    <n v="4960.3499999999995"/>
    <x v="0"/>
    <x v="0"/>
  </r>
  <r>
    <x v="449"/>
    <x v="3"/>
    <n v="441"/>
    <n v="29"/>
    <n v="7"/>
    <n v="5"/>
    <n v="28.09"/>
    <x v="0"/>
    <x v="3"/>
    <n v="173"/>
    <n v="2.2000000000000002"/>
    <n v="115.66"/>
    <n v="0.14000000000000001"/>
    <n v="7"/>
    <n v="0.8"/>
    <n v="417"/>
    <n v="13.22"/>
    <n v="0.94"/>
    <d v="2024-03-13T00:00:00"/>
    <n v="118.06"/>
    <n v="0.77"/>
    <n v="51006.06"/>
    <x v="0"/>
    <x v="0"/>
  </r>
  <r>
    <x v="450"/>
    <x v="2"/>
    <n v="430"/>
    <n v="88"/>
    <n v="13"/>
    <n v="3"/>
    <n v="2.23"/>
    <x v="35"/>
    <x v="3"/>
    <n v="139"/>
    <n v="4.62"/>
    <n v="79.13"/>
    <n v="0.72"/>
    <n v="9"/>
    <n v="0.79"/>
    <n v="64"/>
    <n v="13.67"/>
    <n v="0.56000000000000005"/>
    <d v="2024-06-27T00:00:00"/>
    <n v="289.64999999999998"/>
    <n v="0.6"/>
    <n v="34025.9"/>
    <x v="0"/>
    <x v="0"/>
  </r>
  <r>
    <x v="451"/>
    <x v="0"/>
    <n v="245"/>
    <n v="27"/>
    <n v="4"/>
    <n v="4"/>
    <n v="30.59"/>
    <x v="17"/>
    <x v="2"/>
    <n v="73"/>
    <n v="4.42"/>
    <n v="16.100000000000001"/>
    <n v="0.86"/>
    <n v="0"/>
    <n v="0.95"/>
    <n v="228"/>
    <n v="8.1999999999999993"/>
    <n v="0.43"/>
    <d v="2024-06-08T00:00:00"/>
    <n v="126.79"/>
    <n v="0.69899999999999995"/>
    <n v="3944.5000000000005"/>
    <x v="0"/>
    <x v="1"/>
  </r>
  <r>
    <x v="452"/>
    <x v="1"/>
    <n v="34"/>
    <n v="11"/>
    <n v="7"/>
    <n v="9"/>
    <n v="8.1199999999999992"/>
    <x v="86"/>
    <x v="2"/>
    <n v="38"/>
    <n v="2.42"/>
    <n v="91.99"/>
    <n v="1.31"/>
    <n v="3"/>
    <n v="0.89"/>
    <n v="494"/>
    <n v="1.72"/>
    <n v="0.61"/>
    <d v="2024-06-24T00:00:00"/>
    <n v="43.86"/>
    <n v="0.53200000000000003"/>
    <n v="3127.66"/>
    <x v="0"/>
    <x v="2"/>
  </r>
  <r>
    <x v="453"/>
    <x v="1"/>
    <n v="243"/>
    <n v="22"/>
    <n v="8"/>
    <n v="4"/>
    <n v="40.130000000000003"/>
    <x v="80"/>
    <x v="3"/>
    <n v="96"/>
    <n v="1.54"/>
    <n v="156.97999999999999"/>
    <n v="1.87"/>
    <n v="1"/>
    <n v="0.79"/>
    <n v="821"/>
    <n v="9.36"/>
    <n v="0.27"/>
    <d v="2024-08-21T00:00:00"/>
    <n v="82.65"/>
    <n v="0.53"/>
    <n v="38146.14"/>
    <x v="0"/>
    <x v="1"/>
  </r>
  <r>
    <x v="454"/>
    <x v="0"/>
    <n v="80"/>
    <n v="13"/>
    <n v="3"/>
    <n v="7"/>
    <n v="42.97"/>
    <x v="76"/>
    <x v="0"/>
    <n v="105"/>
    <n v="1.73"/>
    <n v="105.72"/>
    <n v="0.49"/>
    <n v="7"/>
    <n v="0.91"/>
    <n v="452"/>
    <n v="5.68"/>
    <n v="0.95"/>
    <d v="2024-04-15T00:00:00"/>
    <n v="133.19999999999999"/>
    <n v="0.65900000000000003"/>
    <n v="8457.6"/>
    <x v="0"/>
    <x v="2"/>
  </r>
  <r>
    <x v="455"/>
    <x v="3"/>
    <n v="141"/>
    <n v="51"/>
    <n v="13"/>
    <n v="7"/>
    <n v="24.62"/>
    <x v="11"/>
    <x v="2"/>
    <n v="40"/>
    <n v="1.49"/>
    <n v="131.5"/>
    <n v="1.41"/>
    <n v="3"/>
    <n v="0.8"/>
    <n v="137"/>
    <n v="3.89"/>
    <n v="0.99"/>
    <d v="2024-09-23T00:00:00"/>
    <n v="184.87"/>
    <n v="0.60899999999999999"/>
    <n v="18541.5"/>
    <x v="0"/>
    <x v="1"/>
  </r>
  <r>
    <x v="456"/>
    <x v="1"/>
    <n v="296"/>
    <n v="83"/>
    <n v="6"/>
    <n v="6"/>
    <n v="39.380000000000003"/>
    <x v="0"/>
    <x v="1"/>
    <n v="92"/>
    <n v="2.94"/>
    <n v="131.55000000000001"/>
    <n v="0.28999999999999998"/>
    <n v="7"/>
    <n v="0.88"/>
    <n v="143"/>
    <n v="3.56"/>
    <n v="0.72"/>
    <d v="2024-09-04T00:00:00"/>
    <n v="189.25"/>
    <n v="0.59799999999999998"/>
    <n v="38938.800000000003"/>
    <x v="0"/>
    <x v="0"/>
  </r>
  <r>
    <x v="457"/>
    <x v="2"/>
    <n v="65"/>
    <n v="70"/>
    <n v="11"/>
    <n v="9"/>
    <n v="8.11"/>
    <x v="13"/>
    <x v="3"/>
    <n v="152"/>
    <n v="4.41"/>
    <n v="137.49"/>
    <n v="0.46"/>
    <n v="1"/>
    <n v="1"/>
    <n v="894"/>
    <n v="8.83"/>
    <n v="0.8"/>
    <d v="2024-06-27T00:00:00"/>
    <n v="230.05"/>
    <n v="0.81200000000000006"/>
    <n v="8936.85"/>
    <x v="1"/>
    <x v="2"/>
  </r>
  <r>
    <x v="458"/>
    <x v="3"/>
    <n v="472"/>
    <n v="17"/>
    <n v="4"/>
    <n v="5"/>
    <n v="25.11"/>
    <x v="4"/>
    <x v="0"/>
    <n v="42"/>
    <n v="3.98"/>
    <n v="83.64"/>
    <n v="1.07"/>
    <n v="3"/>
    <n v="0.79"/>
    <n v="444"/>
    <n v="2.46"/>
    <n v="0.46"/>
    <d v="2024-08-31T00:00:00"/>
    <n v="197.88"/>
    <n v="0.51600000000000001"/>
    <n v="39478.080000000002"/>
    <x v="0"/>
    <x v="0"/>
  </r>
  <r>
    <x v="459"/>
    <x v="2"/>
    <n v="409"/>
    <n v="76"/>
    <n v="7"/>
    <n v="2"/>
    <n v="20.3"/>
    <x v="36"/>
    <x v="2"/>
    <n v="109"/>
    <n v="4.08"/>
    <n v="80.3"/>
    <n v="1.45"/>
    <n v="8"/>
    <n v="0.98"/>
    <n v="77"/>
    <n v="12.5"/>
    <n v="0.89"/>
    <d v="2024-02-19T00:00:00"/>
    <n v="152.54"/>
    <n v="0.63600000000000001"/>
    <n v="32842.699999999997"/>
    <x v="0"/>
    <x v="0"/>
  </r>
  <r>
    <x v="460"/>
    <x v="4"/>
    <n v="313"/>
    <n v="72"/>
    <n v="3"/>
    <n v="7"/>
    <n v="30.95"/>
    <x v="26"/>
    <x v="2"/>
    <n v="157"/>
    <n v="2.52"/>
    <n v="10.87"/>
    <n v="1.73"/>
    <n v="4"/>
    <n v="0.8"/>
    <n v="746"/>
    <n v="4.18"/>
    <n v="0.92"/>
    <d v="2024-08-12T00:00:00"/>
    <n v="18.75"/>
    <n v="0.54700000000000004"/>
    <n v="3402.31"/>
    <x v="0"/>
    <x v="0"/>
  </r>
  <r>
    <x v="461"/>
    <x v="3"/>
    <n v="81"/>
    <n v="18"/>
    <n v="6"/>
    <n v="3"/>
    <n v="3.18"/>
    <x v="94"/>
    <x v="0"/>
    <n v="82"/>
    <n v="1.95"/>
    <n v="39.299999999999997"/>
    <n v="1.51"/>
    <n v="5"/>
    <n v="0.86"/>
    <n v="124"/>
    <n v="8.69"/>
    <n v="0.26"/>
    <d v="2024-12-22T00:00:00"/>
    <n v="211.56"/>
    <n v="0.48899999999999999"/>
    <n v="3183.2999999999997"/>
    <x v="0"/>
    <x v="2"/>
  </r>
  <r>
    <x v="462"/>
    <x v="1"/>
    <n v="105"/>
    <n v="20"/>
    <n v="6"/>
    <n v="3"/>
    <n v="37.85"/>
    <x v="52"/>
    <x v="1"/>
    <n v="175"/>
    <n v="3.91"/>
    <n v="190.65"/>
    <n v="0.13"/>
    <n v="9"/>
    <n v="0.84"/>
    <n v="103"/>
    <n v="2.76"/>
    <n v="0.31"/>
    <d v="2024-08-19T00:00:00"/>
    <n v="34.78"/>
    <n v="0.47399999999999998"/>
    <n v="20018.25"/>
    <x v="0"/>
    <x v="1"/>
  </r>
  <r>
    <x v="463"/>
    <x v="3"/>
    <n v="465"/>
    <n v="51"/>
    <n v="8"/>
    <n v="3"/>
    <n v="4.88"/>
    <x v="90"/>
    <x v="3"/>
    <n v="140"/>
    <n v="4.07"/>
    <n v="170.06"/>
    <n v="1.4"/>
    <n v="8"/>
    <n v="0.93"/>
    <n v="370"/>
    <n v="13.03"/>
    <n v="0.41"/>
    <d v="2024-06-12T00:00:00"/>
    <n v="145.96"/>
    <n v="0.54200000000000004"/>
    <n v="79077.899999999994"/>
    <x v="0"/>
    <x v="0"/>
  </r>
  <r>
    <x v="464"/>
    <x v="3"/>
    <n v="229"/>
    <n v="22"/>
    <n v="12"/>
    <n v="8"/>
    <n v="33.17"/>
    <x v="0"/>
    <x v="2"/>
    <n v="27"/>
    <n v="3.63"/>
    <n v="62.27"/>
    <n v="1.67"/>
    <n v="8"/>
    <n v="0.72"/>
    <n v="608"/>
    <n v="10.69"/>
    <n v="0.76"/>
    <d v="2024-02-04T00:00:00"/>
    <n v="269.95"/>
    <n v="0.51200000000000001"/>
    <n v="14259.83"/>
    <x v="0"/>
    <x v="1"/>
  </r>
  <r>
    <x v="465"/>
    <x v="3"/>
    <n v="97"/>
    <n v="45"/>
    <n v="11"/>
    <n v="9"/>
    <n v="1.9"/>
    <x v="35"/>
    <x v="1"/>
    <n v="135"/>
    <n v="0.64"/>
    <n v="86.23"/>
    <n v="1.1000000000000001"/>
    <n v="6"/>
    <n v="0.89"/>
    <n v="809"/>
    <n v="3.89"/>
    <n v="0.35"/>
    <d v="2024-06-02T00:00:00"/>
    <n v="183.09"/>
    <n v="0.47"/>
    <n v="8364.31"/>
    <x v="0"/>
    <x v="2"/>
  </r>
  <r>
    <x v="466"/>
    <x v="3"/>
    <n v="221"/>
    <n v="22"/>
    <n v="5"/>
    <n v="9"/>
    <n v="41.76"/>
    <x v="28"/>
    <x v="3"/>
    <n v="16"/>
    <n v="3.15"/>
    <n v="188.59"/>
    <n v="1.93"/>
    <n v="1"/>
    <n v="0.93"/>
    <n v="283"/>
    <n v="11.02"/>
    <n v="0.38"/>
    <d v="2024-01-23T00:00:00"/>
    <n v="67.7"/>
    <n v="0.59599999999999997"/>
    <n v="41678.39"/>
    <x v="0"/>
    <x v="1"/>
  </r>
  <r>
    <x v="467"/>
    <x v="2"/>
    <n v="321"/>
    <n v="21"/>
    <n v="11"/>
    <n v="7"/>
    <n v="9.56"/>
    <x v="3"/>
    <x v="1"/>
    <n v="172"/>
    <n v="2.06"/>
    <n v="57.58"/>
    <n v="0.11"/>
    <n v="6"/>
    <n v="0.84"/>
    <n v="679"/>
    <n v="2.16"/>
    <n v="0.51"/>
    <d v="2024-12-29T00:00:00"/>
    <n v="244.31"/>
    <n v="0.56799999999999995"/>
    <n v="18483.18"/>
    <x v="0"/>
    <x v="0"/>
  </r>
  <r>
    <x v="468"/>
    <x v="4"/>
    <n v="416"/>
    <n v="46"/>
    <n v="8"/>
    <n v="7"/>
    <n v="26.26"/>
    <x v="92"/>
    <x v="3"/>
    <n v="133"/>
    <n v="1.38"/>
    <n v="111.18"/>
    <n v="1.66"/>
    <n v="8"/>
    <n v="0.73"/>
    <n v="821"/>
    <n v="11.81"/>
    <n v="0.69"/>
    <d v="2024-02-28T00:00:00"/>
    <n v="97.12"/>
    <n v="0.51500000000000001"/>
    <n v="46250.880000000005"/>
    <x v="0"/>
    <x v="0"/>
  </r>
  <r>
    <x v="469"/>
    <x v="0"/>
    <n v="242"/>
    <n v="83"/>
    <n v="9"/>
    <n v="3"/>
    <n v="13.81"/>
    <x v="42"/>
    <x v="3"/>
    <n v="123"/>
    <n v="3.62"/>
    <n v="14.2"/>
    <n v="0.74"/>
    <n v="1"/>
    <n v="0.77"/>
    <n v="279"/>
    <n v="7.86"/>
    <n v="0.98"/>
    <d v="2024-01-12T00:00:00"/>
    <n v="177.41"/>
    <n v="0.76100000000000001"/>
    <n v="3436.3999999999996"/>
    <x v="0"/>
    <x v="1"/>
  </r>
  <r>
    <x v="470"/>
    <x v="3"/>
    <n v="241"/>
    <n v="82"/>
    <n v="14"/>
    <n v="9"/>
    <n v="36.409999999999997"/>
    <x v="49"/>
    <x v="1"/>
    <n v="93"/>
    <n v="1.71"/>
    <n v="127.75"/>
    <n v="1.34"/>
    <n v="6"/>
    <n v="0.9"/>
    <n v="851"/>
    <n v="2.68"/>
    <n v="0.83"/>
    <d v="2024-06-24T00:00:00"/>
    <n v="194.4"/>
    <n v="0.52800000000000002"/>
    <n v="30787.75"/>
    <x v="0"/>
    <x v="1"/>
  </r>
  <r>
    <x v="471"/>
    <x v="1"/>
    <n v="22"/>
    <n v="61"/>
    <n v="12"/>
    <n v="9"/>
    <n v="16.75"/>
    <x v="13"/>
    <x v="3"/>
    <n v="93"/>
    <n v="4.6100000000000003"/>
    <n v="186.71"/>
    <n v="1.42"/>
    <n v="6"/>
    <n v="0.97"/>
    <n v="802"/>
    <n v="8.7100000000000009"/>
    <n v="0.65"/>
    <d v="2024-11-27T00:00:00"/>
    <n v="222.03"/>
    <n v="0.57799999999999996"/>
    <n v="4107.62"/>
    <x v="1"/>
    <x v="2"/>
  </r>
  <r>
    <x v="472"/>
    <x v="3"/>
    <n v="497"/>
    <n v="80"/>
    <n v="4"/>
    <n v="7"/>
    <n v="36.51"/>
    <x v="19"/>
    <x v="2"/>
    <n v="92"/>
    <n v="1.84"/>
    <n v="178.1"/>
    <n v="0.68"/>
    <n v="2"/>
    <n v="0.83"/>
    <n v="381"/>
    <n v="3.81"/>
    <n v="0.24"/>
    <d v="2024-02-25T00:00:00"/>
    <n v="28.84"/>
    <n v="0.55700000000000005"/>
    <n v="88515.7"/>
    <x v="0"/>
    <x v="0"/>
  </r>
  <r>
    <x v="473"/>
    <x v="1"/>
    <n v="25"/>
    <n v="11"/>
    <n v="13"/>
    <n v="8"/>
    <n v="14.96"/>
    <x v="81"/>
    <x v="2"/>
    <n v="114"/>
    <n v="3"/>
    <n v="105.37"/>
    <n v="1.99"/>
    <n v="5"/>
    <n v="0.87"/>
    <n v="743"/>
    <n v="10.42"/>
    <n v="0.61"/>
    <d v="2024-12-12T00:00:00"/>
    <n v="257.74"/>
    <n v="0.53600000000000003"/>
    <n v="2634.25"/>
    <x v="0"/>
    <x v="2"/>
  </r>
  <r>
    <x v="474"/>
    <x v="2"/>
    <n v="112"/>
    <n v="65"/>
    <n v="12"/>
    <n v="2"/>
    <n v="37.869999999999997"/>
    <x v="1"/>
    <x v="1"/>
    <n v="111"/>
    <n v="4.22"/>
    <n v="133.43"/>
    <n v="0.3"/>
    <n v="7"/>
    <n v="0.77"/>
    <n v="521"/>
    <n v="10.92"/>
    <n v="0.36"/>
    <d v="2024-03-25T00:00:00"/>
    <n v="43.02"/>
    <n v="0.60199999999999998"/>
    <n v="14944.16"/>
    <x v="0"/>
    <x v="1"/>
  </r>
  <r>
    <x v="475"/>
    <x v="1"/>
    <n v="27"/>
    <n v="69"/>
    <n v="8"/>
    <n v="2"/>
    <n v="2.5"/>
    <x v="59"/>
    <x v="1"/>
    <n v="102"/>
    <n v="2.31"/>
    <n v="118.26"/>
    <n v="0.4"/>
    <n v="9"/>
    <n v="0.82"/>
    <n v="366"/>
    <n v="11.65"/>
    <n v="0.44"/>
    <d v="2024-05-04T00:00:00"/>
    <n v="37.409999999999997"/>
    <n v="0.58699999999999997"/>
    <n v="3193.02"/>
    <x v="1"/>
    <x v="2"/>
  </r>
  <r>
    <x v="476"/>
    <x v="0"/>
    <n v="447"/>
    <n v="32"/>
    <n v="8"/>
    <n v="6"/>
    <n v="14.88"/>
    <x v="62"/>
    <x v="3"/>
    <n v="69"/>
    <n v="4.2300000000000004"/>
    <n v="22.73"/>
    <n v="1.8"/>
    <n v="7"/>
    <n v="0.8"/>
    <n v="150"/>
    <n v="13.53"/>
    <n v="0.4"/>
    <d v="2024-09-21T00:00:00"/>
    <n v="142.5"/>
    <n v="0.5"/>
    <n v="10160.31"/>
    <x v="0"/>
    <x v="0"/>
  </r>
  <r>
    <x v="477"/>
    <x v="4"/>
    <n v="254"/>
    <n v="49"/>
    <n v="4"/>
    <n v="9"/>
    <n v="25.43"/>
    <x v="30"/>
    <x v="3"/>
    <n v="111"/>
    <n v="3.76"/>
    <n v="40.159999999999997"/>
    <n v="0.33"/>
    <n v="2"/>
    <n v="0.9"/>
    <n v="297"/>
    <n v="10.17"/>
    <n v="0.48"/>
    <d v="2024-03-30T00:00:00"/>
    <n v="117.93"/>
    <n v="0.73899999999999999"/>
    <n v="10200.64"/>
    <x v="0"/>
    <x v="0"/>
  </r>
  <r>
    <x v="478"/>
    <x v="1"/>
    <n v="127"/>
    <n v="73"/>
    <n v="4"/>
    <n v="5"/>
    <n v="3.21"/>
    <x v="10"/>
    <x v="1"/>
    <n v="33"/>
    <n v="4.6399999999999997"/>
    <n v="193.13"/>
    <n v="0.82"/>
    <n v="5"/>
    <n v="1"/>
    <n v="529"/>
    <n v="7.88"/>
    <n v="0.25"/>
    <d v="2024-10-09T00:00:00"/>
    <n v="25.84"/>
    <n v="0.57299999999999995"/>
    <n v="24527.51"/>
    <x v="0"/>
    <x v="1"/>
  </r>
  <r>
    <x v="479"/>
    <x v="1"/>
    <n v="180"/>
    <n v="94"/>
    <n v="4"/>
    <n v="2"/>
    <n v="10.119999999999999"/>
    <x v="14"/>
    <x v="0"/>
    <n v="118"/>
    <n v="1.97"/>
    <n v="58.63"/>
    <n v="1.49"/>
    <n v="1"/>
    <n v="0.94"/>
    <n v="910"/>
    <n v="12.96"/>
    <n v="0.66"/>
    <d v="2024-03-22T00:00:00"/>
    <n v="58.14"/>
    <n v="0.72399999999999998"/>
    <n v="10553.4"/>
    <x v="0"/>
    <x v="1"/>
  </r>
  <r>
    <x v="480"/>
    <x v="4"/>
    <n v="228"/>
    <n v="32"/>
    <n v="12"/>
    <n v="6"/>
    <n v="46.79"/>
    <x v="53"/>
    <x v="1"/>
    <n v="176"/>
    <n v="0.97"/>
    <n v="83.05"/>
    <n v="1.6"/>
    <n v="1"/>
    <n v="0.76"/>
    <n v="919"/>
    <n v="13.6"/>
    <n v="0.24"/>
    <d v="2024-06-18T00:00:00"/>
    <n v="137.37"/>
    <n v="0.60099999999999998"/>
    <n v="18935.399999999998"/>
    <x v="0"/>
    <x v="1"/>
  </r>
  <r>
    <x v="481"/>
    <x v="0"/>
    <n v="259"/>
    <n v="38"/>
    <n v="14"/>
    <n v="4"/>
    <n v="48.86"/>
    <x v="73"/>
    <x v="0"/>
    <n v="149"/>
    <n v="2.44"/>
    <n v="106.7"/>
    <n v="1.91"/>
    <n v="7"/>
    <n v="0.87"/>
    <n v="674"/>
    <n v="11.94"/>
    <n v="0.73"/>
    <d v="2024-10-13T00:00:00"/>
    <n v="250.43"/>
    <n v="0.54800000000000004"/>
    <n v="27635.3"/>
    <x v="0"/>
    <x v="0"/>
  </r>
  <r>
    <x v="482"/>
    <x v="3"/>
    <n v="350"/>
    <n v="87"/>
    <n v="3"/>
    <n v="5"/>
    <n v="37.25"/>
    <x v="42"/>
    <x v="0"/>
    <n v="103"/>
    <n v="4.04"/>
    <n v="196.04"/>
    <n v="1.6"/>
    <n v="9"/>
    <n v="0.72"/>
    <n v="270"/>
    <n v="14.19"/>
    <n v="0.78"/>
    <d v="2024-08-06T00:00:00"/>
    <n v="45.18"/>
    <n v="0.54900000000000004"/>
    <n v="68614"/>
    <x v="0"/>
    <x v="0"/>
  </r>
  <r>
    <x v="483"/>
    <x v="1"/>
    <n v="352"/>
    <n v="99"/>
    <n v="7"/>
    <n v="9"/>
    <n v="13.36"/>
    <x v="71"/>
    <x v="1"/>
    <n v="73"/>
    <n v="2.5299999999999998"/>
    <n v="141.1"/>
    <n v="1.7"/>
    <n v="4"/>
    <n v="0.77"/>
    <n v="388"/>
    <n v="14.71"/>
    <n v="0.59"/>
    <d v="2024-08-24T00:00:00"/>
    <n v="40.31"/>
    <n v="0.61799999999999999"/>
    <n v="49667.199999999997"/>
    <x v="0"/>
    <x v="0"/>
  </r>
  <r>
    <x v="484"/>
    <x v="4"/>
    <n v="69"/>
    <n v="60"/>
    <n v="10"/>
    <n v="2"/>
    <n v="13.77"/>
    <x v="83"/>
    <x v="1"/>
    <n v="13"/>
    <n v="1.68"/>
    <n v="129.62"/>
    <n v="1.9"/>
    <n v="4"/>
    <n v="0.75"/>
    <n v="197"/>
    <n v="4.5199999999999996"/>
    <n v="0.83"/>
    <d v="2024-04-28T00:00:00"/>
    <n v="243.4"/>
    <n v="0.50600000000000001"/>
    <n v="8943.7800000000007"/>
    <x v="0"/>
    <x v="2"/>
  </r>
  <r>
    <x v="485"/>
    <x v="2"/>
    <n v="30"/>
    <n v="78"/>
    <n v="4"/>
    <n v="8"/>
    <n v="32.64"/>
    <x v="90"/>
    <x v="1"/>
    <n v="103"/>
    <n v="0.62"/>
    <n v="109.64"/>
    <n v="1.1499999999999999"/>
    <n v="3"/>
    <n v="0.8"/>
    <n v="948"/>
    <n v="3.57"/>
    <n v="0.97"/>
    <d v="2024-07-26T00:00:00"/>
    <n v="152.77000000000001"/>
    <n v="0.627"/>
    <n v="3289.2"/>
    <x v="1"/>
    <x v="2"/>
  </r>
  <r>
    <x v="486"/>
    <x v="4"/>
    <n v="370"/>
    <n v="98"/>
    <n v="7"/>
    <n v="4"/>
    <n v="6.76"/>
    <x v="36"/>
    <x v="0"/>
    <n v="142"/>
    <n v="1.91"/>
    <n v="143.13"/>
    <n v="0.75"/>
    <n v="9"/>
    <n v="0.9"/>
    <n v="345"/>
    <n v="7.28"/>
    <n v="0.47"/>
    <d v="2024-11-18T00:00:00"/>
    <n v="114.47"/>
    <n v="0.51600000000000001"/>
    <n v="52958.1"/>
    <x v="0"/>
    <x v="0"/>
  </r>
  <r>
    <x v="487"/>
    <x v="2"/>
    <n v="175"/>
    <n v="40"/>
    <n v="14"/>
    <n v="6"/>
    <n v="47.47"/>
    <x v="88"/>
    <x v="2"/>
    <n v="25"/>
    <n v="3.71"/>
    <n v="136.16"/>
    <n v="1.55"/>
    <n v="3"/>
    <n v="0.85"/>
    <n v="758"/>
    <n v="14.96"/>
    <n v="0.7"/>
    <d v="2024-04-04T00:00:00"/>
    <n v="143.79"/>
    <n v="0.69399999999999995"/>
    <n v="23828"/>
    <x v="0"/>
    <x v="1"/>
  </r>
  <r>
    <x v="488"/>
    <x v="0"/>
    <n v="89"/>
    <n v="59"/>
    <n v="10"/>
    <n v="2"/>
    <n v="12.02"/>
    <x v="46"/>
    <x v="2"/>
    <n v="36"/>
    <n v="1.1599999999999999"/>
    <n v="181.54"/>
    <n v="0.41"/>
    <n v="7"/>
    <n v="0.98"/>
    <n v="456"/>
    <n v="2.2400000000000002"/>
    <n v="0.46"/>
    <d v="2024-04-05T00:00:00"/>
    <n v="129.15"/>
    <n v="0.53700000000000003"/>
    <n v="16157.06"/>
    <x v="0"/>
    <x v="2"/>
  </r>
  <r>
    <x v="489"/>
    <x v="3"/>
    <n v="188"/>
    <n v="29"/>
    <n v="12"/>
    <n v="9"/>
    <n v="49.98"/>
    <x v="36"/>
    <x v="1"/>
    <n v="141"/>
    <n v="2.0299999999999998"/>
    <n v="112.95"/>
    <n v="0.23"/>
    <n v="2"/>
    <n v="0.76"/>
    <n v="630"/>
    <n v="10.97"/>
    <n v="0.55000000000000004"/>
    <d v="2024-11-23T00:00:00"/>
    <n v="236.75"/>
    <n v="0.745"/>
    <n v="21234.600000000002"/>
    <x v="0"/>
    <x v="1"/>
  </r>
  <r>
    <x v="490"/>
    <x v="4"/>
    <n v="291"/>
    <n v="64"/>
    <n v="7"/>
    <n v="2"/>
    <n v="25.29"/>
    <x v="33"/>
    <x v="1"/>
    <n v="81"/>
    <n v="0.59"/>
    <n v="90.09"/>
    <n v="1.59"/>
    <n v="2"/>
    <n v="0.81"/>
    <n v="527"/>
    <n v="12.91"/>
    <n v="0.22"/>
    <d v="2024-12-02T00:00:00"/>
    <n v="12.7"/>
    <n v="0.57899999999999996"/>
    <n v="26216.190000000002"/>
    <x v="0"/>
    <x v="0"/>
  </r>
  <r>
    <x v="491"/>
    <x v="1"/>
    <n v="87"/>
    <n v="90"/>
    <n v="4"/>
    <n v="7"/>
    <n v="38.799999999999997"/>
    <x v="54"/>
    <x v="3"/>
    <n v="57"/>
    <n v="3.75"/>
    <n v="163.36000000000001"/>
    <n v="1.91"/>
    <n v="7"/>
    <n v="0.8"/>
    <n v="849"/>
    <n v="14.95"/>
    <n v="0.26"/>
    <d v="2024-08-09T00:00:00"/>
    <n v="135.62"/>
    <n v="0.48"/>
    <n v="14212.320000000002"/>
    <x v="1"/>
    <x v="2"/>
  </r>
  <r>
    <x v="492"/>
    <x v="0"/>
    <n v="374"/>
    <n v="11"/>
    <n v="5"/>
    <n v="4"/>
    <n v="1.1100000000000001"/>
    <x v="57"/>
    <x v="3"/>
    <n v="145"/>
    <n v="4.46"/>
    <n v="161.96"/>
    <n v="0.94"/>
    <n v="2"/>
    <n v="0.77"/>
    <n v="73"/>
    <n v="9.68"/>
    <n v="0.84"/>
    <d v="2024-07-21T00:00:00"/>
    <n v="56.07"/>
    <n v="0.71699999999999997"/>
    <n v="60573.04"/>
    <x v="0"/>
    <x v="0"/>
  </r>
  <r>
    <x v="493"/>
    <x v="4"/>
    <n v="271"/>
    <n v="34"/>
    <n v="8"/>
    <n v="2"/>
    <n v="44.55"/>
    <x v="5"/>
    <x v="3"/>
    <n v="90"/>
    <n v="3.06"/>
    <n v="42.27"/>
    <n v="0.41"/>
    <n v="1"/>
    <n v="1"/>
    <n v="930"/>
    <n v="6.32"/>
    <n v="0.31"/>
    <d v="2024-01-15T00:00:00"/>
    <n v="99.4"/>
    <n v="0.68500000000000005"/>
    <n v="11455.17"/>
    <x v="0"/>
    <x v="0"/>
  </r>
  <r>
    <x v="494"/>
    <x v="1"/>
    <n v="67"/>
    <n v="22"/>
    <n v="13"/>
    <n v="3"/>
    <n v="14.23"/>
    <x v="55"/>
    <x v="1"/>
    <n v="53"/>
    <n v="0.62"/>
    <n v="54.99"/>
    <n v="1.04"/>
    <n v="4"/>
    <n v="0.82"/>
    <n v="996"/>
    <n v="3.33"/>
    <n v="0.76"/>
    <d v="2024-11-10T00:00:00"/>
    <n v="42.53"/>
    <n v="0.57599999999999996"/>
    <n v="3684.33"/>
    <x v="0"/>
    <x v="2"/>
  </r>
  <r>
    <x v="495"/>
    <x v="4"/>
    <n v="203"/>
    <n v="79"/>
    <n v="13"/>
    <n v="8"/>
    <n v="33.729999999999997"/>
    <x v="8"/>
    <x v="2"/>
    <n v="61"/>
    <n v="1.48"/>
    <n v="192.14"/>
    <n v="0.85"/>
    <n v="2"/>
    <n v="0.98"/>
    <n v="932"/>
    <n v="14.74"/>
    <n v="0.77"/>
    <d v="2024-04-11T00:00:00"/>
    <n v="133.83000000000001"/>
    <n v="0.82199999999999995"/>
    <n v="39004.42"/>
    <x v="0"/>
    <x v="1"/>
  </r>
  <r>
    <x v="496"/>
    <x v="2"/>
    <n v="339"/>
    <n v="76"/>
    <n v="7"/>
    <n v="7"/>
    <n v="40.51"/>
    <x v="33"/>
    <x v="2"/>
    <n v="43"/>
    <n v="2.4700000000000002"/>
    <n v="94.38"/>
    <n v="0.81"/>
    <n v="5"/>
    <n v="0.82"/>
    <n v="235"/>
    <n v="13.94"/>
    <n v="1"/>
    <d v="2024-08-18T00:00:00"/>
    <n v="196.56"/>
    <n v="0.76900000000000002"/>
    <n v="31994.82"/>
    <x v="0"/>
    <x v="0"/>
  </r>
  <r>
    <x v="497"/>
    <x v="4"/>
    <n v="206"/>
    <n v="67"/>
    <n v="13"/>
    <n v="7"/>
    <n v="9.0399999999999991"/>
    <x v="64"/>
    <x v="1"/>
    <n v="30"/>
    <n v="3.14"/>
    <n v="108.74"/>
    <n v="1.29"/>
    <n v="6"/>
    <n v="0.76"/>
    <n v="219"/>
    <n v="12.26"/>
    <n v="0.76"/>
    <d v="2024-10-30T00:00:00"/>
    <n v="201.86"/>
    <n v="0.61799999999999999"/>
    <n v="22400.44"/>
    <x v="0"/>
    <x v="1"/>
  </r>
  <r>
    <x v="498"/>
    <x v="4"/>
    <n v="109"/>
    <n v="91"/>
    <n v="6"/>
    <n v="2"/>
    <n v="22.68"/>
    <x v="19"/>
    <x v="1"/>
    <n v="33"/>
    <n v="2.73"/>
    <n v="68.930000000000007"/>
    <n v="0.43"/>
    <n v="2"/>
    <n v="0.74"/>
    <n v="852"/>
    <n v="14.21"/>
    <n v="0.3"/>
    <d v="2024-08-07T00:00:00"/>
    <n v="241.06"/>
    <n v="0.71399999999999997"/>
    <n v="7513.3700000000008"/>
    <x v="0"/>
    <x v="1"/>
  </r>
  <r>
    <x v="499"/>
    <x v="4"/>
    <n v="465"/>
    <n v="84"/>
    <n v="6"/>
    <n v="8"/>
    <n v="25.2"/>
    <x v="95"/>
    <x v="0"/>
    <n v="53"/>
    <n v="4.62"/>
    <n v="101.4"/>
    <n v="0.82"/>
    <n v="8"/>
    <n v="0.96"/>
    <n v="593"/>
    <n v="1.85"/>
    <n v="0.7"/>
    <d v="2024-07-18T00:00:00"/>
    <n v="246.35"/>
    <n v="0.51500000000000001"/>
    <n v="47151"/>
    <x v="0"/>
    <x v="0"/>
  </r>
  <r>
    <x v="500"/>
    <x v="0"/>
    <n v="351"/>
    <n v="93"/>
    <n v="7"/>
    <n v="7"/>
    <n v="16.29"/>
    <x v="45"/>
    <x v="0"/>
    <n v="123"/>
    <n v="4.72"/>
    <n v="151.24"/>
    <n v="1.75"/>
    <n v="9"/>
    <n v="0.71"/>
    <n v="487"/>
    <n v="9.84"/>
    <n v="0.62"/>
    <d v="2024-01-03T00:00:00"/>
    <n v="183.34"/>
    <n v="0.442"/>
    <n v="53085.240000000005"/>
    <x v="0"/>
    <x v="0"/>
  </r>
  <r>
    <x v="501"/>
    <x v="4"/>
    <n v="158"/>
    <n v="73"/>
    <n v="4"/>
    <n v="5"/>
    <n v="24.61"/>
    <x v="72"/>
    <x v="2"/>
    <n v="178"/>
    <n v="0.98"/>
    <n v="101.65"/>
    <n v="1.49"/>
    <n v="0"/>
    <n v="0.99"/>
    <n v="350"/>
    <n v="4.8499999999999996"/>
    <n v="0.93"/>
    <d v="2024-12-26T00:00:00"/>
    <n v="112.41"/>
    <n v="0.7"/>
    <n v="16060.7"/>
    <x v="0"/>
    <x v="1"/>
  </r>
  <r>
    <x v="502"/>
    <x v="1"/>
    <n v="376"/>
    <n v="78"/>
    <n v="11"/>
    <n v="4"/>
    <n v="16.559999999999999"/>
    <x v="30"/>
    <x v="3"/>
    <n v="166"/>
    <n v="1.1200000000000001"/>
    <n v="69.81"/>
    <n v="0.21"/>
    <n v="6"/>
    <n v="0.83"/>
    <n v="737"/>
    <n v="11.72"/>
    <n v="0.75"/>
    <d v="2024-04-19T00:00:00"/>
    <n v="24.88"/>
    <n v="0.73099999999999998"/>
    <n v="26248.560000000001"/>
    <x v="0"/>
    <x v="0"/>
  </r>
  <r>
    <x v="503"/>
    <x v="2"/>
    <n v="108"/>
    <n v="92"/>
    <n v="4"/>
    <n v="5"/>
    <n v="18.68"/>
    <x v="89"/>
    <x v="2"/>
    <n v="112"/>
    <n v="2.11"/>
    <n v="28.24"/>
    <n v="1.08"/>
    <n v="3"/>
    <n v="0.77"/>
    <n v="413"/>
    <n v="2.34"/>
    <n v="0.61"/>
    <d v="2024-04-15T00:00:00"/>
    <n v="20.399999999999999"/>
    <n v="0.53900000000000003"/>
    <n v="3049.9199999999996"/>
    <x v="0"/>
    <x v="1"/>
  </r>
  <r>
    <x v="504"/>
    <x v="2"/>
    <n v="293"/>
    <n v="95"/>
    <n v="12"/>
    <n v="6"/>
    <n v="33.799999999999997"/>
    <x v="28"/>
    <x v="0"/>
    <n v="143"/>
    <n v="2.4"/>
    <n v="186.37"/>
    <n v="0.27"/>
    <n v="6"/>
    <n v="0.89"/>
    <n v="903"/>
    <n v="4.62"/>
    <n v="0.7"/>
    <d v="2024-05-22T00:00:00"/>
    <n v="42.85"/>
    <n v="0.63300000000000001"/>
    <n v="54606.41"/>
    <x v="0"/>
    <x v="0"/>
  </r>
  <r>
    <x v="505"/>
    <x v="4"/>
    <n v="38"/>
    <n v="68"/>
    <n v="4"/>
    <n v="5"/>
    <n v="32"/>
    <x v="84"/>
    <x v="2"/>
    <n v="65"/>
    <n v="3.14"/>
    <n v="175.61"/>
    <n v="1.92"/>
    <n v="8"/>
    <n v="0.74"/>
    <n v="226"/>
    <n v="12.9"/>
    <n v="0.55000000000000004"/>
    <d v="2024-12-26T00:00:00"/>
    <n v="295.31"/>
    <n v="0.47799999999999998"/>
    <n v="6673.18"/>
    <x v="1"/>
    <x v="2"/>
  </r>
  <r>
    <x v="506"/>
    <x v="0"/>
    <n v="490"/>
    <n v="69"/>
    <n v="12"/>
    <n v="8"/>
    <n v="12.38"/>
    <x v="95"/>
    <x v="0"/>
    <n v="23"/>
    <n v="3.98"/>
    <n v="160.36000000000001"/>
    <n v="0.56000000000000005"/>
    <n v="8"/>
    <n v="0.72"/>
    <n v="851"/>
    <n v="11.49"/>
    <n v="0.61"/>
    <d v="2024-02-02T00:00:00"/>
    <n v="237.93"/>
    <n v="0.60299999999999998"/>
    <n v="78576.400000000009"/>
    <x v="0"/>
    <x v="0"/>
  </r>
  <r>
    <x v="507"/>
    <x v="0"/>
    <n v="330"/>
    <n v="92"/>
    <n v="11"/>
    <n v="3"/>
    <n v="44.98"/>
    <x v="2"/>
    <x v="0"/>
    <n v="110"/>
    <n v="1.1100000000000001"/>
    <n v="141.87"/>
    <n v="1.87"/>
    <n v="0"/>
    <n v="0.95"/>
    <n v="193"/>
    <n v="14.89"/>
    <n v="0.78"/>
    <d v="2024-10-22T00:00:00"/>
    <n v="127.41"/>
    <n v="0.75800000000000001"/>
    <n v="46817.1"/>
    <x v="0"/>
    <x v="0"/>
  </r>
  <r>
    <x v="508"/>
    <x v="1"/>
    <n v="377"/>
    <n v="71"/>
    <n v="5"/>
    <n v="7"/>
    <n v="43.28"/>
    <x v="84"/>
    <x v="3"/>
    <n v="10"/>
    <n v="4.1100000000000003"/>
    <n v="107.95"/>
    <n v="1.68"/>
    <n v="9"/>
    <n v="0.83"/>
    <n v="572"/>
    <n v="10.02"/>
    <n v="0.26"/>
    <d v="2024-02-22T00:00:00"/>
    <n v="145.19999999999999"/>
    <n v="0.40400000000000003"/>
    <n v="40697.15"/>
    <x v="0"/>
    <x v="0"/>
  </r>
  <r>
    <x v="509"/>
    <x v="4"/>
    <n v="393"/>
    <n v="25"/>
    <n v="12"/>
    <n v="8"/>
    <n v="25.95"/>
    <x v="3"/>
    <x v="3"/>
    <n v="21"/>
    <n v="3.25"/>
    <n v="180.51"/>
    <n v="1.1499999999999999"/>
    <n v="3"/>
    <n v="0.86"/>
    <n v="530"/>
    <n v="5.24"/>
    <n v="0.69"/>
    <d v="2024-10-01T00:00:00"/>
    <n v="223.84"/>
    <n v="0.60499999999999998"/>
    <n v="70940.429999999993"/>
    <x v="0"/>
    <x v="0"/>
  </r>
  <r>
    <x v="510"/>
    <x v="2"/>
    <n v="485"/>
    <n v="97"/>
    <n v="9"/>
    <n v="7"/>
    <n v="22.23"/>
    <x v="94"/>
    <x v="0"/>
    <n v="124"/>
    <n v="4.91"/>
    <n v="160.41999999999999"/>
    <n v="0.74"/>
    <n v="6"/>
    <n v="0.75"/>
    <n v="541"/>
    <n v="8.67"/>
    <n v="0.27"/>
    <d v="2024-04-05T00:00:00"/>
    <n v="159.18"/>
    <n v="0.52600000000000002"/>
    <n v="77803.7"/>
    <x v="0"/>
    <x v="0"/>
  </r>
  <r>
    <x v="511"/>
    <x v="0"/>
    <n v="173"/>
    <n v="77"/>
    <n v="6"/>
    <n v="9"/>
    <n v="19.47"/>
    <x v="95"/>
    <x v="1"/>
    <n v="115"/>
    <n v="3.43"/>
    <n v="165.04"/>
    <n v="1.73"/>
    <n v="9"/>
    <n v="0.72"/>
    <n v="535"/>
    <n v="14.22"/>
    <n v="0.88"/>
    <d v="2024-07-06T00:00:00"/>
    <n v="114.52"/>
    <n v="0.55700000000000005"/>
    <n v="28551.919999999998"/>
    <x v="0"/>
    <x v="1"/>
  </r>
  <r>
    <x v="512"/>
    <x v="4"/>
    <n v="409"/>
    <n v="24"/>
    <n v="8"/>
    <n v="3"/>
    <n v="35.659999999999997"/>
    <x v="55"/>
    <x v="3"/>
    <n v="161"/>
    <n v="3.72"/>
    <n v="68.81"/>
    <n v="0.39"/>
    <n v="5"/>
    <n v="0.81"/>
    <n v="708"/>
    <n v="10.119999999999999"/>
    <n v="0.95"/>
    <d v="2024-06-15T00:00:00"/>
    <n v="111.37"/>
    <n v="0.748"/>
    <n v="28143.29"/>
    <x v="0"/>
    <x v="0"/>
  </r>
  <r>
    <x v="513"/>
    <x v="0"/>
    <n v="279"/>
    <n v="98"/>
    <n v="6"/>
    <n v="7"/>
    <n v="33.909999999999997"/>
    <x v="3"/>
    <x v="0"/>
    <n v="46"/>
    <n v="1.38"/>
    <n v="90.46"/>
    <n v="0.44"/>
    <n v="8"/>
    <n v="0.85"/>
    <n v="909"/>
    <n v="13.34"/>
    <n v="0.82"/>
    <d v="2024-04-10T00:00:00"/>
    <n v="70.8"/>
    <n v="0.70799999999999996"/>
    <n v="25238.339999999997"/>
    <x v="0"/>
    <x v="0"/>
  </r>
  <r>
    <x v="514"/>
    <x v="0"/>
    <n v="127"/>
    <n v="64"/>
    <n v="12"/>
    <n v="5"/>
    <n v="10.61"/>
    <x v="5"/>
    <x v="1"/>
    <n v="12"/>
    <n v="3.96"/>
    <n v="144.29"/>
    <n v="0.53"/>
    <n v="6"/>
    <n v="0.93"/>
    <n v="974"/>
    <n v="1.32"/>
    <n v="0.77"/>
    <d v="2024-08-22T00:00:00"/>
    <n v="266.83"/>
    <n v="0.58499999999999996"/>
    <n v="18324.829999999998"/>
    <x v="0"/>
    <x v="1"/>
  </r>
  <r>
    <x v="515"/>
    <x v="2"/>
    <n v="390"/>
    <n v="44"/>
    <n v="9"/>
    <n v="9"/>
    <n v="33.9"/>
    <x v="56"/>
    <x v="1"/>
    <n v="164"/>
    <n v="0.86"/>
    <n v="80.5"/>
    <n v="1.24"/>
    <n v="2"/>
    <n v="0.85"/>
    <n v="534"/>
    <n v="6.17"/>
    <n v="0.95"/>
    <d v="2024-02-28T00:00:00"/>
    <n v="130.1"/>
    <n v="0.67800000000000005"/>
    <n v="31395"/>
    <x v="0"/>
    <x v="0"/>
  </r>
  <r>
    <x v="516"/>
    <x v="3"/>
    <n v="304"/>
    <n v="64"/>
    <n v="3"/>
    <n v="9"/>
    <n v="13.37"/>
    <x v="28"/>
    <x v="2"/>
    <n v="62"/>
    <n v="3.45"/>
    <n v="103.86"/>
    <n v="0.7"/>
    <n v="6"/>
    <n v="0.93"/>
    <n v="871"/>
    <n v="14.09"/>
    <n v="0.37"/>
    <d v="2024-05-14T00:00:00"/>
    <n v="228.19"/>
    <n v="0.65800000000000003"/>
    <n v="31573.439999999999"/>
    <x v="0"/>
    <x v="0"/>
  </r>
  <r>
    <x v="517"/>
    <x v="1"/>
    <n v="78"/>
    <n v="23"/>
    <n v="5"/>
    <n v="6"/>
    <n v="1.91"/>
    <x v="23"/>
    <x v="2"/>
    <n v="109"/>
    <n v="0.75"/>
    <n v="132.84"/>
    <n v="1.98"/>
    <n v="9"/>
    <n v="0.73"/>
    <n v="486"/>
    <n v="1.55"/>
    <n v="0.38"/>
    <d v="2024-12-09T00:00:00"/>
    <n v="176.39"/>
    <n v="0.26500000000000001"/>
    <n v="10361.52"/>
    <x v="0"/>
    <x v="2"/>
  </r>
  <r>
    <x v="518"/>
    <x v="1"/>
    <n v="144"/>
    <n v="58"/>
    <n v="5"/>
    <n v="9"/>
    <n v="35.26"/>
    <x v="8"/>
    <x v="3"/>
    <n v="26"/>
    <n v="1.02"/>
    <n v="93.17"/>
    <n v="0.47"/>
    <n v="4"/>
    <n v="0.72"/>
    <n v="244"/>
    <n v="8.27"/>
    <n v="0.57999999999999996"/>
    <d v="2024-09-07T00:00:00"/>
    <n v="228.69"/>
    <n v="0.64300000000000002"/>
    <n v="13416.48"/>
    <x v="0"/>
    <x v="1"/>
  </r>
  <r>
    <x v="519"/>
    <x v="2"/>
    <n v="373"/>
    <n v="92"/>
    <n v="3"/>
    <n v="9"/>
    <n v="32.590000000000003"/>
    <x v="31"/>
    <x v="1"/>
    <n v="122"/>
    <n v="0.99"/>
    <n v="160.68"/>
    <n v="1.63"/>
    <n v="1"/>
    <n v="0.75"/>
    <n v="515"/>
    <n v="5.85"/>
    <n v="0.21"/>
    <d v="2024-09-27T00:00:00"/>
    <n v="103.06"/>
    <n v="0.48699999999999999"/>
    <n v="59933.64"/>
    <x v="0"/>
    <x v="0"/>
  </r>
  <r>
    <x v="520"/>
    <x v="0"/>
    <n v="292"/>
    <n v="16"/>
    <n v="8"/>
    <n v="2"/>
    <n v="21.13"/>
    <x v="14"/>
    <x v="3"/>
    <n v="119"/>
    <n v="0.74"/>
    <n v="32.090000000000003"/>
    <n v="0.28000000000000003"/>
    <n v="9"/>
    <n v="0.93"/>
    <n v="125"/>
    <n v="10.050000000000001"/>
    <n v="0.97"/>
    <d v="2024-11-23T00:00:00"/>
    <n v="228.08"/>
    <n v="0.70599999999999996"/>
    <n v="9370.2800000000007"/>
    <x v="0"/>
    <x v="0"/>
  </r>
  <r>
    <x v="521"/>
    <x v="4"/>
    <n v="126"/>
    <n v="39"/>
    <n v="13"/>
    <n v="3"/>
    <n v="26.76"/>
    <x v="91"/>
    <x v="0"/>
    <n v="152"/>
    <n v="1.95"/>
    <n v="146.43"/>
    <n v="0.77"/>
    <n v="2"/>
    <n v="0.93"/>
    <n v="209"/>
    <n v="3.27"/>
    <n v="0.23"/>
    <d v="2024-06-09T00:00:00"/>
    <n v="239.09"/>
    <n v="0.55900000000000005"/>
    <n v="18450.18"/>
    <x v="0"/>
    <x v="1"/>
  </r>
  <r>
    <x v="522"/>
    <x v="0"/>
    <n v="318"/>
    <n v="92"/>
    <n v="11"/>
    <n v="5"/>
    <n v="47.41"/>
    <x v="6"/>
    <x v="3"/>
    <n v="176"/>
    <n v="4.97"/>
    <n v="37.590000000000003"/>
    <n v="0.56000000000000005"/>
    <n v="5"/>
    <n v="0.74"/>
    <n v="539"/>
    <n v="10.15"/>
    <n v="0.68"/>
    <d v="2024-11-01T00:00:00"/>
    <n v="40.24"/>
    <n v="0.66300000000000003"/>
    <n v="11953.62"/>
    <x v="0"/>
    <x v="0"/>
  </r>
  <r>
    <x v="523"/>
    <x v="2"/>
    <n v="264"/>
    <n v="58"/>
    <n v="10"/>
    <n v="8"/>
    <n v="30.16"/>
    <x v="20"/>
    <x v="1"/>
    <n v="13"/>
    <n v="2.0699999999999998"/>
    <n v="188.19"/>
    <n v="1.96"/>
    <n v="5"/>
    <n v="0.71"/>
    <n v="149"/>
    <n v="14.89"/>
    <n v="0.48"/>
    <d v="2024-07-17T00:00:00"/>
    <n v="36.520000000000003"/>
    <n v="0.54100000000000004"/>
    <n v="49682.159999999996"/>
    <x v="0"/>
    <x v="0"/>
  </r>
  <r>
    <x v="524"/>
    <x v="1"/>
    <n v="355"/>
    <n v="98"/>
    <n v="13"/>
    <n v="5"/>
    <n v="33.24"/>
    <x v="38"/>
    <x v="2"/>
    <n v="154"/>
    <n v="3.92"/>
    <n v="69.67"/>
    <n v="0.15"/>
    <n v="6"/>
    <n v="0.91"/>
    <n v="165"/>
    <n v="4.8"/>
    <n v="0.28000000000000003"/>
    <d v="2024-11-08T00:00:00"/>
    <n v="295.79000000000002"/>
    <n v="0.56699999999999995"/>
    <n v="24732.850000000002"/>
    <x v="0"/>
    <x v="0"/>
  </r>
  <r>
    <x v="525"/>
    <x v="0"/>
    <n v="469"/>
    <n v="25"/>
    <n v="9"/>
    <n v="5"/>
    <n v="4.13"/>
    <x v="34"/>
    <x v="3"/>
    <n v="148"/>
    <n v="1.1000000000000001"/>
    <n v="161.13"/>
    <n v="1.47"/>
    <n v="5"/>
    <n v="0.96"/>
    <n v="429"/>
    <n v="7.46"/>
    <n v="0.22"/>
    <d v="2024-07-19T00:00:00"/>
    <n v="44.21"/>
    <n v="0.48799999999999999"/>
    <n v="75569.97"/>
    <x v="0"/>
    <x v="0"/>
  </r>
  <r>
    <x v="526"/>
    <x v="1"/>
    <n v="437"/>
    <n v="60"/>
    <n v="12"/>
    <n v="2"/>
    <n v="9.1300000000000008"/>
    <x v="88"/>
    <x v="2"/>
    <n v="21"/>
    <n v="2.5499999999999998"/>
    <n v="109.07"/>
    <n v="0.56999999999999995"/>
    <n v="8"/>
    <n v="0.93"/>
    <n v="644"/>
    <n v="1.42"/>
    <n v="0.41"/>
    <d v="2024-10-27T00:00:00"/>
    <n v="208.6"/>
    <n v="0.47"/>
    <n v="47663.59"/>
    <x v="0"/>
    <x v="0"/>
  </r>
  <r>
    <x v="527"/>
    <x v="4"/>
    <n v="266"/>
    <n v="81"/>
    <n v="10"/>
    <n v="4"/>
    <n v="15.75"/>
    <x v="16"/>
    <x v="3"/>
    <n v="41"/>
    <n v="1.33"/>
    <n v="27.31"/>
    <n v="1.64"/>
    <n v="4"/>
    <n v="0.76"/>
    <n v="873"/>
    <n v="7.08"/>
    <n v="0.28999999999999998"/>
    <d v="2024-02-28T00:00:00"/>
    <n v="226.87"/>
    <n v="0.46"/>
    <n v="7264.46"/>
    <x v="0"/>
    <x v="0"/>
  </r>
  <r>
    <x v="528"/>
    <x v="1"/>
    <n v="27"/>
    <n v="91"/>
    <n v="8"/>
    <n v="7"/>
    <n v="27.43"/>
    <x v="6"/>
    <x v="0"/>
    <n v="164"/>
    <n v="1.36"/>
    <n v="120.69"/>
    <n v="0.69"/>
    <n v="4"/>
    <n v="0.88"/>
    <n v="112"/>
    <n v="6.68"/>
    <n v="0.95"/>
    <d v="2024-06-27T00:00:00"/>
    <n v="28.42"/>
    <n v="0.70599999999999996"/>
    <n v="3258.63"/>
    <x v="1"/>
    <x v="2"/>
  </r>
  <r>
    <x v="529"/>
    <x v="1"/>
    <n v="160"/>
    <n v="89"/>
    <n v="11"/>
    <n v="7"/>
    <n v="39.049999999999997"/>
    <x v="2"/>
    <x v="1"/>
    <n v="52"/>
    <n v="0.95"/>
    <n v="183.31"/>
    <n v="0.46"/>
    <n v="7"/>
    <n v="0.93"/>
    <n v="181"/>
    <n v="8.91"/>
    <n v="0.4"/>
    <d v="2024-06-29T00:00:00"/>
    <n v="226.49"/>
    <n v="0.59899999999999998"/>
    <n v="29329.599999999999"/>
    <x v="0"/>
    <x v="1"/>
  </r>
  <r>
    <x v="530"/>
    <x v="3"/>
    <n v="381"/>
    <n v="92"/>
    <n v="5"/>
    <n v="8"/>
    <n v="16.739999999999998"/>
    <x v="51"/>
    <x v="3"/>
    <n v="113"/>
    <n v="2.44"/>
    <n v="39.869999999999997"/>
    <n v="1.42"/>
    <n v="7"/>
    <n v="0.78"/>
    <n v="297"/>
    <n v="4.59"/>
    <n v="0.28000000000000003"/>
    <d v="2024-08-22T00:00:00"/>
    <n v="131.66"/>
    <n v="0.39100000000000001"/>
    <n v="15190.47"/>
    <x v="0"/>
    <x v="0"/>
  </r>
  <r>
    <x v="531"/>
    <x v="3"/>
    <n v="27"/>
    <n v="51"/>
    <n v="12"/>
    <n v="9"/>
    <n v="18.46"/>
    <x v="48"/>
    <x v="0"/>
    <n v="102"/>
    <n v="0.84"/>
    <n v="71.05"/>
    <n v="0.59"/>
    <n v="0"/>
    <n v="0.86"/>
    <n v="444"/>
    <n v="5.6"/>
    <n v="0.82"/>
    <d v="2024-11-12T00:00:00"/>
    <n v="89.66"/>
    <n v="0.752"/>
    <n v="1918.35"/>
    <x v="1"/>
    <x v="2"/>
  </r>
  <r>
    <x v="532"/>
    <x v="3"/>
    <n v="497"/>
    <n v="26"/>
    <n v="12"/>
    <n v="6"/>
    <n v="13.55"/>
    <x v="67"/>
    <x v="0"/>
    <n v="52"/>
    <n v="4.59"/>
    <n v="93.44"/>
    <n v="1.02"/>
    <n v="2"/>
    <n v="0.79"/>
    <n v="692"/>
    <n v="9.5399999999999991"/>
    <n v="0.53"/>
    <d v="2024-03-29T00:00:00"/>
    <n v="202.95"/>
    <n v="0.64900000000000002"/>
    <n v="46439.68"/>
    <x v="0"/>
    <x v="0"/>
  </r>
  <r>
    <x v="533"/>
    <x v="1"/>
    <n v="371"/>
    <n v="72"/>
    <n v="11"/>
    <n v="8"/>
    <n v="13.48"/>
    <x v="94"/>
    <x v="0"/>
    <n v="140"/>
    <n v="2.52"/>
    <n v="62.26"/>
    <n v="0.35"/>
    <n v="5"/>
    <n v="0.77"/>
    <n v="460"/>
    <n v="13.72"/>
    <n v="0.87"/>
    <d v="2024-12-10T00:00:00"/>
    <n v="251.61"/>
    <n v="0.77600000000000002"/>
    <n v="23098.46"/>
    <x v="0"/>
    <x v="0"/>
  </r>
  <r>
    <x v="534"/>
    <x v="2"/>
    <n v="113"/>
    <n v="54"/>
    <n v="6"/>
    <n v="4"/>
    <n v="47.49"/>
    <x v="4"/>
    <x v="2"/>
    <n v="166"/>
    <n v="4.2699999999999996"/>
    <n v="189.32"/>
    <n v="1.48"/>
    <n v="5"/>
    <n v="0.99"/>
    <n v="928"/>
    <n v="4.29"/>
    <n v="0.87"/>
    <d v="2024-12-27T00:00:00"/>
    <n v="176.11"/>
    <n v="0.58099999999999996"/>
    <n v="21393.16"/>
    <x v="0"/>
    <x v="1"/>
  </r>
  <r>
    <x v="535"/>
    <x v="1"/>
    <n v="340"/>
    <n v="86"/>
    <n v="9"/>
    <n v="7"/>
    <n v="32.14"/>
    <x v="50"/>
    <x v="2"/>
    <n v="94"/>
    <n v="4.91"/>
    <n v="81.73"/>
    <n v="0.87"/>
    <n v="0"/>
    <n v="0.97"/>
    <n v="477"/>
    <n v="10.48"/>
    <n v="0.99"/>
    <d v="2024-06-01T00:00:00"/>
    <n v="262.48"/>
    <n v="0.84499999999999997"/>
    <n v="27788.2"/>
    <x v="0"/>
    <x v="0"/>
  </r>
  <r>
    <x v="536"/>
    <x v="2"/>
    <n v="446"/>
    <n v="16"/>
    <n v="11"/>
    <n v="6"/>
    <n v="8.64"/>
    <x v="52"/>
    <x v="0"/>
    <n v="44"/>
    <n v="3.55"/>
    <n v="135.03"/>
    <n v="0.37"/>
    <n v="1"/>
    <n v="0.83"/>
    <n v="963"/>
    <n v="8.33"/>
    <n v="0.84"/>
    <d v="2024-11-10T00:00:00"/>
    <n v="16.48"/>
    <n v="0.78800000000000003"/>
    <n v="60223.38"/>
    <x v="0"/>
    <x v="0"/>
  </r>
  <r>
    <x v="537"/>
    <x v="2"/>
    <n v="58"/>
    <n v="36"/>
    <n v="4"/>
    <n v="8"/>
    <n v="36.39"/>
    <x v="4"/>
    <x v="0"/>
    <n v="126"/>
    <n v="4.5599999999999996"/>
    <n v="52.54"/>
    <n v="1.51"/>
    <n v="9"/>
    <n v="0.74"/>
    <n v="719"/>
    <n v="2.46"/>
    <n v="0.37"/>
    <d v="2024-10-29T00:00:00"/>
    <n v="224.2"/>
    <n v="0.32400000000000001"/>
    <n v="3047.32"/>
    <x v="0"/>
    <x v="2"/>
  </r>
  <r>
    <x v="538"/>
    <x v="3"/>
    <n v="100"/>
    <n v="19"/>
    <n v="4"/>
    <n v="6"/>
    <n v="36.380000000000003"/>
    <x v="34"/>
    <x v="3"/>
    <n v="176"/>
    <n v="1.1100000000000001"/>
    <n v="51.74"/>
    <n v="0.3"/>
    <n v="6"/>
    <n v="0.92"/>
    <n v="777"/>
    <n v="8.92"/>
    <n v="0.67"/>
    <d v="2024-02-13T00:00:00"/>
    <n v="59.13"/>
    <n v="0.68700000000000006"/>
    <n v="5174"/>
    <x v="0"/>
    <x v="1"/>
  </r>
  <r>
    <x v="539"/>
    <x v="0"/>
    <n v="206"/>
    <n v="43"/>
    <n v="11"/>
    <n v="5"/>
    <n v="33.659999999999997"/>
    <x v="58"/>
    <x v="3"/>
    <n v="161"/>
    <n v="4.2300000000000004"/>
    <n v="43.41"/>
    <n v="1.19"/>
    <n v="0"/>
    <n v="0.78"/>
    <n v="375"/>
    <n v="10.92"/>
    <n v="0.62"/>
    <d v="2024-12-10T00:00:00"/>
    <n v="92.96"/>
    <n v="0.70699999999999996"/>
    <n v="8942.4599999999991"/>
    <x v="0"/>
    <x v="1"/>
  </r>
  <r>
    <x v="540"/>
    <x v="4"/>
    <n v="103"/>
    <n v="45"/>
    <n v="14"/>
    <n v="3"/>
    <n v="7.6"/>
    <x v="74"/>
    <x v="1"/>
    <n v="29"/>
    <n v="1.72"/>
    <n v="92.61"/>
    <n v="1.25"/>
    <n v="9"/>
    <n v="0.75"/>
    <n v="992"/>
    <n v="9.3800000000000008"/>
    <n v="0.61"/>
    <d v="2024-03-09T00:00:00"/>
    <n v="175.95"/>
    <n v="0.49199999999999999"/>
    <n v="9538.83"/>
    <x v="0"/>
    <x v="1"/>
  </r>
  <r>
    <x v="541"/>
    <x v="3"/>
    <n v="107"/>
    <n v="34"/>
    <n v="5"/>
    <n v="5"/>
    <n v="20.99"/>
    <x v="67"/>
    <x v="3"/>
    <n v="152"/>
    <n v="2.63"/>
    <n v="111.24"/>
    <n v="1.87"/>
    <n v="4"/>
    <n v="0.81"/>
    <n v="595"/>
    <n v="2.46"/>
    <n v="0.44"/>
    <d v="2024-06-09T00:00:00"/>
    <n v="89.59"/>
    <n v="0.41599999999999998"/>
    <n v="11902.68"/>
    <x v="0"/>
    <x v="1"/>
  </r>
  <r>
    <x v="542"/>
    <x v="3"/>
    <n v="261"/>
    <n v="15"/>
    <n v="11"/>
    <n v="2"/>
    <n v="6.23"/>
    <x v="9"/>
    <x v="1"/>
    <n v="94"/>
    <n v="3.41"/>
    <n v="12.04"/>
    <n v="0.39"/>
    <n v="0"/>
    <n v="0.86"/>
    <n v="424"/>
    <n v="12.96"/>
    <n v="0.37"/>
    <d v="2024-03-01T00:00:00"/>
    <n v="58.76"/>
    <n v="0.78"/>
    <n v="3142.4399999999996"/>
    <x v="0"/>
    <x v="0"/>
  </r>
  <r>
    <x v="543"/>
    <x v="0"/>
    <n v="361"/>
    <n v="33"/>
    <n v="7"/>
    <n v="9"/>
    <n v="41.01"/>
    <x v="39"/>
    <x v="1"/>
    <n v="126"/>
    <n v="4.57"/>
    <n v="168.26"/>
    <n v="1.34"/>
    <n v="5"/>
    <n v="0.73"/>
    <n v="893"/>
    <n v="1.57"/>
    <n v="0.77"/>
    <d v="2024-05-02T00:00:00"/>
    <n v="266.79000000000002"/>
    <n v="0.48699999999999999"/>
    <n v="60741.859999999993"/>
    <x v="0"/>
    <x v="0"/>
  </r>
  <r>
    <x v="544"/>
    <x v="4"/>
    <n v="112"/>
    <n v="27"/>
    <n v="8"/>
    <n v="7"/>
    <n v="33.1"/>
    <x v="94"/>
    <x v="1"/>
    <n v="115"/>
    <n v="4.5999999999999996"/>
    <n v="107.42"/>
    <n v="0.82"/>
    <n v="6"/>
    <n v="0.87"/>
    <n v="347"/>
    <n v="4.3"/>
    <n v="0.28000000000000003"/>
    <d v="2024-06-05T00:00:00"/>
    <n v="272.95"/>
    <n v="0.48499999999999999"/>
    <n v="12031.04"/>
    <x v="0"/>
    <x v="1"/>
  </r>
  <r>
    <x v="545"/>
    <x v="1"/>
    <n v="105"/>
    <n v="96"/>
    <n v="4"/>
    <n v="6"/>
    <n v="25.85"/>
    <x v="2"/>
    <x v="2"/>
    <n v="155"/>
    <n v="0.91"/>
    <n v="39.869999999999997"/>
    <n v="0.86"/>
    <n v="7"/>
    <n v="0.7"/>
    <n v="328"/>
    <n v="9.6199999999999992"/>
    <n v="0.24"/>
    <d v="2024-02-29T00:00:00"/>
    <n v="20.55"/>
    <n v="0.49"/>
    <n v="4186.3499999999995"/>
    <x v="0"/>
    <x v="1"/>
  </r>
  <r>
    <x v="546"/>
    <x v="1"/>
    <n v="63"/>
    <n v="15"/>
    <n v="10"/>
    <n v="8"/>
    <n v="17.809999999999999"/>
    <x v="1"/>
    <x v="3"/>
    <n v="114"/>
    <n v="2.14"/>
    <n v="22.79"/>
    <n v="1.05"/>
    <n v="2"/>
    <n v="0.97"/>
    <n v="345"/>
    <n v="4.05"/>
    <n v="0.5"/>
    <d v="2024-04-03T00:00:00"/>
    <n v="155.04"/>
    <n v="0.60299999999999998"/>
    <n v="1435.77"/>
    <x v="0"/>
    <x v="2"/>
  </r>
  <r>
    <x v="547"/>
    <x v="3"/>
    <n v="156"/>
    <n v="38"/>
    <n v="13"/>
    <n v="9"/>
    <n v="10.029999999999999"/>
    <x v="35"/>
    <x v="0"/>
    <n v="102"/>
    <n v="4.07"/>
    <n v="22.01"/>
    <n v="0.54"/>
    <n v="2"/>
    <n v="0.98"/>
    <n v="576"/>
    <n v="2.4300000000000002"/>
    <n v="0.8"/>
    <d v="2024-07-10T00:00:00"/>
    <n v="69.069999999999993"/>
    <n v="0.69399999999999995"/>
    <n v="3433.5600000000004"/>
    <x v="0"/>
    <x v="1"/>
  </r>
  <r>
    <x v="548"/>
    <x v="4"/>
    <n v="440"/>
    <n v="34"/>
    <n v="11"/>
    <n v="3"/>
    <n v="6.22"/>
    <x v="84"/>
    <x v="1"/>
    <n v="50"/>
    <n v="3.66"/>
    <n v="58.95"/>
    <n v="0.98"/>
    <n v="0"/>
    <n v="0.92"/>
    <n v="164"/>
    <n v="8.17"/>
    <n v="0.89"/>
    <d v="2024-12-21T00:00:00"/>
    <n v="260.39"/>
    <n v="0.77300000000000002"/>
    <n v="25938"/>
    <x v="0"/>
    <x v="0"/>
  </r>
  <r>
    <x v="549"/>
    <x v="3"/>
    <n v="93"/>
    <n v="64"/>
    <n v="4"/>
    <n v="8"/>
    <n v="48.49"/>
    <x v="73"/>
    <x v="0"/>
    <n v="109"/>
    <n v="0.62"/>
    <n v="104.87"/>
    <n v="1.41"/>
    <n v="2"/>
    <n v="0.84"/>
    <n v="542"/>
    <n v="11.11"/>
    <n v="0.63"/>
    <d v="2024-03-13T00:00:00"/>
    <n v="144.13"/>
    <n v="0.66100000000000003"/>
    <n v="9752.91"/>
    <x v="0"/>
    <x v="2"/>
  </r>
  <r>
    <x v="550"/>
    <x v="2"/>
    <n v="55"/>
    <n v="90"/>
    <n v="8"/>
    <n v="7"/>
    <n v="10.78"/>
    <x v="35"/>
    <x v="1"/>
    <n v="78"/>
    <n v="2.52"/>
    <n v="173.45"/>
    <n v="0.97"/>
    <n v="4"/>
    <n v="0.78"/>
    <n v="106"/>
    <n v="6.75"/>
    <n v="0.87"/>
    <d v="2024-09-18T00:00:00"/>
    <n v="148.75"/>
    <n v="0.64300000000000002"/>
    <n v="9539.75"/>
    <x v="1"/>
    <x v="2"/>
  </r>
  <r>
    <x v="551"/>
    <x v="3"/>
    <n v="120"/>
    <n v="55"/>
    <n v="8"/>
    <n v="6"/>
    <n v="3.93"/>
    <x v="14"/>
    <x v="3"/>
    <n v="115"/>
    <n v="4.2300000000000004"/>
    <n v="181.56"/>
    <n v="0.18"/>
    <n v="5"/>
    <n v="0.92"/>
    <n v="928"/>
    <n v="10.78"/>
    <n v="0.22"/>
    <d v="2024-07-17T00:00:00"/>
    <n v="191.97"/>
    <n v="0.65400000000000003"/>
    <n v="21787.200000000001"/>
    <x v="0"/>
    <x v="1"/>
  </r>
  <r>
    <x v="552"/>
    <x v="3"/>
    <n v="495"/>
    <n v="33"/>
    <n v="10"/>
    <n v="6"/>
    <n v="48.12"/>
    <x v="8"/>
    <x v="1"/>
    <n v="148"/>
    <n v="3.82"/>
    <n v="168.14"/>
    <n v="0.59"/>
    <n v="2"/>
    <n v="0.98"/>
    <n v="191"/>
    <n v="13.05"/>
    <n v="0.56000000000000005"/>
    <d v="2024-08-02T00:00:00"/>
    <n v="26.13"/>
    <n v="0.78300000000000003"/>
    <n v="83229.299999999988"/>
    <x v="0"/>
    <x v="0"/>
  </r>
  <r>
    <x v="553"/>
    <x v="1"/>
    <n v="175"/>
    <n v="84"/>
    <n v="12"/>
    <n v="5"/>
    <n v="27.9"/>
    <x v="77"/>
    <x v="3"/>
    <n v="155"/>
    <n v="2.35"/>
    <n v="72.430000000000007"/>
    <n v="0.77"/>
    <n v="3"/>
    <n v="0.75"/>
    <n v="768"/>
    <n v="14.42"/>
    <n v="0.31"/>
    <d v="2024-11-01T00:00:00"/>
    <n v="46.92"/>
    <n v="0.66700000000000004"/>
    <n v="12675.250000000002"/>
    <x v="0"/>
    <x v="1"/>
  </r>
  <r>
    <x v="554"/>
    <x v="1"/>
    <n v="445"/>
    <n v="35"/>
    <n v="14"/>
    <n v="3"/>
    <n v="40.04"/>
    <x v="83"/>
    <x v="0"/>
    <n v="149"/>
    <n v="3.81"/>
    <n v="68.25"/>
    <n v="0.77"/>
    <n v="4"/>
    <n v="0.84"/>
    <n v="701"/>
    <n v="4.2699999999999996"/>
    <n v="0.67"/>
    <d v="2024-03-11T00:00:00"/>
    <n v="154.53"/>
    <n v="0.60199999999999998"/>
    <n v="30371.25"/>
    <x v="0"/>
    <x v="0"/>
  </r>
  <r>
    <x v="555"/>
    <x v="1"/>
    <n v="274"/>
    <n v="37"/>
    <n v="7"/>
    <n v="3"/>
    <n v="3.14"/>
    <x v="34"/>
    <x v="3"/>
    <n v="153"/>
    <n v="2.98"/>
    <n v="197.62"/>
    <n v="0.25"/>
    <n v="4"/>
    <n v="0.79"/>
    <n v="668"/>
    <n v="9.48"/>
    <n v="0.94"/>
    <d v="2024-10-21T00:00:00"/>
    <n v="290.35000000000002"/>
    <n v="0.76700000000000002"/>
    <n v="54147.880000000005"/>
    <x v="0"/>
    <x v="0"/>
  </r>
  <r>
    <x v="556"/>
    <x v="2"/>
    <n v="190"/>
    <n v="12"/>
    <n v="11"/>
    <n v="7"/>
    <n v="28.78"/>
    <x v="37"/>
    <x v="0"/>
    <n v="36"/>
    <n v="4.6100000000000003"/>
    <n v="139.44"/>
    <n v="0.95"/>
    <n v="8"/>
    <n v="0.81"/>
    <n v="934"/>
    <n v="4.74"/>
    <n v="0.21"/>
    <d v="2024-07-15T00:00:00"/>
    <n v="254.65"/>
    <n v="0.41199999999999998"/>
    <n v="26493.599999999999"/>
    <x v="0"/>
    <x v="1"/>
  </r>
  <r>
    <x v="557"/>
    <x v="1"/>
    <n v="488"/>
    <n v="84"/>
    <n v="3"/>
    <n v="6"/>
    <n v="20.51"/>
    <x v="66"/>
    <x v="3"/>
    <n v="109"/>
    <n v="3.14"/>
    <n v="67.94"/>
    <n v="1.41"/>
    <n v="7"/>
    <n v="0.82"/>
    <n v="852"/>
    <n v="13.19"/>
    <n v="0.73"/>
    <d v="2024-08-04T00:00:00"/>
    <n v="267.91000000000003"/>
    <n v="0.60499999999999998"/>
    <n v="33154.720000000001"/>
    <x v="0"/>
    <x v="0"/>
  </r>
  <r>
    <x v="558"/>
    <x v="4"/>
    <n v="235"/>
    <n v="47"/>
    <n v="11"/>
    <n v="9"/>
    <n v="38.83"/>
    <x v="83"/>
    <x v="1"/>
    <n v="154"/>
    <n v="2.2999999999999998"/>
    <n v="72.53"/>
    <n v="0.19"/>
    <n v="0"/>
    <n v="0.99"/>
    <n v="458"/>
    <n v="13.46"/>
    <n v="0.83"/>
    <d v="2024-04-05T00:00:00"/>
    <n v="49.77"/>
    <n v="0.92400000000000004"/>
    <n v="17044.55"/>
    <x v="0"/>
    <x v="1"/>
  </r>
  <r>
    <x v="559"/>
    <x v="0"/>
    <n v="189"/>
    <n v="70"/>
    <n v="12"/>
    <n v="3"/>
    <n v="2.88"/>
    <x v="18"/>
    <x v="1"/>
    <n v="94"/>
    <n v="4.38"/>
    <n v="92.58"/>
    <n v="1.53"/>
    <n v="1"/>
    <n v="0.78"/>
    <n v="127"/>
    <n v="5.51"/>
    <n v="0.8"/>
    <d v="2024-09-06T00:00:00"/>
    <n v="288"/>
    <n v="0.61599999999999999"/>
    <n v="17497.62"/>
    <x v="0"/>
    <x v="1"/>
  </r>
  <r>
    <x v="560"/>
    <x v="4"/>
    <n v="271"/>
    <n v="87"/>
    <n v="9"/>
    <n v="3"/>
    <n v="20.68"/>
    <x v="74"/>
    <x v="3"/>
    <n v="128"/>
    <n v="0.72"/>
    <n v="128.13999999999999"/>
    <n v="1.91"/>
    <n v="4"/>
    <n v="0.85"/>
    <n v="51"/>
    <n v="10.029999999999999"/>
    <n v="0.22"/>
    <d v="2024-11-21T00:00:00"/>
    <n v="221.7"/>
    <n v="0.47699999999999998"/>
    <n v="34725.939999999995"/>
    <x v="0"/>
    <x v="0"/>
  </r>
  <r>
    <x v="561"/>
    <x v="4"/>
    <n v="379"/>
    <n v="60"/>
    <n v="6"/>
    <n v="8"/>
    <n v="40.15"/>
    <x v="1"/>
    <x v="0"/>
    <n v="40"/>
    <n v="4.55"/>
    <n v="180.62"/>
    <n v="0.12"/>
    <n v="2"/>
    <n v="0.99"/>
    <n v="835"/>
    <n v="13.43"/>
    <n v="0.34"/>
    <d v="2024-10-02T00:00:00"/>
    <n v="104.45"/>
    <n v="0.79300000000000004"/>
    <n v="68454.98"/>
    <x v="0"/>
    <x v="0"/>
  </r>
  <r>
    <x v="562"/>
    <x v="1"/>
    <n v="341"/>
    <n v="99"/>
    <n v="5"/>
    <n v="7"/>
    <n v="26.61"/>
    <x v="78"/>
    <x v="0"/>
    <n v="118"/>
    <n v="3.63"/>
    <n v="47.68"/>
    <n v="0.47"/>
    <n v="6"/>
    <n v="0.84"/>
    <n v="84"/>
    <n v="8.1199999999999992"/>
    <n v="0.28000000000000003"/>
    <d v="2024-12-21T00:00:00"/>
    <n v="260.7"/>
    <n v="0.56499999999999995"/>
    <n v="16258.88"/>
    <x v="0"/>
    <x v="0"/>
  </r>
  <r>
    <x v="563"/>
    <x v="0"/>
    <n v="74"/>
    <n v="57"/>
    <n v="12"/>
    <n v="5"/>
    <n v="27.95"/>
    <x v="47"/>
    <x v="0"/>
    <n v="172"/>
    <n v="4.7300000000000004"/>
    <n v="26.04"/>
    <n v="1.1299999999999999"/>
    <n v="5"/>
    <n v="0.96"/>
    <n v="826"/>
    <n v="11.09"/>
    <n v="0.27"/>
    <d v="2024-11-26T00:00:00"/>
    <n v="226.72"/>
    <n v="0.58099999999999996"/>
    <n v="1926.96"/>
    <x v="0"/>
    <x v="2"/>
  </r>
  <r>
    <x v="564"/>
    <x v="0"/>
    <n v="475"/>
    <n v="30"/>
    <n v="13"/>
    <n v="8"/>
    <n v="5.76"/>
    <x v="48"/>
    <x v="3"/>
    <n v="36"/>
    <n v="1.63"/>
    <n v="87.09"/>
    <n v="0.51"/>
    <n v="1"/>
    <n v="0.72"/>
    <n v="444"/>
    <n v="12.21"/>
    <n v="0.78"/>
    <d v="2024-03-29T00:00:00"/>
    <n v="223.59"/>
    <n v="0.79200000000000004"/>
    <n v="41367.75"/>
    <x v="0"/>
    <x v="0"/>
  </r>
  <r>
    <x v="565"/>
    <x v="0"/>
    <n v="451"/>
    <n v="63"/>
    <n v="8"/>
    <n v="8"/>
    <n v="7.48"/>
    <x v="80"/>
    <x v="3"/>
    <n v="96"/>
    <n v="3.63"/>
    <n v="56.64"/>
    <n v="1.55"/>
    <n v="7"/>
    <n v="0.99"/>
    <n v="267"/>
    <n v="13.21"/>
    <n v="0.54"/>
    <d v="2024-10-11T00:00:00"/>
    <n v="223.04"/>
    <n v="0.58699999999999997"/>
    <n v="25544.639999999999"/>
    <x v="0"/>
    <x v="0"/>
  </r>
  <r>
    <x v="566"/>
    <x v="2"/>
    <n v="110"/>
    <n v="65"/>
    <n v="14"/>
    <n v="4"/>
    <n v="34.17"/>
    <x v="36"/>
    <x v="3"/>
    <n v="169"/>
    <n v="4.1399999999999997"/>
    <n v="119.45"/>
    <n v="0.69"/>
    <n v="4"/>
    <n v="0.76"/>
    <n v="116"/>
    <n v="8.2100000000000009"/>
    <n v="0.78"/>
    <d v="2024-03-26T00:00:00"/>
    <n v="242.25"/>
    <n v="0.66800000000000004"/>
    <n v="13139.5"/>
    <x v="0"/>
    <x v="1"/>
  </r>
  <r>
    <x v="567"/>
    <x v="1"/>
    <n v="297"/>
    <n v="68"/>
    <n v="3"/>
    <n v="2"/>
    <n v="34.08"/>
    <x v="49"/>
    <x v="3"/>
    <n v="26"/>
    <n v="3.66"/>
    <n v="142.85"/>
    <n v="0.66"/>
    <n v="5"/>
    <n v="0.99"/>
    <n v="118"/>
    <n v="14.19"/>
    <n v="0.49"/>
    <d v="2024-09-07T00:00:00"/>
    <n v="285.07"/>
    <n v="0.71899999999999997"/>
    <n v="42426.45"/>
    <x v="0"/>
    <x v="0"/>
  </r>
  <r>
    <x v="568"/>
    <x v="0"/>
    <n v="120"/>
    <n v="81"/>
    <n v="5"/>
    <n v="4"/>
    <n v="48.98"/>
    <x v="83"/>
    <x v="0"/>
    <n v="20"/>
    <n v="1.45"/>
    <n v="69.040000000000006"/>
    <n v="0.1"/>
    <n v="7"/>
    <n v="0.75"/>
    <n v="273"/>
    <n v="9.81"/>
    <n v="0.28999999999999998"/>
    <d v="2024-05-27T00:00:00"/>
    <n v="49.69"/>
    <n v="0.58899999999999997"/>
    <n v="8284.8000000000011"/>
    <x v="0"/>
    <x v="1"/>
  </r>
  <r>
    <x v="569"/>
    <x v="2"/>
    <n v="174"/>
    <n v="60"/>
    <n v="4"/>
    <n v="3"/>
    <n v="35.89"/>
    <x v="26"/>
    <x v="0"/>
    <n v="138"/>
    <n v="1.74"/>
    <n v="140.24"/>
    <n v="0.61"/>
    <n v="5"/>
    <n v="0.83"/>
    <n v="410"/>
    <n v="3.12"/>
    <n v="0.77"/>
    <d v="2024-03-12T00:00:00"/>
    <n v="299.86"/>
    <n v="0.60099999999999998"/>
    <n v="24401.760000000002"/>
    <x v="0"/>
    <x v="1"/>
  </r>
  <r>
    <x v="570"/>
    <x v="3"/>
    <n v="396"/>
    <n v="29"/>
    <n v="13"/>
    <n v="6"/>
    <n v="25.17"/>
    <x v="93"/>
    <x v="2"/>
    <n v="91"/>
    <n v="3.05"/>
    <n v="75.2"/>
    <n v="0.51"/>
    <n v="9"/>
    <n v="0.79"/>
    <n v="507"/>
    <n v="9.57"/>
    <n v="0.7"/>
    <d v="2024-04-05T00:00:00"/>
    <n v="262.98"/>
    <n v="0.59499999999999997"/>
    <n v="29779.200000000001"/>
    <x v="0"/>
    <x v="0"/>
  </r>
  <r>
    <x v="571"/>
    <x v="3"/>
    <n v="368"/>
    <n v="95"/>
    <n v="11"/>
    <n v="2"/>
    <n v="43.01"/>
    <x v="39"/>
    <x v="3"/>
    <n v="58"/>
    <n v="2.5099999999999998"/>
    <n v="130.63999999999999"/>
    <n v="0.75"/>
    <n v="2"/>
    <n v="0.83"/>
    <n v="343"/>
    <n v="5.18"/>
    <n v="0.28999999999999998"/>
    <d v="2024-06-10T00:00:00"/>
    <n v="138.07"/>
    <n v="0.57799999999999996"/>
    <n v="48075.519999999997"/>
    <x v="0"/>
    <x v="0"/>
  </r>
  <r>
    <x v="572"/>
    <x v="2"/>
    <n v="470"/>
    <n v="68"/>
    <n v="5"/>
    <n v="2"/>
    <n v="6.12"/>
    <x v="57"/>
    <x v="2"/>
    <n v="50"/>
    <n v="3.81"/>
    <n v="130.28"/>
    <n v="0.38"/>
    <n v="6"/>
    <n v="0.78"/>
    <n v="375"/>
    <n v="6.21"/>
    <n v="0.94"/>
    <d v="2024-08-18T00:00:00"/>
    <n v="55.66"/>
    <n v="0.66900000000000004"/>
    <n v="61231.6"/>
    <x v="0"/>
    <x v="0"/>
  </r>
  <r>
    <x v="573"/>
    <x v="2"/>
    <n v="383"/>
    <n v="80"/>
    <n v="4"/>
    <n v="6"/>
    <n v="23.02"/>
    <x v="82"/>
    <x v="3"/>
    <n v="29"/>
    <n v="2.2000000000000002"/>
    <n v="62.85"/>
    <n v="1.23"/>
    <n v="3"/>
    <n v="0.99"/>
    <n v="252"/>
    <n v="12.32"/>
    <n v="0.45"/>
    <d v="2024-11-13T00:00:00"/>
    <n v="141.6"/>
    <n v="0.66900000000000004"/>
    <n v="24071.55"/>
    <x v="0"/>
    <x v="0"/>
  </r>
  <r>
    <x v="574"/>
    <x v="1"/>
    <n v="160"/>
    <n v="18"/>
    <n v="6"/>
    <n v="2"/>
    <n v="15.07"/>
    <x v="3"/>
    <x v="2"/>
    <n v="80"/>
    <n v="4.37"/>
    <n v="130.79"/>
    <n v="0.55000000000000004"/>
    <n v="5"/>
    <n v="0.79"/>
    <n v="642"/>
    <n v="14.63"/>
    <n v="0.72"/>
    <d v="2024-01-28T00:00:00"/>
    <n v="235.8"/>
    <n v="0.74199999999999999"/>
    <n v="20926.399999999998"/>
    <x v="0"/>
    <x v="1"/>
  </r>
  <r>
    <x v="575"/>
    <x v="1"/>
    <n v="192"/>
    <n v="10"/>
    <n v="4"/>
    <n v="6"/>
    <n v="6.13"/>
    <x v="3"/>
    <x v="0"/>
    <n v="46"/>
    <n v="2.44"/>
    <n v="82.38"/>
    <n v="1.68"/>
    <n v="5"/>
    <n v="0.9"/>
    <n v="627"/>
    <n v="13.18"/>
    <n v="0.23"/>
    <d v="2024-07-02T00:00:00"/>
    <n v="184.71"/>
    <n v="0.53400000000000003"/>
    <n v="15816.96"/>
    <x v="0"/>
    <x v="1"/>
  </r>
  <r>
    <x v="576"/>
    <x v="3"/>
    <n v="29"/>
    <n v="38"/>
    <n v="3"/>
    <n v="2"/>
    <n v="38.409999999999997"/>
    <x v="55"/>
    <x v="0"/>
    <n v="135"/>
    <n v="0.68"/>
    <n v="73.930000000000007"/>
    <n v="0.64"/>
    <n v="4"/>
    <n v="0.74"/>
    <n v="346"/>
    <n v="5.56"/>
    <n v="0.55000000000000004"/>
    <d v="2024-01-05T00:00:00"/>
    <n v="91.07"/>
    <n v="0.58799999999999997"/>
    <n v="2143.9700000000003"/>
    <x v="1"/>
    <x v="2"/>
  </r>
  <r>
    <x v="577"/>
    <x v="0"/>
    <n v="247"/>
    <n v="72"/>
    <n v="8"/>
    <n v="8"/>
    <n v="26.03"/>
    <x v="20"/>
    <x v="2"/>
    <n v="153"/>
    <n v="0.57999999999999996"/>
    <n v="64.959999999999994"/>
    <n v="0.5"/>
    <n v="0"/>
    <n v="0.95"/>
    <n v="841"/>
    <n v="7.35"/>
    <n v="0.97"/>
    <d v="2024-09-05T00:00:00"/>
    <n v="127.97"/>
    <n v="0.83199999999999996"/>
    <n v="16045.119999999999"/>
    <x v="0"/>
    <x v="1"/>
  </r>
  <r>
    <x v="578"/>
    <x v="3"/>
    <n v="284"/>
    <n v="81"/>
    <n v="12"/>
    <n v="9"/>
    <n v="28.28"/>
    <x v="46"/>
    <x v="1"/>
    <n v="48"/>
    <n v="3.41"/>
    <n v="75.67"/>
    <n v="0.21"/>
    <n v="7"/>
    <n v="0.86"/>
    <n v="995"/>
    <n v="14.77"/>
    <n v="0.91"/>
    <d v="2024-03-10T00:00:00"/>
    <n v="286.75"/>
    <n v="0.79"/>
    <n v="21490.28"/>
    <x v="0"/>
    <x v="0"/>
  </r>
  <r>
    <x v="579"/>
    <x v="0"/>
    <n v="457"/>
    <n v="65"/>
    <n v="10"/>
    <n v="7"/>
    <n v="21.15"/>
    <x v="83"/>
    <x v="3"/>
    <n v="118"/>
    <n v="2.93"/>
    <n v="159.47999999999999"/>
    <n v="1.51"/>
    <n v="9"/>
    <n v="0.99"/>
    <n v="310"/>
    <n v="13.93"/>
    <n v="0.38"/>
    <d v="2024-04-09T00:00:00"/>
    <n v="243.11"/>
    <n v="0.52900000000000003"/>
    <n v="72882.36"/>
    <x v="0"/>
    <x v="0"/>
  </r>
  <r>
    <x v="580"/>
    <x v="0"/>
    <n v="267"/>
    <n v="77"/>
    <n v="12"/>
    <n v="7"/>
    <n v="23.56"/>
    <x v="50"/>
    <x v="2"/>
    <n v="73"/>
    <n v="2.94"/>
    <n v="56.58"/>
    <n v="1.07"/>
    <n v="1"/>
    <n v="0.83"/>
    <n v="838"/>
    <n v="14.68"/>
    <n v="0.9"/>
    <d v="2024-07-15T00:00:00"/>
    <n v="45.98"/>
    <n v="0.81499999999999995"/>
    <n v="15106.859999999999"/>
    <x v="0"/>
    <x v="0"/>
  </r>
  <r>
    <x v="581"/>
    <x v="1"/>
    <n v="266"/>
    <n v="44"/>
    <n v="12"/>
    <n v="4"/>
    <n v="6.68"/>
    <x v="55"/>
    <x v="2"/>
    <n v="32"/>
    <n v="4.0599999999999996"/>
    <n v="139.58000000000001"/>
    <n v="0.32"/>
    <n v="3"/>
    <n v="0.76"/>
    <n v="567"/>
    <n v="7.06"/>
    <n v="0.43"/>
    <d v="2024-10-14T00:00:00"/>
    <n v="168.16"/>
    <n v="0.64"/>
    <n v="37128.280000000006"/>
    <x v="0"/>
    <x v="0"/>
  </r>
  <r>
    <x v="582"/>
    <x v="4"/>
    <n v="174"/>
    <n v="12"/>
    <n v="4"/>
    <n v="8"/>
    <n v="33.97"/>
    <x v="94"/>
    <x v="1"/>
    <n v="41"/>
    <n v="2.19"/>
    <n v="181.12"/>
    <n v="0.52"/>
    <n v="2"/>
    <n v="0.8"/>
    <n v="181"/>
    <n v="12.21"/>
    <n v="0.88"/>
    <d v="2024-09-15T00:00:00"/>
    <n v="279.99"/>
    <n v="0.80700000000000005"/>
    <n v="31514.880000000001"/>
    <x v="0"/>
    <x v="1"/>
  </r>
  <r>
    <x v="583"/>
    <x v="4"/>
    <n v="53"/>
    <n v="16"/>
    <n v="11"/>
    <n v="2"/>
    <n v="22.19"/>
    <x v="45"/>
    <x v="0"/>
    <n v="132"/>
    <n v="4.9800000000000004"/>
    <n v="76.58"/>
    <n v="2"/>
    <n v="5"/>
    <n v="0.92"/>
    <n v="826"/>
    <n v="13.2"/>
    <n v="0.78"/>
    <d v="2024-11-30T00:00:00"/>
    <n v="19.95"/>
    <n v="0.61599999999999999"/>
    <n v="4058.74"/>
    <x v="0"/>
    <x v="2"/>
  </r>
  <r>
    <x v="584"/>
    <x v="2"/>
    <n v="148"/>
    <n v="36"/>
    <n v="5"/>
    <n v="5"/>
    <n v="41.02"/>
    <x v="66"/>
    <x v="2"/>
    <n v="28"/>
    <n v="4.75"/>
    <n v="15.61"/>
    <n v="1.63"/>
    <n v="0"/>
    <n v="0.9"/>
    <n v="374"/>
    <n v="1.62"/>
    <n v="0.48"/>
    <d v="2024-09-10T00:00:00"/>
    <n v="22.34"/>
    <n v="0.53500000000000003"/>
    <n v="2310.2799999999997"/>
    <x v="0"/>
    <x v="1"/>
  </r>
  <r>
    <x v="585"/>
    <x v="1"/>
    <n v="179"/>
    <n v="10"/>
    <n v="10"/>
    <n v="6"/>
    <n v="10.62"/>
    <x v="51"/>
    <x v="0"/>
    <n v="115"/>
    <n v="0.56000000000000005"/>
    <n v="14.68"/>
    <n v="0.76"/>
    <n v="8"/>
    <n v="0.93"/>
    <n v="117"/>
    <n v="4.7300000000000004"/>
    <n v="0.93"/>
    <d v="2024-07-28T00:00:00"/>
    <n v="217.85"/>
    <n v="0.59899999999999998"/>
    <n v="2627.72"/>
    <x v="0"/>
    <x v="1"/>
  </r>
  <r>
    <x v="586"/>
    <x v="0"/>
    <n v="108"/>
    <n v="89"/>
    <n v="14"/>
    <n v="8"/>
    <n v="11.05"/>
    <x v="40"/>
    <x v="3"/>
    <n v="76"/>
    <n v="4.53"/>
    <n v="36.51"/>
    <n v="1.1299999999999999"/>
    <n v="4"/>
    <n v="0.72"/>
    <n v="175"/>
    <n v="13.37"/>
    <n v="0.59"/>
    <d v="2024-12-16T00:00:00"/>
    <n v="176.91"/>
    <n v="0.64700000000000002"/>
    <n v="3943.08"/>
    <x v="0"/>
    <x v="1"/>
  </r>
  <r>
    <x v="587"/>
    <x v="4"/>
    <n v="112"/>
    <n v="80"/>
    <n v="10"/>
    <n v="2"/>
    <n v="32.64"/>
    <x v="82"/>
    <x v="1"/>
    <n v="176"/>
    <n v="3.56"/>
    <n v="30.91"/>
    <n v="0.89"/>
    <n v="4"/>
    <n v="0.87"/>
    <n v="442"/>
    <n v="6.44"/>
    <n v="0.45"/>
    <d v="2024-09-08T00:00:00"/>
    <n v="23.34"/>
    <n v="0.58099999999999996"/>
    <n v="3461.92"/>
    <x v="0"/>
    <x v="1"/>
  </r>
  <r>
    <x v="588"/>
    <x v="0"/>
    <n v="346"/>
    <n v="53"/>
    <n v="5"/>
    <n v="7"/>
    <n v="42.45"/>
    <x v="85"/>
    <x v="0"/>
    <n v="98"/>
    <n v="2.76"/>
    <n v="152.13999999999999"/>
    <n v="0.17"/>
    <n v="3"/>
    <n v="0.98"/>
    <n v="451"/>
    <n v="4.9000000000000004"/>
    <n v="0.42"/>
    <d v="2024-07-31T00:00:00"/>
    <n v="298.83999999999997"/>
    <n v="0.66800000000000004"/>
    <n v="52640.439999999995"/>
    <x v="0"/>
    <x v="0"/>
  </r>
  <r>
    <x v="589"/>
    <x v="4"/>
    <n v="260"/>
    <n v="96"/>
    <n v="5"/>
    <n v="7"/>
    <n v="24.14"/>
    <x v="17"/>
    <x v="2"/>
    <n v="69"/>
    <n v="3.12"/>
    <n v="66.02"/>
    <n v="1.58"/>
    <n v="3"/>
    <n v="0.73"/>
    <n v="876"/>
    <n v="4.82"/>
    <n v="0.95"/>
    <d v="2024-12-29T00:00:00"/>
    <n v="178.23"/>
    <n v="0.58199999999999996"/>
    <n v="17165.2"/>
    <x v="0"/>
    <x v="0"/>
  </r>
  <r>
    <x v="590"/>
    <x v="4"/>
    <n v="342"/>
    <n v="50"/>
    <n v="14"/>
    <n v="6"/>
    <n v="36.619999999999997"/>
    <x v="88"/>
    <x v="1"/>
    <n v="20"/>
    <n v="4.29"/>
    <n v="133.97999999999999"/>
    <n v="1.46"/>
    <n v="0"/>
    <n v="0.73"/>
    <n v="732"/>
    <n v="6.26"/>
    <n v="0.81"/>
    <d v="2024-08-15T00:00:00"/>
    <n v="152.66"/>
    <n v="0.64500000000000002"/>
    <n v="45821.159999999996"/>
    <x v="0"/>
    <x v="0"/>
  </r>
  <r>
    <x v="591"/>
    <x v="4"/>
    <n v="487"/>
    <n v="84"/>
    <n v="8"/>
    <n v="5"/>
    <n v="49.97"/>
    <x v="55"/>
    <x v="1"/>
    <n v="58"/>
    <n v="4.78"/>
    <n v="18.07"/>
    <n v="0.88"/>
    <n v="8"/>
    <n v="0.91"/>
    <n v="385"/>
    <n v="4.42"/>
    <n v="0.48"/>
    <d v="2024-09-07T00:00:00"/>
    <n v="139.83000000000001"/>
    <n v="0.48899999999999999"/>
    <n v="8800.09"/>
    <x v="0"/>
    <x v="0"/>
  </r>
  <r>
    <x v="592"/>
    <x v="1"/>
    <n v="423"/>
    <n v="51"/>
    <n v="3"/>
    <n v="2"/>
    <n v="49.52"/>
    <x v="95"/>
    <x v="1"/>
    <n v="152"/>
    <n v="3.02"/>
    <n v="66.19"/>
    <n v="1.71"/>
    <n v="8"/>
    <n v="0.79"/>
    <n v="78"/>
    <n v="1.05"/>
    <n v="0.4"/>
    <d v="2024-03-26T00:00:00"/>
    <n v="213.2"/>
    <n v="0.32100000000000001"/>
    <n v="27998.37"/>
    <x v="0"/>
    <x v="0"/>
  </r>
  <r>
    <x v="593"/>
    <x v="3"/>
    <n v="136"/>
    <n v="42"/>
    <n v="6"/>
    <n v="2"/>
    <n v="37.47"/>
    <x v="63"/>
    <x v="1"/>
    <n v="137"/>
    <n v="1.32"/>
    <n v="54.49"/>
    <n v="1.1200000000000001"/>
    <n v="3"/>
    <n v="0.9"/>
    <n v="737"/>
    <n v="3.42"/>
    <n v="0.37"/>
    <d v="2024-02-12T00:00:00"/>
    <n v="142.91999999999999"/>
    <n v="0.52800000000000002"/>
    <n v="7410.64"/>
    <x v="0"/>
    <x v="1"/>
  </r>
  <r>
    <x v="594"/>
    <x v="0"/>
    <n v="113"/>
    <n v="59"/>
    <n v="3"/>
    <n v="5"/>
    <n v="37.24"/>
    <x v="67"/>
    <x v="1"/>
    <n v="70"/>
    <n v="3.38"/>
    <n v="62.61"/>
    <n v="0.22"/>
    <n v="9"/>
    <n v="0.86"/>
    <n v="868"/>
    <n v="13.36"/>
    <n v="0.4"/>
    <d v="2024-10-16T00:00:00"/>
    <n v="201.13"/>
    <n v="0.628"/>
    <n v="7074.93"/>
    <x v="0"/>
    <x v="1"/>
  </r>
  <r>
    <x v="595"/>
    <x v="1"/>
    <n v="182"/>
    <n v="72"/>
    <n v="5"/>
    <n v="5"/>
    <n v="13.13"/>
    <x v="23"/>
    <x v="3"/>
    <n v="152"/>
    <n v="0.84"/>
    <n v="46.24"/>
    <n v="0.59"/>
    <n v="9"/>
    <n v="1"/>
    <n v="987"/>
    <n v="2.06"/>
    <n v="0.28999999999999998"/>
    <d v="2024-01-16T00:00:00"/>
    <n v="151.62"/>
    <n v="0.44600000000000001"/>
    <n v="8415.68"/>
    <x v="0"/>
    <x v="1"/>
  </r>
  <r>
    <x v="596"/>
    <x v="1"/>
    <n v="118"/>
    <n v="46"/>
    <n v="11"/>
    <n v="5"/>
    <n v="41.84"/>
    <x v="43"/>
    <x v="3"/>
    <n v="14"/>
    <n v="3.36"/>
    <n v="127.4"/>
    <n v="0.98"/>
    <n v="3"/>
    <n v="0.97"/>
    <n v="853"/>
    <n v="6.78"/>
    <n v="0.59"/>
    <d v="2024-04-22T00:00:00"/>
    <n v="187.11"/>
    <n v="0.64400000000000002"/>
    <n v="15033.2"/>
    <x v="0"/>
    <x v="1"/>
  </r>
  <r>
    <x v="597"/>
    <x v="1"/>
    <n v="132"/>
    <n v="68"/>
    <n v="7"/>
    <n v="7"/>
    <n v="20.85"/>
    <x v="42"/>
    <x v="1"/>
    <n v="38"/>
    <n v="4.1399999999999997"/>
    <n v="135.91"/>
    <n v="0.3"/>
    <n v="6"/>
    <n v="0.9"/>
    <n v="893"/>
    <n v="7.39"/>
    <n v="0.23"/>
    <d v="2024-05-29T00:00:00"/>
    <n v="243.5"/>
    <n v="0.57499999999999996"/>
    <n v="17940.12"/>
    <x v="0"/>
    <x v="1"/>
  </r>
  <r>
    <x v="598"/>
    <x v="1"/>
    <n v="378"/>
    <n v="90"/>
    <n v="14"/>
    <n v="6"/>
    <n v="48.14"/>
    <x v="90"/>
    <x v="2"/>
    <n v="78"/>
    <n v="2.09"/>
    <n v="38.21"/>
    <n v="1.19"/>
    <n v="3"/>
    <n v="0.78"/>
    <n v="666"/>
    <n v="11.89"/>
    <n v="0.21"/>
    <d v="2024-01-17T00:00:00"/>
    <n v="246.98"/>
    <n v="0.57799999999999996"/>
    <n v="14443.380000000001"/>
    <x v="0"/>
    <x v="0"/>
  </r>
  <r>
    <x v="599"/>
    <x v="1"/>
    <n v="110"/>
    <n v="57"/>
    <n v="7"/>
    <n v="8"/>
    <n v="4.99"/>
    <x v="48"/>
    <x v="2"/>
    <n v="159"/>
    <n v="0.82"/>
    <n v="150.82"/>
    <n v="0.33"/>
    <n v="0"/>
    <n v="0.78"/>
    <n v="94"/>
    <n v="4.54"/>
    <n v="0.69"/>
    <d v="2024-05-20T00:00:00"/>
    <n v="256.22000000000003"/>
    <n v="0.72199999999999998"/>
    <n v="16590.2"/>
    <x v="0"/>
    <x v="1"/>
  </r>
  <r>
    <x v="600"/>
    <x v="2"/>
    <n v="365"/>
    <n v="14"/>
    <n v="13"/>
    <n v="9"/>
    <n v="22.36"/>
    <x v="24"/>
    <x v="3"/>
    <n v="22"/>
    <n v="3.62"/>
    <n v="57.51"/>
    <n v="0.48"/>
    <n v="8"/>
    <n v="0.96"/>
    <n v="150"/>
    <n v="5.33"/>
    <n v="0.27"/>
    <d v="2024-04-25T00:00:00"/>
    <n v="68.86"/>
    <n v="0.50900000000000001"/>
    <n v="20991.149999999998"/>
    <x v="0"/>
    <x v="0"/>
  </r>
  <r>
    <x v="601"/>
    <x v="0"/>
    <n v="225"/>
    <n v="57"/>
    <n v="6"/>
    <n v="5"/>
    <n v="28.24"/>
    <x v="55"/>
    <x v="0"/>
    <n v="125"/>
    <n v="2.0299999999999998"/>
    <n v="63.76"/>
    <n v="1.8"/>
    <n v="1"/>
    <n v="0.88"/>
    <n v="275"/>
    <n v="1.2"/>
    <n v="0.88"/>
    <d v="2024-10-02T00:00:00"/>
    <n v="27.72"/>
    <n v="0.56799999999999995"/>
    <n v="14346"/>
    <x v="0"/>
    <x v="1"/>
  </r>
  <r>
    <x v="602"/>
    <x v="1"/>
    <n v="36"/>
    <n v="12"/>
    <n v="5"/>
    <n v="6"/>
    <n v="20.85"/>
    <x v="31"/>
    <x v="1"/>
    <n v="119"/>
    <n v="1.62"/>
    <n v="167.47"/>
    <n v="2"/>
    <n v="4"/>
    <n v="0.94"/>
    <n v="468"/>
    <n v="13.64"/>
    <n v="0.28999999999999998"/>
    <d v="2024-05-27T00:00:00"/>
    <n v="252.48"/>
    <n v="0.54800000000000004"/>
    <n v="6028.92"/>
    <x v="0"/>
    <x v="2"/>
  </r>
  <r>
    <x v="603"/>
    <x v="0"/>
    <n v="293"/>
    <n v="56"/>
    <n v="7"/>
    <n v="4"/>
    <n v="11.32"/>
    <x v="9"/>
    <x v="2"/>
    <n v="166"/>
    <n v="3.6"/>
    <n v="181.22"/>
    <n v="1.1499999999999999"/>
    <n v="3"/>
    <n v="0.83"/>
    <n v="665"/>
    <n v="10.6"/>
    <n v="0.63"/>
    <d v="2024-03-27T00:00:00"/>
    <n v="22.27"/>
    <n v="0.65800000000000003"/>
    <n v="53097.46"/>
    <x v="0"/>
    <x v="0"/>
  </r>
  <r>
    <x v="604"/>
    <x v="2"/>
    <n v="192"/>
    <n v="71"/>
    <n v="13"/>
    <n v="2"/>
    <n v="30.06"/>
    <x v="72"/>
    <x v="3"/>
    <n v="89"/>
    <n v="4.8600000000000003"/>
    <n v="166.7"/>
    <n v="1.28"/>
    <n v="7"/>
    <n v="0.73"/>
    <n v="311"/>
    <n v="4.68"/>
    <n v="0.74"/>
    <d v="2024-08-22T00:00:00"/>
    <n v="71.91"/>
    <n v="0.48799999999999999"/>
    <n v="32006.399999999998"/>
    <x v="0"/>
    <x v="1"/>
  </r>
  <r>
    <x v="605"/>
    <x v="2"/>
    <n v="135"/>
    <n v="23"/>
    <n v="6"/>
    <n v="2"/>
    <n v="38.04"/>
    <x v="84"/>
    <x v="3"/>
    <n v="109"/>
    <n v="3.85"/>
    <n v="38.07"/>
    <n v="1.62"/>
    <n v="5"/>
    <n v="0.8"/>
    <n v="814"/>
    <n v="13.43"/>
    <n v="0.38"/>
    <d v="2024-10-16T00:00:00"/>
    <n v="162.6"/>
    <n v="0.55300000000000005"/>
    <n v="5139.45"/>
    <x v="0"/>
    <x v="1"/>
  </r>
  <r>
    <x v="606"/>
    <x v="0"/>
    <n v="368"/>
    <n v="72"/>
    <n v="10"/>
    <n v="9"/>
    <n v="32.6"/>
    <x v="99"/>
    <x v="0"/>
    <n v="26"/>
    <n v="2.71"/>
    <n v="199.86"/>
    <n v="1.42"/>
    <n v="6"/>
    <n v="0.75"/>
    <n v="726"/>
    <n v="2.21"/>
    <n v="0.91"/>
    <d v="2024-09-10T00:00:00"/>
    <n v="258.08"/>
    <n v="0.499"/>
    <n v="73548.48000000001"/>
    <x v="0"/>
    <x v="0"/>
  </r>
  <r>
    <x v="607"/>
    <x v="4"/>
    <n v="487"/>
    <n v="70"/>
    <n v="6"/>
    <n v="9"/>
    <n v="12.49"/>
    <x v="68"/>
    <x v="0"/>
    <n v="157"/>
    <n v="3.2"/>
    <n v="137.71"/>
    <n v="0.45"/>
    <n v="1"/>
    <n v="0.93"/>
    <n v="341"/>
    <n v="6.16"/>
    <n v="0.59"/>
    <d v="2024-10-08T00:00:00"/>
    <n v="270.07"/>
    <n v="0.72099999999999997"/>
    <n v="67064.77"/>
    <x v="0"/>
    <x v="0"/>
  </r>
  <r>
    <x v="608"/>
    <x v="3"/>
    <n v="200"/>
    <n v="40"/>
    <n v="13"/>
    <n v="3"/>
    <n v="36.85"/>
    <x v="85"/>
    <x v="2"/>
    <n v="123"/>
    <n v="1.1399999999999999"/>
    <n v="107.03"/>
    <n v="0.88"/>
    <n v="3"/>
    <n v="0.91"/>
    <n v="261"/>
    <n v="8.89"/>
    <n v="0.45"/>
    <d v="2024-09-18T00:00:00"/>
    <n v="192.13"/>
    <n v="0.64300000000000002"/>
    <n v="21406"/>
    <x v="0"/>
    <x v="1"/>
  </r>
  <r>
    <x v="609"/>
    <x v="4"/>
    <n v="110"/>
    <n v="26"/>
    <n v="14"/>
    <n v="4"/>
    <n v="13.59"/>
    <x v="67"/>
    <x v="0"/>
    <n v="15"/>
    <n v="4.16"/>
    <n v="191.42"/>
    <n v="1.1200000000000001"/>
    <n v="3"/>
    <n v="0.73"/>
    <n v="705"/>
    <n v="8.08"/>
    <n v="0.92"/>
    <d v="2024-02-27T00:00:00"/>
    <n v="290.36"/>
    <n v="0.66600000000000004"/>
    <n v="21056.199999999997"/>
    <x v="0"/>
    <x v="1"/>
  </r>
  <r>
    <x v="610"/>
    <x v="4"/>
    <n v="101"/>
    <n v="33"/>
    <n v="10"/>
    <n v="8"/>
    <n v="9.58"/>
    <x v="42"/>
    <x v="0"/>
    <n v="31"/>
    <n v="3.22"/>
    <n v="165.3"/>
    <n v="0.78"/>
    <n v="1"/>
    <n v="0.89"/>
    <n v="505"/>
    <n v="10.17"/>
    <n v="0.89"/>
    <d v="2024-10-20T00:00:00"/>
    <n v="221.68"/>
    <n v="0.79400000000000004"/>
    <n v="16695.300000000003"/>
    <x v="0"/>
    <x v="1"/>
  </r>
  <r>
    <x v="611"/>
    <x v="4"/>
    <n v="343"/>
    <n v="32"/>
    <n v="8"/>
    <n v="9"/>
    <n v="34.840000000000003"/>
    <x v="26"/>
    <x v="1"/>
    <n v="146"/>
    <n v="4.8499999999999996"/>
    <n v="141.43"/>
    <n v="0.43"/>
    <n v="9"/>
    <n v="0.96"/>
    <n v="285"/>
    <n v="5.17"/>
    <n v="0.77"/>
    <d v="2024-02-28T00:00:00"/>
    <n v="163.04"/>
    <n v="0.59199999999999997"/>
    <n v="48510.490000000005"/>
    <x v="0"/>
    <x v="0"/>
  </r>
  <r>
    <x v="612"/>
    <x v="1"/>
    <n v="468"/>
    <n v="91"/>
    <n v="14"/>
    <n v="5"/>
    <n v="42.3"/>
    <x v="85"/>
    <x v="3"/>
    <n v="169"/>
    <n v="4.91"/>
    <n v="169.3"/>
    <n v="1.5"/>
    <n v="3"/>
    <n v="0.91"/>
    <n v="583"/>
    <n v="11.61"/>
    <n v="0.43"/>
    <d v="2024-05-17T00:00:00"/>
    <n v="48.97"/>
    <n v="0.61299999999999999"/>
    <n v="79232.400000000009"/>
    <x v="0"/>
    <x v="0"/>
  </r>
  <r>
    <x v="613"/>
    <x v="2"/>
    <n v="133"/>
    <n v="59"/>
    <n v="13"/>
    <n v="5"/>
    <n v="24.6"/>
    <x v="98"/>
    <x v="3"/>
    <n v="97"/>
    <n v="2.1"/>
    <n v="83.24"/>
    <n v="0.48"/>
    <n v="8"/>
    <n v="0.85"/>
    <n v="118"/>
    <n v="6.68"/>
    <n v="0.51"/>
    <d v="2024-10-05T00:00:00"/>
    <n v="134.35"/>
    <n v="0.55300000000000005"/>
    <n v="11070.92"/>
    <x v="0"/>
    <x v="1"/>
  </r>
  <r>
    <x v="614"/>
    <x v="4"/>
    <n v="276"/>
    <n v="87"/>
    <n v="7"/>
    <n v="8"/>
    <n v="27.04"/>
    <x v="54"/>
    <x v="0"/>
    <n v="42"/>
    <n v="4.95"/>
    <n v="140.04"/>
    <n v="0.59"/>
    <n v="7"/>
    <n v="0.79"/>
    <n v="630"/>
    <n v="2.75"/>
    <n v="0.75"/>
    <d v="2024-07-06T00:00:00"/>
    <n v="248.48"/>
    <n v="0.54600000000000004"/>
    <n v="38651.040000000001"/>
    <x v="0"/>
    <x v="0"/>
  </r>
  <r>
    <x v="615"/>
    <x v="2"/>
    <n v="77"/>
    <n v="88"/>
    <n v="6"/>
    <n v="7"/>
    <n v="15.83"/>
    <x v="83"/>
    <x v="3"/>
    <n v="79"/>
    <n v="4.8099999999999996"/>
    <n v="46.21"/>
    <n v="0.64"/>
    <n v="0"/>
    <n v="0.97"/>
    <n v="295"/>
    <n v="11.37"/>
    <n v="0.35"/>
    <d v="2024-10-04T00:00:00"/>
    <n v="92.26"/>
    <n v="0.752"/>
    <n v="3558.17"/>
    <x v="1"/>
    <x v="2"/>
  </r>
  <r>
    <x v="616"/>
    <x v="0"/>
    <n v="173"/>
    <n v="88"/>
    <n v="6"/>
    <n v="4"/>
    <n v="25.24"/>
    <x v="73"/>
    <x v="3"/>
    <n v="58"/>
    <n v="3.38"/>
    <n v="197.72"/>
    <n v="0.41"/>
    <n v="7"/>
    <n v="0.83"/>
    <n v="624"/>
    <n v="13.77"/>
    <n v="0.6"/>
    <d v="2024-01-22T00:00:00"/>
    <n v="177.7"/>
    <n v="0.68899999999999995"/>
    <n v="34205.56"/>
    <x v="0"/>
    <x v="1"/>
  </r>
  <r>
    <x v="617"/>
    <x v="3"/>
    <n v="384"/>
    <n v="79"/>
    <n v="14"/>
    <n v="5"/>
    <n v="7.47"/>
    <x v="18"/>
    <x v="2"/>
    <n v="113"/>
    <n v="2"/>
    <n v="121.91"/>
    <n v="1.71"/>
    <n v="8"/>
    <n v="0.96"/>
    <n v="286"/>
    <n v="6.1"/>
    <n v="0.79"/>
    <d v="2024-08-13T00:00:00"/>
    <n v="295.2"/>
    <n v="0.5"/>
    <n v="46813.440000000002"/>
    <x v="0"/>
    <x v="0"/>
  </r>
  <r>
    <x v="618"/>
    <x v="0"/>
    <n v="423"/>
    <n v="36"/>
    <n v="6"/>
    <n v="9"/>
    <n v="47.84"/>
    <x v="22"/>
    <x v="3"/>
    <n v="167"/>
    <n v="3.89"/>
    <n v="164.71"/>
    <n v="1.26"/>
    <n v="7"/>
    <n v="0.93"/>
    <n v="380"/>
    <n v="9.26"/>
    <n v="0.73"/>
    <d v="2024-10-06T00:00:00"/>
    <n v="60.58"/>
    <n v="0.58899999999999997"/>
    <n v="69672.33"/>
    <x v="0"/>
    <x v="0"/>
  </r>
  <r>
    <x v="619"/>
    <x v="0"/>
    <n v="135"/>
    <n v="24"/>
    <n v="13"/>
    <n v="3"/>
    <n v="40.22"/>
    <x v="63"/>
    <x v="0"/>
    <n v="111"/>
    <n v="1.72"/>
    <n v="87.39"/>
    <n v="1.69"/>
    <n v="9"/>
    <n v="0.94"/>
    <n v="412"/>
    <n v="10.63"/>
    <n v="0.78"/>
    <d v="2024-04-21T00:00:00"/>
    <n v="39.42"/>
    <n v="0.53700000000000003"/>
    <n v="11797.65"/>
    <x v="0"/>
    <x v="1"/>
  </r>
  <r>
    <x v="620"/>
    <x v="1"/>
    <n v="362"/>
    <n v="59"/>
    <n v="11"/>
    <n v="6"/>
    <n v="33.729999999999997"/>
    <x v="61"/>
    <x v="2"/>
    <n v="153"/>
    <n v="3.33"/>
    <n v="154.13"/>
    <n v="1.04"/>
    <n v="0"/>
    <n v="1"/>
    <n v="580"/>
    <n v="12.64"/>
    <n v="0.91"/>
    <d v="2024-08-05T00:00:00"/>
    <n v="240.72"/>
    <n v="0.84699999999999998"/>
    <n v="55795.06"/>
    <x v="0"/>
    <x v="0"/>
  </r>
  <r>
    <x v="621"/>
    <x v="3"/>
    <n v="285"/>
    <n v="45"/>
    <n v="6"/>
    <n v="2"/>
    <n v="27.37"/>
    <x v="92"/>
    <x v="3"/>
    <n v="115"/>
    <n v="0.61"/>
    <n v="83.6"/>
    <n v="1.0900000000000001"/>
    <n v="7"/>
    <n v="0.92"/>
    <n v="792"/>
    <n v="3.77"/>
    <n v="0.97"/>
    <d v="2024-02-22T00:00:00"/>
    <n v="17.23"/>
    <n v="0.57899999999999996"/>
    <n v="23826"/>
    <x v="0"/>
    <x v="0"/>
  </r>
  <r>
    <x v="622"/>
    <x v="0"/>
    <n v="334"/>
    <n v="17"/>
    <n v="14"/>
    <n v="4"/>
    <n v="39.82"/>
    <x v="92"/>
    <x v="3"/>
    <n v="91"/>
    <n v="3.33"/>
    <n v="122.1"/>
    <n v="1.27"/>
    <n v="4"/>
    <n v="0.71"/>
    <n v="514"/>
    <n v="8.98"/>
    <n v="0.56999999999999995"/>
    <d v="2024-11-30T00:00:00"/>
    <n v="196.54"/>
    <n v="0.56899999999999995"/>
    <n v="40781.4"/>
    <x v="0"/>
    <x v="0"/>
  </r>
  <r>
    <x v="623"/>
    <x v="0"/>
    <n v="222"/>
    <n v="88"/>
    <n v="11"/>
    <n v="2"/>
    <n v="25.24"/>
    <x v="9"/>
    <x v="2"/>
    <n v="95"/>
    <n v="4.78"/>
    <n v="157.85"/>
    <n v="0.8"/>
    <n v="8"/>
    <n v="0.76"/>
    <n v="278"/>
    <n v="11.37"/>
    <n v="0.25"/>
    <d v="2024-05-06T00:00:00"/>
    <n v="107.37"/>
    <n v="0.51400000000000001"/>
    <n v="35042.699999999997"/>
    <x v="0"/>
    <x v="1"/>
  </r>
  <r>
    <x v="624"/>
    <x v="3"/>
    <n v="60"/>
    <n v="12"/>
    <n v="12"/>
    <n v="6"/>
    <n v="15.7"/>
    <x v="15"/>
    <x v="2"/>
    <n v="23"/>
    <n v="1.56"/>
    <n v="32.130000000000003"/>
    <n v="1.04"/>
    <n v="8"/>
    <n v="0.71"/>
    <n v="919"/>
    <n v="3.79"/>
    <n v="0.87"/>
    <d v="2024-06-01T00:00:00"/>
    <n v="219.91"/>
    <n v="0.503"/>
    <n v="1927.8000000000002"/>
    <x v="0"/>
    <x v="2"/>
  </r>
  <r>
    <x v="625"/>
    <x v="3"/>
    <n v="124"/>
    <n v="71"/>
    <n v="8"/>
    <n v="4"/>
    <n v="8.86"/>
    <x v="74"/>
    <x v="3"/>
    <n v="174"/>
    <n v="4"/>
    <n v="77.790000000000006"/>
    <n v="1.1399999999999999"/>
    <n v="5"/>
    <n v="0.76"/>
    <n v="558"/>
    <n v="7.61"/>
    <n v="0.28999999999999998"/>
    <d v="2024-01-17T00:00:00"/>
    <n v="44.87"/>
    <n v="0.497"/>
    <n v="9645.9600000000009"/>
    <x v="0"/>
    <x v="1"/>
  </r>
  <r>
    <x v="626"/>
    <x v="0"/>
    <n v="408"/>
    <n v="56"/>
    <n v="12"/>
    <n v="9"/>
    <n v="32.729999999999997"/>
    <x v="91"/>
    <x v="1"/>
    <n v="58"/>
    <n v="1.82"/>
    <n v="113.54"/>
    <n v="1.91"/>
    <n v="2"/>
    <n v="0.72"/>
    <n v="431"/>
    <n v="7.5"/>
    <n v="0.38"/>
    <d v="2024-08-18T00:00:00"/>
    <n v="105.71"/>
    <n v="0.48899999999999999"/>
    <n v="46324.32"/>
    <x v="0"/>
    <x v="0"/>
  </r>
  <r>
    <x v="627"/>
    <x v="3"/>
    <n v="397"/>
    <n v="86"/>
    <n v="9"/>
    <n v="6"/>
    <n v="46.54"/>
    <x v="3"/>
    <x v="1"/>
    <n v="59"/>
    <n v="3.69"/>
    <n v="73.459999999999994"/>
    <n v="1.78"/>
    <n v="6"/>
    <n v="0.85"/>
    <n v="176"/>
    <n v="12.75"/>
    <n v="0.72"/>
    <d v="2024-05-14T00:00:00"/>
    <n v="14.94"/>
    <n v="0.58599999999999997"/>
    <n v="29163.62"/>
    <x v="0"/>
    <x v="0"/>
  </r>
  <r>
    <x v="628"/>
    <x v="0"/>
    <n v="212"/>
    <n v="97"/>
    <n v="14"/>
    <n v="5"/>
    <n v="8.5299999999999994"/>
    <x v="60"/>
    <x v="3"/>
    <n v="173"/>
    <n v="3.65"/>
    <n v="68.739999999999995"/>
    <n v="0.35"/>
    <n v="2"/>
    <n v="0.71"/>
    <n v="707"/>
    <n v="11.88"/>
    <n v="0.8"/>
    <d v="2024-06-27T00:00:00"/>
    <n v="78.180000000000007"/>
    <n v="0.78500000000000003"/>
    <n v="14572.88"/>
    <x v="0"/>
    <x v="1"/>
  </r>
  <r>
    <x v="629"/>
    <x v="0"/>
    <n v="420"/>
    <n v="70"/>
    <n v="12"/>
    <n v="8"/>
    <n v="9.82"/>
    <x v="51"/>
    <x v="3"/>
    <n v="32"/>
    <n v="1.33"/>
    <n v="63.52"/>
    <n v="0.18"/>
    <n v="6"/>
    <n v="0.84"/>
    <n v="931"/>
    <n v="4.25"/>
    <n v="0.76"/>
    <d v="2024-02-14T00:00:00"/>
    <n v="150.15"/>
    <n v="0.63900000000000001"/>
    <n v="26678.400000000001"/>
    <x v="0"/>
    <x v="0"/>
  </r>
  <r>
    <x v="630"/>
    <x v="1"/>
    <n v="297"/>
    <n v="41"/>
    <n v="5"/>
    <n v="5"/>
    <n v="22.25"/>
    <x v="41"/>
    <x v="2"/>
    <n v="75"/>
    <n v="3.19"/>
    <n v="53.28"/>
    <n v="1.39"/>
    <n v="7"/>
    <n v="0.97"/>
    <n v="890"/>
    <n v="4.26"/>
    <n v="0.55000000000000004"/>
    <d v="2024-08-12T00:00:00"/>
    <n v="61.51"/>
    <n v="0.48199999999999998"/>
    <n v="15824.16"/>
    <x v="0"/>
    <x v="0"/>
  </r>
  <r>
    <x v="631"/>
    <x v="4"/>
    <n v="373"/>
    <n v="22"/>
    <n v="10"/>
    <n v="9"/>
    <n v="40.54"/>
    <x v="98"/>
    <x v="2"/>
    <n v="124"/>
    <n v="4.37"/>
    <n v="171.29"/>
    <n v="0.19"/>
    <n v="4"/>
    <n v="0.92"/>
    <n v="163"/>
    <n v="11.13"/>
    <n v="0.93"/>
    <d v="2024-03-01T00:00:00"/>
    <n v="183.9"/>
    <n v="0.81899999999999995"/>
    <n v="63891.17"/>
    <x v="0"/>
    <x v="0"/>
  </r>
  <r>
    <x v="632"/>
    <x v="0"/>
    <n v="256"/>
    <n v="10"/>
    <n v="5"/>
    <n v="8"/>
    <n v="15.4"/>
    <x v="74"/>
    <x v="3"/>
    <n v="37"/>
    <n v="2.2200000000000002"/>
    <n v="185.5"/>
    <n v="0.21"/>
    <n v="4"/>
    <n v="0.98"/>
    <n v="292"/>
    <n v="11.35"/>
    <n v="0.87"/>
    <d v="2024-05-01T00:00:00"/>
    <n v="44.26"/>
    <n v="0.82"/>
    <n v="47488"/>
    <x v="0"/>
    <x v="0"/>
  </r>
  <r>
    <x v="633"/>
    <x v="2"/>
    <n v="444"/>
    <n v="43"/>
    <n v="3"/>
    <n v="5"/>
    <n v="13.44"/>
    <x v="51"/>
    <x v="3"/>
    <n v="29"/>
    <n v="3.7"/>
    <n v="143.03"/>
    <n v="0.4"/>
    <n v="3"/>
    <n v="0.77"/>
    <n v="194"/>
    <n v="3.5"/>
    <n v="0.73"/>
    <d v="2024-04-17T00:00:00"/>
    <n v="226.11"/>
    <n v="0.64700000000000002"/>
    <n v="63505.32"/>
    <x v="0"/>
    <x v="0"/>
  </r>
  <r>
    <x v="634"/>
    <x v="4"/>
    <n v="240"/>
    <n v="71"/>
    <n v="12"/>
    <n v="6"/>
    <n v="31.38"/>
    <x v="0"/>
    <x v="3"/>
    <n v="130"/>
    <n v="3.53"/>
    <n v="15.7"/>
    <n v="0.77"/>
    <n v="2"/>
    <n v="0.86"/>
    <n v="602"/>
    <n v="6.76"/>
    <n v="0.55000000000000004"/>
    <d v="2024-10-28T00:00:00"/>
    <n v="277.27999999999997"/>
    <n v="0.65500000000000003"/>
    <n v="3768"/>
    <x v="0"/>
    <x v="1"/>
  </r>
  <r>
    <x v="635"/>
    <x v="4"/>
    <n v="87"/>
    <n v="88"/>
    <n v="14"/>
    <n v="6"/>
    <n v="27.25"/>
    <x v="45"/>
    <x v="3"/>
    <n v="106"/>
    <n v="1.66"/>
    <n v="159.38"/>
    <n v="0.93"/>
    <n v="7"/>
    <n v="0.8"/>
    <n v="722"/>
    <n v="12.56"/>
    <n v="0.56999999999999995"/>
    <d v="2024-12-18T00:00:00"/>
    <n v="121.92"/>
    <n v="0.60799999999999998"/>
    <n v="13866.06"/>
    <x v="1"/>
    <x v="2"/>
  </r>
  <r>
    <x v="636"/>
    <x v="4"/>
    <n v="216"/>
    <n v="87"/>
    <n v="7"/>
    <n v="6"/>
    <n v="3.95"/>
    <x v="94"/>
    <x v="1"/>
    <n v="128"/>
    <n v="4.63"/>
    <n v="111.07"/>
    <n v="1.0900000000000001"/>
    <n v="5"/>
    <n v="0.85"/>
    <n v="488"/>
    <n v="2.11"/>
    <n v="0.34"/>
    <d v="2024-06-28T00:00:00"/>
    <n v="163.18"/>
    <n v="0.45700000000000002"/>
    <n v="23991.119999999999"/>
    <x v="0"/>
    <x v="1"/>
  </r>
  <r>
    <x v="637"/>
    <x v="1"/>
    <n v="275"/>
    <n v="91"/>
    <n v="4"/>
    <n v="2"/>
    <n v="4.99"/>
    <x v="11"/>
    <x v="2"/>
    <n v="118"/>
    <n v="3.04"/>
    <n v="154.04"/>
    <n v="1.99"/>
    <n v="5"/>
    <n v="0.87"/>
    <n v="387"/>
    <n v="6.23"/>
    <n v="0.82"/>
    <d v="2024-12-29T00:00:00"/>
    <n v="151.66999999999999"/>
    <n v="0.52200000000000002"/>
    <n v="42361"/>
    <x v="0"/>
    <x v="0"/>
  </r>
  <r>
    <x v="638"/>
    <x v="0"/>
    <n v="158"/>
    <n v="80"/>
    <n v="12"/>
    <n v="9"/>
    <n v="32.51"/>
    <x v="75"/>
    <x v="0"/>
    <n v="35"/>
    <n v="2.1"/>
    <n v="93.09"/>
    <n v="0.83"/>
    <n v="1"/>
    <n v="0.71"/>
    <n v="457"/>
    <n v="10.02"/>
    <n v="0.89"/>
    <d v="2024-11-08T00:00:00"/>
    <n v="237.76"/>
    <n v="0.751"/>
    <n v="14708.220000000001"/>
    <x v="0"/>
    <x v="1"/>
  </r>
  <r>
    <x v="639"/>
    <x v="1"/>
    <n v="331"/>
    <n v="40"/>
    <n v="8"/>
    <n v="6"/>
    <n v="23.79"/>
    <x v="89"/>
    <x v="3"/>
    <n v="156"/>
    <n v="1.24"/>
    <n v="17.84"/>
    <n v="0.56000000000000005"/>
    <n v="3"/>
    <n v="0.77"/>
    <n v="638"/>
    <n v="11.8"/>
    <n v="0.86"/>
    <d v="2024-11-19T00:00:00"/>
    <n v="298.32"/>
    <n v="0.76700000000000002"/>
    <n v="5905.04"/>
    <x v="0"/>
    <x v="0"/>
  </r>
  <r>
    <x v="640"/>
    <x v="0"/>
    <n v="454"/>
    <n v="73"/>
    <n v="12"/>
    <n v="5"/>
    <n v="48.58"/>
    <x v="9"/>
    <x v="3"/>
    <n v="115"/>
    <n v="2.63"/>
    <n v="139.53"/>
    <n v="1.19"/>
    <n v="4"/>
    <n v="0.91"/>
    <n v="217"/>
    <n v="10.14"/>
    <n v="0.64"/>
    <d v="2024-08-07T00:00:00"/>
    <n v="223.35"/>
    <n v="0.64600000000000002"/>
    <n v="63346.62"/>
    <x v="0"/>
    <x v="0"/>
  </r>
  <r>
    <x v="641"/>
    <x v="1"/>
    <n v="168"/>
    <n v="34"/>
    <n v="11"/>
    <n v="3"/>
    <n v="34.25"/>
    <x v="88"/>
    <x v="3"/>
    <n v="150"/>
    <n v="3.79"/>
    <n v="94.38"/>
    <n v="0.51"/>
    <n v="9"/>
    <n v="0.93"/>
    <n v="845"/>
    <n v="6.57"/>
    <n v="0.87"/>
    <d v="2024-03-25T00:00:00"/>
    <n v="72.209999999999994"/>
    <n v="0.61699999999999999"/>
    <n v="15855.84"/>
    <x v="0"/>
    <x v="1"/>
  </r>
  <r>
    <x v="642"/>
    <x v="1"/>
    <n v="118"/>
    <n v="47"/>
    <n v="3"/>
    <n v="9"/>
    <n v="1.49"/>
    <x v="6"/>
    <x v="0"/>
    <n v="71"/>
    <n v="3.31"/>
    <n v="176.07"/>
    <n v="1.89"/>
    <n v="4"/>
    <n v="0.87"/>
    <n v="671"/>
    <n v="14.89"/>
    <n v="0.83"/>
    <d v="2024-11-11T00:00:00"/>
    <n v="211.86"/>
    <n v="0.67"/>
    <n v="20776.259999999998"/>
    <x v="0"/>
    <x v="1"/>
  </r>
  <r>
    <x v="643"/>
    <x v="2"/>
    <n v="95"/>
    <n v="23"/>
    <n v="6"/>
    <n v="6"/>
    <n v="24.57"/>
    <x v="20"/>
    <x v="2"/>
    <n v="135"/>
    <n v="3.77"/>
    <n v="150.25"/>
    <n v="0.59"/>
    <n v="2"/>
    <n v="0.78"/>
    <n v="756"/>
    <n v="1.58"/>
    <n v="0.87"/>
    <d v="2024-03-12T00:00:00"/>
    <n v="188.57"/>
    <n v="0.65200000000000002"/>
    <n v="14273.75"/>
    <x v="0"/>
    <x v="2"/>
  </r>
  <r>
    <x v="644"/>
    <x v="1"/>
    <n v="301"/>
    <n v="17"/>
    <n v="3"/>
    <n v="3"/>
    <n v="21.31"/>
    <x v="71"/>
    <x v="2"/>
    <n v="151"/>
    <n v="4.0599999999999996"/>
    <n v="78.319999999999993"/>
    <n v="1.98"/>
    <n v="9"/>
    <n v="0.82"/>
    <n v="789"/>
    <n v="7.93"/>
    <n v="0.99"/>
    <d v="2024-04-15T00:00:00"/>
    <n v="70.930000000000007"/>
    <n v="0.49"/>
    <n v="23574.32"/>
    <x v="0"/>
    <x v="0"/>
  </r>
  <r>
    <x v="645"/>
    <x v="3"/>
    <n v="390"/>
    <n v="63"/>
    <n v="3"/>
    <n v="8"/>
    <n v="6.23"/>
    <x v="2"/>
    <x v="3"/>
    <n v="148"/>
    <n v="2.48"/>
    <n v="147.58000000000001"/>
    <n v="0.9"/>
    <n v="4"/>
    <n v="0.73"/>
    <n v="216"/>
    <n v="8.14"/>
    <n v="0.85"/>
    <d v="2024-04-15T00:00:00"/>
    <n v="79.88"/>
    <n v="0.65500000000000003"/>
    <n v="57556.200000000004"/>
    <x v="0"/>
    <x v="0"/>
  </r>
  <r>
    <x v="646"/>
    <x v="2"/>
    <n v="422"/>
    <n v="11"/>
    <n v="10"/>
    <n v="5"/>
    <n v="46.24"/>
    <x v="36"/>
    <x v="3"/>
    <n v="76"/>
    <n v="2.84"/>
    <n v="104.09"/>
    <n v="1.64"/>
    <n v="4"/>
    <n v="0.99"/>
    <n v="582"/>
    <n v="4.3600000000000003"/>
    <n v="0.42"/>
    <d v="2024-01-31T00:00:00"/>
    <n v="199.31"/>
    <n v="0.496"/>
    <n v="43925.98"/>
    <x v="0"/>
    <x v="0"/>
  </r>
  <r>
    <x v="647"/>
    <x v="1"/>
    <n v="128"/>
    <n v="90"/>
    <n v="13"/>
    <n v="6"/>
    <n v="40.450000000000003"/>
    <x v="5"/>
    <x v="2"/>
    <n v="21"/>
    <n v="4.9400000000000004"/>
    <n v="47.89"/>
    <n v="1.33"/>
    <n v="1"/>
    <n v="0.96"/>
    <n v="214"/>
    <n v="8.82"/>
    <n v="0.86"/>
    <d v="2024-10-18T00:00:00"/>
    <n v="244.27"/>
    <n v="0.72899999999999998"/>
    <n v="6129.92"/>
    <x v="0"/>
    <x v="1"/>
  </r>
  <r>
    <x v="648"/>
    <x v="4"/>
    <n v="207"/>
    <n v="87"/>
    <n v="4"/>
    <n v="2"/>
    <n v="12.27"/>
    <x v="91"/>
    <x v="0"/>
    <n v="44"/>
    <n v="4.8600000000000003"/>
    <n v="89.78"/>
    <n v="1.87"/>
    <n v="4"/>
    <n v="0.72"/>
    <n v="691"/>
    <n v="4.08"/>
    <n v="0.5"/>
    <d v="2024-06-28T00:00:00"/>
    <n v="231.1"/>
    <n v="0.43099999999999999"/>
    <n v="18584.46"/>
    <x v="0"/>
    <x v="1"/>
  </r>
  <r>
    <x v="649"/>
    <x v="3"/>
    <n v="218"/>
    <n v="98"/>
    <n v="3"/>
    <n v="2"/>
    <n v="13.54"/>
    <x v="99"/>
    <x v="3"/>
    <n v="119"/>
    <n v="2.37"/>
    <n v="52.29"/>
    <n v="1.29"/>
    <n v="2"/>
    <n v="0.75"/>
    <n v="311"/>
    <n v="7.21"/>
    <n v="0.61"/>
    <d v="2024-09-29T00:00:00"/>
    <n v="185.86"/>
    <n v="0.59899999999999998"/>
    <n v="11399.22"/>
    <x v="0"/>
    <x v="1"/>
  </r>
  <r>
    <x v="650"/>
    <x v="3"/>
    <n v="322"/>
    <n v="65"/>
    <n v="13"/>
    <n v="8"/>
    <n v="2.57"/>
    <x v="52"/>
    <x v="0"/>
    <n v="176"/>
    <n v="3.58"/>
    <n v="10.95"/>
    <n v="1.2"/>
    <n v="2"/>
    <n v="0.87"/>
    <n v="613"/>
    <n v="7.04"/>
    <n v="0.84"/>
    <d v="2024-05-23T00:00:00"/>
    <n v="281.89"/>
    <n v="0.67600000000000005"/>
    <n v="3525.8999999999996"/>
    <x v="0"/>
    <x v="0"/>
  </r>
  <r>
    <x v="651"/>
    <x v="3"/>
    <n v="346"/>
    <n v="93"/>
    <n v="10"/>
    <n v="3"/>
    <n v="15.54"/>
    <x v="59"/>
    <x v="0"/>
    <n v="169"/>
    <n v="1.7"/>
    <n v="56.89"/>
    <n v="1.34"/>
    <n v="4"/>
    <n v="0.77"/>
    <n v="310"/>
    <n v="11.82"/>
    <n v="0.45"/>
    <d v="2024-11-01T00:00:00"/>
    <n v="222"/>
    <n v="0.58799999999999997"/>
    <n v="19683.939999999999"/>
    <x v="0"/>
    <x v="0"/>
  </r>
  <r>
    <x v="652"/>
    <x v="2"/>
    <n v="173"/>
    <n v="94"/>
    <n v="6"/>
    <n v="7"/>
    <n v="29.65"/>
    <x v="38"/>
    <x v="2"/>
    <n v="23"/>
    <n v="1.19"/>
    <n v="49.81"/>
    <n v="1.59"/>
    <n v="8"/>
    <n v="0.98"/>
    <n v="224"/>
    <n v="14.2"/>
    <n v="0.22"/>
    <d v="2024-10-02T00:00:00"/>
    <n v="167.16"/>
    <n v="0.51"/>
    <n v="8617.130000000001"/>
    <x v="0"/>
    <x v="1"/>
  </r>
  <r>
    <x v="653"/>
    <x v="1"/>
    <n v="59"/>
    <n v="70"/>
    <n v="5"/>
    <n v="2"/>
    <n v="21.62"/>
    <x v="24"/>
    <x v="3"/>
    <n v="164"/>
    <n v="3.96"/>
    <n v="10.82"/>
    <n v="1.81"/>
    <n v="1"/>
    <n v="0.93"/>
    <n v="860"/>
    <n v="3.84"/>
    <n v="0.77"/>
    <d v="2024-03-27T00:00:00"/>
    <n v="246.7"/>
    <n v="0.59"/>
    <n v="638.38"/>
    <x v="1"/>
    <x v="2"/>
  </r>
  <r>
    <x v="654"/>
    <x v="1"/>
    <n v="152"/>
    <n v="31"/>
    <n v="14"/>
    <n v="9"/>
    <n v="48.49"/>
    <x v="44"/>
    <x v="1"/>
    <n v="110"/>
    <n v="2.46"/>
    <n v="158.94999999999999"/>
    <n v="0.61"/>
    <n v="8"/>
    <n v="0.78"/>
    <n v="145"/>
    <n v="14.88"/>
    <n v="0.92"/>
    <d v="2024-06-14T00:00:00"/>
    <n v="94.24"/>
    <n v="0.71699999999999997"/>
    <n v="24160.399999999998"/>
    <x v="0"/>
    <x v="1"/>
  </r>
  <r>
    <x v="655"/>
    <x v="4"/>
    <n v="424"/>
    <n v="44"/>
    <n v="6"/>
    <n v="2"/>
    <n v="3.75"/>
    <x v="47"/>
    <x v="2"/>
    <n v="69"/>
    <n v="1.3"/>
    <n v="24.63"/>
    <n v="0.48"/>
    <n v="2"/>
    <n v="0.7"/>
    <n v="406"/>
    <n v="14.16"/>
    <n v="0.94"/>
    <d v="2024-12-26T00:00:00"/>
    <n v="86.41"/>
    <n v="0.82899999999999996"/>
    <n v="10443.119999999999"/>
    <x v="0"/>
    <x v="0"/>
  </r>
  <r>
    <x v="656"/>
    <x v="4"/>
    <n v="481"/>
    <n v="25"/>
    <n v="13"/>
    <n v="2"/>
    <n v="29.98"/>
    <x v="48"/>
    <x v="2"/>
    <n v="52"/>
    <n v="3.91"/>
    <n v="95.32"/>
    <n v="0.17"/>
    <n v="6"/>
    <n v="0.94"/>
    <n v="419"/>
    <n v="2.58"/>
    <n v="0.84"/>
    <d v="2024-05-29T00:00:00"/>
    <n v="291.72000000000003"/>
    <n v="0.65300000000000002"/>
    <n v="45848.92"/>
    <x v="0"/>
    <x v="0"/>
  </r>
  <r>
    <x v="657"/>
    <x v="3"/>
    <n v="151"/>
    <n v="59"/>
    <n v="7"/>
    <n v="5"/>
    <n v="43.06"/>
    <x v="21"/>
    <x v="1"/>
    <n v="64"/>
    <n v="4.62"/>
    <n v="89.4"/>
    <n v="0.8"/>
    <n v="0"/>
    <n v="0.83"/>
    <n v="601"/>
    <n v="13.77"/>
    <n v="0.95"/>
    <d v="2024-05-28T00:00:00"/>
    <n v="285.45"/>
    <n v="0.86"/>
    <n v="13499.400000000001"/>
    <x v="0"/>
    <x v="1"/>
  </r>
  <r>
    <x v="658"/>
    <x v="4"/>
    <n v="298"/>
    <n v="52"/>
    <n v="3"/>
    <n v="2"/>
    <n v="24.56"/>
    <x v="23"/>
    <x v="3"/>
    <n v="118"/>
    <n v="4.7"/>
    <n v="44.47"/>
    <n v="1.71"/>
    <n v="0"/>
    <n v="0.89"/>
    <n v="956"/>
    <n v="8.9"/>
    <n v="0.86"/>
    <d v="2024-10-20T00:00:00"/>
    <n v="265.35000000000002"/>
    <n v="0.69799999999999995"/>
    <n v="13252.06"/>
    <x v="0"/>
    <x v="0"/>
  </r>
  <r>
    <x v="659"/>
    <x v="2"/>
    <n v="381"/>
    <n v="26"/>
    <n v="13"/>
    <n v="4"/>
    <n v="1.1499999999999999"/>
    <x v="78"/>
    <x v="0"/>
    <n v="102"/>
    <n v="3.18"/>
    <n v="193.71"/>
    <n v="0.23"/>
    <n v="7"/>
    <n v="0.79"/>
    <n v="770"/>
    <n v="13.31"/>
    <n v="0.22"/>
    <d v="2024-05-16T00:00:00"/>
    <n v="72.17"/>
    <n v="0.61599999999999999"/>
    <n v="73803.510000000009"/>
    <x v="0"/>
    <x v="0"/>
  </r>
  <r>
    <x v="660"/>
    <x v="1"/>
    <n v="103"/>
    <n v="89"/>
    <n v="3"/>
    <n v="6"/>
    <n v="12.9"/>
    <x v="69"/>
    <x v="0"/>
    <n v="172"/>
    <n v="2.66"/>
    <n v="124.71"/>
    <n v="1.1200000000000001"/>
    <n v="8"/>
    <n v="0.74"/>
    <n v="191"/>
    <n v="14.24"/>
    <n v="0.48"/>
    <d v="2024-09-20T00:00:00"/>
    <n v="180.43"/>
    <n v="0.56200000000000006"/>
    <n v="12845.13"/>
    <x v="0"/>
    <x v="1"/>
  </r>
  <r>
    <x v="661"/>
    <x v="3"/>
    <n v="418"/>
    <n v="67"/>
    <n v="5"/>
    <n v="8"/>
    <n v="16.86"/>
    <x v="67"/>
    <x v="0"/>
    <n v="104"/>
    <n v="1.1399999999999999"/>
    <n v="164.57"/>
    <n v="1.42"/>
    <n v="2"/>
    <n v="0.9"/>
    <n v="819"/>
    <n v="13.02"/>
    <n v="0.47"/>
    <d v="2024-12-13T00:00:00"/>
    <n v="165.16"/>
    <n v="0.66600000000000004"/>
    <n v="68790.259999999995"/>
    <x v="0"/>
    <x v="0"/>
  </r>
  <r>
    <x v="662"/>
    <x v="4"/>
    <n v="261"/>
    <n v="11"/>
    <n v="8"/>
    <n v="2"/>
    <n v="48.33"/>
    <x v="5"/>
    <x v="3"/>
    <n v="169"/>
    <n v="4.07"/>
    <n v="104.27"/>
    <n v="1.69"/>
    <n v="5"/>
    <n v="0.84"/>
    <n v="216"/>
    <n v="6.64"/>
    <n v="0.38"/>
    <d v="2024-02-18T00:00:00"/>
    <n v="68.900000000000006"/>
    <n v="0.46400000000000002"/>
    <n v="27214.469999999998"/>
    <x v="0"/>
    <x v="0"/>
  </r>
  <r>
    <x v="663"/>
    <x v="2"/>
    <n v="135"/>
    <n v="13"/>
    <n v="3"/>
    <n v="7"/>
    <n v="45.68"/>
    <x v="71"/>
    <x v="2"/>
    <n v="156"/>
    <n v="4.75"/>
    <n v="147.33000000000001"/>
    <n v="1.21"/>
    <n v="2"/>
    <n v="0.77"/>
    <n v="752"/>
    <n v="9.91"/>
    <n v="0.84"/>
    <d v="2024-03-10T00:00:00"/>
    <n v="139.86000000000001"/>
    <n v="0.69299999999999995"/>
    <n v="19889.550000000003"/>
    <x v="0"/>
    <x v="1"/>
  </r>
  <r>
    <x v="664"/>
    <x v="2"/>
    <n v="128"/>
    <n v="94"/>
    <n v="13"/>
    <n v="9"/>
    <n v="47.51"/>
    <x v="22"/>
    <x v="2"/>
    <n v="104"/>
    <n v="4.5"/>
    <n v="194.26"/>
    <n v="0.45"/>
    <n v="5"/>
    <n v="0.74"/>
    <n v="368"/>
    <n v="7.51"/>
    <n v="0.62"/>
    <d v="2024-07-29T00:00:00"/>
    <n v="144.88999999999999"/>
    <n v="0.627"/>
    <n v="24865.279999999999"/>
    <x v="0"/>
    <x v="1"/>
  </r>
  <r>
    <x v="665"/>
    <x v="4"/>
    <n v="240"/>
    <n v="48"/>
    <n v="14"/>
    <n v="7"/>
    <n v="41.46"/>
    <x v="62"/>
    <x v="2"/>
    <n v="176"/>
    <n v="3.88"/>
    <n v="76.2"/>
    <n v="1.93"/>
    <n v="6"/>
    <n v="0.87"/>
    <n v="680"/>
    <n v="6.13"/>
    <n v="0.87"/>
    <d v="2024-01-31T00:00:00"/>
    <n v="79.78"/>
    <n v="0.51700000000000002"/>
    <n v="18288"/>
    <x v="0"/>
    <x v="1"/>
  </r>
  <r>
    <x v="666"/>
    <x v="1"/>
    <n v="411"/>
    <n v="15"/>
    <n v="4"/>
    <n v="2"/>
    <n v="18.23"/>
    <x v="26"/>
    <x v="2"/>
    <n v="157"/>
    <n v="0.52"/>
    <n v="105.81"/>
    <n v="0.28000000000000003"/>
    <n v="4"/>
    <n v="0.92"/>
    <n v="707"/>
    <n v="4.51"/>
    <n v="0.68"/>
    <d v="2024-05-21T00:00:00"/>
    <n v="286.92"/>
    <n v="0.67200000000000004"/>
    <n v="43487.91"/>
    <x v="0"/>
    <x v="0"/>
  </r>
  <r>
    <x v="667"/>
    <x v="4"/>
    <n v="60"/>
    <n v="90"/>
    <n v="14"/>
    <n v="2"/>
    <n v="45.39"/>
    <x v="75"/>
    <x v="2"/>
    <n v="37"/>
    <n v="2.33"/>
    <n v="107.76"/>
    <n v="1.56"/>
    <n v="2"/>
    <n v="0.79"/>
    <n v="911"/>
    <n v="7.18"/>
    <n v="0.67"/>
    <d v="2024-12-01T00:00:00"/>
    <n v="152.88999999999999"/>
    <n v="0.59199999999999997"/>
    <n v="6465.6"/>
    <x v="1"/>
    <x v="2"/>
  </r>
  <r>
    <x v="668"/>
    <x v="3"/>
    <n v="387"/>
    <n v="98"/>
    <n v="9"/>
    <n v="4"/>
    <n v="49.1"/>
    <x v="52"/>
    <x v="1"/>
    <n v="12"/>
    <n v="2.35"/>
    <n v="198.48"/>
    <n v="0.26"/>
    <n v="7"/>
    <n v="0.92"/>
    <n v="384"/>
    <n v="12.28"/>
    <n v="0.51"/>
    <d v="2024-03-05T00:00:00"/>
    <n v="162.22"/>
    <n v="0.68400000000000005"/>
    <n v="76811.759999999995"/>
    <x v="0"/>
    <x v="0"/>
  </r>
  <r>
    <x v="669"/>
    <x v="4"/>
    <n v="166"/>
    <n v="78"/>
    <n v="3"/>
    <n v="2"/>
    <n v="18.149999999999999"/>
    <x v="8"/>
    <x v="0"/>
    <n v="169"/>
    <n v="4.5199999999999996"/>
    <n v="54.29"/>
    <n v="0.37"/>
    <n v="4"/>
    <n v="0.75"/>
    <n v="523"/>
    <n v="12.82"/>
    <n v="0.83"/>
    <d v="2024-12-25T00:00:00"/>
    <n v="183.59"/>
    <n v="0.77"/>
    <n v="9012.14"/>
    <x v="0"/>
    <x v="1"/>
  </r>
  <r>
    <x v="670"/>
    <x v="2"/>
    <n v="131"/>
    <n v="78"/>
    <n v="9"/>
    <n v="2"/>
    <n v="13.77"/>
    <x v="64"/>
    <x v="0"/>
    <n v="95"/>
    <n v="0.8"/>
    <n v="138.31"/>
    <n v="1.81"/>
    <n v="0"/>
    <n v="0.8"/>
    <n v="690"/>
    <n v="14.41"/>
    <n v="0.75"/>
    <d v="2024-03-08T00:00:00"/>
    <n v="267.22000000000003"/>
    <n v="0.72099999999999997"/>
    <n v="18118.61"/>
    <x v="0"/>
    <x v="1"/>
  </r>
  <r>
    <x v="671"/>
    <x v="4"/>
    <n v="122"/>
    <n v="29"/>
    <n v="6"/>
    <n v="6"/>
    <n v="27.8"/>
    <x v="13"/>
    <x v="3"/>
    <n v="117"/>
    <n v="2.89"/>
    <n v="36.26"/>
    <n v="1.53"/>
    <n v="8"/>
    <n v="0.92"/>
    <n v="194"/>
    <n v="5.07"/>
    <n v="0.47"/>
    <d v="2024-05-07T00:00:00"/>
    <n v="164.66"/>
    <n v="0.433"/>
    <n v="4423.7199999999993"/>
    <x v="0"/>
    <x v="1"/>
  </r>
  <r>
    <x v="672"/>
    <x v="1"/>
    <n v="65"/>
    <n v="73"/>
    <n v="12"/>
    <n v="7"/>
    <n v="10.17"/>
    <x v="6"/>
    <x v="1"/>
    <n v="179"/>
    <n v="1.1100000000000001"/>
    <n v="186.14"/>
    <n v="0.79"/>
    <n v="2"/>
    <n v="0.9"/>
    <n v="103"/>
    <n v="10.11"/>
    <n v="0.99"/>
    <d v="2024-03-15T00:00:00"/>
    <n v="166.88"/>
    <n v="0.79400000000000004"/>
    <n v="12099.099999999999"/>
    <x v="1"/>
    <x v="2"/>
  </r>
  <r>
    <x v="673"/>
    <x v="0"/>
    <n v="431"/>
    <n v="25"/>
    <n v="8"/>
    <n v="4"/>
    <n v="2.6"/>
    <x v="84"/>
    <x v="2"/>
    <n v="126"/>
    <n v="3.48"/>
    <n v="122.17"/>
    <n v="1.31"/>
    <n v="1"/>
    <n v="0.78"/>
    <n v="171"/>
    <n v="10.71"/>
    <n v="0.56999999999999995"/>
    <d v="2024-12-30T00:00:00"/>
    <n v="79.66"/>
    <n v="0.66200000000000003"/>
    <n v="52655.270000000004"/>
    <x v="0"/>
    <x v="0"/>
  </r>
  <r>
    <x v="674"/>
    <x v="4"/>
    <n v="494"/>
    <n v="60"/>
    <n v="10"/>
    <n v="7"/>
    <n v="47.35"/>
    <x v="23"/>
    <x v="2"/>
    <n v="117"/>
    <n v="4.07"/>
    <n v="173.29"/>
    <n v="0.97"/>
    <n v="2"/>
    <n v="0.74"/>
    <n v="173"/>
    <n v="3.68"/>
    <n v="0.45"/>
    <d v="2024-06-13T00:00:00"/>
    <n v="184.82"/>
    <n v="0.55000000000000004"/>
    <n v="85605.26"/>
    <x v="0"/>
    <x v="0"/>
  </r>
  <r>
    <x v="675"/>
    <x v="1"/>
    <n v="343"/>
    <n v="46"/>
    <n v="11"/>
    <n v="4"/>
    <n v="46.36"/>
    <x v="93"/>
    <x v="2"/>
    <n v="24"/>
    <n v="3.39"/>
    <n v="180.1"/>
    <n v="0.23"/>
    <n v="6"/>
    <n v="0.71"/>
    <n v="216"/>
    <n v="6.14"/>
    <n v="0.75"/>
    <d v="2024-05-06T00:00:00"/>
    <n v="120.53"/>
    <n v="0.63100000000000001"/>
    <n v="61774.299999999996"/>
    <x v="0"/>
    <x v="0"/>
  </r>
  <r>
    <x v="676"/>
    <x v="1"/>
    <n v="397"/>
    <n v="82"/>
    <n v="8"/>
    <n v="7"/>
    <n v="8.9700000000000006"/>
    <x v="61"/>
    <x v="1"/>
    <n v="71"/>
    <n v="4.08"/>
    <n v="115.85"/>
    <n v="1.47"/>
    <n v="9"/>
    <n v="0.95"/>
    <n v="993"/>
    <n v="5.79"/>
    <n v="0.38"/>
    <d v="2024-12-12T00:00:00"/>
    <n v="197.57"/>
    <n v="0.41599999999999998"/>
    <n v="45992.45"/>
    <x v="0"/>
    <x v="0"/>
  </r>
  <r>
    <x v="677"/>
    <x v="2"/>
    <n v="290"/>
    <n v="78"/>
    <n v="14"/>
    <n v="2"/>
    <n v="20.98"/>
    <x v="76"/>
    <x v="3"/>
    <n v="40"/>
    <n v="3.23"/>
    <n v="139.58000000000001"/>
    <n v="1.55"/>
    <n v="7"/>
    <n v="0.72"/>
    <n v="883"/>
    <n v="14.8"/>
    <n v="0.86"/>
    <d v="2024-07-20T00:00:00"/>
    <n v="97.22"/>
    <n v="0.61799999999999999"/>
    <n v="40478.200000000004"/>
    <x v="0"/>
    <x v="0"/>
  </r>
  <r>
    <x v="678"/>
    <x v="1"/>
    <n v="440"/>
    <n v="51"/>
    <n v="13"/>
    <n v="7"/>
    <n v="41.72"/>
    <x v="19"/>
    <x v="1"/>
    <n v="35"/>
    <n v="1.35"/>
    <n v="142.76"/>
    <n v="1.78"/>
    <n v="1"/>
    <n v="0.73"/>
    <n v="704"/>
    <n v="14.42"/>
    <n v="0.74"/>
    <d v="2024-09-07T00:00:00"/>
    <n v="217.56"/>
    <n v="0.68799999999999994"/>
    <n v="62814.399999999994"/>
    <x v="0"/>
    <x v="0"/>
  </r>
  <r>
    <x v="679"/>
    <x v="1"/>
    <n v="404"/>
    <n v="66"/>
    <n v="11"/>
    <n v="7"/>
    <n v="33.39"/>
    <x v="5"/>
    <x v="3"/>
    <n v="157"/>
    <n v="2.2200000000000002"/>
    <n v="97.49"/>
    <n v="1.1299999999999999"/>
    <n v="6"/>
    <n v="0.77"/>
    <n v="71"/>
    <n v="12.5"/>
    <n v="0.9"/>
    <d v="2024-03-13T00:00:00"/>
    <n v="189.48"/>
    <n v="0.66800000000000004"/>
    <n v="39385.96"/>
    <x v="0"/>
    <x v="0"/>
  </r>
  <r>
    <x v="680"/>
    <x v="1"/>
    <n v="214"/>
    <n v="75"/>
    <n v="6"/>
    <n v="4"/>
    <n v="20.34"/>
    <x v="40"/>
    <x v="0"/>
    <n v="75"/>
    <n v="4.8099999999999996"/>
    <n v="92.62"/>
    <n v="1.38"/>
    <n v="4"/>
    <n v="0.83"/>
    <n v="325"/>
    <n v="7.62"/>
    <n v="0.46"/>
    <d v="2024-10-22T00:00:00"/>
    <n v="147.6"/>
    <n v="0.54200000000000004"/>
    <n v="19820.68"/>
    <x v="0"/>
    <x v="1"/>
  </r>
  <r>
    <x v="681"/>
    <x v="1"/>
    <n v="386"/>
    <n v="18"/>
    <n v="8"/>
    <n v="8"/>
    <n v="37.46"/>
    <x v="38"/>
    <x v="3"/>
    <n v="158"/>
    <n v="1.8"/>
    <n v="45.38"/>
    <n v="0.93"/>
    <n v="8"/>
    <n v="0.94"/>
    <n v="910"/>
    <n v="4.7"/>
    <n v="0.88"/>
    <d v="2024-11-19T00:00:00"/>
    <n v="38.04"/>
    <n v="0.57399999999999995"/>
    <n v="17516.68"/>
    <x v="0"/>
    <x v="0"/>
  </r>
  <r>
    <x v="682"/>
    <x v="3"/>
    <n v="299"/>
    <n v="95"/>
    <n v="10"/>
    <n v="3"/>
    <n v="44.96"/>
    <x v="7"/>
    <x v="0"/>
    <n v="124"/>
    <n v="0.78"/>
    <n v="82.94"/>
    <n v="0.71"/>
    <n v="6"/>
    <n v="0.77"/>
    <n v="988"/>
    <n v="13.82"/>
    <n v="0.6"/>
    <d v="2024-05-17T00:00:00"/>
    <n v="191.82"/>
    <n v="0.66700000000000004"/>
    <n v="24799.059999999998"/>
    <x v="0"/>
    <x v="0"/>
  </r>
  <r>
    <x v="683"/>
    <x v="3"/>
    <n v="302"/>
    <n v="73"/>
    <n v="11"/>
    <n v="4"/>
    <n v="46.38"/>
    <x v="61"/>
    <x v="3"/>
    <n v="69"/>
    <n v="2.23"/>
    <n v="198.24"/>
    <n v="0.88"/>
    <n v="0"/>
    <n v="0.86"/>
    <n v="457"/>
    <n v="4.75"/>
    <n v="0.25"/>
    <d v="2024-11-17T00:00:00"/>
    <n v="259.19"/>
    <n v="0.59699999999999998"/>
    <n v="59868.480000000003"/>
    <x v="0"/>
    <x v="0"/>
  </r>
  <r>
    <x v="684"/>
    <x v="2"/>
    <n v="59"/>
    <n v="95"/>
    <n v="5"/>
    <n v="4"/>
    <n v="19.559999999999999"/>
    <x v="55"/>
    <x v="0"/>
    <n v="72"/>
    <n v="2.15"/>
    <n v="61.27"/>
    <n v="1.83"/>
    <n v="0"/>
    <n v="0.73"/>
    <n v="531"/>
    <n v="8.31"/>
    <n v="0.36"/>
    <d v="2024-07-31T00:00:00"/>
    <n v="59.61"/>
    <n v="0.54600000000000004"/>
    <n v="3614.9300000000003"/>
    <x v="1"/>
    <x v="2"/>
  </r>
  <r>
    <x v="685"/>
    <x v="4"/>
    <n v="466"/>
    <n v="31"/>
    <n v="4"/>
    <n v="4"/>
    <n v="9.5"/>
    <x v="79"/>
    <x v="0"/>
    <n v="110"/>
    <n v="2.62"/>
    <n v="154.86000000000001"/>
    <n v="0.41"/>
    <n v="5"/>
    <n v="0.84"/>
    <n v="348"/>
    <n v="4.43"/>
    <n v="0.37"/>
    <d v="2024-07-11T00:00:00"/>
    <n v="34.57"/>
    <n v="0.56000000000000005"/>
    <n v="72164.760000000009"/>
    <x v="0"/>
    <x v="0"/>
  </r>
  <r>
    <x v="686"/>
    <x v="1"/>
    <n v="208"/>
    <n v="43"/>
    <n v="8"/>
    <n v="5"/>
    <n v="45.73"/>
    <x v="19"/>
    <x v="2"/>
    <n v="176"/>
    <n v="3.02"/>
    <n v="21.28"/>
    <n v="0.56999999999999995"/>
    <n v="8"/>
    <n v="0.75"/>
    <n v="326"/>
    <n v="14.6"/>
    <n v="0.81"/>
    <d v="2024-08-19T00:00:00"/>
    <n v="21.47"/>
    <n v="0.69"/>
    <n v="4426.24"/>
    <x v="0"/>
    <x v="1"/>
  </r>
  <r>
    <x v="687"/>
    <x v="4"/>
    <n v="183"/>
    <n v="64"/>
    <n v="6"/>
    <n v="8"/>
    <n v="5.54"/>
    <x v="77"/>
    <x v="3"/>
    <n v="109"/>
    <n v="4.97"/>
    <n v="98.82"/>
    <n v="1.25"/>
    <n v="0"/>
    <n v="0.76"/>
    <n v="865"/>
    <n v="1.58"/>
    <n v="0.36"/>
    <d v="2024-02-08T00:00:00"/>
    <n v="19.23"/>
    <n v="0.52"/>
    <n v="18084.059999999998"/>
    <x v="0"/>
    <x v="1"/>
  </r>
  <r>
    <x v="688"/>
    <x v="4"/>
    <n v="496"/>
    <n v="38"/>
    <n v="3"/>
    <n v="5"/>
    <n v="36.36"/>
    <x v="66"/>
    <x v="2"/>
    <n v="148"/>
    <n v="3.9"/>
    <n v="21.1"/>
    <n v="0.32"/>
    <n v="2"/>
    <n v="0.81"/>
    <n v="371"/>
    <n v="3.44"/>
    <n v="0.65"/>
    <d v="2024-11-20T00:00:00"/>
    <n v="254.2"/>
    <n v="0.66600000000000004"/>
    <n v="10465.6"/>
    <x v="0"/>
    <x v="0"/>
  </r>
  <r>
    <x v="689"/>
    <x v="2"/>
    <n v="43"/>
    <n v="47"/>
    <n v="10"/>
    <n v="5"/>
    <n v="7.88"/>
    <x v="75"/>
    <x v="0"/>
    <n v="128"/>
    <n v="0.66"/>
    <n v="100.4"/>
    <n v="1.79"/>
    <n v="4"/>
    <n v="0.93"/>
    <n v="164"/>
    <n v="11.71"/>
    <n v="0.72"/>
    <d v="2024-02-17T00:00:00"/>
    <n v="221.01"/>
    <n v="0.627"/>
    <n v="4317.2"/>
    <x v="1"/>
    <x v="2"/>
  </r>
  <r>
    <x v="690"/>
    <x v="1"/>
    <n v="43"/>
    <n v="27"/>
    <n v="11"/>
    <n v="4"/>
    <n v="20.079999999999998"/>
    <x v="92"/>
    <x v="2"/>
    <n v="66"/>
    <n v="3.71"/>
    <n v="15.23"/>
    <n v="0.19"/>
    <n v="3"/>
    <n v="0.92"/>
    <n v="321"/>
    <n v="3.12"/>
    <n v="0.82"/>
    <d v="2024-07-25T00:00:00"/>
    <n v="68.67"/>
    <n v="0.71099999999999997"/>
    <n v="654.89"/>
    <x v="0"/>
    <x v="2"/>
  </r>
  <r>
    <x v="691"/>
    <x v="1"/>
    <n v="23"/>
    <n v="80"/>
    <n v="11"/>
    <n v="3"/>
    <n v="21.17"/>
    <x v="99"/>
    <x v="1"/>
    <n v="140"/>
    <n v="4.21"/>
    <n v="126.53"/>
    <n v="1.54"/>
    <n v="0"/>
    <n v="0.82"/>
    <n v="217"/>
    <n v="14.71"/>
    <n v="0.83"/>
    <d v="2024-09-20T00:00:00"/>
    <n v="275.95999999999998"/>
    <n v="0.77200000000000002"/>
    <n v="2910.19"/>
    <x v="1"/>
    <x v="2"/>
  </r>
  <r>
    <x v="692"/>
    <x v="0"/>
    <n v="342"/>
    <n v="74"/>
    <n v="4"/>
    <n v="4"/>
    <n v="8.7799999999999994"/>
    <x v="82"/>
    <x v="2"/>
    <n v="46"/>
    <n v="4.53"/>
    <n v="121.44"/>
    <n v="0.81"/>
    <n v="9"/>
    <n v="0.74"/>
    <n v="838"/>
    <n v="5.5"/>
    <n v="0.77"/>
    <d v="2024-05-22T00:00:00"/>
    <n v="49.25"/>
    <n v="0.51400000000000001"/>
    <n v="41532.479999999996"/>
    <x v="0"/>
    <x v="0"/>
  </r>
  <r>
    <x v="693"/>
    <x v="4"/>
    <n v="309"/>
    <n v="10"/>
    <n v="11"/>
    <n v="2"/>
    <n v="46.21"/>
    <x v="17"/>
    <x v="3"/>
    <n v="120"/>
    <n v="2.41"/>
    <n v="161.59"/>
    <n v="0.2"/>
    <n v="3"/>
    <n v="0.78"/>
    <n v="485"/>
    <n v="13.86"/>
    <n v="0.37"/>
    <d v="2024-12-21T00:00:00"/>
    <n v="118.51"/>
    <n v="0.73499999999999999"/>
    <n v="49931.31"/>
    <x v="0"/>
    <x v="0"/>
  </r>
  <r>
    <x v="694"/>
    <x v="4"/>
    <n v="460"/>
    <n v="97"/>
    <n v="9"/>
    <n v="3"/>
    <n v="1.1299999999999999"/>
    <x v="13"/>
    <x v="2"/>
    <n v="162"/>
    <n v="1.91"/>
    <n v="120.82"/>
    <n v="1.7"/>
    <n v="3"/>
    <n v="0.85"/>
    <n v="918"/>
    <n v="10.27"/>
    <n v="0.63"/>
    <d v="2024-07-07T00:00:00"/>
    <n v="141.11000000000001"/>
    <n v="0.60299999999999998"/>
    <n v="55577.2"/>
    <x v="0"/>
    <x v="0"/>
  </r>
  <r>
    <x v="695"/>
    <x v="3"/>
    <n v="452"/>
    <n v="13"/>
    <n v="7"/>
    <n v="5"/>
    <n v="44.8"/>
    <x v="42"/>
    <x v="1"/>
    <n v="158"/>
    <n v="4.28"/>
    <n v="185.94"/>
    <n v="1.32"/>
    <n v="9"/>
    <n v="0.96"/>
    <n v="313"/>
    <n v="9.8800000000000008"/>
    <n v="0.43"/>
    <d v="2024-08-20T00:00:00"/>
    <n v="32.01"/>
    <n v="0.498"/>
    <n v="84044.88"/>
    <x v="0"/>
    <x v="0"/>
  </r>
  <r>
    <x v="696"/>
    <x v="0"/>
    <n v="490"/>
    <n v="13"/>
    <n v="9"/>
    <n v="9"/>
    <n v="44.31"/>
    <x v="25"/>
    <x v="2"/>
    <n v="121"/>
    <n v="4"/>
    <n v="158.79"/>
    <n v="0.12"/>
    <n v="3"/>
    <n v="0.99"/>
    <n v="299"/>
    <n v="13.82"/>
    <n v="0.82"/>
    <d v="2024-09-06T00:00:00"/>
    <n v="110.77"/>
    <n v="0.874"/>
    <n v="77807.099999999991"/>
    <x v="0"/>
    <x v="0"/>
  </r>
  <r>
    <x v="697"/>
    <x v="3"/>
    <n v="200"/>
    <n v="91"/>
    <n v="11"/>
    <n v="7"/>
    <n v="16.53"/>
    <x v="28"/>
    <x v="0"/>
    <n v="179"/>
    <n v="2.91"/>
    <n v="35.200000000000003"/>
    <n v="0.61"/>
    <n v="2"/>
    <n v="0.89"/>
    <n v="511"/>
    <n v="8.19"/>
    <n v="0.8"/>
    <d v="2024-06-16T00:00:00"/>
    <n v="39.549999999999997"/>
    <n v="0.746"/>
    <n v="7040.0000000000009"/>
    <x v="0"/>
    <x v="1"/>
  </r>
  <r>
    <x v="698"/>
    <x v="3"/>
    <n v="267"/>
    <n v="36"/>
    <n v="10"/>
    <n v="7"/>
    <n v="35.51"/>
    <x v="72"/>
    <x v="0"/>
    <n v="10"/>
    <n v="1.03"/>
    <n v="60.44"/>
    <n v="0.77"/>
    <n v="6"/>
    <n v="0.81"/>
    <n v="927"/>
    <n v="6.61"/>
    <n v="0.38"/>
    <d v="2024-10-24T00:00:00"/>
    <n v="239.03"/>
    <n v="0.52900000000000003"/>
    <n v="16137.48"/>
    <x v="0"/>
    <x v="0"/>
  </r>
  <r>
    <x v="699"/>
    <x v="3"/>
    <n v="135"/>
    <n v="52"/>
    <n v="8"/>
    <n v="8"/>
    <n v="13.39"/>
    <x v="91"/>
    <x v="0"/>
    <n v="32"/>
    <n v="3.43"/>
    <n v="14.98"/>
    <n v="0.71"/>
    <n v="0"/>
    <n v="0.91"/>
    <n v="488"/>
    <n v="4.05"/>
    <n v="0.71"/>
    <d v="2024-01-02T00:00:00"/>
    <n v="23.58"/>
    <n v="0.70699999999999996"/>
    <n v="2022.3"/>
    <x v="0"/>
    <x v="1"/>
  </r>
  <r>
    <x v="700"/>
    <x v="2"/>
    <n v="298"/>
    <n v="68"/>
    <n v="6"/>
    <n v="9"/>
    <n v="38.18"/>
    <x v="25"/>
    <x v="3"/>
    <n v="116"/>
    <n v="0.8"/>
    <n v="83.37"/>
    <n v="1.05"/>
    <n v="1"/>
    <n v="0.8"/>
    <n v="816"/>
    <n v="3.02"/>
    <n v="0.25"/>
    <d v="2024-02-17T00:00:00"/>
    <n v="14.97"/>
    <n v="0.52500000000000002"/>
    <n v="24844.260000000002"/>
    <x v="0"/>
    <x v="0"/>
  </r>
  <r>
    <x v="701"/>
    <x v="2"/>
    <n v="384"/>
    <n v="41"/>
    <n v="3"/>
    <n v="6"/>
    <n v="28.49"/>
    <x v="35"/>
    <x v="2"/>
    <n v="122"/>
    <n v="0.95"/>
    <n v="106.81"/>
    <n v="1.1000000000000001"/>
    <n v="0"/>
    <n v="0.89"/>
    <n v="391"/>
    <n v="12.08"/>
    <n v="0.81"/>
    <d v="2024-08-22T00:00:00"/>
    <n v="222.42"/>
    <n v="0.79100000000000004"/>
    <n v="41015.040000000001"/>
    <x v="0"/>
    <x v="0"/>
  </r>
  <r>
    <x v="702"/>
    <x v="3"/>
    <n v="88"/>
    <n v="42"/>
    <n v="8"/>
    <n v="8"/>
    <n v="15.71"/>
    <x v="75"/>
    <x v="0"/>
    <n v="161"/>
    <n v="1.99"/>
    <n v="189.73"/>
    <n v="0.85"/>
    <n v="3"/>
    <n v="0.77"/>
    <n v="515"/>
    <n v="2.79"/>
    <n v="0.82"/>
    <d v="2024-11-21T00:00:00"/>
    <n v="236.45"/>
    <n v="0.61"/>
    <n v="16696.239999999998"/>
    <x v="0"/>
    <x v="2"/>
  </r>
  <r>
    <x v="703"/>
    <x v="0"/>
    <n v="370"/>
    <n v="37"/>
    <n v="5"/>
    <n v="3"/>
    <n v="20.61"/>
    <x v="5"/>
    <x v="2"/>
    <n v="98"/>
    <n v="2.17"/>
    <n v="109.23"/>
    <n v="0.73"/>
    <n v="4"/>
    <n v="0.78"/>
    <n v="107"/>
    <n v="6.52"/>
    <n v="0.48"/>
    <d v="2024-12-06T00:00:00"/>
    <n v="153.72999999999999"/>
    <n v="0.58599999999999997"/>
    <n v="40415.1"/>
    <x v="0"/>
    <x v="0"/>
  </r>
  <r>
    <x v="704"/>
    <x v="4"/>
    <n v="273"/>
    <n v="64"/>
    <n v="8"/>
    <n v="5"/>
    <n v="34.799999999999997"/>
    <x v="0"/>
    <x v="1"/>
    <n v="144"/>
    <n v="2.58"/>
    <n v="158.4"/>
    <n v="1.06"/>
    <n v="9"/>
    <n v="0.72"/>
    <n v="54"/>
    <n v="6.73"/>
    <n v="0.85"/>
    <d v="2024-12-23T00:00:00"/>
    <n v="102.18"/>
    <n v="0.51800000000000002"/>
    <n v="43243.200000000004"/>
    <x v="0"/>
    <x v="0"/>
  </r>
  <r>
    <x v="705"/>
    <x v="0"/>
    <n v="200"/>
    <n v="69"/>
    <n v="8"/>
    <n v="3"/>
    <n v="45.4"/>
    <x v="4"/>
    <x v="1"/>
    <n v="47"/>
    <n v="2.0299999999999998"/>
    <n v="60.92"/>
    <n v="0.16"/>
    <n v="4"/>
    <n v="0.83"/>
    <n v="987"/>
    <n v="10.3"/>
    <n v="0.89"/>
    <d v="2024-07-02T00:00:00"/>
    <n v="78.569999999999993"/>
    <n v="0.78500000000000003"/>
    <n v="12184"/>
    <x v="0"/>
    <x v="1"/>
  </r>
  <r>
    <x v="706"/>
    <x v="1"/>
    <n v="337"/>
    <n v="79"/>
    <n v="6"/>
    <n v="3"/>
    <n v="7.41"/>
    <x v="52"/>
    <x v="3"/>
    <n v="56"/>
    <n v="0.65"/>
    <n v="39.1"/>
    <n v="1.33"/>
    <n v="1"/>
    <n v="0.89"/>
    <n v="672"/>
    <n v="4.9000000000000004"/>
    <n v="0.35"/>
    <d v="2024-02-02T00:00:00"/>
    <n v="43.94"/>
    <n v="0.56000000000000005"/>
    <n v="13176.7"/>
    <x v="0"/>
    <x v="0"/>
  </r>
  <r>
    <x v="707"/>
    <x v="2"/>
    <n v="188"/>
    <n v="71"/>
    <n v="4"/>
    <n v="7"/>
    <n v="29"/>
    <x v="64"/>
    <x v="2"/>
    <n v="112"/>
    <n v="1.21"/>
    <n v="164.06"/>
    <n v="1.25"/>
    <n v="2"/>
    <n v="0.94"/>
    <n v="926"/>
    <n v="12.74"/>
    <n v="0.48"/>
    <d v="2024-09-30T00:00:00"/>
    <n v="150.43"/>
    <n v="0.68899999999999995"/>
    <n v="30843.279999999999"/>
    <x v="0"/>
    <x v="1"/>
  </r>
  <r>
    <x v="708"/>
    <x v="4"/>
    <n v="332"/>
    <n v="89"/>
    <n v="11"/>
    <n v="4"/>
    <n v="13.43"/>
    <x v="93"/>
    <x v="1"/>
    <n v="172"/>
    <n v="1.02"/>
    <n v="57.01"/>
    <n v="0.63"/>
    <n v="3"/>
    <n v="0.94"/>
    <n v="847"/>
    <n v="3.9"/>
    <n v="0.41"/>
    <d v="2024-07-22T00:00:00"/>
    <n v="152.41999999999999"/>
    <n v="0.59899999999999998"/>
    <n v="18927.32"/>
    <x v="0"/>
    <x v="0"/>
  </r>
  <r>
    <x v="709"/>
    <x v="4"/>
    <n v="268"/>
    <n v="43"/>
    <n v="4"/>
    <n v="2"/>
    <n v="40.270000000000003"/>
    <x v="86"/>
    <x v="3"/>
    <n v="71"/>
    <n v="2.44"/>
    <n v="175.55"/>
    <n v="0.44"/>
    <n v="9"/>
    <n v="1"/>
    <n v="912"/>
    <n v="12.05"/>
    <n v="0.5"/>
    <d v="2024-04-21T00:00:00"/>
    <n v="142.22999999999999"/>
    <n v="0.63700000000000001"/>
    <n v="47047.4"/>
    <x v="0"/>
    <x v="0"/>
  </r>
  <r>
    <x v="710"/>
    <x v="1"/>
    <n v="207"/>
    <n v="96"/>
    <n v="5"/>
    <n v="6"/>
    <n v="4.4400000000000004"/>
    <x v="44"/>
    <x v="3"/>
    <n v="82"/>
    <n v="1.45"/>
    <n v="42.27"/>
    <n v="0.24"/>
    <n v="5"/>
    <n v="0.73"/>
    <n v="314"/>
    <n v="12.9"/>
    <n v="0.56000000000000005"/>
    <d v="2024-08-07T00:00:00"/>
    <n v="235.7"/>
    <n v="0.70599999999999996"/>
    <n v="8749.8900000000012"/>
    <x v="0"/>
    <x v="1"/>
  </r>
  <r>
    <x v="711"/>
    <x v="1"/>
    <n v="73"/>
    <n v="97"/>
    <n v="12"/>
    <n v="5"/>
    <n v="34.76"/>
    <x v="89"/>
    <x v="0"/>
    <n v="12"/>
    <n v="1.82"/>
    <n v="171.8"/>
    <n v="1.22"/>
    <n v="5"/>
    <n v="0.85"/>
    <n v="298"/>
    <n v="3.7"/>
    <n v="0.61"/>
    <d v="2024-04-18T00:00:00"/>
    <n v="38.94"/>
    <n v="0.51900000000000002"/>
    <n v="12541.400000000001"/>
    <x v="1"/>
    <x v="2"/>
  </r>
  <r>
    <x v="712"/>
    <x v="3"/>
    <n v="345"/>
    <n v="65"/>
    <n v="3"/>
    <n v="3"/>
    <n v="9.57"/>
    <x v="4"/>
    <x v="1"/>
    <n v="111"/>
    <n v="2.62"/>
    <n v="156.84"/>
    <n v="1.18"/>
    <n v="1"/>
    <n v="0.86"/>
    <n v="144"/>
    <n v="12.33"/>
    <n v="0.23"/>
    <d v="2024-09-10T00:00:00"/>
    <n v="204.3"/>
    <n v="0.64400000000000002"/>
    <n v="54109.8"/>
    <x v="0"/>
    <x v="0"/>
  </r>
  <r>
    <x v="713"/>
    <x v="2"/>
    <n v="376"/>
    <n v="22"/>
    <n v="9"/>
    <n v="6"/>
    <n v="30.22"/>
    <x v="92"/>
    <x v="2"/>
    <n v="157"/>
    <n v="1.56"/>
    <n v="126.13"/>
    <n v="1.1100000000000001"/>
    <n v="1"/>
    <n v="0.94"/>
    <n v="912"/>
    <n v="10.99"/>
    <n v="0.24"/>
    <d v="2024-05-17T00:00:00"/>
    <n v="126.45"/>
    <n v="0.65200000000000002"/>
    <n v="47424.88"/>
    <x v="0"/>
    <x v="0"/>
  </r>
  <r>
    <x v="714"/>
    <x v="2"/>
    <n v="332"/>
    <n v="65"/>
    <n v="3"/>
    <n v="3"/>
    <n v="41.95"/>
    <x v="59"/>
    <x v="1"/>
    <n v="114"/>
    <n v="1.61"/>
    <n v="171.54"/>
    <n v="1.97"/>
    <n v="8"/>
    <n v="0.78"/>
    <n v="858"/>
    <n v="13.24"/>
    <n v="0.72"/>
    <d v="2024-06-14T00:00:00"/>
    <n v="79.88"/>
    <n v="0.52"/>
    <n v="56951.28"/>
    <x v="0"/>
    <x v="0"/>
  </r>
  <r>
    <x v="715"/>
    <x v="0"/>
    <n v="157"/>
    <n v="27"/>
    <n v="13"/>
    <n v="9"/>
    <n v="38"/>
    <x v="21"/>
    <x v="1"/>
    <n v="53"/>
    <n v="4.25"/>
    <n v="72.83"/>
    <n v="1.1100000000000001"/>
    <n v="1"/>
    <n v="0.72"/>
    <n v="868"/>
    <n v="8.14"/>
    <n v="0.55000000000000004"/>
    <d v="2024-05-25T00:00:00"/>
    <n v="207.66"/>
    <n v="0.63200000000000001"/>
    <n v="11434.31"/>
    <x v="0"/>
    <x v="1"/>
  </r>
  <r>
    <x v="716"/>
    <x v="3"/>
    <n v="187"/>
    <n v="63"/>
    <n v="11"/>
    <n v="7"/>
    <n v="37.89"/>
    <x v="98"/>
    <x v="2"/>
    <n v="169"/>
    <n v="2.97"/>
    <n v="41.55"/>
    <n v="1.47"/>
    <n v="1"/>
    <n v="0.79"/>
    <n v="746"/>
    <n v="4.2699999999999996"/>
    <n v="0.27"/>
    <d v="2024-06-21T00:00:00"/>
    <n v="67.33"/>
    <n v="0.502"/>
    <n v="7769.8499999999995"/>
    <x v="0"/>
    <x v="1"/>
  </r>
  <r>
    <x v="717"/>
    <x v="3"/>
    <n v="410"/>
    <n v="86"/>
    <n v="13"/>
    <n v="2"/>
    <n v="26.37"/>
    <x v="89"/>
    <x v="2"/>
    <n v="109"/>
    <n v="4.3600000000000003"/>
    <n v="39.840000000000003"/>
    <n v="0.31"/>
    <n v="2"/>
    <n v="1"/>
    <n v="506"/>
    <n v="13.77"/>
    <n v="0.51"/>
    <d v="2024-10-07T00:00:00"/>
    <n v="76.97"/>
    <n v="0.81499999999999995"/>
    <n v="16334.400000000001"/>
    <x v="0"/>
    <x v="0"/>
  </r>
  <r>
    <x v="718"/>
    <x v="3"/>
    <n v="122"/>
    <n v="52"/>
    <n v="13"/>
    <n v="7"/>
    <n v="44.65"/>
    <x v="56"/>
    <x v="0"/>
    <n v="35"/>
    <n v="2.82"/>
    <n v="61.37"/>
    <n v="0.67"/>
    <n v="8"/>
    <n v="0.97"/>
    <n v="790"/>
    <n v="12.06"/>
    <n v="0.57999999999999996"/>
    <d v="2024-10-22T00:00:00"/>
    <n v="299.58"/>
    <n v="0.64400000000000002"/>
    <n v="7487.1399999999994"/>
    <x v="0"/>
    <x v="1"/>
  </r>
  <r>
    <x v="719"/>
    <x v="3"/>
    <n v="441"/>
    <n v="48"/>
    <n v="3"/>
    <n v="6"/>
    <n v="29.82"/>
    <x v="94"/>
    <x v="3"/>
    <n v="57"/>
    <n v="4.59"/>
    <n v="94.78"/>
    <n v="0.62"/>
    <n v="5"/>
    <n v="0.82"/>
    <n v="366"/>
    <n v="1.29"/>
    <n v="0.71"/>
    <d v="2024-03-07T00:00:00"/>
    <n v="267.70999999999998"/>
    <n v="0.56100000000000005"/>
    <n v="41797.980000000003"/>
    <x v="0"/>
    <x v="0"/>
  </r>
  <r>
    <x v="720"/>
    <x v="2"/>
    <n v="104"/>
    <n v="70"/>
    <n v="7"/>
    <n v="5"/>
    <n v="45.96"/>
    <x v="66"/>
    <x v="2"/>
    <n v="14"/>
    <n v="1.65"/>
    <n v="176.44"/>
    <n v="1.19"/>
    <n v="5"/>
    <n v="0.96"/>
    <n v="823"/>
    <n v="14.15"/>
    <n v="0.28999999999999998"/>
    <d v="2024-10-16T00:00:00"/>
    <n v="212.17"/>
    <n v="0.62"/>
    <n v="18349.759999999998"/>
    <x v="0"/>
    <x v="1"/>
  </r>
  <r>
    <x v="721"/>
    <x v="2"/>
    <n v="336"/>
    <n v="51"/>
    <n v="9"/>
    <n v="3"/>
    <n v="27.78"/>
    <x v="10"/>
    <x v="2"/>
    <n v="68"/>
    <n v="3.28"/>
    <n v="27.01"/>
    <n v="0.73"/>
    <n v="9"/>
    <n v="0.71"/>
    <n v="168"/>
    <n v="14.28"/>
    <n v="1"/>
    <d v="2024-09-05T00:00:00"/>
    <n v="101.57"/>
    <n v="0.67900000000000005"/>
    <n v="9075.36"/>
    <x v="0"/>
    <x v="0"/>
  </r>
  <r>
    <x v="722"/>
    <x v="3"/>
    <n v="231"/>
    <n v="90"/>
    <n v="5"/>
    <n v="2"/>
    <n v="25.79"/>
    <x v="41"/>
    <x v="1"/>
    <n v="70"/>
    <n v="2.76"/>
    <n v="183.9"/>
    <n v="1.32"/>
    <n v="4"/>
    <n v="0.79"/>
    <n v="795"/>
    <n v="5.97"/>
    <n v="0.57999999999999996"/>
    <d v="2024-06-24T00:00:00"/>
    <n v="165.65"/>
    <n v="0.54200000000000004"/>
    <n v="42480.9"/>
    <x v="0"/>
    <x v="1"/>
  </r>
  <r>
    <x v="723"/>
    <x v="0"/>
    <n v="22"/>
    <n v="88"/>
    <n v="11"/>
    <n v="9"/>
    <n v="11.9"/>
    <x v="7"/>
    <x v="2"/>
    <n v="58"/>
    <n v="4.63"/>
    <n v="185.84"/>
    <n v="1.41"/>
    <n v="6"/>
    <n v="0.92"/>
    <n v="843"/>
    <n v="1.1399999999999999"/>
    <n v="0.74"/>
    <d v="2024-12-15T00:00:00"/>
    <n v="46.72"/>
    <n v="0.48599999999999999"/>
    <n v="4088.48"/>
    <x v="1"/>
    <x v="2"/>
  </r>
  <r>
    <x v="724"/>
    <x v="4"/>
    <n v="403"/>
    <n v="27"/>
    <n v="10"/>
    <n v="7"/>
    <n v="27.69"/>
    <x v="30"/>
    <x v="2"/>
    <n v="167"/>
    <n v="2.38"/>
    <n v="148.16999999999999"/>
    <n v="0.16"/>
    <n v="3"/>
    <n v="0.77"/>
    <n v="251"/>
    <n v="8.74"/>
    <n v="0.93"/>
    <d v="2024-01-25T00:00:00"/>
    <n v="106.85"/>
    <n v="0.78100000000000003"/>
    <n v="59712.509999999995"/>
    <x v="0"/>
    <x v="0"/>
  </r>
  <r>
    <x v="725"/>
    <x v="4"/>
    <n v="198"/>
    <n v="32"/>
    <n v="5"/>
    <n v="9"/>
    <n v="7.89"/>
    <x v="16"/>
    <x v="1"/>
    <n v="154"/>
    <n v="4.3499999999999996"/>
    <n v="181.05"/>
    <n v="1.32"/>
    <n v="9"/>
    <n v="0.76"/>
    <n v="823"/>
    <n v="13.79"/>
    <n v="0.23"/>
    <d v="2024-01-24T00:00:00"/>
    <n v="29.71"/>
    <n v="0.47"/>
    <n v="35847.9"/>
    <x v="0"/>
    <x v="1"/>
  </r>
  <r>
    <x v="726"/>
    <x v="0"/>
    <n v="361"/>
    <n v="63"/>
    <n v="7"/>
    <n v="6"/>
    <n v="43.61"/>
    <x v="78"/>
    <x v="1"/>
    <n v="79"/>
    <n v="3.04"/>
    <n v="156.30000000000001"/>
    <n v="0.32"/>
    <n v="9"/>
    <n v="0.96"/>
    <n v="102"/>
    <n v="2.74"/>
    <n v="0.68"/>
    <d v="2024-02-20T00:00:00"/>
    <n v="186.99"/>
    <n v="0.55300000000000005"/>
    <n v="56424.3"/>
    <x v="0"/>
    <x v="0"/>
  </r>
  <r>
    <x v="727"/>
    <x v="3"/>
    <n v="322"/>
    <n v="39"/>
    <n v="9"/>
    <n v="7"/>
    <n v="34.119999999999997"/>
    <x v="62"/>
    <x v="1"/>
    <n v="24"/>
    <n v="3.69"/>
    <n v="110.38"/>
    <n v="0.98"/>
    <n v="2"/>
    <n v="0.88"/>
    <n v="366"/>
    <n v="9.27"/>
    <n v="0.63"/>
    <d v="2024-11-16T00:00:00"/>
    <n v="258.67"/>
    <n v="0.68799999999999994"/>
    <n v="35542.36"/>
    <x v="0"/>
    <x v="0"/>
  </r>
  <r>
    <x v="728"/>
    <x v="2"/>
    <n v="471"/>
    <n v="67"/>
    <n v="14"/>
    <n v="3"/>
    <n v="49.69"/>
    <x v="30"/>
    <x v="0"/>
    <n v="10"/>
    <n v="4.49"/>
    <n v="124.14"/>
    <n v="1.48"/>
    <n v="6"/>
    <n v="1"/>
    <n v="722"/>
    <n v="11.24"/>
    <n v="0.25"/>
    <d v="2024-08-23T00:00:00"/>
    <n v="244.77"/>
    <n v="0.53200000000000003"/>
    <n v="58469.94"/>
    <x v="0"/>
    <x v="0"/>
  </r>
  <r>
    <x v="729"/>
    <x v="4"/>
    <n v="495"/>
    <n v="77"/>
    <n v="6"/>
    <n v="3"/>
    <n v="5.51"/>
    <x v="49"/>
    <x v="3"/>
    <n v="150"/>
    <n v="4.99"/>
    <n v="129.36000000000001"/>
    <n v="1.44"/>
    <n v="9"/>
    <n v="0.74"/>
    <n v="293"/>
    <n v="2.89"/>
    <n v="0.75"/>
    <d v="2024-01-09T00:00:00"/>
    <n v="258.26"/>
    <n v="0.41299999999999998"/>
    <n v="64033.200000000004"/>
    <x v="0"/>
    <x v="0"/>
  </r>
  <r>
    <x v="730"/>
    <x v="1"/>
    <n v="351"/>
    <n v="76"/>
    <n v="7"/>
    <n v="9"/>
    <n v="12.79"/>
    <x v="15"/>
    <x v="2"/>
    <n v="137"/>
    <n v="3.79"/>
    <n v="34.11"/>
    <n v="0.67"/>
    <n v="0"/>
    <n v="0.81"/>
    <n v="990"/>
    <n v="8.19"/>
    <n v="0.38"/>
    <d v="2024-03-04T00:00:00"/>
    <n v="60.63"/>
    <n v="0.68"/>
    <n v="11972.61"/>
    <x v="0"/>
    <x v="0"/>
  </r>
  <r>
    <x v="731"/>
    <x v="1"/>
    <n v="57"/>
    <n v="80"/>
    <n v="5"/>
    <n v="5"/>
    <n v="43.98"/>
    <x v="50"/>
    <x v="1"/>
    <n v="171"/>
    <n v="1.92"/>
    <n v="46.68"/>
    <n v="0.62"/>
    <n v="5"/>
    <n v="0.79"/>
    <n v="143"/>
    <n v="2.2400000000000002"/>
    <n v="0.76"/>
    <d v="2024-03-21T00:00:00"/>
    <n v="198.52"/>
    <n v="0.57799999999999996"/>
    <n v="2660.7599999999998"/>
    <x v="1"/>
    <x v="2"/>
  </r>
  <r>
    <x v="732"/>
    <x v="0"/>
    <n v="439"/>
    <n v="27"/>
    <n v="11"/>
    <n v="2"/>
    <n v="20.37"/>
    <x v="24"/>
    <x v="1"/>
    <n v="134"/>
    <n v="1.85"/>
    <n v="109.44"/>
    <n v="0.94"/>
    <n v="1"/>
    <n v="0.96"/>
    <n v="601"/>
    <n v="8.81"/>
    <n v="0.49"/>
    <d v="2024-08-13T00:00:00"/>
    <n v="287.45999999999998"/>
    <n v="0.69299999999999995"/>
    <n v="48044.159999999996"/>
    <x v="0"/>
    <x v="0"/>
  </r>
  <r>
    <x v="733"/>
    <x v="3"/>
    <n v="258"/>
    <n v="16"/>
    <n v="12"/>
    <n v="4"/>
    <n v="23.85"/>
    <x v="95"/>
    <x v="3"/>
    <n v="167"/>
    <n v="1.89"/>
    <n v="31.89"/>
    <n v="0.46"/>
    <n v="1"/>
    <n v="0.78"/>
    <n v="329"/>
    <n v="7.19"/>
    <n v="0.82"/>
    <d v="2024-08-21T00:00:00"/>
    <n v="237.14"/>
    <n v="0.75"/>
    <n v="8227.6200000000008"/>
    <x v="0"/>
    <x v="0"/>
  </r>
  <r>
    <x v="734"/>
    <x v="4"/>
    <n v="188"/>
    <n v="49"/>
    <n v="11"/>
    <n v="7"/>
    <n v="43.17"/>
    <x v="94"/>
    <x v="0"/>
    <n v="28"/>
    <n v="0.94"/>
    <n v="193.35"/>
    <n v="1.95"/>
    <n v="7"/>
    <n v="0.81"/>
    <n v="141"/>
    <n v="4.71"/>
    <n v="0.95"/>
    <d v="2024-01-01T00:00:00"/>
    <n v="10.98"/>
    <n v="0.48"/>
    <n v="36349.799999999996"/>
    <x v="0"/>
    <x v="1"/>
  </r>
  <r>
    <x v="735"/>
    <x v="3"/>
    <n v="472"/>
    <n v="79"/>
    <n v="9"/>
    <n v="3"/>
    <n v="26.57"/>
    <x v="10"/>
    <x v="2"/>
    <n v="128"/>
    <n v="0.74"/>
    <n v="106.35"/>
    <n v="0.76"/>
    <n v="2"/>
    <n v="0.74"/>
    <n v="862"/>
    <n v="12.94"/>
    <n v="0.89"/>
    <d v="2024-08-07T00:00:00"/>
    <n v="265.87"/>
    <n v="0.78300000000000003"/>
    <n v="50197.2"/>
    <x v="0"/>
    <x v="0"/>
  </r>
  <r>
    <x v="736"/>
    <x v="4"/>
    <n v="416"/>
    <n v="95"/>
    <n v="12"/>
    <n v="6"/>
    <n v="10.48"/>
    <x v="61"/>
    <x v="0"/>
    <n v="73"/>
    <n v="3.11"/>
    <n v="82.22"/>
    <n v="1.85"/>
    <n v="8"/>
    <n v="0.93"/>
    <n v="87"/>
    <n v="6.35"/>
    <n v="0.59"/>
    <d v="2024-04-13T00:00:00"/>
    <n v="214.68"/>
    <n v="0.44400000000000001"/>
    <n v="34203.519999999997"/>
    <x v="0"/>
    <x v="0"/>
  </r>
  <r>
    <x v="737"/>
    <x v="0"/>
    <n v="362"/>
    <n v="74"/>
    <n v="4"/>
    <n v="7"/>
    <n v="44.71"/>
    <x v="24"/>
    <x v="0"/>
    <n v="75"/>
    <n v="4.1500000000000004"/>
    <n v="39.93"/>
    <n v="1.83"/>
    <n v="3"/>
    <n v="0.77"/>
    <n v="462"/>
    <n v="10.8"/>
    <n v="0.38"/>
    <d v="2024-12-18T00:00:00"/>
    <n v="45.4"/>
    <n v="0.53100000000000003"/>
    <n v="14454.66"/>
    <x v="0"/>
    <x v="0"/>
  </r>
  <r>
    <x v="738"/>
    <x v="0"/>
    <n v="333"/>
    <n v="77"/>
    <n v="9"/>
    <n v="5"/>
    <n v="2.52"/>
    <x v="65"/>
    <x v="0"/>
    <n v="66"/>
    <n v="0.66"/>
    <n v="89.14"/>
    <n v="0.79"/>
    <n v="5"/>
    <n v="0.72"/>
    <n v="292"/>
    <n v="12.07"/>
    <n v="0.99"/>
    <d v="2024-03-08T00:00:00"/>
    <n v="101.01"/>
    <n v="0.72399999999999998"/>
    <n v="29683.62"/>
    <x v="0"/>
    <x v="0"/>
  </r>
  <r>
    <x v="739"/>
    <x v="1"/>
    <n v="325"/>
    <n v="58"/>
    <n v="9"/>
    <n v="5"/>
    <n v="44.87"/>
    <x v="54"/>
    <x v="1"/>
    <n v="53"/>
    <n v="3.05"/>
    <n v="67.459999999999994"/>
    <n v="0.57999999999999996"/>
    <n v="0"/>
    <n v="0.83"/>
    <n v="413"/>
    <n v="3.5"/>
    <n v="0.73"/>
    <d v="2024-11-28T00:00:00"/>
    <n v="44.08"/>
    <n v="0.70099999999999996"/>
    <n v="21924.499999999996"/>
    <x v="0"/>
    <x v="0"/>
  </r>
  <r>
    <x v="740"/>
    <x v="3"/>
    <n v="49"/>
    <n v="61"/>
    <n v="13"/>
    <n v="3"/>
    <n v="3.48"/>
    <x v="24"/>
    <x v="3"/>
    <n v="21"/>
    <n v="2.17"/>
    <n v="26.71"/>
    <n v="1.56"/>
    <n v="9"/>
    <n v="0.82"/>
    <n v="697"/>
    <n v="2.67"/>
    <n v="0.52"/>
    <d v="2024-06-03T00:00:00"/>
    <n v="221.65"/>
    <n v="0.36799999999999999"/>
    <n v="1308.79"/>
    <x v="1"/>
    <x v="2"/>
  </r>
  <r>
    <x v="741"/>
    <x v="1"/>
    <n v="209"/>
    <n v="38"/>
    <n v="7"/>
    <n v="3"/>
    <n v="33.630000000000003"/>
    <x v="78"/>
    <x v="3"/>
    <n v="131"/>
    <n v="4.5199999999999996"/>
    <n v="193.73"/>
    <n v="0.54"/>
    <n v="9"/>
    <n v="0.75"/>
    <n v="113"/>
    <n v="1.1100000000000001"/>
    <n v="0.59"/>
    <d v="2024-03-22T00:00:00"/>
    <n v="11.02"/>
    <n v="0.44900000000000001"/>
    <n v="40489.57"/>
    <x v="0"/>
    <x v="1"/>
  </r>
  <r>
    <x v="742"/>
    <x v="3"/>
    <n v="376"/>
    <n v="30"/>
    <n v="11"/>
    <n v="9"/>
    <n v="4.51"/>
    <x v="52"/>
    <x v="3"/>
    <n v="177"/>
    <n v="1.1499999999999999"/>
    <n v="60.35"/>
    <n v="1.0900000000000001"/>
    <n v="2"/>
    <n v="0.74"/>
    <n v="904"/>
    <n v="5.28"/>
    <n v="0.3"/>
    <d v="2024-05-20T00:00:00"/>
    <n v="144.71"/>
    <n v="0.52900000000000003"/>
    <n v="22691.600000000002"/>
    <x v="0"/>
    <x v="0"/>
  </r>
  <r>
    <x v="743"/>
    <x v="1"/>
    <n v="44"/>
    <n v="99"/>
    <n v="14"/>
    <n v="3"/>
    <n v="35.6"/>
    <x v="73"/>
    <x v="0"/>
    <n v="33"/>
    <n v="3.04"/>
    <n v="141.19"/>
    <n v="0.31"/>
    <n v="3"/>
    <n v="0.97"/>
    <n v="924"/>
    <n v="12.42"/>
    <n v="0.6"/>
    <d v="2024-02-17T00:00:00"/>
    <n v="299.94"/>
    <n v="0.78900000000000003"/>
    <n v="6212.36"/>
    <x v="1"/>
    <x v="2"/>
  </r>
  <r>
    <x v="744"/>
    <x v="2"/>
    <n v="131"/>
    <n v="87"/>
    <n v="13"/>
    <n v="9"/>
    <n v="2.66"/>
    <x v="23"/>
    <x v="2"/>
    <n v="148"/>
    <n v="4.87"/>
    <n v="27.35"/>
    <n v="0.83"/>
    <n v="4"/>
    <n v="0.72"/>
    <n v="250"/>
    <n v="11.82"/>
    <n v="0.34"/>
    <d v="2024-12-01T00:00:00"/>
    <n v="256.83"/>
    <n v="0.60699999999999998"/>
    <n v="3582.8500000000004"/>
    <x v="0"/>
    <x v="1"/>
  </r>
  <r>
    <x v="745"/>
    <x v="2"/>
    <n v="430"/>
    <n v="18"/>
    <n v="5"/>
    <n v="8"/>
    <n v="42.28"/>
    <x v="87"/>
    <x v="0"/>
    <n v="10"/>
    <n v="2.0499999999999998"/>
    <n v="183.5"/>
    <n v="0.25"/>
    <n v="0"/>
    <n v="0.73"/>
    <n v="356"/>
    <n v="13.21"/>
    <n v="0.49"/>
    <d v="2024-07-03T00:00:00"/>
    <n v="180.29"/>
    <n v="0.79500000000000004"/>
    <n v="78905"/>
    <x v="0"/>
    <x v="0"/>
  </r>
  <r>
    <x v="746"/>
    <x v="2"/>
    <n v="454"/>
    <n v="56"/>
    <n v="6"/>
    <n v="4"/>
    <n v="23.83"/>
    <x v="27"/>
    <x v="3"/>
    <n v="37"/>
    <n v="3.84"/>
    <n v="122.24"/>
    <n v="0.64"/>
    <n v="3"/>
    <n v="0.77"/>
    <n v="823"/>
    <n v="11.65"/>
    <n v="0.59"/>
    <d v="2024-05-08T00:00:00"/>
    <n v="211.24"/>
    <n v="0.70299999999999996"/>
    <n v="55496.959999999999"/>
    <x v="0"/>
    <x v="0"/>
  </r>
  <r>
    <x v="747"/>
    <x v="2"/>
    <n v="225"/>
    <n v="85"/>
    <n v="3"/>
    <n v="3"/>
    <n v="5.58"/>
    <x v="47"/>
    <x v="1"/>
    <n v="77"/>
    <n v="4.47"/>
    <n v="134.81"/>
    <n v="1.36"/>
    <n v="4"/>
    <n v="0.99"/>
    <n v="224"/>
    <n v="1.34"/>
    <n v="0.96"/>
    <d v="2024-02-12T00:00:00"/>
    <n v="185.06"/>
    <n v="0.59199999999999997"/>
    <n v="30332.25"/>
    <x v="0"/>
    <x v="1"/>
  </r>
  <r>
    <x v="748"/>
    <x v="4"/>
    <n v="204"/>
    <n v="51"/>
    <n v="8"/>
    <n v="7"/>
    <n v="35.630000000000003"/>
    <x v="31"/>
    <x v="0"/>
    <n v="114"/>
    <n v="1.34"/>
    <n v="158.54"/>
    <n v="1.98"/>
    <n v="3"/>
    <n v="0.73"/>
    <n v="738"/>
    <n v="6.4"/>
    <n v="0.7"/>
    <d v="2024-07-09T00:00:00"/>
    <n v="245.15"/>
    <n v="0.51300000000000001"/>
    <n v="32342.16"/>
    <x v="0"/>
    <x v="1"/>
  </r>
  <r>
    <x v="749"/>
    <x v="2"/>
    <n v="401"/>
    <n v="60"/>
    <n v="6"/>
    <n v="7"/>
    <n v="24.98"/>
    <x v="97"/>
    <x v="1"/>
    <n v="103"/>
    <n v="4.97"/>
    <n v="125.12"/>
    <n v="0.57999999999999996"/>
    <n v="9"/>
    <n v="0.94"/>
    <n v="646"/>
    <n v="1.08"/>
    <n v="0.5"/>
    <d v="2024-12-06T00:00:00"/>
    <n v="266.94"/>
    <n v="0.46400000000000002"/>
    <n v="50173.120000000003"/>
    <x v="0"/>
    <x v="0"/>
  </r>
  <r>
    <x v="750"/>
    <x v="0"/>
    <n v="398"/>
    <n v="65"/>
    <n v="3"/>
    <n v="9"/>
    <n v="10.36"/>
    <x v="26"/>
    <x v="3"/>
    <n v="133"/>
    <n v="4.1399999999999997"/>
    <n v="23.47"/>
    <n v="1"/>
    <n v="9"/>
    <n v="0.97"/>
    <n v="721"/>
    <n v="1.5"/>
    <n v="0.28999999999999998"/>
    <d v="2024-11-28T00:00:00"/>
    <n v="232.31"/>
    <n v="0.39200000000000002"/>
    <n v="9341.06"/>
    <x v="0"/>
    <x v="0"/>
  </r>
  <r>
    <x v="751"/>
    <x v="0"/>
    <n v="66"/>
    <n v="60"/>
    <n v="4"/>
    <n v="8"/>
    <n v="1.77"/>
    <x v="33"/>
    <x v="0"/>
    <n v="133"/>
    <n v="1.1200000000000001"/>
    <n v="91.62"/>
    <n v="0.95"/>
    <n v="6"/>
    <n v="0.81"/>
    <n v="743"/>
    <n v="7.7"/>
    <n v="0.8"/>
    <d v="2024-03-25T00:00:00"/>
    <n v="62.77"/>
    <n v="0.61"/>
    <n v="6046.92"/>
    <x v="0"/>
    <x v="2"/>
  </r>
  <r>
    <x v="752"/>
    <x v="4"/>
    <n v="393"/>
    <n v="79"/>
    <n v="5"/>
    <n v="8"/>
    <n v="21.48"/>
    <x v="85"/>
    <x v="1"/>
    <n v="31"/>
    <n v="1.9"/>
    <n v="59.79"/>
    <n v="0.45"/>
    <n v="7"/>
    <n v="0.79"/>
    <n v="597"/>
    <n v="6.04"/>
    <n v="0.56999999999999995"/>
    <d v="2024-01-27T00:00:00"/>
    <n v="118.03"/>
    <n v="0.56799999999999995"/>
    <n v="23497.47"/>
    <x v="0"/>
    <x v="0"/>
  </r>
  <r>
    <x v="753"/>
    <x v="2"/>
    <n v="247"/>
    <n v="29"/>
    <n v="11"/>
    <n v="2"/>
    <n v="5.2"/>
    <x v="75"/>
    <x v="0"/>
    <n v="166"/>
    <n v="3.31"/>
    <n v="102.48"/>
    <n v="1.26"/>
    <n v="7"/>
    <n v="0.9"/>
    <n v="906"/>
    <n v="8.82"/>
    <n v="0.25"/>
    <d v="2024-07-21T00:00:00"/>
    <n v="237.48"/>
    <n v="0.48199999999999998"/>
    <n v="25312.560000000001"/>
    <x v="0"/>
    <x v="1"/>
  </r>
  <r>
    <x v="754"/>
    <x v="2"/>
    <n v="58"/>
    <n v="97"/>
    <n v="10"/>
    <n v="6"/>
    <n v="5.61"/>
    <x v="78"/>
    <x v="3"/>
    <n v="98"/>
    <n v="4.4800000000000004"/>
    <n v="86.82"/>
    <n v="1.48"/>
    <n v="2"/>
    <n v="0.91"/>
    <n v="148"/>
    <n v="1.93"/>
    <n v="0.73"/>
    <d v="2024-11-16T00:00:00"/>
    <n v="248.72"/>
    <n v="0.56599999999999995"/>
    <n v="5035.5599999999995"/>
    <x v="1"/>
    <x v="2"/>
  </r>
  <r>
    <x v="755"/>
    <x v="2"/>
    <n v="35"/>
    <n v="36"/>
    <n v="9"/>
    <n v="3"/>
    <n v="14.1"/>
    <x v="24"/>
    <x v="2"/>
    <n v="54"/>
    <n v="1.38"/>
    <n v="167.04"/>
    <n v="0.38"/>
    <n v="4"/>
    <n v="0.93"/>
    <n v="275"/>
    <n v="9.24"/>
    <n v="0.48"/>
    <d v="2024-06-05T00:00:00"/>
    <n v="192.35"/>
    <n v="0.68700000000000006"/>
    <n v="5846.4"/>
    <x v="1"/>
    <x v="2"/>
  </r>
  <r>
    <x v="756"/>
    <x v="1"/>
    <n v="41"/>
    <n v="47"/>
    <n v="13"/>
    <n v="9"/>
    <n v="31.89"/>
    <x v="39"/>
    <x v="3"/>
    <n v="133"/>
    <n v="3.79"/>
    <n v="56.94"/>
    <n v="1.54"/>
    <n v="9"/>
    <n v="0.95"/>
    <n v="964"/>
    <n v="1.91"/>
    <n v="0.52"/>
    <d v="2024-12-24T00:00:00"/>
    <n v="217.1"/>
    <n v="0.38500000000000001"/>
    <n v="2334.54"/>
    <x v="1"/>
    <x v="2"/>
  </r>
  <r>
    <x v="757"/>
    <x v="3"/>
    <n v="232"/>
    <n v="81"/>
    <n v="14"/>
    <n v="7"/>
    <n v="26.97"/>
    <x v="72"/>
    <x v="2"/>
    <n v="154"/>
    <n v="1.72"/>
    <n v="48.25"/>
    <n v="1.43"/>
    <n v="7"/>
    <n v="0.78"/>
    <n v="598"/>
    <n v="6.93"/>
    <n v="0.87"/>
    <d v="2024-04-29T00:00:00"/>
    <n v="60.6"/>
    <n v="0.53900000000000003"/>
    <n v="11194"/>
    <x v="0"/>
    <x v="1"/>
  </r>
  <r>
    <x v="758"/>
    <x v="1"/>
    <n v="329"/>
    <n v="74"/>
    <n v="6"/>
    <n v="8"/>
    <n v="4.38"/>
    <x v="3"/>
    <x v="2"/>
    <n v="88"/>
    <n v="4.12"/>
    <n v="192.04"/>
    <n v="0.47"/>
    <n v="6"/>
    <n v="0.91"/>
    <n v="322"/>
    <n v="5.93"/>
    <n v="0.31"/>
    <d v="2024-08-07T00:00:00"/>
    <n v="118.07"/>
    <n v="0.55600000000000005"/>
    <n v="63181.159999999996"/>
    <x v="0"/>
    <x v="0"/>
  </r>
  <r>
    <x v="759"/>
    <x v="3"/>
    <n v="168"/>
    <n v="63"/>
    <n v="3"/>
    <n v="7"/>
    <n v="48.45"/>
    <x v="10"/>
    <x v="3"/>
    <n v="48"/>
    <n v="3.58"/>
    <n v="190.41"/>
    <n v="1.33"/>
    <n v="8"/>
    <n v="0.74"/>
    <n v="833"/>
    <n v="4.1399999999999997"/>
    <n v="0.47"/>
    <d v="2024-12-01T00:00:00"/>
    <n v="165.04"/>
    <n v="0.40400000000000003"/>
    <n v="31988.880000000001"/>
    <x v="0"/>
    <x v="1"/>
  </r>
  <r>
    <x v="760"/>
    <x v="2"/>
    <n v="475"/>
    <n v="33"/>
    <n v="10"/>
    <n v="7"/>
    <n v="44.47"/>
    <x v="18"/>
    <x v="1"/>
    <n v="177"/>
    <n v="2.85"/>
    <n v="198.76"/>
    <n v="0.85"/>
    <n v="9"/>
    <n v="0.85"/>
    <n v="235"/>
    <n v="5.37"/>
    <n v="0.49"/>
    <d v="2024-02-16T00:00:00"/>
    <n v="295.27999999999997"/>
    <n v="0.47499999999999998"/>
    <n v="94411"/>
    <x v="0"/>
    <x v="0"/>
  </r>
  <r>
    <x v="761"/>
    <x v="2"/>
    <n v="260"/>
    <n v="56"/>
    <n v="6"/>
    <n v="8"/>
    <n v="13.7"/>
    <x v="6"/>
    <x v="0"/>
    <n v="37"/>
    <n v="3.42"/>
    <n v="117.99"/>
    <n v="1.39"/>
    <n v="6"/>
    <n v="0.88"/>
    <n v="989"/>
    <n v="1.01"/>
    <n v="0.2"/>
    <d v="2024-12-26T00:00:00"/>
    <n v="241.77"/>
    <n v="0.37"/>
    <n v="30677.399999999998"/>
    <x v="0"/>
    <x v="0"/>
  </r>
  <r>
    <x v="762"/>
    <x v="1"/>
    <n v="291"/>
    <n v="80"/>
    <n v="5"/>
    <n v="4"/>
    <n v="6.99"/>
    <x v="86"/>
    <x v="0"/>
    <n v="139"/>
    <n v="4.4400000000000004"/>
    <n v="31.5"/>
    <n v="1.04"/>
    <n v="1"/>
    <n v="0.75"/>
    <n v="501"/>
    <n v="5.54"/>
    <n v="0.88"/>
    <d v="2024-02-18T00:00:00"/>
    <n v="65.86"/>
    <n v="0.67600000000000005"/>
    <n v="9166.5"/>
    <x v="0"/>
    <x v="0"/>
  </r>
  <r>
    <x v="763"/>
    <x v="1"/>
    <n v="78"/>
    <n v="92"/>
    <n v="11"/>
    <n v="8"/>
    <n v="47.18"/>
    <x v="6"/>
    <x v="0"/>
    <n v="164"/>
    <n v="2.2400000000000002"/>
    <n v="177.23"/>
    <n v="0.19"/>
    <n v="3"/>
    <n v="0.72"/>
    <n v="610"/>
    <n v="2.1"/>
    <n v="0.87"/>
    <d v="2024-01-01T00:00:00"/>
    <n v="112.2"/>
    <n v="0.66700000000000004"/>
    <n v="13823.939999999999"/>
    <x v="1"/>
    <x v="2"/>
  </r>
  <r>
    <x v="764"/>
    <x v="3"/>
    <n v="306"/>
    <n v="95"/>
    <n v="12"/>
    <n v="8"/>
    <n v="23.6"/>
    <x v="56"/>
    <x v="2"/>
    <n v="158"/>
    <n v="3.96"/>
    <n v="37.57"/>
    <n v="1.6"/>
    <n v="7"/>
    <n v="0.76"/>
    <n v="554"/>
    <n v="13.9"/>
    <n v="0.73"/>
    <d v="2024-04-19T00:00:00"/>
    <n v="72.900000000000006"/>
    <n v="0.58299999999999996"/>
    <n v="11496.42"/>
    <x v="0"/>
    <x v="0"/>
  </r>
  <r>
    <x v="765"/>
    <x v="0"/>
    <n v="445"/>
    <n v="72"/>
    <n v="6"/>
    <n v="6"/>
    <n v="16.25"/>
    <x v="83"/>
    <x v="2"/>
    <n v="96"/>
    <n v="1.22"/>
    <n v="39.56"/>
    <n v="1.1599999999999999"/>
    <n v="8"/>
    <n v="0.83"/>
    <n v="143"/>
    <n v="2.04"/>
    <n v="0.92"/>
    <d v="2024-09-01T00:00:00"/>
    <n v="54.16"/>
    <n v="0.501"/>
    <n v="17604.2"/>
    <x v="0"/>
    <x v="0"/>
  </r>
  <r>
    <x v="766"/>
    <x v="3"/>
    <n v="221"/>
    <n v="66"/>
    <n v="6"/>
    <n v="9"/>
    <n v="25.03"/>
    <x v="86"/>
    <x v="3"/>
    <n v="144"/>
    <n v="3.66"/>
    <n v="46.75"/>
    <n v="1.48"/>
    <n v="6"/>
    <n v="0.97"/>
    <n v="356"/>
    <n v="14.34"/>
    <n v="0.42"/>
    <d v="2024-02-09T00:00:00"/>
    <n v="44.79"/>
    <n v="0.60099999999999998"/>
    <n v="10331.75"/>
    <x v="0"/>
    <x v="1"/>
  </r>
  <r>
    <x v="767"/>
    <x v="1"/>
    <n v="51"/>
    <n v="64"/>
    <n v="11"/>
    <n v="9"/>
    <n v="38.86"/>
    <x v="2"/>
    <x v="1"/>
    <n v="61"/>
    <n v="3.88"/>
    <n v="134.15"/>
    <n v="0.34"/>
    <n v="4"/>
    <n v="0.86"/>
    <n v="787"/>
    <n v="7.88"/>
    <n v="0.38"/>
    <d v="2024-03-08T00:00:00"/>
    <n v="290.05"/>
    <n v="0.63900000000000001"/>
    <n v="6841.6500000000005"/>
    <x v="1"/>
    <x v="2"/>
  </r>
  <r>
    <x v="768"/>
    <x v="1"/>
    <n v="462"/>
    <n v="69"/>
    <n v="14"/>
    <n v="8"/>
    <n v="9.25"/>
    <x v="78"/>
    <x v="3"/>
    <n v="135"/>
    <n v="2.4900000000000002"/>
    <n v="30.37"/>
    <n v="1.47"/>
    <n v="0"/>
    <n v="0.92"/>
    <n v="566"/>
    <n v="8.18"/>
    <n v="0.25"/>
    <d v="2024-10-30T00:00:00"/>
    <n v="272.92"/>
    <n v="0.59599999999999997"/>
    <n v="14030.94"/>
    <x v="0"/>
    <x v="0"/>
  </r>
  <r>
    <x v="769"/>
    <x v="4"/>
    <n v="181"/>
    <n v="71"/>
    <n v="13"/>
    <n v="5"/>
    <n v="38.61"/>
    <x v="29"/>
    <x v="3"/>
    <n v="156"/>
    <n v="4.07"/>
    <n v="157.87"/>
    <n v="0.89"/>
    <n v="8"/>
    <n v="0.75"/>
    <n v="914"/>
    <n v="12.03"/>
    <n v="0.67"/>
    <d v="2024-04-25T00:00:00"/>
    <n v="150.13999999999999"/>
    <n v="0.59499999999999997"/>
    <n v="28574.47"/>
    <x v="0"/>
    <x v="1"/>
  </r>
  <r>
    <x v="770"/>
    <x v="1"/>
    <n v="274"/>
    <n v="39"/>
    <n v="14"/>
    <n v="9"/>
    <n v="37.72"/>
    <x v="55"/>
    <x v="1"/>
    <n v="82"/>
    <n v="3.01"/>
    <n v="21.07"/>
    <n v="1.62"/>
    <n v="5"/>
    <n v="0.73"/>
    <n v="223"/>
    <n v="10.74"/>
    <n v="0.6"/>
    <d v="2024-09-22T00:00:00"/>
    <n v="169.08"/>
    <n v="0.54700000000000004"/>
    <n v="5773.18"/>
    <x v="0"/>
    <x v="0"/>
  </r>
  <r>
    <x v="771"/>
    <x v="4"/>
    <n v="273"/>
    <n v="31"/>
    <n v="4"/>
    <n v="9"/>
    <n v="27.43"/>
    <x v="9"/>
    <x v="2"/>
    <n v="149"/>
    <n v="4.71"/>
    <n v="30.98"/>
    <n v="1.24"/>
    <n v="1"/>
    <n v="0.77"/>
    <n v="744"/>
    <n v="4.32"/>
    <n v="0.85"/>
    <d v="2024-12-14T00:00:00"/>
    <n v="253.2"/>
    <n v="0.63800000000000001"/>
    <n v="8457.5400000000009"/>
    <x v="0"/>
    <x v="0"/>
  </r>
  <r>
    <x v="772"/>
    <x v="0"/>
    <n v="28"/>
    <n v="84"/>
    <n v="14"/>
    <n v="9"/>
    <n v="43.43"/>
    <x v="67"/>
    <x v="3"/>
    <n v="103"/>
    <n v="1.01"/>
    <n v="92.55"/>
    <n v="0.77"/>
    <n v="9"/>
    <n v="0.79"/>
    <n v="122"/>
    <n v="1.36"/>
    <n v="0.59"/>
    <d v="2024-08-15T00:00:00"/>
    <n v="198.16"/>
    <n v="0.437"/>
    <n v="2591.4"/>
    <x v="1"/>
    <x v="2"/>
  </r>
  <r>
    <x v="773"/>
    <x v="3"/>
    <n v="484"/>
    <n v="93"/>
    <n v="7"/>
    <n v="8"/>
    <n v="7.48"/>
    <x v="82"/>
    <x v="3"/>
    <n v="11"/>
    <n v="1.0900000000000001"/>
    <n v="82.04"/>
    <n v="0.48"/>
    <n v="9"/>
    <n v="0.86"/>
    <n v="194"/>
    <n v="11.9"/>
    <n v="0.36"/>
    <d v="2024-01-05T00:00:00"/>
    <n v="222.47"/>
    <n v="0.57499999999999996"/>
    <n v="39707.360000000001"/>
    <x v="0"/>
    <x v="0"/>
  </r>
  <r>
    <x v="774"/>
    <x v="3"/>
    <n v="158"/>
    <n v="38"/>
    <n v="6"/>
    <n v="7"/>
    <n v="30.18"/>
    <x v="60"/>
    <x v="2"/>
    <n v="26"/>
    <n v="4.29"/>
    <n v="198.04"/>
    <n v="1.65"/>
    <n v="1"/>
    <n v="0.96"/>
    <n v="957"/>
    <n v="2.82"/>
    <n v="0.85"/>
    <d v="2024-01-05T00:00:00"/>
    <n v="239.43"/>
    <n v="0.61499999999999999"/>
    <n v="31290.32"/>
    <x v="0"/>
    <x v="1"/>
  </r>
  <r>
    <x v="775"/>
    <x v="4"/>
    <n v="499"/>
    <n v="50"/>
    <n v="11"/>
    <n v="3"/>
    <n v="23.02"/>
    <x v="61"/>
    <x v="0"/>
    <n v="134"/>
    <n v="4.29"/>
    <n v="193.7"/>
    <n v="1.1599999999999999"/>
    <n v="9"/>
    <n v="0.83"/>
    <n v="713"/>
    <n v="9.3800000000000008"/>
    <n v="0.56000000000000005"/>
    <d v="2024-12-22T00:00:00"/>
    <n v="150.08000000000001"/>
    <n v="0.50700000000000001"/>
    <n v="96656.299999999988"/>
    <x v="0"/>
    <x v="0"/>
  </r>
  <r>
    <x v="776"/>
    <x v="3"/>
    <n v="29"/>
    <n v="51"/>
    <n v="14"/>
    <n v="7"/>
    <n v="21.69"/>
    <x v="90"/>
    <x v="1"/>
    <n v="140"/>
    <n v="2.62"/>
    <n v="46.04"/>
    <n v="1.98"/>
    <n v="0"/>
    <n v="0.86"/>
    <n v="105"/>
    <n v="14.2"/>
    <n v="0.96"/>
    <d v="2024-06-24T00:00:00"/>
    <n v="292.69"/>
    <n v="0.755"/>
    <n v="1335.16"/>
    <x v="1"/>
    <x v="2"/>
  </r>
  <r>
    <x v="777"/>
    <x v="1"/>
    <n v="233"/>
    <n v="74"/>
    <n v="7"/>
    <n v="6"/>
    <n v="13.38"/>
    <x v="45"/>
    <x v="1"/>
    <n v="30"/>
    <n v="4.84"/>
    <n v="189.87"/>
    <n v="0.81"/>
    <n v="3"/>
    <n v="0.7"/>
    <n v="744"/>
    <n v="8.69"/>
    <n v="0.63"/>
    <d v="2024-03-02T00:00:00"/>
    <n v="192.23"/>
    <n v="0.64100000000000001"/>
    <n v="44239.71"/>
    <x v="0"/>
    <x v="1"/>
  </r>
  <r>
    <x v="778"/>
    <x v="2"/>
    <n v="292"/>
    <n v="40"/>
    <n v="11"/>
    <n v="5"/>
    <n v="19.239999999999998"/>
    <x v="39"/>
    <x v="0"/>
    <n v="87"/>
    <n v="3.56"/>
    <n v="141.53"/>
    <n v="1.4"/>
    <n v="9"/>
    <n v="0.71"/>
    <n v="683"/>
    <n v="5"/>
    <n v="0.28999999999999998"/>
    <d v="2024-08-04T00:00:00"/>
    <n v="193.71"/>
    <n v="0.34699999999999998"/>
    <n v="41326.76"/>
    <x v="0"/>
    <x v="0"/>
  </r>
  <r>
    <x v="779"/>
    <x v="4"/>
    <n v="343"/>
    <n v="39"/>
    <n v="13"/>
    <n v="8"/>
    <n v="6.3"/>
    <x v="2"/>
    <x v="1"/>
    <n v="88"/>
    <n v="4.92"/>
    <n v="87.68"/>
    <n v="1.28"/>
    <n v="1"/>
    <n v="0.73"/>
    <n v="293"/>
    <n v="3.5"/>
    <n v="0.88"/>
    <d v="2024-12-21T00:00:00"/>
    <n v="50.9"/>
    <n v="0.621"/>
    <n v="30074.240000000002"/>
    <x v="0"/>
    <x v="0"/>
  </r>
  <r>
    <x v="780"/>
    <x v="3"/>
    <n v="67"/>
    <n v="27"/>
    <n v="11"/>
    <n v="4"/>
    <n v="13.33"/>
    <x v="70"/>
    <x v="0"/>
    <n v="60"/>
    <n v="2.9"/>
    <n v="150.53"/>
    <n v="1.31"/>
    <n v="9"/>
    <n v="0.91"/>
    <n v="943"/>
    <n v="1.38"/>
    <n v="0.9"/>
    <d v="2024-03-08T00:00:00"/>
    <n v="296.44"/>
    <n v="0.46899999999999997"/>
    <n v="10085.51"/>
    <x v="0"/>
    <x v="2"/>
  </r>
  <r>
    <x v="781"/>
    <x v="4"/>
    <n v="455"/>
    <n v="26"/>
    <n v="4"/>
    <n v="2"/>
    <n v="14.33"/>
    <x v="12"/>
    <x v="3"/>
    <n v="115"/>
    <n v="1.41"/>
    <n v="181.03"/>
    <n v="1.5"/>
    <n v="8"/>
    <n v="0.85"/>
    <n v="253"/>
    <n v="9.73"/>
    <n v="0.56000000000000005"/>
    <d v="2024-09-01T00:00:00"/>
    <n v="30.52"/>
    <n v="0.502"/>
    <n v="82368.649999999994"/>
    <x v="0"/>
    <x v="0"/>
  </r>
  <r>
    <x v="782"/>
    <x v="4"/>
    <n v="130"/>
    <n v="47"/>
    <n v="11"/>
    <n v="8"/>
    <n v="36.31"/>
    <x v="68"/>
    <x v="1"/>
    <n v="114"/>
    <n v="2.5"/>
    <n v="44.23"/>
    <n v="0.36"/>
    <n v="1"/>
    <n v="0.76"/>
    <n v="640"/>
    <n v="8.81"/>
    <n v="0.22"/>
    <d v="2024-02-06T00:00:00"/>
    <n v="295.83"/>
    <n v="0.65700000000000003"/>
    <n v="5749.9"/>
    <x v="0"/>
    <x v="1"/>
  </r>
  <r>
    <x v="783"/>
    <x v="2"/>
    <n v="172"/>
    <n v="23"/>
    <n v="5"/>
    <n v="3"/>
    <n v="3.38"/>
    <x v="51"/>
    <x v="1"/>
    <n v="19"/>
    <n v="4.91"/>
    <n v="47.24"/>
    <n v="1.1399999999999999"/>
    <n v="8"/>
    <n v="0.88"/>
    <n v="65"/>
    <n v="7.46"/>
    <n v="0.22"/>
    <d v="2024-04-27T00:00:00"/>
    <n v="274.06"/>
    <n v="0.44500000000000001"/>
    <n v="8125.2800000000007"/>
    <x v="0"/>
    <x v="1"/>
  </r>
  <r>
    <x v="784"/>
    <x v="1"/>
    <n v="142"/>
    <n v="96"/>
    <n v="6"/>
    <n v="2"/>
    <n v="32.909999999999997"/>
    <x v="2"/>
    <x v="3"/>
    <n v="125"/>
    <n v="2.17"/>
    <n v="87.66"/>
    <n v="1.07"/>
    <n v="0"/>
    <n v="0.86"/>
    <n v="175"/>
    <n v="3.71"/>
    <n v="0.48"/>
    <d v="2024-07-15T00:00:00"/>
    <n v="258.36"/>
    <n v="0.61"/>
    <n v="12447.72"/>
    <x v="0"/>
    <x v="1"/>
  </r>
  <r>
    <x v="785"/>
    <x v="4"/>
    <n v="424"/>
    <n v="98"/>
    <n v="3"/>
    <n v="4"/>
    <n v="11.85"/>
    <x v="41"/>
    <x v="2"/>
    <n v="64"/>
    <n v="4.8099999999999996"/>
    <n v="42.15"/>
    <n v="0.75"/>
    <n v="6"/>
    <n v="0.73"/>
    <n v="648"/>
    <n v="4.3099999999999996"/>
    <n v="0.77"/>
    <d v="2024-02-15T00:00:00"/>
    <n v="205.34"/>
    <n v="0.56200000000000006"/>
    <n v="17871.599999999999"/>
    <x v="0"/>
    <x v="0"/>
  </r>
  <r>
    <x v="786"/>
    <x v="3"/>
    <n v="376"/>
    <n v="88"/>
    <n v="3"/>
    <n v="6"/>
    <n v="5.01"/>
    <x v="58"/>
    <x v="2"/>
    <n v="45"/>
    <n v="4.09"/>
    <n v="78.48"/>
    <n v="0.93"/>
    <n v="5"/>
    <n v="0.89"/>
    <n v="515"/>
    <n v="14.42"/>
    <n v="0.46"/>
    <d v="2024-02-22T00:00:00"/>
    <n v="186.57"/>
    <n v="0.66900000000000004"/>
    <n v="29508.480000000003"/>
    <x v="0"/>
    <x v="0"/>
  </r>
  <r>
    <x v="787"/>
    <x v="0"/>
    <n v="121"/>
    <n v="65"/>
    <n v="3"/>
    <n v="6"/>
    <n v="15.74"/>
    <x v="13"/>
    <x v="3"/>
    <n v="60"/>
    <n v="2.4900000000000002"/>
    <n v="132.68"/>
    <n v="1.0900000000000001"/>
    <n v="5"/>
    <n v="0.93"/>
    <n v="839"/>
    <n v="1.29"/>
    <n v="0.21"/>
    <d v="2024-02-22T00:00:00"/>
    <n v="299.02"/>
    <n v="0.436"/>
    <n v="16054.28"/>
    <x v="0"/>
    <x v="1"/>
  </r>
  <r>
    <x v="788"/>
    <x v="4"/>
    <n v="260"/>
    <n v="31"/>
    <n v="11"/>
    <n v="4"/>
    <n v="12"/>
    <x v="7"/>
    <x v="1"/>
    <n v="83"/>
    <n v="2.94"/>
    <n v="164.44"/>
    <n v="0.71"/>
    <n v="1"/>
    <n v="0.79"/>
    <n v="927"/>
    <n v="6.09"/>
    <n v="0.88"/>
    <d v="2024-06-09T00:00:00"/>
    <n v="292.45999999999998"/>
    <n v="0.72399999999999998"/>
    <n v="42754.400000000001"/>
    <x v="0"/>
    <x v="0"/>
  </r>
  <r>
    <x v="789"/>
    <x v="4"/>
    <n v="340"/>
    <n v="76"/>
    <n v="13"/>
    <n v="7"/>
    <n v="28.05"/>
    <x v="61"/>
    <x v="1"/>
    <n v="26"/>
    <n v="3.23"/>
    <n v="67.37"/>
    <n v="0.66"/>
    <n v="0"/>
    <n v="0.91"/>
    <n v="477"/>
    <n v="1.54"/>
    <n v="0.97"/>
    <d v="2024-07-07T00:00:00"/>
    <n v="245.43"/>
    <n v="0.73099999999999998"/>
    <n v="22905.800000000003"/>
    <x v="0"/>
    <x v="0"/>
  </r>
  <r>
    <x v="790"/>
    <x v="2"/>
    <n v="210"/>
    <n v="65"/>
    <n v="10"/>
    <n v="4"/>
    <n v="18.510000000000002"/>
    <x v="96"/>
    <x v="1"/>
    <n v="70"/>
    <n v="3.5"/>
    <n v="63.53"/>
    <n v="1.5"/>
    <n v="9"/>
    <n v="0.76"/>
    <n v="400"/>
    <n v="3.68"/>
    <n v="0.48"/>
    <d v="2024-06-02T00:00:00"/>
    <n v="35.19"/>
    <n v="0.36699999999999999"/>
    <n v="13341.300000000001"/>
    <x v="0"/>
    <x v="1"/>
  </r>
  <r>
    <x v="791"/>
    <x v="1"/>
    <n v="236"/>
    <n v="28"/>
    <n v="7"/>
    <n v="9"/>
    <n v="48.33"/>
    <x v="76"/>
    <x v="0"/>
    <n v="100"/>
    <n v="0.85"/>
    <n v="158.15"/>
    <n v="0.23"/>
    <n v="7"/>
    <n v="0.93"/>
    <n v="604"/>
    <n v="14.06"/>
    <n v="0.26"/>
    <d v="2024-03-11T00:00:00"/>
    <n v="117.93"/>
    <n v="0.66200000000000003"/>
    <n v="37323.4"/>
    <x v="0"/>
    <x v="1"/>
  </r>
  <r>
    <x v="792"/>
    <x v="0"/>
    <n v="70"/>
    <n v="66"/>
    <n v="7"/>
    <n v="9"/>
    <n v="48.21"/>
    <x v="35"/>
    <x v="2"/>
    <n v="150"/>
    <n v="4.7"/>
    <n v="82.39"/>
    <n v="0.69"/>
    <n v="7"/>
    <n v="0.97"/>
    <n v="128"/>
    <n v="3.09"/>
    <n v="0.43"/>
    <d v="2024-07-14T00:00:00"/>
    <n v="261.12"/>
    <n v="0.51200000000000001"/>
    <n v="5767.3"/>
    <x v="0"/>
    <x v="2"/>
  </r>
  <r>
    <x v="793"/>
    <x v="3"/>
    <n v="311"/>
    <n v="53"/>
    <n v="11"/>
    <n v="8"/>
    <n v="22.74"/>
    <x v="31"/>
    <x v="1"/>
    <n v="104"/>
    <n v="3.19"/>
    <n v="165.51"/>
    <n v="1.34"/>
    <n v="1"/>
    <n v="0.83"/>
    <n v="550"/>
    <n v="9.41"/>
    <n v="0.84"/>
    <d v="2024-03-09T00:00:00"/>
    <n v="213.73"/>
    <n v="0.70499999999999996"/>
    <n v="51473.61"/>
    <x v="0"/>
    <x v="0"/>
  </r>
  <r>
    <x v="794"/>
    <x v="0"/>
    <n v="100"/>
    <n v="44"/>
    <n v="5"/>
    <n v="3"/>
    <n v="39.96"/>
    <x v="63"/>
    <x v="2"/>
    <n v="89"/>
    <n v="4.6900000000000004"/>
    <n v="198.74"/>
    <n v="0.5"/>
    <n v="3"/>
    <n v="0.77"/>
    <n v="838"/>
    <n v="5.86"/>
    <n v="0.63"/>
    <d v="2024-11-24T00:00:00"/>
    <n v="45.38"/>
    <n v="0.64800000000000002"/>
    <n v="19874"/>
    <x v="0"/>
    <x v="1"/>
  </r>
  <r>
    <x v="795"/>
    <x v="3"/>
    <n v="402"/>
    <n v="10"/>
    <n v="5"/>
    <n v="9"/>
    <n v="1.65"/>
    <x v="15"/>
    <x v="2"/>
    <n v="112"/>
    <n v="3.34"/>
    <n v="196.14"/>
    <n v="1.19"/>
    <n v="3"/>
    <n v="0.82"/>
    <n v="428"/>
    <n v="9.86"/>
    <n v="0.51"/>
    <d v="2024-12-12T00:00:00"/>
    <n v="110.99"/>
    <n v="0.61799999999999999"/>
    <n v="78848.28"/>
    <x v="0"/>
    <x v="0"/>
  </r>
  <r>
    <x v="796"/>
    <x v="1"/>
    <n v="107"/>
    <n v="61"/>
    <n v="9"/>
    <n v="5"/>
    <n v="27.84"/>
    <x v="38"/>
    <x v="1"/>
    <n v="57"/>
    <n v="2.44"/>
    <n v="135.91"/>
    <n v="0.67"/>
    <n v="1"/>
    <n v="0.78"/>
    <n v="313"/>
    <n v="12.93"/>
    <n v="0.47"/>
    <d v="2024-03-14T00:00:00"/>
    <n v="15.63"/>
    <n v="0.73499999999999999"/>
    <n v="14542.369999999999"/>
    <x v="0"/>
    <x v="1"/>
  </r>
  <r>
    <x v="797"/>
    <x v="3"/>
    <n v="213"/>
    <n v="94"/>
    <n v="11"/>
    <n v="8"/>
    <n v="37.42"/>
    <x v="63"/>
    <x v="3"/>
    <n v="95"/>
    <n v="3.05"/>
    <n v="81.290000000000006"/>
    <n v="1.7"/>
    <n v="8"/>
    <n v="0.7"/>
    <n v="354"/>
    <n v="5.01"/>
    <n v="0.28999999999999998"/>
    <d v="2024-02-05T00:00:00"/>
    <n v="268.91000000000003"/>
    <n v="0.33500000000000002"/>
    <n v="17314.77"/>
    <x v="0"/>
    <x v="1"/>
  </r>
  <r>
    <x v="798"/>
    <x v="2"/>
    <n v="123"/>
    <n v="79"/>
    <n v="8"/>
    <n v="8"/>
    <n v="11.63"/>
    <x v="29"/>
    <x v="3"/>
    <n v="79"/>
    <n v="4.2300000000000004"/>
    <n v="22.44"/>
    <n v="0.76"/>
    <n v="3"/>
    <n v="0.9"/>
    <n v="537"/>
    <n v="2.1"/>
    <n v="0.47"/>
    <d v="2024-09-28T00:00:00"/>
    <n v="226.63"/>
    <n v="0.56599999999999995"/>
    <n v="2760.1200000000003"/>
    <x v="0"/>
    <x v="1"/>
  </r>
  <r>
    <x v="799"/>
    <x v="2"/>
    <n v="290"/>
    <n v="46"/>
    <n v="4"/>
    <n v="8"/>
    <n v="4"/>
    <x v="27"/>
    <x v="2"/>
    <n v="56"/>
    <n v="1.97"/>
    <n v="150.22999999999999"/>
    <n v="0.54"/>
    <n v="3"/>
    <n v="0.71"/>
    <n v="789"/>
    <n v="3.86"/>
    <n v="0.57999999999999996"/>
    <d v="2024-10-15T00:00:00"/>
    <n v="136.4"/>
    <n v="0.59499999999999997"/>
    <n v="43566.7"/>
    <x v="0"/>
    <x v="0"/>
  </r>
  <r>
    <x v="800"/>
    <x v="2"/>
    <n v="115"/>
    <n v="74"/>
    <n v="3"/>
    <n v="2"/>
    <n v="8.64"/>
    <x v="31"/>
    <x v="0"/>
    <n v="19"/>
    <n v="4.8"/>
    <n v="195.81"/>
    <n v="1.1100000000000001"/>
    <n v="3"/>
    <n v="0.76"/>
    <n v="174"/>
    <n v="7.15"/>
    <n v="0.74"/>
    <d v="2024-01-05T00:00:00"/>
    <n v="230.51"/>
    <n v="0.624"/>
    <n v="22518.15"/>
    <x v="0"/>
    <x v="1"/>
  </r>
  <r>
    <x v="801"/>
    <x v="2"/>
    <n v="442"/>
    <n v="60"/>
    <n v="4"/>
    <n v="2"/>
    <n v="22.65"/>
    <x v="4"/>
    <x v="2"/>
    <n v="89"/>
    <n v="2.6"/>
    <n v="22.92"/>
    <n v="0.36"/>
    <n v="4"/>
    <n v="0.92"/>
    <n v="667"/>
    <n v="8.2100000000000009"/>
    <n v="0.41"/>
    <d v="2024-11-08T00:00:00"/>
    <n v="280.69"/>
    <n v="0.65900000000000003"/>
    <n v="10130.640000000001"/>
    <x v="0"/>
    <x v="0"/>
  </r>
  <r>
    <x v="802"/>
    <x v="0"/>
    <n v="398"/>
    <n v="10"/>
    <n v="3"/>
    <n v="6"/>
    <n v="25.81"/>
    <x v="75"/>
    <x v="2"/>
    <n v="22"/>
    <n v="4.8"/>
    <n v="11.17"/>
    <n v="1.62"/>
    <n v="9"/>
    <n v="0.9"/>
    <n v="791"/>
    <n v="14.19"/>
    <n v="0.92"/>
    <d v="2024-11-28T00:00:00"/>
    <n v="91.17"/>
    <n v="0.61099999999999999"/>
    <n v="4445.66"/>
    <x v="0"/>
    <x v="0"/>
  </r>
  <r>
    <x v="803"/>
    <x v="1"/>
    <n v="217"/>
    <n v="30"/>
    <n v="12"/>
    <n v="8"/>
    <n v="19.66"/>
    <x v="24"/>
    <x v="3"/>
    <n v="67"/>
    <n v="4.46"/>
    <n v="168.04"/>
    <n v="1.39"/>
    <n v="7"/>
    <n v="0.72"/>
    <n v="695"/>
    <n v="1.23"/>
    <n v="0.59"/>
    <d v="2024-03-25T00:00:00"/>
    <n v="92.89"/>
    <n v="0.39900000000000002"/>
    <n v="36464.68"/>
    <x v="0"/>
    <x v="1"/>
  </r>
  <r>
    <x v="804"/>
    <x v="3"/>
    <n v="20"/>
    <n v="62"/>
    <n v="12"/>
    <n v="7"/>
    <n v="22.56"/>
    <x v="80"/>
    <x v="1"/>
    <n v="93"/>
    <n v="3.95"/>
    <n v="29.43"/>
    <n v="1.56"/>
    <n v="3"/>
    <n v="0.9"/>
    <n v="130"/>
    <n v="11.61"/>
    <n v="0.52"/>
    <d v="2024-08-13T00:00:00"/>
    <n v="149.97"/>
    <n v="0.623"/>
    <n v="588.6"/>
    <x v="1"/>
    <x v="2"/>
  </r>
  <r>
    <x v="805"/>
    <x v="3"/>
    <n v="426"/>
    <n v="25"/>
    <n v="11"/>
    <n v="9"/>
    <n v="24.04"/>
    <x v="41"/>
    <x v="1"/>
    <n v="77"/>
    <n v="2.6"/>
    <n v="25.51"/>
    <n v="0.86"/>
    <n v="2"/>
    <n v="0.98"/>
    <n v="921"/>
    <n v="2.02"/>
    <n v="0.68"/>
    <d v="2024-06-28T00:00:00"/>
    <n v="215"/>
    <n v="0.63300000000000001"/>
    <n v="10867.26"/>
    <x v="0"/>
    <x v="0"/>
  </r>
  <r>
    <x v="806"/>
    <x v="2"/>
    <n v="397"/>
    <n v="70"/>
    <n v="12"/>
    <n v="6"/>
    <n v="38.700000000000003"/>
    <x v="91"/>
    <x v="0"/>
    <n v="93"/>
    <n v="3.14"/>
    <n v="182.96"/>
    <n v="1.69"/>
    <n v="0"/>
    <n v="0.72"/>
    <n v="670"/>
    <n v="2.09"/>
    <n v="0.33"/>
    <d v="2024-04-19T00:00:00"/>
    <n v="297.98"/>
    <n v="0.46899999999999997"/>
    <n v="72635.12000000001"/>
    <x v="0"/>
    <x v="0"/>
  </r>
  <r>
    <x v="807"/>
    <x v="2"/>
    <n v="186"/>
    <n v="63"/>
    <n v="14"/>
    <n v="3"/>
    <n v="6.16"/>
    <x v="87"/>
    <x v="3"/>
    <n v="95"/>
    <n v="4.2699999999999996"/>
    <n v="25.12"/>
    <n v="1.04"/>
    <n v="1"/>
    <n v="0.82"/>
    <n v="224"/>
    <n v="10.16"/>
    <n v="0.28999999999999998"/>
    <d v="2024-11-17T00:00:00"/>
    <n v="57.25"/>
    <n v="0.63300000000000001"/>
    <n v="4672.3200000000006"/>
    <x v="0"/>
    <x v="1"/>
  </r>
  <r>
    <x v="808"/>
    <x v="4"/>
    <n v="145"/>
    <n v="49"/>
    <n v="10"/>
    <n v="4"/>
    <n v="38.68"/>
    <x v="72"/>
    <x v="3"/>
    <n v="166"/>
    <n v="2.95"/>
    <n v="31.66"/>
    <n v="0.28000000000000003"/>
    <n v="3"/>
    <n v="0.92"/>
    <n v="725"/>
    <n v="13.73"/>
    <n v="0.48"/>
    <d v="2024-03-18T00:00:00"/>
    <n v="109.22"/>
    <n v="0.77500000000000002"/>
    <n v="4590.7"/>
    <x v="0"/>
    <x v="1"/>
  </r>
  <r>
    <x v="809"/>
    <x v="1"/>
    <n v="332"/>
    <n v="35"/>
    <n v="9"/>
    <n v="2"/>
    <n v="34.74"/>
    <x v="10"/>
    <x v="2"/>
    <n v="153"/>
    <n v="3.82"/>
    <n v="118.22"/>
    <n v="0.53"/>
    <n v="8"/>
    <n v="0.9"/>
    <n v="174"/>
    <n v="5.03"/>
    <n v="0.23"/>
    <d v="2024-07-29T00:00:00"/>
    <n v="115.4"/>
    <n v="0.48"/>
    <n v="39249.040000000001"/>
    <x v="0"/>
    <x v="0"/>
  </r>
  <r>
    <x v="810"/>
    <x v="0"/>
    <n v="100"/>
    <n v="89"/>
    <n v="5"/>
    <n v="8"/>
    <n v="37.340000000000003"/>
    <x v="76"/>
    <x v="3"/>
    <n v="72"/>
    <n v="4.0599999999999996"/>
    <n v="153.79"/>
    <n v="1.45"/>
    <n v="0"/>
    <n v="0.77"/>
    <n v="397"/>
    <n v="4.7699999999999996"/>
    <n v="0.5"/>
    <d v="2024-11-11T00:00:00"/>
    <n v="220.49"/>
    <n v="0.57299999999999995"/>
    <n v="15379"/>
    <x v="0"/>
    <x v="1"/>
  </r>
  <r>
    <x v="811"/>
    <x v="3"/>
    <n v="437"/>
    <n v="74"/>
    <n v="10"/>
    <n v="3"/>
    <n v="36.99"/>
    <x v="34"/>
    <x v="2"/>
    <n v="52"/>
    <n v="2.81"/>
    <n v="85.92"/>
    <n v="1.8"/>
    <n v="5"/>
    <n v="0.75"/>
    <n v="938"/>
    <n v="9.65"/>
    <n v="0.74"/>
    <d v="2024-12-17T00:00:00"/>
    <n v="267.11"/>
    <n v="0.54700000000000004"/>
    <n v="37547.040000000001"/>
    <x v="0"/>
    <x v="0"/>
  </r>
  <r>
    <x v="812"/>
    <x v="4"/>
    <n v="270"/>
    <n v="83"/>
    <n v="4"/>
    <n v="6"/>
    <n v="24.06"/>
    <x v="6"/>
    <x v="0"/>
    <n v="160"/>
    <n v="2.91"/>
    <n v="89.91"/>
    <n v="0.28000000000000003"/>
    <n v="5"/>
    <n v="0.94"/>
    <n v="416"/>
    <n v="11.87"/>
    <n v="0.85"/>
    <d v="2024-08-14T00:00:00"/>
    <n v="63.3"/>
    <n v="0.78800000000000003"/>
    <n v="24275.7"/>
    <x v="0"/>
    <x v="0"/>
  </r>
  <r>
    <x v="813"/>
    <x v="4"/>
    <n v="188"/>
    <n v="73"/>
    <n v="4"/>
    <n v="6"/>
    <n v="11.36"/>
    <x v="22"/>
    <x v="3"/>
    <n v="167"/>
    <n v="1.39"/>
    <n v="130.19999999999999"/>
    <n v="1.74"/>
    <n v="9"/>
    <n v="0.99"/>
    <n v="584"/>
    <n v="13.17"/>
    <n v="0.66"/>
    <d v="2024-04-21T00:00:00"/>
    <n v="216.96"/>
    <n v="0.55200000000000005"/>
    <n v="24477.599999999999"/>
    <x v="0"/>
    <x v="1"/>
  </r>
  <r>
    <x v="814"/>
    <x v="3"/>
    <n v="496"/>
    <n v="52"/>
    <n v="13"/>
    <n v="2"/>
    <n v="27.29"/>
    <x v="50"/>
    <x v="3"/>
    <n v="39"/>
    <n v="1.6"/>
    <n v="106.03"/>
    <n v="1.62"/>
    <n v="2"/>
    <n v="0.93"/>
    <n v="464"/>
    <n v="4.5"/>
    <n v="0.75"/>
    <d v="2024-02-14T00:00:00"/>
    <n v="273.79000000000002"/>
    <n v="0.59399999999999997"/>
    <n v="52590.879999999997"/>
    <x v="0"/>
    <x v="0"/>
  </r>
  <r>
    <x v="815"/>
    <x v="0"/>
    <n v="92"/>
    <n v="26"/>
    <n v="12"/>
    <n v="6"/>
    <n v="47.94"/>
    <x v="64"/>
    <x v="2"/>
    <n v="76"/>
    <n v="4.57"/>
    <n v="13.54"/>
    <n v="0.78"/>
    <n v="9"/>
    <n v="0.99"/>
    <n v="927"/>
    <n v="11.36"/>
    <n v="0.87"/>
    <d v="2024-02-21T00:00:00"/>
    <n v="45.18"/>
    <n v="0.66500000000000004"/>
    <n v="1245.6799999999998"/>
    <x v="0"/>
    <x v="2"/>
  </r>
  <r>
    <x v="816"/>
    <x v="4"/>
    <n v="160"/>
    <n v="68"/>
    <n v="5"/>
    <n v="7"/>
    <n v="29.84"/>
    <x v="22"/>
    <x v="3"/>
    <n v="33"/>
    <n v="4.28"/>
    <n v="31.58"/>
    <n v="1.41"/>
    <n v="8"/>
    <n v="0.88"/>
    <n v="892"/>
    <n v="5.3"/>
    <n v="0.82"/>
    <d v="2024-03-12T00:00:00"/>
    <n v="194.17"/>
    <n v="0.51"/>
    <n v="5052.7999999999993"/>
    <x v="0"/>
    <x v="1"/>
  </r>
  <r>
    <x v="817"/>
    <x v="4"/>
    <n v="89"/>
    <n v="32"/>
    <n v="9"/>
    <n v="6"/>
    <n v="1.54"/>
    <x v="36"/>
    <x v="1"/>
    <n v="110"/>
    <n v="0.55000000000000004"/>
    <n v="120.5"/>
    <n v="0.46"/>
    <n v="9"/>
    <n v="0.98"/>
    <n v="623"/>
    <n v="8.6300000000000008"/>
    <n v="0.46"/>
    <d v="2024-03-04T00:00:00"/>
    <n v="68.69"/>
    <n v="0.57699999999999996"/>
    <n v="10724.5"/>
    <x v="0"/>
    <x v="2"/>
  </r>
  <r>
    <x v="818"/>
    <x v="1"/>
    <n v="281"/>
    <n v="16"/>
    <n v="3"/>
    <n v="5"/>
    <n v="3.93"/>
    <x v="75"/>
    <x v="0"/>
    <n v="115"/>
    <n v="4.41"/>
    <n v="160.80000000000001"/>
    <n v="1.65"/>
    <n v="2"/>
    <n v="0.91"/>
    <n v="773"/>
    <n v="3.67"/>
    <n v="0.66"/>
    <d v="2024-10-28T00:00:00"/>
    <n v="137.93"/>
    <n v="0.55800000000000005"/>
    <n v="45184.800000000003"/>
    <x v="0"/>
    <x v="0"/>
  </r>
  <r>
    <x v="819"/>
    <x v="0"/>
    <n v="359"/>
    <n v="53"/>
    <n v="10"/>
    <n v="9"/>
    <n v="49.65"/>
    <x v="2"/>
    <x v="1"/>
    <n v="110"/>
    <n v="0.61"/>
    <n v="154.99"/>
    <n v="1.35"/>
    <n v="0"/>
    <n v="0.97"/>
    <n v="301"/>
    <n v="3.04"/>
    <n v="0.41"/>
    <d v="2024-07-15T00:00:00"/>
    <n v="46.77"/>
    <n v="0.58199999999999996"/>
    <n v="55641.41"/>
    <x v="0"/>
    <x v="0"/>
  </r>
  <r>
    <x v="820"/>
    <x v="4"/>
    <n v="327"/>
    <n v="62"/>
    <n v="14"/>
    <n v="4"/>
    <n v="4.53"/>
    <x v="5"/>
    <x v="2"/>
    <n v="17"/>
    <n v="2.56"/>
    <n v="150.61000000000001"/>
    <n v="0.93"/>
    <n v="1"/>
    <n v="0.75"/>
    <n v="657"/>
    <n v="14.09"/>
    <n v="0.66"/>
    <d v="2024-06-28T00:00:00"/>
    <n v="208.25"/>
    <n v="0.75700000000000001"/>
    <n v="49249.47"/>
    <x v="0"/>
    <x v="0"/>
  </r>
  <r>
    <x v="821"/>
    <x v="0"/>
    <n v="264"/>
    <n v="80"/>
    <n v="9"/>
    <n v="6"/>
    <n v="3.26"/>
    <x v="20"/>
    <x v="2"/>
    <n v="105"/>
    <n v="0.8"/>
    <n v="156.54"/>
    <n v="1.74"/>
    <n v="3"/>
    <n v="0.94"/>
    <n v="770"/>
    <n v="8.66"/>
    <n v="0.54"/>
    <d v="2024-08-07T00:00:00"/>
    <n v="126.4"/>
    <n v="0.57699999999999996"/>
    <n v="41326.559999999998"/>
    <x v="0"/>
    <x v="0"/>
  </r>
  <r>
    <x v="822"/>
    <x v="3"/>
    <n v="22"/>
    <n v="88"/>
    <n v="6"/>
    <n v="9"/>
    <n v="18.3"/>
    <x v="87"/>
    <x v="2"/>
    <n v="171"/>
    <n v="4.8600000000000003"/>
    <n v="18.440000000000001"/>
    <n v="0.36"/>
    <n v="3"/>
    <n v="0.76"/>
    <n v="618"/>
    <n v="1.06"/>
    <n v="0.5"/>
    <d v="2024-06-10T00:00:00"/>
    <n v="174.5"/>
    <n v="0.56999999999999995"/>
    <n v="405.68"/>
    <x v="1"/>
    <x v="2"/>
  </r>
  <r>
    <x v="823"/>
    <x v="2"/>
    <n v="356"/>
    <n v="43"/>
    <n v="7"/>
    <n v="9"/>
    <n v="48.5"/>
    <x v="45"/>
    <x v="0"/>
    <n v="44"/>
    <n v="4.88"/>
    <n v="180.07"/>
    <n v="1.71"/>
    <n v="1"/>
    <n v="0.71"/>
    <n v="283"/>
    <n v="12.11"/>
    <n v="0.35"/>
    <d v="2024-03-12T00:00:00"/>
    <n v="161.83000000000001"/>
    <n v="0.58199999999999996"/>
    <n v="64104.92"/>
    <x v="0"/>
    <x v="0"/>
  </r>
  <r>
    <x v="824"/>
    <x v="4"/>
    <n v="82"/>
    <n v="55"/>
    <n v="12"/>
    <n v="5"/>
    <n v="16.62"/>
    <x v="30"/>
    <x v="3"/>
    <n v="105"/>
    <n v="3.25"/>
    <n v="178.96"/>
    <n v="0.15"/>
    <n v="9"/>
    <n v="0.86"/>
    <n v="407"/>
    <n v="10.67"/>
    <n v="0.65"/>
    <d v="2024-05-06T00:00:00"/>
    <n v="211.26"/>
    <n v="0.64900000000000002"/>
    <n v="14674.720000000001"/>
    <x v="0"/>
    <x v="2"/>
  </r>
  <r>
    <x v="825"/>
    <x v="1"/>
    <n v="68"/>
    <n v="77"/>
    <n v="3"/>
    <n v="3"/>
    <n v="21.08"/>
    <x v="89"/>
    <x v="1"/>
    <n v="59"/>
    <n v="2.2599999999999998"/>
    <n v="111.07"/>
    <n v="1.53"/>
    <n v="5"/>
    <n v="0.8"/>
    <n v="375"/>
    <n v="5.56"/>
    <n v="0.78"/>
    <d v="2024-05-21T00:00:00"/>
    <n v="269.72000000000003"/>
    <n v="0.53700000000000003"/>
    <n v="7552.7599999999993"/>
    <x v="1"/>
    <x v="2"/>
  </r>
  <r>
    <x v="826"/>
    <x v="3"/>
    <n v="95"/>
    <n v="87"/>
    <n v="6"/>
    <n v="6"/>
    <n v="32.07"/>
    <x v="90"/>
    <x v="3"/>
    <n v="154"/>
    <n v="2.8"/>
    <n v="57.23"/>
    <n v="1.19"/>
    <n v="5"/>
    <n v="0.71"/>
    <n v="114"/>
    <n v="7.5"/>
    <n v="0.66"/>
    <d v="2024-11-26T00:00:00"/>
    <n v="91.13"/>
    <n v="0.55500000000000005"/>
    <n v="5436.8499999999995"/>
    <x v="0"/>
    <x v="2"/>
  </r>
  <r>
    <x v="827"/>
    <x v="0"/>
    <n v="387"/>
    <n v="87"/>
    <n v="3"/>
    <n v="7"/>
    <n v="2.1800000000000002"/>
    <x v="91"/>
    <x v="2"/>
    <n v="11"/>
    <n v="3.93"/>
    <n v="122.51"/>
    <n v="1.42"/>
    <n v="2"/>
    <n v="0.99"/>
    <n v="342"/>
    <n v="7.3"/>
    <n v="0.26"/>
    <d v="2024-02-13T00:00:00"/>
    <n v="182.6"/>
    <n v="0.56499999999999995"/>
    <n v="47411.37"/>
    <x v="0"/>
    <x v="0"/>
  </r>
  <r>
    <x v="828"/>
    <x v="3"/>
    <n v="194"/>
    <n v="25"/>
    <n v="3"/>
    <n v="3"/>
    <n v="44.99"/>
    <x v="55"/>
    <x v="3"/>
    <n v="53"/>
    <n v="1.5"/>
    <n v="116"/>
    <n v="0.88"/>
    <n v="0"/>
    <n v="0.9"/>
    <n v="373"/>
    <n v="4.8499999999999996"/>
    <n v="0.94"/>
    <d v="2024-05-07T00:00:00"/>
    <n v="176.39"/>
    <n v="0.745"/>
    <n v="22504"/>
    <x v="0"/>
    <x v="1"/>
  </r>
  <r>
    <x v="829"/>
    <x v="4"/>
    <n v="128"/>
    <n v="80"/>
    <n v="12"/>
    <n v="9"/>
    <n v="26.45"/>
    <x v="1"/>
    <x v="0"/>
    <n v="111"/>
    <n v="2.4900000000000002"/>
    <n v="52.36"/>
    <n v="1.74"/>
    <n v="9"/>
    <n v="0.97"/>
    <n v="380"/>
    <n v="14.73"/>
    <n v="0.2"/>
    <d v="2024-10-10T00:00:00"/>
    <n v="101.39"/>
    <n v="0.47599999999999998"/>
    <n v="6702.08"/>
    <x v="0"/>
    <x v="1"/>
  </r>
  <r>
    <x v="830"/>
    <x v="0"/>
    <n v="202"/>
    <n v="28"/>
    <n v="3"/>
    <n v="9"/>
    <n v="23.87"/>
    <x v="68"/>
    <x v="2"/>
    <n v="139"/>
    <n v="3.82"/>
    <n v="124.59"/>
    <n v="0.69"/>
    <n v="8"/>
    <n v="1"/>
    <n v="578"/>
    <n v="8.61"/>
    <n v="0.91"/>
    <d v="2024-11-03T00:00:00"/>
    <n v="154.88"/>
    <n v="0.66800000000000004"/>
    <n v="25167.18"/>
    <x v="0"/>
    <x v="1"/>
  </r>
  <r>
    <x v="831"/>
    <x v="2"/>
    <n v="211"/>
    <n v="11"/>
    <n v="9"/>
    <n v="8"/>
    <n v="43.18"/>
    <x v="15"/>
    <x v="3"/>
    <n v="81"/>
    <n v="2.2799999999999998"/>
    <n v="161.49"/>
    <n v="0.62"/>
    <n v="3"/>
    <n v="0.82"/>
    <n v="184"/>
    <n v="13.56"/>
    <n v="0.81"/>
    <d v="2024-11-03T00:00:00"/>
    <n v="21.73"/>
    <n v="0.78500000000000003"/>
    <n v="34074.39"/>
    <x v="0"/>
    <x v="1"/>
  </r>
  <r>
    <x v="832"/>
    <x v="3"/>
    <n v="84"/>
    <n v="19"/>
    <n v="9"/>
    <n v="6"/>
    <n v="47.7"/>
    <x v="61"/>
    <x v="1"/>
    <n v="119"/>
    <n v="0.64"/>
    <n v="163.16"/>
    <n v="0.67"/>
    <n v="8"/>
    <n v="0.78"/>
    <n v="869"/>
    <n v="9.19"/>
    <n v="0.28000000000000003"/>
    <d v="2024-11-07T00:00:00"/>
    <n v="133.81"/>
    <n v="0.50800000000000001"/>
    <n v="13705.44"/>
    <x v="0"/>
    <x v="2"/>
  </r>
  <r>
    <x v="833"/>
    <x v="4"/>
    <n v="356"/>
    <n v="59"/>
    <n v="6"/>
    <n v="2"/>
    <n v="21.75"/>
    <x v="23"/>
    <x v="2"/>
    <n v="146"/>
    <n v="2.78"/>
    <n v="21.34"/>
    <n v="1.57"/>
    <n v="4"/>
    <n v="0.76"/>
    <n v="468"/>
    <n v="10.66"/>
    <n v="0.39"/>
    <d v="2024-05-25T00:00:00"/>
    <n v="88.45"/>
    <n v="0.53500000000000003"/>
    <n v="7597.04"/>
    <x v="0"/>
    <x v="0"/>
  </r>
  <r>
    <x v="834"/>
    <x v="1"/>
    <n v="470"/>
    <n v="90"/>
    <n v="14"/>
    <n v="5"/>
    <n v="9.4499999999999993"/>
    <x v="80"/>
    <x v="2"/>
    <n v="138"/>
    <n v="3.82"/>
    <n v="47.46"/>
    <n v="1.04"/>
    <n v="6"/>
    <n v="0.85"/>
    <n v="179"/>
    <n v="1.41"/>
    <n v="0.48"/>
    <d v="2024-12-19T00:00:00"/>
    <n v="260.55"/>
    <n v="0.46100000000000002"/>
    <n v="22306.2"/>
    <x v="0"/>
    <x v="0"/>
  </r>
  <r>
    <x v="835"/>
    <x v="0"/>
    <n v="493"/>
    <n v="21"/>
    <n v="4"/>
    <n v="5"/>
    <n v="40.97"/>
    <x v="52"/>
    <x v="0"/>
    <n v="112"/>
    <n v="4.9000000000000004"/>
    <n v="136.96"/>
    <n v="1.1200000000000001"/>
    <n v="2"/>
    <n v="0.88"/>
    <n v="985"/>
    <n v="8.17"/>
    <n v="0.93"/>
    <d v="2024-01-14T00:00:00"/>
    <n v="113.76"/>
    <n v="0.71899999999999997"/>
    <n v="67521.279999999999"/>
    <x v="0"/>
    <x v="0"/>
  </r>
  <r>
    <x v="836"/>
    <x v="3"/>
    <n v="290"/>
    <n v="79"/>
    <n v="14"/>
    <n v="2"/>
    <n v="20.76"/>
    <x v="53"/>
    <x v="0"/>
    <n v="146"/>
    <n v="0.67"/>
    <n v="173.37"/>
    <n v="1.68"/>
    <n v="2"/>
    <n v="0.84"/>
    <n v="598"/>
    <n v="11.1"/>
    <n v="0.98"/>
    <d v="2024-12-03T00:00:00"/>
    <n v="65.739999999999995"/>
    <n v="0.70399999999999996"/>
    <n v="50277.3"/>
    <x v="0"/>
    <x v="0"/>
  </r>
  <r>
    <x v="837"/>
    <x v="3"/>
    <n v="119"/>
    <n v="31"/>
    <n v="5"/>
    <n v="4"/>
    <n v="46.84"/>
    <x v="60"/>
    <x v="1"/>
    <n v="151"/>
    <n v="2.93"/>
    <n v="109.03"/>
    <n v="1.68"/>
    <n v="7"/>
    <n v="0.82"/>
    <n v="811"/>
    <n v="2.71"/>
    <n v="0.27"/>
    <d v="2024-06-03T00:00:00"/>
    <n v="163.6"/>
    <n v="0.34599999999999997"/>
    <n v="12974.57"/>
    <x v="0"/>
    <x v="1"/>
  </r>
  <r>
    <x v="838"/>
    <x v="2"/>
    <n v="51"/>
    <n v="41"/>
    <n v="10"/>
    <n v="9"/>
    <n v="47.55"/>
    <x v="18"/>
    <x v="3"/>
    <n v="36"/>
    <n v="2.52"/>
    <n v="144.43"/>
    <n v="0.41"/>
    <n v="0"/>
    <n v="0.75"/>
    <n v="618"/>
    <n v="10.5"/>
    <n v="0.52"/>
    <d v="2024-04-15T00:00:00"/>
    <n v="245.18"/>
    <n v="0.753"/>
    <n v="7365.93"/>
    <x v="0"/>
    <x v="2"/>
  </r>
  <r>
    <x v="839"/>
    <x v="2"/>
    <n v="371"/>
    <n v="93"/>
    <n v="10"/>
    <n v="8"/>
    <n v="6.63"/>
    <x v="18"/>
    <x v="3"/>
    <n v="146"/>
    <n v="1.59"/>
    <n v="14"/>
    <n v="1.1399999999999999"/>
    <n v="7"/>
    <n v="0.83"/>
    <n v="406"/>
    <n v="2.1800000000000002"/>
    <n v="0.32"/>
    <d v="2024-09-22T00:00:00"/>
    <n v="112.67"/>
    <n v="0.40500000000000003"/>
    <n v="5194"/>
    <x v="0"/>
    <x v="0"/>
  </r>
  <r>
    <x v="840"/>
    <x v="1"/>
    <n v="147"/>
    <n v="10"/>
    <n v="13"/>
    <n v="7"/>
    <n v="47.87"/>
    <x v="72"/>
    <x v="2"/>
    <n v="173"/>
    <n v="3.37"/>
    <n v="125.6"/>
    <n v="0.34"/>
    <n v="7"/>
    <n v="0.73"/>
    <n v="571"/>
    <n v="12.3"/>
    <n v="0.42"/>
    <d v="2024-11-06T00:00:00"/>
    <n v="255.58"/>
    <n v="0.62"/>
    <n v="18463.2"/>
    <x v="0"/>
    <x v="1"/>
  </r>
  <r>
    <x v="841"/>
    <x v="1"/>
    <n v="471"/>
    <n v="63"/>
    <n v="13"/>
    <n v="5"/>
    <n v="19.05"/>
    <x v="21"/>
    <x v="2"/>
    <n v="102"/>
    <n v="1.24"/>
    <n v="192.76"/>
    <n v="1.75"/>
    <n v="2"/>
    <n v="0.96"/>
    <n v="509"/>
    <n v="14.69"/>
    <n v="0.98"/>
    <d v="2024-09-17T00:00:00"/>
    <n v="104.58"/>
    <n v="0.76900000000000002"/>
    <n v="90789.959999999992"/>
    <x v="0"/>
    <x v="0"/>
  </r>
  <r>
    <x v="842"/>
    <x v="4"/>
    <n v="421"/>
    <n v="67"/>
    <n v="8"/>
    <n v="3"/>
    <n v="32.67"/>
    <x v="1"/>
    <x v="3"/>
    <n v="109"/>
    <n v="1.78"/>
    <n v="135.59"/>
    <n v="1.69"/>
    <n v="0"/>
    <n v="0.71"/>
    <n v="642"/>
    <n v="9.77"/>
    <n v="0.99"/>
    <d v="2024-04-06T00:00:00"/>
    <n v="223.32"/>
    <n v="0.70099999999999996"/>
    <n v="57083.39"/>
    <x v="0"/>
    <x v="0"/>
  </r>
  <r>
    <x v="843"/>
    <x v="4"/>
    <n v="388"/>
    <n v="79"/>
    <n v="12"/>
    <n v="9"/>
    <n v="2.7"/>
    <x v="64"/>
    <x v="3"/>
    <n v="140"/>
    <n v="4.0199999999999996"/>
    <n v="185.23"/>
    <n v="1.71"/>
    <n v="8"/>
    <n v="0.81"/>
    <n v="991"/>
    <n v="2.08"/>
    <n v="0.57999999999999996"/>
    <d v="2024-07-19T00:00:00"/>
    <n v="43.42"/>
    <n v="0.375"/>
    <n v="71869.239999999991"/>
    <x v="0"/>
    <x v="0"/>
  </r>
  <r>
    <x v="844"/>
    <x v="1"/>
    <n v="358"/>
    <n v="92"/>
    <n v="11"/>
    <n v="7"/>
    <n v="44.56"/>
    <x v="28"/>
    <x v="3"/>
    <n v="126"/>
    <n v="2.57"/>
    <n v="117.54"/>
    <n v="1.44"/>
    <n v="3"/>
    <n v="0.73"/>
    <n v="651"/>
    <n v="9.2100000000000009"/>
    <n v="0.35"/>
    <d v="2024-05-31T00:00:00"/>
    <n v="28.04"/>
    <n v="0.53500000000000003"/>
    <n v="42079.32"/>
    <x v="0"/>
    <x v="0"/>
  </r>
  <r>
    <x v="845"/>
    <x v="1"/>
    <n v="62"/>
    <n v="27"/>
    <n v="13"/>
    <n v="5"/>
    <n v="32.44"/>
    <x v="88"/>
    <x v="2"/>
    <n v="160"/>
    <n v="4.97"/>
    <n v="170.24"/>
    <n v="0.99"/>
    <n v="6"/>
    <n v="0.93"/>
    <n v="950"/>
    <n v="11.37"/>
    <n v="0.64"/>
    <d v="2024-11-26T00:00:00"/>
    <n v="223.9"/>
    <n v="0.64700000000000002"/>
    <n v="10554.880000000001"/>
    <x v="0"/>
    <x v="2"/>
  </r>
  <r>
    <x v="846"/>
    <x v="0"/>
    <n v="391"/>
    <n v="15"/>
    <n v="14"/>
    <n v="8"/>
    <n v="32.53"/>
    <x v="8"/>
    <x v="0"/>
    <n v="131"/>
    <n v="2.2400000000000002"/>
    <n v="33.590000000000003"/>
    <n v="0.87"/>
    <n v="8"/>
    <n v="0.79"/>
    <n v="950"/>
    <n v="14.06"/>
    <n v="0.46"/>
    <d v="2024-01-28T00:00:00"/>
    <n v="116.84"/>
    <n v="0.59"/>
    <n v="13133.69"/>
    <x v="0"/>
    <x v="0"/>
  </r>
  <r>
    <x v="847"/>
    <x v="2"/>
    <n v="438"/>
    <n v="54"/>
    <n v="11"/>
    <n v="4"/>
    <n v="45.21"/>
    <x v="73"/>
    <x v="0"/>
    <n v="119"/>
    <n v="2.58"/>
    <n v="33.47"/>
    <n v="0.85"/>
    <n v="2"/>
    <n v="0.73"/>
    <n v="681"/>
    <n v="1.64"/>
    <n v="0.94"/>
    <d v="2024-05-02T00:00:00"/>
    <n v="123.97"/>
    <n v="0.63100000000000001"/>
    <n v="14659.859999999999"/>
    <x v="0"/>
    <x v="0"/>
  </r>
  <r>
    <x v="848"/>
    <x v="4"/>
    <n v="97"/>
    <n v="32"/>
    <n v="6"/>
    <n v="8"/>
    <n v="25.91"/>
    <x v="2"/>
    <x v="1"/>
    <n v="82"/>
    <n v="1.85"/>
    <n v="32.83"/>
    <n v="0.23"/>
    <n v="4"/>
    <n v="0.86"/>
    <n v="663"/>
    <n v="11.85"/>
    <n v="0.85"/>
    <d v="2024-09-10T00:00:00"/>
    <n v="176.5"/>
    <n v="0.79700000000000004"/>
    <n v="3184.5099999999998"/>
    <x v="0"/>
    <x v="2"/>
  </r>
  <r>
    <x v="849"/>
    <x v="2"/>
    <n v="333"/>
    <n v="32"/>
    <n v="14"/>
    <n v="3"/>
    <n v="21.12"/>
    <x v="88"/>
    <x v="3"/>
    <n v="39"/>
    <n v="1.56"/>
    <n v="102.88"/>
    <n v="1.9"/>
    <n v="9"/>
    <n v="0.97"/>
    <n v="544"/>
    <n v="2.86"/>
    <n v="0.45"/>
    <d v="2024-07-16T00:00:00"/>
    <n v="296.19"/>
    <n v="0.35199999999999998"/>
    <n v="34259.040000000001"/>
    <x v="0"/>
    <x v="0"/>
  </r>
  <r>
    <x v="850"/>
    <x v="2"/>
    <n v="308"/>
    <n v="35"/>
    <n v="3"/>
    <n v="8"/>
    <n v="43.44"/>
    <x v="47"/>
    <x v="3"/>
    <n v="28"/>
    <n v="4.6500000000000004"/>
    <n v="72.75"/>
    <n v="0.96"/>
    <n v="2"/>
    <n v="0.97"/>
    <n v="588"/>
    <n v="12.07"/>
    <n v="0.21"/>
    <d v="2024-02-27T00:00:00"/>
    <n v="59.74"/>
    <n v="0.66100000000000003"/>
    <n v="22407"/>
    <x v="0"/>
    <x v="0"/>
  </r>
  <r>
    <x v="851"/>
    <x v="1"/>
    <n v="289"/>
    <n v="86"/>
    <n v="3"/>
    <n v="7"/>
    <n v="37.380000000000003"/>
    <x v="9"/>
    <x v="3"/>
    <n v="111"/>
    <n v="3.87"/>
    <n v="146.65"/>
    <n v="1.87"/>
    <n v="4"/>
    <n v="0.77"/>
    <n v="310"/>
    <n v="13.44"/>
    <n v="1"/>
    <d v="2024-05-03T00:00:00"/>
    <n v="96.96"/>
    <n v="0.66600000000000004"/>
    <n v="42381.85"/>
    <x v="0"/>
    <x v="0"/>
  </r>
  <r>
    <x v="852"/>
    <x v="0"/>
    <n v="181"/>
    <n v="16"/>
    <n v="14"/>
    <n v="9"/>
    <n v="47.5"/>
    <x v="31"/>
    <x v="1"/>
    <n v="76"/>
    <n v="2"/>
    <n v="181.5"/>
    <n v="1.77"/>
    <n v="1"/>
    <n v="0.92"/>
    <n v="622"/>
    <n v="13.06"/>
    <n v="0.75"/>
    <d v="2024-09-12T00:00:00"/>
    <n v="198.12"/>
    <n v="0.71099999999999997"/>
    <n v="32851.5"/>
    <x v="0"/>
    <x v="1"/>
  </r>
  <r>
    <x v="853"/>
    <x v="3"/>
    <n v="208"/>
    <n v="88"/>
    <n v="12"/>
    <n v="3"/>
    <n v="47.07"/>
    <x v="70"/>
    <x v="3"/>
    <n v="59"/>
    <n v="3.65"/>
    <n v="127.68"/>
    <n v="1.67"/>
    <n v="3"/>
    <n v="0.71"/>
    <n v="185"/>
    <n v="10.14"/>
    <n v="0.54"/>
    <d v="2024-11-22T00:00:00"/>
    <n v="213.28"/>
    <n v="0.55800000000000005"/>
    <n v="26557.440000000002"/>
    <x v="0"/>
    <x v="1"/>
  </r>
  <r>
    <x v="854"/>
    <x v="0"/>
    <n v="266"/>
    <n v="53"/>
    <n v="7"/>
    <n v="9"/>
    <n v="19.73"/>
    <x v="21"/>
    <x v="0"/>
    <n v="57"/>
    <n v="4.8499999999999996"/>
    <n v="50.51"/>
    <n v="1.22"/>
    <n v="1"/>
    <n v="0.74"/>
    <n v="976"/>
    <n v="8.01"/>
    <n v="0.43"/>
    <d v="2024-10-31T00:00:00"/>
    <n v="214.78"/>
    <n v="0.59899999999999998"/>
    <n v="13435.66"/>
    <x v="0"/>
    <x v="0"/>
  </r>
  <r>
    <x v="855"/>
    <x v="0"/>
    <n v="407"/>
    <n v="36"/>
    <n v="4"/>
    <n v="2"/>
    <n v="22.9"/>
    <x v="20"/>
    <x v="3"/>
    <n v="12"/>
    <n v="0.83"/>
    <n v="186.87"/>
    <n v="0.28999999999999998"/>
    <n v="2"/>
    <n v="0.85"/>
    <n v="658"/>
    <n v="13.24"/>
    <n v="0.2"/>
    <d v="2024-02-06T00:00:00"/>
    <n v="182.67"/>
    <n v="0.71799999999999997"/>
    <n v="76056.09"/>
    <x v="0"/>
    <x v="0"/>
  </r>
  <r>
    <x v="856"/>
    <x v="2"/>
    <n v="235"/>
    <n v="35"/>
    <n v="8"/>
    <n v="6"/>
    <n v="13.54"/>
    <x v="59"/>
    <x v="1"/>
    <n v="75"/>
    <n v="1.69"/>
    <n v="110.29"/>
    <n v="0.72"/>
    <n v="4"/>
    <n v="0.77"/>
    <n v="710"/>
    <n v="8.27"/>
    <n v="0.32"/>
    <d v="2024-09-27T00:00:00"/>
    <n v="180.6"/>
    <n v="0.57599999999999996"/>
    <n v="25918.15"/>
    <x v="0"/>
    <x v="1"/>
  </r>
  <r>
    <x v="857"/>
    <x v="0"/>
    <n v="334"/>
    <n v="88"/>
    <n v="9"/>
    <n v="2"/>
    <n v="33.369999999999997"/>
    <x v="12"/>
    <x v="2"/>
    <n v="164"/>
    <n v="1.4"/>
    <n v="146.79"/>
    <n v="1.25"/>
    <n v="8"/>
    <n v="0.94"/>
    <n v="276"/>
    <n v="3.66"/>
    <n v="0.2"/>
    <d v="2024-01-07T00:00:00"/>
    <n v="52.95"/>
    <n v="0.39200000000000002"/>
    <n v="49027.86"/>
    <x v="0"/>
    <x v="0"/>
  </r>
  <r>
    <x v="858"/>
    <x v="4"/>
    <n v="432"/>
    <n v="45"/>
    <n v="3"/>
    <n v="7"/>
    <n v="18.86"/>
    <x v="62"/>
    <x v="2"/>
    <n v="115"/>
    <n v="4.41"/>
    <n v="179.2"/>
    <n v="0.13"/>
    <n v="2"/>
    <n v="0.98"/>
    <n v="838"/>
    <n v="14.2"/>
    <n v="0.68"/>
    <d v="2024-07-03T00:00:00"/>
    <n v="252.04"/>
    <n v="0.86799999999999999"/>
    <n v="77414.399999999994"/>
    <x v="0"/>
    <x v="0"/>
  </r>
  <r>
    <x v="859"/>
    <x v="2"/>
    <n v="358"/>
    <n v="64"/>
    <n v="8"/>
    <n v="6"/>
    <n v="39.520000000000003"/>
    <x v="44"/>
    <x v="0"/>
    <n v="120"/>
    <n v="1.31"/>
    <n v="198.07"/>
    <n v="0.18"/>
    <n v="9"/>
    <n v="0.7"/>
    <n v="868"/>
    <n v="6.23"/>
    <n v="0.73"/>
    <d v="2024-06-11T00:00:00"/>
    <n v="12.58"/>
    <n v="0.57099999999999995"/>
    <n v="70909.06"/>
    <x v="0"/>
    <x v="0"/>
  </r>
  <r>
    <x v="860"/>
    <x v="4"/>
    <n v="409"/>
    <n v="73"/>
    <n v="10"/>
    <n v="2"/>
    <n v="6.96"/>
    <x v="5"/>
    <x v="0"/>
    <n v="49"/>
    <n v="1.89"/>
    <n v="106.15"/>
    <n v="1.39"/>
    <n v="5"/>
    <n v="0.77"/>
    <n v="896"/>
    <n v="9.74"/>
    <n v="0.81"/>
    <d v="2024-03-08T00:00:00"/>
    <n v="131.1"/>
    <n v="0.60699999999999998"/>
    <n v="43415.350000000006"/>
    <x v="0"/>
    <x v="0"/>
  </r>
  <r>
    <x v="861"/>
    <x v="3"/>
    <n v="396"/>
    <n v="66"/>
    <n v="14"/>
    <n v="6"/>
    <n v="6.7"/>
    <x v="8"/>
    <x v="0"/>
    <n v="134"/>
    <n v="2.95"/>
    <n v="163.53"/>
    <n v="1.79"/>
    <n v="3"/>
    <n v="0.83"/>
    <n v="277"/>
    <n v="3.79"/>
    <n v="0.35"/>
    <d v="2024-07-17T00:00:00"/>
    <n v="72.47"/>
    <n v="0.44800000000000001"/>
    <n v="64757.88"/>
    <x v="0"/>
    <x v="0"/>
  </r>
  <r>
    <x v="862"/>
    <x v="2"/>
    <n v="452"/>
    <n v="78"/>
    <n v="7"/>
    <n v="5"/>
    <n v="11.02"/>
    <x v="23"/>
    <x v="2"/>
    <n v="27"/>
    <n v="3.29"/>
    <n v="117.7"/>
    <n v="1.72"/>
    <n v="3"/>
    <n v="0.87"/>
    <n v="876"/>
    <n v="2.5499999999999998"/>
    <n v="0.28000000000000003"/>
    <d v="2024-10-18T00:00:00"/>
    <n v="40.26"/>
    <n v="0.432"/>
    <n v="53200.4"/>
    <x v="0"/>
    <x v="0"/>
  </r>
  <r>
    <x v="863"/>
    <x v="3"/>
    <n v="187"/>
    <n v="70"/>
    <n v="14"/>
    <n v="8"/>
    <n v="5.13"/>
    <x v="52"/>
    <x v="3"/>
    <n v="164"/>
    <n v="4.1399999999999997"/>
    <n v="102.43"/>
    <n v="0.42"/>
    <n v="9"/>
    <n v="0.97"/>
    <n v="810"/>
    <n v="8.7100000000000009"/>
    <n v="0.72"/>
    <d v="2024-08-03T00:00:00"/>
    <n v="102.65"/>
    <n v="0.63200000000000001"/>
    <n v="19154.41"/>
    <x v="0"/>
    <x v="1"/>
  </r>
  <r>
    <x v="864"/>
    <x v="2"/>
    <n v="358"/>
    <n v="11"/>
    <n v="9"/>
    <n v="3"/>
    <n v="31.38"/>
    <x v="85"/>
    <x v="1"/>
    <n v="148"/>
    <n v="2.33"/>
    <n v="112.17"/>
    <n v="1.83"/>
    <n v="9"/>
    <n v="0.97"/>
    <n v="307"/>
    <n v="8.76"/>
    <n v="0.6"/>
    <d v="2024-07-06T00:00:00"/>
    <n v="200.58"/>
    <n v="0.46800000000000003"/>
    <n v="40156.86"/>
    <x v="0"/>
    <x v="0"/>
  </r>
  <r>
    <x v="865"/>
    <x v="1"/>
    <n v="212"/>
    <n v="64"/>
    <n v="12"/>
    <n v="6"/>
    <n v="8.2200000000000006"/>
    <x v="57"/>
    <x v="1"/>
    <n v="176"/>
    <n v="2.9"/>
    <n v="102.01"/>
    <n v="1.42"/>
    <n v="4"/>
    <n v="0.89"/>
    <n v="463"/>
    <n v="6.18"/>
    <n v="0.9"/>
    <d v="2024-10-06T00:00:00"/>
    <n v="154.15"/>
    <n v="0.61799999999999999"/>
    <n v="21626.120000000003"/>
    <x v="0"/>
    <x v="1"/>
  </r>
  <r>
    <x v="866"/>
    <x v="0"/>
    <n v="472"/>
    <n v="89"/>
    <n v="8"/>
    <n v="5"/>
    <n v="8.84"/>
    <x v="77"/>
    <x v="3"/>
    <n v="28"/>
    <n v="4.84"/>
    <n v="90"/>
    <n v="1.46"/>
    <n v="6"/>
    <n v="0.78"/>
    <n v="875"/>
    <n v="5.36"/>
    <n v="0.63"/>
    <d v="2024-12-15T00:00:00"/>
    <n v="263.32"/>
    <n v="0.48699999999999999"/>
    <n v="42480"/>
    <x v="0"/>
    <x v="0"/>
  </r>
  <r>
    <x v="867"/>
    <x v="1"/>
    <n v="302"/>
    <n v="96"/>
    <n v="6"/>
    <n v="8"/>
    <n v="1.7"/>
    <x v="40"/>
    <x v="2"/>
    <n v="98"/>
    <n v="1.84"/>
    <n v="147.51"/>
    <n v="0.68"/>
    <n v="3"/>
    <n v="0.93"/>
    <n v="269"/>
    <n v="6.24"/>
    <n v="0.56000000000000005"/>
    <d v="2024-03-29T00:00:00"/>
    <n v="183.91"/>
    <n v="0.65300000000000002"/>
    <n v="44548.02"/>
    <x v="0"/>
    <x v="0"/>
  </r>
  <r>
    <x v="868"/>
    <x v="3"/>
    <n v="355"/>
    <n v="47"/>
    <n v="9"/>
    <n v="8"/>
    <n v="39.32"/>
    <x v="68"/>
    <x v="2"/>
    <n v="144"/>
    <n v="1.62"/>
    <n v="57.44"/>
    <n v="1.46"/>
    <n v="7"/>
    <n v="0.76"/>
    <n v="285"/>
    <n v="12.13"/>
    <n v="0.59"/>
    <d v="2024-08-29T00:00:00"/>
    <n v="83.41"/>
    <n v="0.54600000000000004"/>
    <n v="20391.2"/>
    <x v="0"/>
    <x v="0"/>
  </r>
  <r>
    <x v="869"/>
    <x v="0"/>
    <n v="409"/>
    <n v="89"/>
    <n v="12"/>
    <n v="4"/>
    <n v="40.799999999999997"/>
    <x v="36"/>
    <x v="1"/>
    <n v="66"/>
    <n v="3.7"/>
    <n v="127.11"/>
    <n v="1.45"/>
    <n v="8"/>
    <n v="0.99"/>
    <n v="69"/>
    <n v="6.01"/>
    <n v="0.83"/>
    <d v="2024-02-07T00:00:00"/>
    <n v="159.41"/>
    <n v="0.53900000000000003"/>
    <n v="51987.99"/>
    <x v="0"/>
    <x v="0"/>
  </r>
  <r>
    <x v="870"/>
    <x v="2"/>
    <n v="32"/>
    <n v="87"/>
    <n v="11"/>
    <n v="9"/>
    <n v="8.94"/>
    <x v="34"/>
    <x v="0"/>
    <n v="139"/>
    <n v="3.97"/>
    <n v="145.46"/>
    <n v="1.23"/>
    <n v="8"/>
    <n v="0.7"/>
    <n v="473"/>
    <n v="13.9"/>
    <n v="0.21"/>
    <d v="2024-01-09T00:00:00"/>
    <n v="75.94"/>
    <n v="0.48399999999999999"/>
    <n v="4654.72"/>
    <x v="1"/>
    <x v="2"/>
  </r>
  <r>
    <x v="871"/>
    <x v="0"/>
    <n v="259"/>
    <n v="38"/>
    <n v="12"/>
    <n v="2"/>
    <n v="37.24"/>
    <x v="39"/>
    <x v="0"/>
    <n v="47"/>
    <n v="2.37"/>
    <n v="179.5"/>
    <n v="0.78"/>
    <n v="8"/>
    <n v="0.87"/>
    <n v="462"/>
    <n v="2.58"/>
    <n v="0.93"/>
    <d v="2024-10-27T00:00:00"/>
    <n v="61.81"/>
    <n v="0.55600000000000005"/>
    <n v="46490.5"/>
    <x v="0"/>
    <x v="0"/>
  </r>
  <r>
    <x v="872"/>
    <x v="4"/>
    <n v="339"/>
    <n v="35"/>
    <n v="12"/>
    <n v="4"/>
    <n v="22.24"/>
    <x v="13"/>
    <x v="1"/>
    <n v="142"/>
    <n v="1.46"/>
    <n v="73.06"/>
    <n v="1.64"/>
    <n v="1"/>
    <n v="0.73"/>
    <n v="438"/>
    <n v="14.04"/>
    <n v="0.77"/>
    <d v="2024-02-04T00:00:00"/>
    <n v="286.95999999999998"/>
    <n v="0.70299999999999996"/>
    <n v="24767.34"/>
    <x v="0"/>
    <x v="0"/>
  </r>
  <r>
    <x v="873"/>
    <x v="0"/>
    <n v="465"/>
    <n v="44"/>
    <n v="9"/>
    <n v="9"/>
    <n v="12.74"/>
    <x v="51"/>
    <x v="1"/>
    <n v="91"/>
    <n v="4.01"/>
    <n v="173.51"/>
    <n v="1.88"/>
    <n v="2"/>
    <n v="0.82"/>
    <n v="394"/>
    <n v="10.65"/>
    <n v="0.91"/>
    <d v="2024-01-08T00:00:00"/>
    <n v="145.72999999999999"/>
    <n v="0.66"/>
    <n v="80682.149999999994"/>
    <x v="0"/>
    <x v="0"/>
  </r>
  <r>
    <x v="874"/>
    <x v="4"/>
    <n v="166"/>
    <n v="88"/>
    <n v="14"/>
    <n v="9"/>
    <n v="31.45"/>
    <x v="53"/>
    <x v="3"/>
    <n v="45"/>
    <n v="3.52"/>
    <n v="189.61"/>
    <n v="1.75"/>
    <n v="4"/>
    <n v="0.89"/>
    <n v="699"/>
    <n v="5.82"/>
    <n v="0.97"/>
    <d v="2024-05-14T00:00:00"/>
    <n v="198.85"/>
    <n v="0.59499999999999997"/>
    <n v="31475.260000000002"/>
    <x v="0"/>
    <x v="1"/>
  </r>
  <r>
    <x v="875"/>
    <x v="0"/>
    <n v="223"/>
    <n v="76"/>
    <n v="7"/>
    <n v="7"/>
    <n v="9.75"/>
    <x v="50"/>
    <x v="3"/>
    <n v="97"/>
    <n v="4.4400000000000004"/>
    <n v="133.25"/>
    <n v="0.56000000000000005"/>
    <n v="0"/>
    <n v="0.91"/>
    <n v="516"/>
    <n v="1.1000000000000001"/>
    <n v="0.38"/>
    <d v="2024-04-20T00:00:00"/>
    <n v="263.3"/>
    <n v="0.61699999999999999"/>
    <n v="29714.75"/>
    <x v="0"/>
    <x v="1"/>
  </r>
  <r>
    <x v="876"/>
    <x v="4"/>
    <n v="99"/>
    <n v="96"/>
    <n v="9"/>
    <n v="5"/>
    <n v="38.090000000000003"/>
    <x v="17"/>
    <x v="3"/>
    <n v="128"/>
    <n v="4.3"/>
    <n v="156.57"/>
    <n v="0.95"/>
    <n v="3"/>
    <n v="0.94"/>
    <n v="238"/>
    <n v="12.23"/>
    <n v="0.66"/>
    <d v="2024-01-21T00:00:00"/>
    <n v="103.43"/>
    <n v="0.72799999999999998"/>
    <n v="15500.429999999998"/>
    <x v="0"/>
    <x v="2"/>
  </r>
  <r>
    <x v="877"/>
    <x v="3"/>
    <n v="398"/>
    <n v="38"/>
    <n v="5"/>
    <n v="4"/>
    <n v="3.33"/>
    <x v="58"/>
    <x v="3"/>
    <n v="94"/>
    <n v="1.42"/>
    <n v="87.08"/>
    <n v="0.75"/>
    <n v="4"/>
    <n v="0.88"/>
    <n v="666"/>
    <n v="14.57"/>
    <n v="0.59"/>
    <d v="2024-01-31T00:00:00"/>
    <n v="238.82"/>
    <n v="0.73299999999999998"/>
    <n v="34657.839999999997"/>
    <x v="0"/>
    <x v="0"/>
  </r>
  <r>
    <x v="878"/>
    <x v="1"/>
    <n v="62"/>
    <n v="43"/>
    <n v="4"/>
    <n v="4"/>
    <n v="48"/>
    <x v="29"/>
    <x v="3"/>
    <n v="157"/>
    <n v="4.25"/>
    <n v="190.91"/>
    <n v="1.44"/>
    <n v="8"/>
    <n v="0.78"/>
    <n v="417"/>
    <n v="14.75"/>
    <n v="0.63"/>
    <d v="2024-07-22T00:00:00"/>
    <n v="238.76"/>
    <n v="0.57499999999999996"/>
    <n v="11836.42"/>
    <x v="0"/>
    <x v="2"/>
  </r>
  <r>
    <x v="879"/>
    <x v="2"/>
    <n v="477"/>
    <n v="50"/>
    <n v="13"/>
    <n v="9"/>
    <n v="4.5199999999999996"/>
    <x v="81"/>
    <x v="3"/>
    <n v="142"/>
    <n v="1.29"/>
    <n v="137.46"/>
    <n v="1.68"/>
    <n v="7"/>
    <n v="0.97"/>
    <n v="434"/>
    <n v="6.93"/>
    <n v="0.24"/>
    <d v="2024-09-16T00:00:00"/>
    <n v="248.96"/>
    <n v="0.42599999999999999"/>
    <n v="65568.42"/>
    <x v="0"/>
    <x v="0"/>
  </r>
  <r>
    <x v="880"/>
    <x v="0"/>
    <n v="108"/>
    <n v="50"/>
    <n v="7"/>
    <n v="8"/>
    <n v="29.39"/>
    <x v="24"/>
    <x v="0"/>
    <n v="33"/>
    <n v="4.3899999999999997"/>
    <n v="68.930000000000007"/>
    <n v="0.51"/>
    <n v="0"/>
    <n v="0.94"/>
    <n v="992"/>
    <n v="1.99"/>
    <n v="0.93"/>
    <d v="2024-05-26T00:00:00"/>
    <n v="64.94"/>
    <n v="0.75"/>
    <n v="7444.4400000000005"/>
    <x v="0"/>
    <x v="1"/>
  </r>
  <r>
    <x v="881"/>
    <x v="1"/>
    <n v="167"/>
    <n v="32"/>
    <n v="6"/>
    <n v="5"/>
    <n v="45.21"/>
    <x v="86"/>
    <x v="1"/>
    <n v="39"/>
    <n v="3.97"/>
    <n v="86.81"/>
    <n v="1.9"/>
    <n v="2"/>
    <n v="0.75"/>
    <n v="147"/>
    <n v="5.39"/>
    <n v="0.96"/>
    <d v="2024-11-17T00:00:00"/>
    <n v="289.22000000000003"/>
    <n v="0.58399999999999996"/>
    <n v="14497.27"/>
    <x v="0"/>
    <x v="1"/>
  </r>
  <r>
    <x v="882"/>
    <x v="2"/>
    <n v="114"/>
    <n v="80"/>
    <n v="7"/>
    <n v="8"/>
    <n v="1.58"/>
    <x v="8"/>
    <x v="2"/>
    <n v="37"/>
    <n v="3.06"/>
    <n v="127.37"/>
    <n v="1.39"/>
    <n v="2"/>
    <n v="0.95"/>
    <n v="319"/>
    <n v="5.34"/>
    <n v="0.75"/>
    <d v="2024-12-30T00:00:00"/>
    <n v="89.69"/>
    <n v="0.63200000000000001"/>
    <n v="14520.18"/>
    <x v="0"/>
    <x v="1"/>
  </r>
  <r>
    <x v="883"/>
    <x v="2"/>
    <n v="471"/>
    <n v="12"/>
    <n v="10"/>
    <n v="3"/>
    <n v="25.43"/>
    <x v="83"/>
    <x v="3"/>
    <n v="118"/>
    <n v="3.39"/>
    <n v="54.49"/>
    <n v="0.52"/>
    <n v="5"/>
    <n v="0.99"/>
    <n v="714"/>
    <n v="2.4300000000000002"/>
    <n v="0.41"/>
    <d v="2024-09-13T00:00:00"/>
    <n v="235.28"/>
    <n v="0.56000000000000005"/>
    <n v="25664.79"/>
    <x v="0"/>
    <x v="0"/>
  </r>
  <r>
    <x v="884"/>
    <x v="4"/>
    <n v="447"/>
    <n v="67"/>
    <n v="14"/>
    <n v="6"/>
    <n v="18.149999999999999"/>
    <x v="46"/>
    <x v="0"/>
    <n v="144"/>
    <n v="0.97"/>
    <n v="153.24"/>
    <n v="0.81"/>
    <n v="3"/>
    <n v="0.89"/>
    <n v="267"/>
    <n v="8.35"/>
    <n v="0.83"/>
    <d v="2024-07-31T00:00:00"/>
    <n v="57.07"/>
    <n v="0.71399999999999997"/>
    <n v="68498.28"/>
    <x v="0"/>
    <x v="0"/>
  </r>
  <r>
    <x v="885"/>
    <x v="3"/>
    <n v="170"/>
    <n v="41"/>
    <n v="6"/>
    <n v="7"/>
    <n v="29.44"/>
    <x v="0"/>
    <x v="1"/>
    <n v="179"/>
    <n v="0.68"/>
    <n v="52.69"/>
    <n v="0.3"/>
    <n v="3"/>
    <n v="0.78"/>
    <n v="70"/>
    <n v="9.4600000000000009"/>
    <n v="0.78"/>
    <d v="2024-08-04T00:00:00"/>
    <n v="278.02999999999997"/>
    <n v="0.748"/>
    <n v="8957.2999999999993"/>
    <x v="0"/>
    <x v="1"/>
  </r>
  <r>
    <x v="886"/>
    <x v="3"/>
    <n v="21"/>
    <n v="40"/>
    <n v="11"/>
    <n v="7"/>
    <n v="12.05"/>
    <x v="38"/>
    <x v="1"/>
    <n v="44"/>
    <n v="1.99"/>
    <n v="122.44"/>
    <n v="1.23"/>
    <n v="0"/>
    <n v="0.88"/>
    <n v="321"/>
    <n v="11.2"/>
    <n v="0.66"/>
    <d v="2024-12-25T00:00:00"/>
    <n v="134.08000000000001"/>
    <n v="0.73399999999999999"/>
    <n v="2571.2399999999998"/>
    <x v="1"/>
    <x v="2"/>
  </r>
  <r>
    <x v="887"/>
    <x v="1"/>
    <n v="395"/>
    <n v="91"/>
    <n v="9"/>
    <n v="2"/>
    <n v="4.18"/>
    <x v="49"/>
    <x v="1"/>
    <n v="128"/>
    <n v="4.2"/>
    <n v="142.43"/>
    <n v="0.42"/>
    <n v="9"/>
    <n v="0.8"/>
    <n v="763"/>
    <n v="1.71"/>
    <n v="0.34"/>
    <d v="2024-07-24T00:00:00"/>
    <n v="203.91"/>
    <n v="0.42899999999999999"/>
    <n v="56259.850000000006"/>
    <x v="0"/>
    <x v="0"/>
  </r>
  <r>
    <x v="888"/>
    <x v="3"/>
    <n v="41"/>
    <n v="52"/>
    <n v="12"/>
    <n v="8"/>
    <n v="31.67"/>
    <x v="30"/>
    <x v="3"/>
    <n v="43"/>
    <n v="2.6"/>
    <n v="173.35"/>
    <n v="1.42"/>
    <n v="3"/>
    <n v="0.9"/>
    <n v="209"/>
    <n v="4.8600000000000003"/>
    <n v="0.36"/>
    <d v="2024-02-12T00:00:00"/>
    <n v="256.56"/>
    <n v="0.51500000000000001"/>
    <n v="7107.3499999999995"/>
    <x v="1"/>
    <x v="2"/>
  </r>
  <r>
    <x v="889"/>
    <x v="0"/>
    <n v="390"/>
    <n v="16"/>
    <n v="14"/>
    <n v="6"/>
    <n v="21.43"/>
    <x v="83"/>
    <x v="3"/>
    <n v="112"/>
    <n v="1.51"/>
    <n v="149.44"/>
    <n v="1.5"/>
    <n v="0"/>
    <n v="0.86"/>
    <n v="541"/>
    <n v="5.97"/>
    <n v="0.67"/>
    <d v="2024-11-23T00:00:00"/>
    <n v="91.89"/>
    <n v="0.63600000000000001"/>
    <n v="58281.599999999999"/>
    <x v="0"/>
    <x v="0"/>
  </r>
  <r>
    <x v="890"/>
    <x v="3"/>
    <n v="332"/>
    <n v="10"/>
    <n v="9"/>
    <n v="9"/>
    <n v="31.5"/>
    <x v="84"/>
    <x v="2"/>
    <n v="126"/>
    <n v="4.26"/>
    <n v="161.78"/>
    <n v="1.01"/>
    <n v="4"/>
    <n v="0.98"/>
    <n v="478"/>
    <n v="13.49"/>
    <n v="0.3"/>
    <d v="2024-10-01T00:00:00"/>
    <n v="122.81"/>
    <n v="0.65500000000000003"/>
    <n v="53710.96"/>
    <x v="0"/>
    <x v="0"/>
  </r>
  <r>
    <x v="891"/>
    <x v="1"/>
    <n v="347"/>
    <n v="70"/>
    <n v="10"/>
    <n v="2"/>
    <n v="11.32"/>
    <x v="37"/>
    <x v="3"/>
    <n v="85"/>
    <n v="1.53"/>
    <n v="183.46"/>
    <n v="0.28000000000000003"/>
    <n v="2"/>
    <n v="0.89"/>
    <n v="625"/>
    <n v="13.62"/>
    <n v="0.78"/>
    <d v="2024-10-02T00:00:00"/>
    <n v="100.88"/>
    <n v="0.84799999999999998"/>
    <n v="63660.62"/>
    <x v="0"/>
    <x v="0"/>
  </r>
  <r>
    <x v="892"/>
    <x v="3"/>
    <n v="26"/>
    <n v="23"/>
    <n v="14"/>
    <n v="7"/>
    <n v="17.600000000000001"/>
    <x v="93"/>
    <x v="1"/>
    <n v="63"/>
    <n v="4.17"/>
    <n v="123.58"/>
    <n v="1.26"/>
    <n v="9"/>
    <n v="0.76"/>
    <n v="645"/>
    <n v="4.6399999999999997"/>
    <n v="0.37"/>
    <d v="2024-11-11T00:00:00"/>
    <n v="92.03"/>
    <n v="0.38200000000000001"/>
    <n v="3213.08"/>
    <x v="0"/>
    <x v="2"/>
  </r>
  <r>
    <x v="893"/>
    <x v="0"/>
    <n v="225"/>
    <n v="61"/>
    <n v="8"/>
    <n v="6"/>
    <n v="28.52"/>
    <x v="22"/>
    <x v="1"/>
    <n v="38"/>
    <n v="2.54"/>
    <n v="170.79"/>
    <n v="0.81"/>
    <n v="4"/>
    <n v="0.92"/>
    <n v="634"/>
    <n v="7.82"/>
    <n v="0.93"/>
    <d v="2024-03-19T00:00:00"/>
    <n v="157.99"/>
    <n v="0.71299999999999997"/>
    <n v="38427.75"/>
    <x v="0"/>
    <x v="1"/>
  </r>
  <r>
    <x v="894"/>
    <x v="4"/>
    <n v="459"/>
    <n v="15"/>
    <n v="10"/>
    <n v="4"/>
    <n v="30.06"/>
    <x v="56"/>
    <x v="0"/>
    <n v="147"/>
    <n v="2.59"/>
    <n v="54.06"/>
    <n v="1.9"/>
    <n v="2"/>
    <n v="0.79"/>
    <n v="621"/>
    <n v="6.95"/>
    <n v="0.92"/>
    <d v="2024-05-22T00:00:00"/>
    <n v="168.56"/>
    <n v="0.60499999999999998"/>
    <n v="24813.54"/>
    <x v="0"/>
    <x v="0"/>
  </r>
  <r>
    <x v="895"/>
    <x v="1"/>
    <n v="394"/>
    <n v="19"/>
    <n v="5"/>
    <n v="3"/>
    <n v="19.239999999999998"/>
    <x v="99"/>
    <x v="0"/>
    <n v="36"/>
    <n v="1.73"/>
    <n v="164.8"/>
    <n v="1.08"/>
    <n v="4"/>
    <n v="0.78"/>
    <n v="915"/>
    <n v="8.3699999999999992"/>
    <n v="0.43"/>
    <d v="2024-02-12T00:00:00"/>
    <n v="32.28"/>
    <n v="0.56599999999999995"/>
    <n v="64931.200000000004"/>
    <x v="0"/>
    <x v="0"/>
  </r>
  <r>
    <x v="896"/>
    <x v="4"/>
    <n v="470"/>
    <n v="80"/>
    <n v="12"/>
    <n v="9"/>
    <n v="14.72"/>
    <x v="39"/>
    <x v="2"/>
    <n v="22"/>
    <n v="4.55"/>
    <n v="52.12"/>
    <n v="0.24"/>
    <n v="3"/>
    <n v="0.82"/>
    <n v="708"/>
    <n v="5.01"/>
    <n v="0.27"/>
    <d v="2024-06-07T00:00:00"/>
    <n v="205.25"/>
    <n v="0.60099999999999998"/>
    <n v="24496.399999999998"/>
    <x v="0"/>
    <x v="0"/>
  </r>
  <r>
    <x v="897"/>
    <x v="4"/>
    <n v="133"/>
    <n v="99"/>
    <n v="12"/>
    <n v="4"/>
    <n v="14.41"/>
    <x v="64"/>
    <x v="0"/>
    <n v="51"/>
    <n v="0.9"/>
    <n v="187.58"/>
    <n v="1.31"/>
    <n v="8"/>
    <n v="0.7"/>
    <n v="96"/>
    <n v="7.48"/>
    <n v="0.69"/>
    <d v="2024-02-10T00:00:00"/>
    <n v="131.80000000000001"/>
    <n v="0.48699999999999999"/>
    <n v="24948.140000000003"/>
    <x v="0"/>
    <x v="1"/>
  </r>
  <r>
    <x v="898"/>
    <x v="4"/>
    <n v="291"/>
    <n v="39"/>
    <n v="3"/>
    <n v="3"/>
    <n v="9.56"/>
    <x v="97"/>
    <x v="2"/>
    <n v="174"/>
    <n v="1.1499999999999999"/>
    <n v="72.69"/>
    <n v="1.58"/>
    <n v="5"/>
    <n v="0.99"/>
    <n v="272"/>
    <n v="3.04"/>
    <n v="0.56000000000000005"/>
    <d v="2024-09-18T00:00:00"/>
    <n v="267.95999999999998"/>
    <n v="0.49299999999999999"/>
    <n v="21152.79"/>
    <x v="0"/>
    <x v="0"/>
  </r>
  <r>
    <x v="899"/>
    <x v="2"/>
    <n v="102"/>
    <n v="30"/>
    <n v="8"/>
    <n v="9"/>
    <n v="16.940000000000001"/>
    <x v="61"/>
    <x v="0"/>
    <n v="30"/>
    <n v="3.36"/>
    <n v="42.65"/>
    <n v="0.4"/>
    <n v="9"/>
    <n v="0.86"/>
    <n v="207"/>
    <n v="10.93"/>
    <n v="0.31"/>
    <d v="2024-04-14T00:00:00"/>
    <n v="266.8"/>
    <n v="0.56000000000000005"/>
    <n v="4350.3"/>
    <x v="0"/>
    <x v="1"/>
  </r>
  <r>
    <x v="900"/>
    <x v="2"/>
    <n v="198"/>
    <n v="69"/>
    <n v="3"/>
    <n v="8"/>
    <n v="10.77"/>
    <x v="83"/>
    <x v="1"/>
    <n v="140"/>
    <n v="4.33"/>
    <n v="38.15"/>
    <n v="0.95"/>
    <n v="1"/>
    <n v="0.93"/>
    <n v="96"/>
    <n v="6.18"/>
    <n v="0.63"/>
    <d v="2024-03-20T00:00:00"/>
    <n v="218.83"/>
    <n v="0.67900000000000005"/>
    <n v="7553.7"/>
    <x v="0"/>
    <x v="1"/>
  </r>
  <r>
    <x v="901"/>
    <x v="4"/>
    <n v="229"/>
    <n v="90"/>
    <n v="11"/>
    <n v="5"/>
    <n v="32.06"/>
    <x v="37"/>
    <x v="3"/>
    <n v="145"/>
    <n v="0.93"/>
    <n v="45.58"/>
    <n v="1.51"/>
    <n v="0"/>
    <n v="0.78"/>
    <n v="850"/>
    <n v="8.59"/>
    <n v="0.99"/>
    <d v="2024-10-01T00:00:00"/>
    <n v="257.60000000000002"/>
    <n v="0.71799999999999997"/>
    <n v="10437.82"/>
    <x v="0"/>
    <x v="1"/>
  </r>
  <r>
    <x v="902"/>
    <x v="1"/>
    <n v="483"/>
    <n v="83"/>
    <n v="4"/>
    <n v="2"/>
    <n v="28.88"/>
    <x v="12"/>
    <x v="3"/>
    <n v="79"/>
    <n v="3.8"/>
    <n v="95.03"/>
    <n v="0.14000000000000001"/>
    <n v="0"/>
    <n v="0.92"/>
    <n v="771"/>
    <n v="9.4600000000000009"/>
    <n v="0.26"/>
    <d v="2024-06-16T00:00:00"/>
    <n v="277.52999999999997"/>
    <n v="0.748"/>
    <n v="45899.49"/>
    <x v="0"/>
    <x v="0"/>
  </r>
  <r>
    <x v="903"/>
    <x v="0"/>
    <n v="347"/>
    <n v="72"/>
    <n v="13"/>
    <n v="2"/>
    <n v="19.75"/>
    <x v="56"/>
    <x v="2"/>
    <n v="154"/>
    <n v="3.84"/>
    <n v="109.21"/>
    <n v="0.16"/>
    <n v="0"/>
    <n v="0.87"/>
    <n v="582"/>
    <n v="12.71"/>
    <n v="0.41"/>
    <d v="2024-07-19T00:00:00"/>
    <n v="177.43"/>
    <n v="0.80900000000000005"/>
    <n v="37895.869999999995"/>
    <x v="0"/>
    <x v="0"/>
  </r>
  <r>
    <x v="904"/>
    <x v="0"/>
    <n v="143"/>
    <n v="51"/>
    <n v="4"/>
    <n v="5"/>
    <n v="16.97"/>
    <x v="63"/>
    <x v="3"/>
    <n v="19"/>
    <n v="3.12"/>
    <n v="183.62"/>
    <n v="1.39"/>
    <n v="8"/>
    <n v="0.83"/>
    <n v="400"/>
    <n v="2.14"/>
    <n v="0.63"/>
    <d v="2024-10-27T00:00:00"/>
    <n v="291.85000000000002"/>
    <n v="0.42199999999999999"/>
    <n v="26257.66"/>
    <x v="0"/>
    <x v="1"/>
  </r>
  <r>
    <x v="905"/>
    <x v="3"/>
    <n v="132"/>
    <n v="60"/>
    <n v="9"/>
    <n v="6"/>
    <n v="12.64"/>
    <x v="5"/>
    <x v="3"/>
    <n v="150"/>
    <n v="2.69"/>
    <n v="82.39"/>
    <n v="1.48"/>
    <n v="4"/>
    <n v="0.99"/>
    <n v="368"/>
    <n v="7.76"/>
    <n v="0.83"/>
    <d v="2024-11-20T00:00:00"/>
    <n v="287.07"/>
    <n v="0.63900000000000001"/>
    <n v="10875.48"/>
    <x v="0"/>
    <x v="1"/>
  </r>
  <r>
    <x v="906"/>
    <x v="1"/>
    <n v="31"/>
    <n v="73"/>
    <n v="4"/>
    <n v="5"/>
    <n v="27.24"/>
    <x v="11"/>
    <x v="0"/>
    <n v="115"/>
    <n v="1.94"/>
    <n v="51.32"/>
    <n v="1.71"/>
    <n v="3"/>
    <n v="0.85"/>
    <n v="280"/>
    <n v="13.52"/>
    <n v="0.22"/>
    <d v="2024-11-28T00:00:00"/>
    <n v="41.87"/>
    <n v="0.56299999999999994"/>
    <n v="1590.92"/>
    <x v="1"/>
    <x v="2"/>
  </r>
  <r>
    <x v="907"/>
    <x v="2"/>
    <n v="145"/>
    <n v="85"/>
    <n v="12"/>
    <n v="8"/>
    <n v="46.03"/>
    <x v="4"/>
    <x v="1"/>
    <n v="21"/>
    <n v="2.08"/>
    <n v="151.33000000000001"/>
    <n v="0.86"/>
    <n v="9"/>
    <n v="0.9"/>
    <n v="347"/>
    <n v="5.62"/>
    <n v="0.79"/>
    <d v="2024-12-14T00:00:00"/>
    <n v="161.6"/>
    <n v="0.54700000000000004"/>
    <n v="21942.850000000002"/>
    <x v="0"/>
    <x v="1"/>
  </r>
  <r>
    <x v="908"/>
    <x v="4"/>
    <n v="72"/>
    <n v="65"/>
    <n v="10"/>
    <n v="7"/>
    <n v="34.6"/>
    <x v="25"/>
    <x v="3"/>
    <n v="137"/>
    <n v="3.53"/>
    <n v="35.58"/>
    <n v="0.84"/>
    <n v="4"/>
    <n v="0.7"/>
    <n v="494"/>
    <n v="7.22"/>
    <n v="0.31"/>
    <d v="2024-11-25T00:00:00"/>
    <n v="43.2"/>
    <n v="0.53400000000000003"/>
    <n v="2561.7599999999998"/>
    <x v="0"/>
    <x v="2"/>
  </r>
  <r>
    <x v="909"/>
    <x v="3"/>
    <n v="350"/>
    <n v="89"/>
    <n v="8"/>
    <n v="5"/>
    <n v="37.479999999999997"/>
    <x v="5"/>
    <x v="1"/>
    <n v="160"/>
    <n v="0.79"/>
    <n v="179.53"/>
    <n v="1.1499999999999999"/>
    <n v="8"/>
    <n v="0.79"/>
    <n v="154"/>
    <n v="2.19"/>
    <n v="0.86"/>
    <d v="2024-02-03T00:00:00"/>
    <n v="208.4"/>
    <n v="0.48399999999999999"/>
    <n v="62835.5"/>
    <x v="0"/>
    <x v="0"/>
  </r>
  <r>
    <x v="910"/>
    <x v="0"/>
    <n v="408"/>
    <n v="50"/>
    <n v="9"/>
    <n v="3"/>
    <n v="41.88"/>
    <x v="75"/>
    <x v="0"/>
    <n v="137"/>
    <n v="3.13"/>
    <n v="87.79"/>
    <n v="1.54"/>
    <n v="2"/>
    <n v="0.97"/>
    <n v="687"/>
    <n v="11.51"/>
    <n v="0.75"/>
    <d v="2024-06-07T00:00:00"/>
    <n v="231.93"/>
    <n v="0.70299999999999996"/>
    <n v="35818.32"/>
    <x v="0"/>
    <x v="0"/>
  </r>
  <r>
    <x v="911"/>
    <x v="2"/>
    <n v="302"/>
    <n v="41"/>
    <n v="9"/>
    <n v="7"/>
    <n v="18.23"/>
    <x v="61"/>
    <x v="0"/>
    <n v="70"/>
    <n v="1.75"/>
    <n v="126.63"/>
    <n v="1.32"/>
    <n v="2"/>
    <n v="0.93"/>
    <n v="932"/>
    <n v="2.19"/>
    <n v="0.56999999999999995"/>
    <d v="2024-12-23T00:00:00"/>
    <n v="266.56"/>
    <n v="0.55700000000000005"/>
    <n v="38242.26"/>
    <x v="0"/>
    <x v="0"/>
  </r>
  <r>
    <x v="912"/>
    <x v="2"/>
    <n v="159"/>
    <n v="24"/>
    <n v="8"/>
    <n v="5"/>
    <n v="4.08"/>
    <x v="68"/>
    <x v="3"/>
    <n v="35"/>
    <n v="2.6"/>
    <n v="45.38"/>
    <n v="0.72"/>
    <n v="1"/>
    <n v="0.86"/>
    <n v="348"/>
    <n v="9.83"/>
    <n v="0.86"/>
    <d v="2024-08-11T00:00:00"/>
    <n v="198.5"/>
    <n v="0.78300000000000003"/>
    <n v="7215.42"/>
    <x v="0"/>
    <x v="1"/>
  </r>
  <r>
    <x v="913"/>
    <x v="4"/>
    <n v="420"/>
    <n v="71"/>
    <n v="12"/>
    <n v="2"/>
    <n v="31.51"/>
    <x v="99"/>
    <x v="3"/>
    <n v="24"/>
    <n v="3.02"/>
    <n v="37.65"/>
    <n v="0.76"/>
    <n v="7"/>
    <n v="0.97"/>
    <n v="117"/>
    <n v="6.24"/>
    <n v="0.79"/>
    <d v="2024-05-02T00:00:00"/>
    <n v="141.66"/>
    <n v="0.61899999999999999"/>
    <n v="15813"/>
    <x v="0"/>
    <x v="0"/>
  </r>
  <r>
    <x v="914"/>
    <x v="0"/>
    <n v="409"/>
    <n v="36"/>
    <n v="13"/>
    <n v="4"/>
    <n v="10.24"/>
    <x v="55"/>
    <x v="0"/>
    <n v="31"/>
    <n v="4.49"/>
    <n v="161.78"/>
    <n v="1.55"/>
    <n v="6"/>
    <n v="0.85"/>
    <n v="587"/>
    <n v="5.73"/>
    <n v="0.81"/>
    <d v="2024-01-30T00:00:00"/>
    <n v="55.22"/>
    <n v="0.53300000000000003"/>
    <n v="66168.02"/>
    <x v="0"/>
    <x v="0"/>
  </r>
  <r>
    <x v="915"/>
    <x v="1"/>
    <n v="116"/>
    <n v="37"/>
    <n v="11"/>
    <n v="3"/>
    <n v="28.88"/>
    <x v="31"/>
    <x v="0"/>
    <n v="98"/>
    <n v="3.11"/>
    <n v="91.64"/>
    <n v="1.1200000000000001"/>
    <n v="1"/>
    <n v="0.87"/>
    <n v="722"/>
    <n v="9.1999999999999993"/>
    <n v="0.43"/>
    <d v="2024-05-05T00:00:00"/>
    <n v="46.28"/>
    <n v="0.65100000000000002"/>
    <n v="10630.24"/>
    <x v="0"/>
    <x v="1"/>
  </r>
  <r>
    <x v="916"/>
    <x v="2"/>
    <n v="24"/>
    <n v="90"/>
    <n v="11"/>
    <n v="8"/>
    <n v="37.24"/>
    <x v="29"/>
    <x v="2"/>
    <n v="74"/>
    <n v="1.52"/>
    <n v="197.48"/>
    <n v="0.28999999999999998"/>
    <n v="3"/>
    <n v="0.81"/>
    <n v="669"/>
    <n v="8.9499999999999993"/>
    <n v="0.7"/>
    <d v="2024-02-14T00:00:00"/>
    <n v="150.84"/>
    <n v="0.73199999999999998"/>
    <n v="4739.5199999999995"/>
    <x v="1"/>
    <x v="2"/>
  </r>
  <r>
    <x v="917"/>
    <x v="4"/>
    <n v="76"/>
    <n v="73"/>
    <n v="9"/>
    <n v="3"/>
    <n v="39.4"/>
    <x v="2"/>
    <x v="2"/>
    <n v="163"/>
    <n v="0.86"/>
    <n v="109.62"/>
    <n v="0.39"/>
    <n v="6"/>
    <n v="0.89"/>
    <n v="850"/>
    <n v="6.68"/>
    <n v="0.31"/>
    <d v="2024-08-10T00:00:00"/>
    <n v="251.44"/>
    <n v="0.56999999999999995"/>
    <n v="8331.1200000000008"/>
    <x v="0"/>
    <x v="2"/>
  </r>
  <r>
    <x v="918"/>
    <x v="1"/>
    <n v="431"/>
    <n v="68"/>
    <n v="11"/>
    <n v="9"/>
    <n v="15.79"/>
    <x v="69"/>
    <x v="1"/>
    <n v="30"/>
    <n v="3.32"/>
    <n v="170.67"/>
    <n v="1.72"/>
    <n v="0"/>
    <n v="0.8"/>
    <n v="866"/>
    <n v="4.9000000000000004"/>
    <n v="0.86"/>
    <d v="2024-02-29T00:00:00"/>
    <n v="227.71"/>
    <n v="0.625"/>
    <n v="73558.76999999999"/>
    <x v="0"/>
    <x v="0"/>
  </r>
  <r>
    <x v="919"/>
    <x v="0"/>
    <n v="353"/>
    <n v="67"/>
    <n v="12"/>
    <n v="6"/>
    <n v="26.11"/>
    <x v="63"/>
    <x v="0"/>
    <n v="161"/>
    <n v="2.95"/>
    <n v="196.19"/>
    <n v="2"/>
    <n v="0"/>
    <n v="0.82"/>
    <n v="645"/>
    <n v="8.11"/>
    <n v="0.62"/>
    <d v="2024-08-20T00:00:00"/>
    <n v="265.43"/>
    <n v="0.59599999999999997"/>
    <n v="69255.069999999992"/>
    <x v="0"/>
    <x v="0"/>
  </r>
  <r>
    <x v="920"/>
    <x v="2"/>
    <n v="88"/>
    <n v="11"/>
    <n v="5"/>
    <n v="4"/>
    <n v="31.43"/>
    <x v="96"/>
    <x v="1"/>
    <n v="25"/>
    <n v="3.52"/>
    <n v="63.42"/>
    <n v="0.74"/>
    <n v="7"/>
    <n v="0.99"/>
    <n v="90"/>
    <n v="4.74"/>
    <n v="0.86"/>
    <d v="2024-11-09T00:00:00"/>
    <n v="245.19"/>
    <n v="0.61899999999999999"/>
    <n v="5580.96"/>
    <x v="0"/>
    <x v="2"/>
  </r>
  <r>
    <x v="921"/>
    <x v="1"/>
    <n v="137"/>
    <n v="45"/>
    <n v="5"/>
    <n v="3"/>
    <n v="41.15"/>
    <x v="86"/>
    <x v="0"/>
    <n v="169"/>
    <n v="2.57"/>
    <n v="162.16999999999999"/>
    <n v="0.83"/>
    <n v="5"/>
    <n v="0.73"/>
    <n v="249"/>
    <n v="2.44"/>
    <n v="0.37"/>
    <d v="2024-11-07T00:00:00"/>
    <n v="69.59"/>
    <n v="0.47"/>
    <n v="22217.289999999997"/>
    <x v="0"/>
    <x v="1"/>
  </r>
  <r>
    <x v="922"/>
    <x v="1"/>
    <n v="395"/>
    <n v="80"/>
    <n v="3"/>
    <n v="9"/>
    <n v="38.31"/>
    <x v="15"/>
    <x v="1"/>
    <n v="25"/>
    <n v="4.21"/>
    <n v="14.18"/>
    <n v="0.39"/>
    <n v="1"/>
    <n v="0.73"/>
    <n v="597"/>
    <n v="12.19"/>
    <n v="0.3"/>
    <d v="2024-01-29T00:00:00"/>
    <n v="68.09"/>
    <n v="0.71"/>
    <n v="5601.0999999999995"/>
    <x v="0"/>
    <x v="0"/>
  </r>
  <r>
    <x v="923"/>
    <x v="1"/>
    <n v="78"/>
    <n v="22"/>
    <n v="7"/>
    <n v="5"/>
    <n v="49.41"/>
    <x v="33"/>
    <x v="2"/>
    <n v="51"/>
    <n v="4.6399999999999997"/>
    <n v="139.15"/>
    <n v="0.55000000000000004"/>
    <n v="9"/>
    <n v="0.71"/>
    <n v="912"/>
    <n v="10.83"/>
    <n v="0.75"/>
    <d v="2024-06-07T00:00:00"/>
    <n v="142.82"/>
    <n v="0.60099999999999998"/>
    <n v="10853.7"/>
    <x v="0"/>
    <x v="2"/>
  </r>
  <r>
    <x v="924"/>
    <x v="2"/>
    <n v="52"/>
    <n v="24"/>
    <n v="6"/>
    <n v="3"/>
    <n v="1.4"/>
    <x v="35"/>
    <x v="0"/>
    <n v="169"/>
    <n v="0.68"/>
    <n v="151.59"/>
    <n v="0.91"/>
    <n v="9"/>
    <n v="0.8"/>
    <n v="424"/>
    <n v="2.1800000000000002"/>
    <n v="0.25"/>
    <d v="2024-12-07T00:00:00"/>
    <n v="65.44"/>
    <n v="0.36799999999999999"/>
    <n v="7882.68"/>
    <x v="0"/>
    <x v="2"/>
  </r>
  <r>
    <x v="925"/>
    <x v="2"/>
    <n v="337"/>
    <n v="98"/>
    <n v="4"/>
    <n v="3"/>
    <n v="22.44"/>
    <x v="29"/>
    <x v="0"/>
    <n v="50"/>
    <n v="3.85"/>
    <n v="100.7"/>
    <n v="0.64"/>
    <n v="0"/>
    <n v="0.82"/>
    <n v="455"/>
    <n v="3.28"/>
    <n v="0.4"/>
    <d v="2024-12-02T00:00:00"/>
    <n v="64.37"/>
    <n v="0.624"/>
    <n v="33935.9"/>
    <x v="0"/>
    <x v="0"/>
  </r>
  <r>
    <x v="926"/>
    <x v="3"/>
    <n v="69"/>
    <n v="96"/>
    <n v="11"/>
    <n v="3"/>
    <n v="13.55"/>
    <x v="4"/>
    <x v="1"/>
    <n v="117"/>
    <n v="0.66"/>
    <n v="40.799999999999997"/>
    <n v="1.43"/>
    <n v="2"/>
    <n v="0.73"/>
    <n v="283"/>
    <n v="2.4"/>
    <n v="0.93"/>
    <d v="2024-03-30T00:00:00"/>
    <n v="87.66"/>
    <n v="0.58099999999999996"/>
    <n v="2815.2"/>
    <x v="1"/>
    <x v="2"/>
  </r>
  <r>
    <x v="927"/>
    <x v="0"/>
    <n v="387"/>
    <n v="69"/>
    <n v="5"/>
    <n v="6"/>
    <n v="6.87"/>
    <x v="77"/>
    <x v="1"/>
    <n v="134"/>
    <n v="2.5"/>
    <n v="127.18"/>
    <n v="1.1200000000000001"/>
    <n v="3"/>
    <n v="0.86"/>
    <n v="557"/>
    <n v="12.07"/>
    <n v="0.31"/>
    <d v="2024-03-02T00:00:00"/>
    <n v="16.54"/>
    <n v="0.623"/>
    <n v="49218.66"/>
    <x v="0"/>
    <x v="0"/>
  </r>
  <r>
    <x v="928"/>
    <x v="4"/>
    <n v="38"/>
    <n v="31"/>
    <n v="10"/>
    <n v="3"/>
    <n v="45.66"/>
    <x v="23"/>
    <x v="3"/>
    <n v="161"/>
    <n v="2.58"/>
    <n v="180.53"/>
    <n v="1.66"/>
    <n v="4"/>
    <n v="0.87"/>
    <n v="291"/>
    <n v="11.82"/>
    <n v="0.5"/>
    <d v="2024-01-07T00:00:00"/>
    <n v="175.69"/>
    <n v="0.58599999999999997"/>
    <n v="6860.14"/>
    <x v="0"/>
    <x v="2"/>
  </r>
  <r>
    <x v="929"/>
    <x v="1"/>
    <n v="233"/>
    <n v="72"/>
    <n v="8"/>
    <n v="3"/>
    <n v="49.9"/>
    <x v="4"/>
    <x v="3"/>
    <n v="22"/>
    <n v="3.63"/>
    <n v="186.95"/>
    <n v="1.48"/>
    <n v="9"/>
    <n v="0.93"/>
    <n v="992"/>
    <n v="6.71"/>
    <n v="0.96"/>
    <d v="2024-12-28T00:00:00"/>
    <n v="125.02"/>
    <n v="0.53900000000000003"/>
    <n v="43559.35"/>
    <x v="0"/>
    <x v="1"/>
  </r>
  <r>
    <x v="930"/>
    <x v="3"/>
    <n v="216"/>
    <n v="99"/>
    <n v="7"/>
    <n v="6"/>
    <n v="9.85"/>
    <x v="19"/>
    <x v="2"/>
    <n v="88"/>
    <n v="2.09"/>
    <n v="151.76"/>
    <n v="0.34"/>
    <n v="2"/>
    <n v="0.99"/>
    <n v="388"/>
    <n v="12.5"/>
    <n v="0.22"/>
    <d v="2024-03-11T00:00:00"/>
    <n v="78.84"/>
    <n v="0.73499999999999999"/>
    <n v="32780.159999999996"/>
    <x v="0"/>
    <x v="1"/>
  </r>
  <r>
    <x v="931"/>
    <x v="4"/>
    <n v="398"/>
    <n v="84"/>
    <n v="3"/>
    <n v="9"/>
    <n v="2.88"/>
    <x v="81"/>
    <x v="0"/>
    <n v="147"/>
    <n v="4.1900000000000004"/>
    <n v="60.11"/>
    <n v="0.33"/>
    <n v="4"/>
    <n v="0.89"/>
    <n v="69"/>
    <n v="14.64"/>
    <n v="0.56000000000000005"/>
    <d v="2024-12-25T00:00:00"/>
    <n v="48.92"/>
    <n v="0.77200000000000002"/>
    <n v="23923.78"/>
    <x v="0"/>
    <x v="0"/>
  </r>
  <r>
    <x v="932"/>
    <x v="3"/>
    <n v="469"/>
    <n v="83"/>
    <n v="6"/>
    <n v="7"/>
    <n v="14.48"/>
    <x v="93"/>
    <x v="0"/>
    <n v="51"/>
    <n v="2.04"/>
    <n v="175.36"/>
    <n v="1.8"/>
    <n v="6"/>
    <n v="0.73"/>
    <n v="904"/>
    <n v="14.59"/>
    <n v="0.83"/>
    <d v="2024-01-06T00:00:00"/>
    <n v="142.19999999999999"/>
    <n v="0.60699999999999998"/>
    <n v="82243.840000000011"/>
    <x v="0"/>
    <x v="0"/>
  </r>
  <r>
    <x v="933"/>
    <x v="2"/>
    <n v="497"/>
    <n v="34"/>
    <n v="5"/>
    <n v="4"/>
    <n v="41.91"/>
    <x v="48"/>
    <x v="1"/>
    <n v="178"/>
    <n v="2.04"/>
    <n v="178.88"/>
    <n v="1.66"/>
    <n v="8"/>
    <n v="0.73"/>
    <n v="713"/>
    <n v="14.73"/>
    <n v="0.93"/>
    <d v="2024-03-24T00:00:00"/>
    <n v="184.57"/>
    <n v="0.60199999999999998"/>
    <n v="88903.360000000001"/>
    <x v="0"/>
    <x v="0"/>
  </r>
  <r>
    <x v="934"/>
    <x v="1"/>
    <n v="66"/>
    <n v="57"/>
    <n v="3"/>
    <n v="9"/>
    <n v="15.4"/>
    <x v="41"/>
    <x v="2"/>
    <n v="130"/>
    <n v="1.5"/>
    <n v="79.78"/>
    <n v="0.99"/>
    <n v="4"/>
    <n v="0.93"/>
    <n v="943"/>
    <n v="12.85"/>
    <n v="0.79"/>
    <d v="2024-09-11T00:00:00"/>
    <n v="292.25"/>
    <n v="0.73599999999999999"/>
    <n v="5265.4800000000005"/>
    <x v="0"/>
    <x v="2"/>
  </r>
  <r>
    <x v="935"/>
    <x v="4"/>
    <n v="186"/>
    <n v="52"/>
    <n v="14"/>
    <n v="8"/>
    <n v="3.79"/>
    <x v="89"/>
    <x v="0"/>
    <n v="140"/>
    <n v="3.58"/>
    <n v="44.77"/>
    <n v="0.35"/>
    <n v="3"/>
    <n v="0.9"/>
    <n v="220"/>
    <n v="4.04"/>
    <n v="0.91"/>
    <d v="2024-06-26T00:00:00"/>
    <n v="83.61"/>
    <n v="0.72099999999999997"/>
    <n v="8327.2200000000012"/>
    <x v="0"/>
    <x v="1"/>
  </r>
  <r>
    <x v="936"/>
    <x v="4"/>
    <n v="471"/>
    <n v="47"/>
    <n v="7"/>
    <n v="7"/>
    <n v="3.57"/>
    <x v="82"/>
    <x v="2"/>
    <n v="25"/>
    <n v="0.84"/>
    <n v="176.19"/>
    <n v="1.81"/>
    <n v="9"/>
    <n v="0.75"/>
    <n v="265"/>
    <n v="1.8"/>
    <n v="0.23"/>
    <d v="2024-09-24T00:00:00"/>
    <n v="17.64"/>
    <n v="0.25900000000000001"/>
    <n v="82985.490000000005"/>
    <x v="0"/>
    <x v="0"/>
  </r>
  <r>
    <x v="937"/>
    <x v="4"/>
    <n v="308"/>
    <n v="50"/>
    <n v="8"/>
    <n v="2"/>
    <n v="21.94"/>
    <x v="95"/>
    <x v="3"/>
    <n v="53"/>
    <n v="2.13"/>
    <n v="178.17"/>
    <n v="0.54"/>
    <n v="8"/>
    <n v="0.78"/>
    <n v="917"/>
    <n v="12.36"/>
    <n v="0.28000000000000003"/>
    <d v="2024-09-21T00:00:00"/>
    <n v="223.44"/>
    <n v="0.56299999999999994"/>
    <n v="54876.359999999993"/>
    <x v="0"/>
    <x v="0"/>
  </r>
  <r>
    <x v="938"/>
    <x v="4"/>
    <n v="160"/>
    <n v="54"/>
    <n v="4"/>
    <n v="6"/>
    <n v="46.66"/>
    <x v="86"/>
    <x v="1"/>
    <n v="167"/>
    <n v="1.7"/>
    <n v="29.17"/>
    <n v="0.17"/>
    <n v="7"/>
    <n v="0.93"/>
    <n v="890"/>
    <n v="5.32"/>
    <n v="0.79"/>
    <d v="2024-05-12T00:00:00"/>
    <n v="78.2"/>
    <n v="0.65800000000000003"/>
    <n v="4667.2000000000007"/>
    <x v="0"/>
    <x v="1"/>
  </r>
  <r>
    <x v="939"/>
    <x v="4"/>
    <n v="103"/>
    <n v="97"/>
    <n v="5"/>
    <n v="6"/>
    <n v="15.01"/>
    <x v="19"/>
    <x v="0"/>
    <n v="130"/>
    <n v="1.53"/>
    <n v="193.73"/>
    <n v="1.86"/>
    <n v="4"/>
    <n v="0.87"/>
    <n v="793"/>
    <n v="5.73"/>
    <n v="0.8"/>
    <d v="2024-03-26T00:00:00"/>
    <n v="150.44"/>
    <n v="0.54400000000000004"/>
    <n v="19954.189999999999"/>
    <x v="0"/>
    <x v="1"/>
  </r>
  <r>
    <x v="940"/>
    <x v="3"/>
    <n v="201"/>
    <n v="49"/>
    <n v="13"/>
    <n v="3"/>
    <n v="21.93"/>
    <x v="27"/>
    <x v="1"/>
    <n v="174"/>
    <n v="0.77"/>
    <n v="111.29"/>
    <n v="1.64"/>
    <n v="8"/>
    <n v="0.88"/>
    <n v="65"/>
    <n v="2.02"/>
    <n v="0.68"/>
    <d v="2024-07-09T00:00:00"/>
    <n v="244.39"/>
    <n v="0.41499999999999998"/>
    <n v="22369.29"/>
    <x v="0"/>
    <x v="1"/>
  </r>
  <r>
    <x v="941"/>
    <x v="1"/>
    <n v="410"/>
    <n v="26"/>
    <n v="8"/>
    <n v="3"/>
    <n v="5.99"/>
    <x v="89"/>
    <x v="3"/>
    <n v="33"/>
    <n v="1.36"/>
    <n v="198.81"/>
    <n v="1.42"/>
    <n v="8"/>
    <n v="0.76"/>
    <n v="332"/>
    <n v="11.01"/>
    <n v="0.78"/>
    <d v="2024-03-05T00:00:00"/>
    <n v="20.72"/>
    <n v="0.55300000000000005"/>
    <n v="81512.100000000006"/>
    <x v="0"/>
    <x v="0"/>
  </r>
  <r>
    <x v="942"/>
    <x v="2"/>
    <n v="98"/>
    <n v="97"/>
    <n v="6"/>
    <n v="8"/>
    <n v="25.19"/>
    <x v="62"/>
    <x v="2"/>
    <n v="35"/>
    <n v="2.5099999999999998"/>
    <n v="94.55"/>
    <n v="0.16"/>
    <n v="0"/>
    <n v="0.89"/>
    <n v="350"/>
    <n v="7.03"/>
    <n v="0.89"/>
    <d v="2024-05-17T00:00:00"/>
    <n v="51.04"/>
    <n v="0.83399999999999996"/>
    <n v="9265.9"/>
    <x v="0"/>
    <x v="2"/>
  </r>
  <r>
    <x v="943"/>
    <x v="2"/>
    <n v="234"/>
    <n v="66"/>
    <n v="11"/>
    <n v="2"/>
    <n v="35.130000000000003"/>
    <x v="91"/>
    <x v="2"/>
    <n v="67"/>
    <n v="2.77"/>
    <n v="111.32"/>
    <n v="1.1000000000000001"/>
    <n v="5"/>
    <n v="0.93"/>
    <n v="214"/>
    <n v="3.86"/>
    <n v="0.64"/>
    <d v="2024-03-01T00:00:00"/>
    <n v="38.47"/>
    <n v="0.55500000000000005"/>
    <n v="26048.879999999997"/>
    <x v="0"/>
    <x v="1"/>
  </r>
  <r>
    <x v="944"/>
    <x v="2"/>
    <n v="33"/>
    <n v="11"/>
    <n v="7"/>
    <n v="3"/>
    <n v="14.29"/>
    <x v="58"/>
    <x v="3"/>
    <n v="18"/>
    <n v="1.71"/>
    <n v="60.56"/>
    <n v="1.34"/>
    <n v="4"/>
    <n v="0.97"/>
    <n v="830"/>
    <n v="10.130000000000001"/>
    <n v="0.96"/>
    <d v="2024-01-16T00:00:00"/>
    <n v="77.78"/>
    <n v="0.70699999999999996"/>
    <n v="1998.48"/>
    <x v="0"/>
    <x v="2"/>
  </r>
  <r>
    <x v="945"/>
    <x v="2"/>
    <n v="234"/>
    <n v="71"/>
    <n v="6"/>
    <n v="5"/>
    <n v="15.54"/>
    <x v="21"/>
    <x v="3"/>
    <n v="135"/>
    <n v="3.43"/>
    <n v="180.8"/>
    <n v="1.54"/>
    <n v="5"/>
    <n v="0.92"/>
    <n v="740"/>
    <n v="14.72"/>
    <n v="0.76"/>
    <d v="2024-06-20T00:00:00"/>
    <n v="60.18"/>
    <n v="0.67800000000000005"/>
    <n v="42307.200000000004"/>
    <x v="0"/>
    <x v="1"/>
  </r>
  <r>
    <x v="946"/>
    <x v="3"/>
    <n v="422"/>
    <n v="97"/>
    <n v="4"/>
    <n v="3"/>
    <n v="42.26"/>
    <x v="86"/>
    <x v="0"/>
    <n v="28"/>
    <n v="2.0099999999999998"/>
    <n v="94.31"/>
    <n v="1"/>
    <n v="9"/>
    <n v="0.87"/>
    <n v="307"/>
    <n v="7.98"/>
    <n v="0.57999999999999996"/>
    <d v="2024-08-07T00:00:00"/>
    <n v="101.81"/>
    <n v="0.51600000000000001"/>
    <n v="39798.82"/>
    <x v="0"/>
    <x v="0"/>
  </r>
  <r>
    <x v="947"/>
    <x v="0"/>
    <n v="147"/>
    <n v="18"/>
    <n v="8"/>
    <n v="3"/>
    <n v="1.51"/>
    <x v="25"/>
    <x v="0"/>
    <n v="37"/>
    <n v="2.15"/>
    <n v="164.78"/>
    <n v="1.91"/>
    <n v="2"/>
    <n v="0.9"/>
    <n v="637"/>
    <n v="9.49"/>
    <n v="0.54"/>
    <d v="2024-05-19T00:00:00"/>
    <n v="226.43"/>
    <n v="0.58399999999999996"/>
    <n v="24222.66"/>
    <x v="0"/>
    <x v="1"/>
  </r>
  <r>
    <x v="948"/>
    <x v="1"/>
    <n v="329"/>
    <n v="77"/>
    <n v="12"/>
    <n v="5"/>
    <n v="32.19"/>
    <x v="87"/>
    <x v="0"/>
    <n v="144"/>
    <n v="4.0199999999999996"/>
    <n v="25.15"/>
    <n v="0.56999999999999995"/>
    <n v="2"/>
    <n v="0.85"/>
    <n v="666"/>
    <n v="3.28"/>
    <n v="0.8"/>
    <d v="2024-09-25T00:00:00"/>
    <n v="22.28"/>
    <n v="0.67700000000000005"/>
    <n v="8274.35"/>
    <x v="0"/>
    <x v="0"/>
  </r>
  <r>
    <x v="949"/>
    <x v="4"/>
    <n v="496"/>
    <n v="90"/>
    <n v="4"/>
    <n v="2"/>
    <n v="20.3"/>
    <x v="11"/>
    <x v="0"/>
    <n v="54"/>
    <n v="2.98"/>
    <n v="159.77000000000001"/>
    <n v="0.23"/>
    <n v="9"/>
    <n v="0.77"/>
    <n v="402"/>
    <n v="3.25"/>
    <n v="0.7"/>
    <d v="2024-02-02T00:00:00"/>
    <n v="31.39"/>
    <n v="0.53400000000000003"/>
    <n v="79245.919999999998"/>
    <x v="0"/>
    <x v="0"/>
  </r>
  <r>
    <x v="950"/>
    <x v="0"/>
    <n v="267"/>
    <n v="26"/>
    <n v="14"/>
    <n v="5"/>
    <n v="15.62"/>
    <x v="43"/>
    <x v="0"/>
    <n v="137"/>
    <n v="4.79"/>
    <n v="103.15"/>
    <n v="0.73"/>
    <n v="4"/>
    <n v="0.96"/>
    <n v="136"/>
    <n v="7.42"/>
    <n v="0.85"/>
    <d v="2024-05-14T00:00:00"/>
    <n v="173.65"/>
    <n v="0.70799999999999996"/>
    <n v="27541.050000000003"/>
    <x v="0"/>
    <x v="0"/>
  </r>
  <r>
    <x v="951"/>
    <x v="2"/>
    <n v="423"/>
    <n v="59"/>
    <n v="9"/>
    <n v="6"/>
    <n v="33.22"/>
    <x v="6"/>
    <x v="2"/>
    <n v="103"/>
    <n v="2.12"/>
    <n v="11.03"/>
    <n v="1.36"/>
    <n v="6"/>
    <n v="0.86"/>
    <n v="876"/>
    <n v="12.83"/>
    <n v="0.82"/>
    <d v="2024-12-30T00:00:00"/>
    <n v="160.88"/>
    <n v="0.65100000000000002"/>
    <n v="4665.6899999999996"/>
    <x v="0"/>
    <x v="0"/>
  </r>
  <r>
    <x v="952"/>
    <x v="0"/>
    <n v="48"/>
    <n v="49"/>
    <n v="5"/>
    <n v="5"/>
    <n v="41.9"/>
    <x v="67"/>
    <x v="0"/>
    <n v="174"/>
    <n v="4.2300000000000004"/>
    <n v="52.99"/>
    <n v="1.5"/>
    <n v="3"/>
    <n v="0.88"/>
    <n v="575"/>
    <n v="13.73"/>
    <n v="0.62"/>
    <d v="2024-10-22T00:00:00"/>
    <n v="147.47999999999999"/>
    <n v="0.67300000000000004"/>
    <n v="2543.52"/>
    <x v="1"/>
    <x v="2"/>
  </r>
  <r>
    <x v="953"/>
    <x v="1"/>
    <n v="299"/>
    <n v="67"/>
    <n v="11"/>
    <n v="4"/>
    <n v="28.36"/>
    <x v="62"/>
    <x v="3"/>
    <n v="25"/>
    <n v="3.82"/>
    <n v="46.81"/>
    <n v="1.5"/>
    <n v="5"/>
    <n v="1"/>
    <n v="920"/>
    <n v="9.98"/>
    <n v="0.96"/>
    <d v="2024-11-17T00:00:00"/>
    <n v="159.61000000000001"/>
    <n v="0.67500000000000004"/>
    <n v="13996.19"/>
    <x v="0"/>
    <x v="0"/>
  </r>
  <r>
    <x v="954"/>
    <x v="4"/>
    <n v="357"/>
    <n v="84"/>
    <n v="13"/>
    <n v="6"/>
    <n v="2.52"/>
    <x v="5"/>
    <x v="3"/>
    <n v="14"/>
    <n v="4.51"/>
    <n v="152.84"/>
    <n v="0.31"/>
    <n v="4"/>
    <n v="1"/>
    <n v="994"/>
    <n v="6.05"/>
    <n v="0.76"/>
    <d v="2024-02-09T00:00:00"/>
    <n v="225.19"/>
    <n v="0.72199999999999998"/>
    <n v="54563.880000000005"/>
    <x v="0"/>
    <x v="0"/>
  </r>
  <r>
    <x v="955"/>
    <x v="4"/>
    <n v="338"/>
    <n v="94"/>
    <n v="7"/>
    <n v="3"/>
    <n v="23.61"/>
    <x v="88"/>
    <x v="0"/>
    <n v="166"/>
    <n v="4.8099999999999996"/>
    <n v="100.67"/>
    <n v="1.78"/>
    <n v="1"/>
    <n v="0.88"/>
    <n v="847"/>
    <n v="11.5"/>
    <n v="0.36"/>
    <d v="2024-09-11T00:00:00"/>
    <n v="177.07"/>
    <n v="0.60299999999999998"/>
    <n v="34026.46"/>
    <x v="0"/>
    <x v="0"/>
  </r>
  <r>
    <x v="956"/>
    <x v="1"/>
    <n v="221"/>
    <n v="30"/>
    <n v="10"/>
    <n v="8"/>
    <n v="23.68"/>
    <x v="51"/>
    <x v="3"/>
    <n v="61"/>
    <n v="0.53"/>
    <n v="40.35"/>
    <n v="0.63"/>
    <n v="0"/>
    <n v="0.71"/>
    <n v="808"/>
    <n v="5.09"/>
    <n v="0.69"/>
    <d v="2024-08-21T00:00:00"/>
    <n v="142.52000000000001"/>
    <n v="0.68500000000000005"/>
    <n v="8917.35"/>
    <x v="0"/>
    <x v="1"/>
  </r>
  <r>
    <x v="957"/>
    <x v="1"/>
    <n v="380"/>
    <n v="27"/>
    <n v="13"/>
    <n v="6"/>
    <n v="27.65"/>
    <x v="73"/>
    <x v="1"/>
    <n v="160"/>
    <n v="0.9"/>
    <n v="58.79"/>
    <n v="0.5"/>
    <n v="5"/>
    <n v="0.82"/>
    <n v="927"/>
    <n v="4.07"/>
    <n v="0.36"/>
    <d v="2024-09-18T00:00:00"/>
    <n v="33.71"/>
    <n v="0.54"/>
    <n v="22340.2"/>
    <x v="0"/>
    <x v="0"/>
  </r>
  <r>
    <x v="958"/>
    <x v="2"/>
    <n v="76"/>
    <n v="64"/>
    <n v="8"/>
    <n v="2"/>
    <n v="33.880000000000003"/>
    <x v="53"/>
    <x v="2"/>
    <n v="15"/>
    <n v="3.53"/>
    <n v="105.77"/>
    <n v="1.27"/>
    <n v="4"/>
    <n v="0.98"/>
    <n v="802"/>
    <n v="12.14"/>
    <n v="0.65"/>
    <d v="2024-07-03T00:00:00"/>
    <n v="292.68"/>
    <n v="0.68100000000000005"/>
    <n v="8038.5199999999995"/>
    <x v="0"/>
    <x v="2"/>
  </r>
  <r>
    <x v="959"/>
    <x v="4"/>
    <n v="411"/>
    <n v="38"/>
    <n v="14"/>
    <n v="2"/>
    <n v="1.95"/>
    <x v="91"/>
    <x v="2"/>
    <n v="173"/>
    <n v="2.2599999999999998"/>
    <n v="13.73"/>
    <n v="0.5"/>
    <n v="8"/>
    <n v="0.79"/>
    <n v="915"/>
    <n v="11.52"/>
    <n v="0.83"/>
    <d v="2024-01-29T00:00:00"/>
    <n v="79.41"/>
    <n v="0.66800000000000004"/>
    <n v="5643.03"/>
    <x v="0"/>
    <x v="0"/>
  </r>
  <r>
    <x v="960"/>
    <x v="0"/>
    <n v="237"/>
    <n v="33"/>
    <n v="12"/>
    <n v="5"/>
    <n v="25.6"/>
    <x v="42"/>
    <x v="0"/>
    <n v="170"/>
    <n v="4.1900000000000004"/>
    <n v="90.58"/>
    <n v="1.07"/>
    <n v="6"/>
    <n v="1"/>
    <n v="58"/>
    <n v="13.35"/>
    <n v="0.85"/>
    <d v="2024-09-12T00:00:00"/>
    <n v="262.06"/>
    <n v="0.72099999999999997"/>
    <n v="21467.46"/>
    <x v="0"/>
    <x v="1"/>
  </r>
  <r>
    <x v="961"/>
    <x v="3"/>
    <n v="81"/>
    <n v="83"/>
    <n v="10"/>
    <n v="6"/>
    <n v="29.83"/>
    <x v="79"/>
    <x v="1"/>
    <n v="58"/>
    <n v="0.55000000000000004"/>
    <n v="138.83000000000001"/>
    <n v="0.87"/>
    <n v="0"/>
    <n v="0.73"/>
    <n v="512"/>
    <n v="9.07"/>
    <n v="0.72"/>
    <d v="2024-10-17T00:00:00"/>
    <n v="119.9"/>
    <n v="0.72399999999999998"/>
    <n v="11245.230000000001"/>
    <x v="1"/>
    <x v="2"/>
  </r>
  <r>
    <x v="962"/>
    <x v="3"/>
    <n v="176"/>
    <n v="26"/>
    <n v="13"/>
    <n v="3"/>
    <n v="17.82"/>
    <x v="34"/>
    <x v="0"/>
    <n v="178"/>
    <n v="4.13"/>
    <n v="108.37"/>
    <n v="0.54"/>
    <n v="9"/>
    <n v="0.87"/>
    <n v="585"/>
    <n v="13.55"/>
    <n v="0.83"/>
    <d v="2024-03-26T00:00:00"/>
    <n v="208.34"/>
    <n v="0.68700000000000006"/>
    <n v="19073.120000000003"/>
    <x v="0"/>
    <x v="1"/>
  </r>
  <r>
    <x v="963"/>
    <x v="1"/>
    <n v="221"/>
    <n v="27"/>
    <n v="14"/>
    <n v="2"/>
    <n v="33.75"/>
    <x v="13"/>
    <x v="0"/>
    <n v="89"/>
    <n v="1.1100000000000001"/>
    <n v="123.64"/>
    <n v="0.65"/>
    <n v="5"/>
    <n v="0.85"/>
    <n v="673"/>
    <n v="1.37"/>
    <n v="0.57999999999999996"/>
    <d v="2024-07-07T00:00:00"/>
    <n v="141.69999999999999"/>
    <n v="0.53900000000000003"/>
    <n v="27324.44"/>
    <x v="0"/>
    <x v="1"/>
  </r>
  <r>
    <x v="964"/>
    <x v="2"/>
    <n v="36"/>
    <n v="51"/>
    <n v="5"/>
    <n v="7"/>
    <n v="12.18"/>
    <x v="72"/>
    <x v="3"/>
    <n v="107"/>
    <n v="1.81"/>
    <n v="72.06"/>
    <n v="0.91"/>
    <n v="6"/>
    <n v="0.78"/>
    <n v="346"/>
    <n v="4.55"/>
    <n v="0.64"/>
    <d v="2024-03-21T00:00:00"/>
    <n v="112.71"/>
    <n v="0.53400000000000003"/>
    <n v="2594.16"/>
    <x v="1"/>
    <x v="2"/>
  </r>
  <r>
    <x v="965"/>
    <x v="3"/>
    <n v="341"/>
    <n v="93"/>
    <n v="5"/>
    <n v="3"/>
    <n v="16.55"/>
    <x v="42"/>
    <x v="2"/>
    <n v="116"/>
    <n v="4.8600000000000003"/>
    <n v="44.78"/>
    <n v="0.76"/>
    <n v="2"/>
    <n v="0.98"/>
    <n v="266"/>
    <n v="12.26"/>
    <n v="0.9"/>
    <d v="2024-05-10T00:00:00"/>
    <n v="188.15"/>
    <n v="0.82299999999999995"/>
    <n v="15269.98"/>
    <x v="0"/>
    <x v="0"/>
  </r>
  <r>
    <x v="966"/>
    <x v="4"/>
    <n v="25"/>
    <n v="54"/>
    <n v="7"/>
    <n v="7"/>
    <n v="48.18"/>
    <x v="94"/>
    <x v="1"/>
    <n v="163"/>
    <n v="0.73"/>
    <n v="163.85"/>
    <n v="0.82"/>
    <n v="8"/>
    <n v="0.89"/>
    <n v="277"/>
    <n v="6.93"/>
    <n v="0.59"/>
    <d v="2024-02-22T00:00:00"/>
    <n v="165.47"/>
    <n v="0.54600000000000004"/>
    <n v="4096.25"/>
    <x v="1"/>
    <x v="2"/>
  </r>
  <r>
    <x v="967"/>
    <x v="1"/>
    <n v="77"/>
    <n v="91"/>
    <n v="13"/>
    <n v="4"/>
    <n v="18.059999999999999"/>
    <x v="33"/>
    <x v="3"/>
    <n v="46"/>
    <n v="2.0699999999999998"/>
    <n v="182.07"/>
    <n v="1.5"/>
    <n v="1"/>
    <n v="0.77"/>
    <n v="81"/>
    <n v="4.3499999999999996"/>
    <n v="0.48"/>
    <d v="2024-10-20T00:00:00"/>
    <n v="77.41"/>
    <n v="0.53800000000000003"/>
    <n v="14019.39"/>
    <x v="1"/>
    <x v="2"/>
  </r>
  <r>
    <x v="968"/>
    <x v="0"/>
    <n v="344"/>
    <n v="26"/>
    <n v="12"/>
    <n v="7"/>
    <n v="17.98"/>
    <x v="23"/>
    <x v="2"/>
    <n v="125"/>
    <n v="0.88"/>
    <n v="107.04"/>
    <n v="0.42"/>
    <n v="0"/>
    <n v="0.82"/>
    <n v="480"/>
    <n v="12.15"/>
    <n v="0.84"/>
    <d v="2024-12-11T00:00:00"/>
    <n v="107.51"/>
    <n v="0.85199999999999998"/>
    <n v="36821.760000000002"/>
    <x v="0"/>
    <x v="0"/>
  </r>
  <r>
    <x v="969"/>
    <x v="1"/>
    <n v="431"/>
    <n v="82"/>
    <n v="5"/>
    <n v="9"/>
    <n v="30.19"/>
    <x v="38"/>
    <x v="2"/>
    <n v="26"/>
    <n v="4.34"/>
    <n v="67.959999999999994"/>
    <n v="1.29"/>
    <n v="9"/>
    <n v="0.92"/>
    <n v="838"/>
    <n v="12.51"/>
    <n v="0.24"/>
    <d v="2024-02-29T00:00:00"/>
    <n v="19.97"/>
    <n v="0.49"/>
    <n v="29290.76"/>
    <x v="0"/>
    <x v="0"/>
  </r>
  <r>
    <x v="970"/>
    <x v="0"/>
    <n v="337"/>
    <n v="23"/>
    <n v="10"/>
    <n v="2"/>
    <n v="48.58"/>
    <x v="56"/>
    <x v="0"/>
    <n v="41"/>
    <n v="3.66"/>
    <n v="107.13"/>
    <n v="1.39"/>
    <n v="9"/>
    <n v="0.79"/>
    <n v="219"/>
    <n v="7.39"/>
    <n v="0.97"/>
    <d v="2024-04-26T00:00:00"/>
    <n v="66.14"/>
    <n v="0.53200000000000003"/>
    <n v="36102.81"/>
    <x v="0"/>
    <x v="0"/>
  </r>
  <r>
    <x v="971"/>
    <x v="1"/>
    <n v="188"/>
    <n v="58"/>
    <n v="12"/>
    <n v="5"/>
    <n v="49.17"/>
    <x v="88"/>
    <x v="1"/>
    <n v="165"/>
    <n v="4.0999999999999996"/>
    <n v="177.01"/>
    <n v="1.62"/>
    <n v="8"/>
    <n v="0.96"/>
    <n v="280"/>
    <n v="7.53"/>
    <n v="0.47"/>
    <d v="2024-09-17T00:00:00"/>
    <n v="107.39"/>
    <n v="0.46400000000000002"/>
    <n v="33277.879999999997"/>
    <x v="0"/>
    <x v="1"/>
  </r>
  <r>
    <x v="972"/>
    <x v="1"/>
    <n v="472"/>
    <n v="38"/>
    <n v="14"/>
    <n v="4"/>
    <n v="29.4"/>
    <x v="80"/>
    <x v="0"/>
    <n v="34"/>
    <n v="2.87"/>
    <n v="141.37"/>
    <n v="1.71"/>
    <n v="6"/>
    <n v="0.75"/>
    <n v="119"/>
    <n v="11.93"/>
    <n v="0.7"/>
    <d v="2024-01-02T00:00:00"/>
    <n v="291.92"/>
    <n v="0.55800000000000005"/>
    <n v="66726.64"/>
    <x v="0"/>
    <x v="0"/>
  </r>
  <r>
    <x v="973"/>
    <x v="1"/>
    <n v="101"/>
    <n v="13"/>
    <n v="10"/>
    <n v="6"/>
    <n v="1.05"/>
    <x v="16"/>
    <x v="3"/>
    <n v="31"/>
    <n v="2.11"/>
    <n v="173.14"/>
    <n v="0.4"/>
    <n v="9"/>
    <n v="0.78"/>
    <n v="160"/>
    <n v="11.8"/>
    <n v="0.75"/>
    <d v="2024-01-23T00:00:00"/>
    <n v="162.86000000000001"/>
    <n v="0.64300000000000002"/>
    <n v="17487.14"/>
    <x v="0"/>
    <x v="1"/>
  </r>
  <r>
    <x v="974"/>
    <x v="0"/>
    <n v="493"/>
    <n v="91"/>
    <n v="4"/>
    <n v="3"/>
    <n v="45.13"/>
    <x v="40"/>
    <x v="0"/>
    <n v="70"/>
    <n v="0.51"/>
    <n v="72.39"/>
    <n v="0.36"/>
    <n v="0"/>
    <n v="0.74"/>
    <n v="138"/>
    <n v="13.13"/>
    <n v="0.31"/>
    <d v="2024-01-07T00:00:00"/>
    <n v="213.23"/>
    <n v="0.749"/>
    <n v="35688.269999999997"/>
    <x v="0"/>
    <x v="0"/>
  </r>
  <r>
    <x v="975"/>
    <x v="0"/>
    <n v="487"/>
    <n v="29"/>
    <n v="14"/>
    <n v="2"/>
    <n v="28.94"/>
    <x v="82"/>
    <x v="0"/>
    <n v="135"/>
    <n v="1.75"/>
    <n v="145.28"/>
    <n v="1.27"/>
    <n v="3"/>
    <n v="0.73"/>
    <n v="51"/>
    <n v="10.039999999999999"/>
    <n v="0.86"/>
    <d v="2024-05-05T00:00:00"/>
    <n v="205.34"/>
    <n v="0.66500000000000004"/>
    <n v="70751.360000000001"/>
    <x v="0"/>
    <x v="0"/>
  </r>
  <r>
    <x v="976"/>
    <x v="1"/>
    <n v="444"/>
    <n v="56"/>
    <n v="6"/>
    <n v="4"/>
    <n v="18.93"/>
    <x v="48"/>
    <x v="2"/>
    <n v="53"/>
    <n v="2.82"/>
    <n v="134.08000000000001"/>
    <n v="1.54"/>
    <n v="9"/>
    <n v="0.79"/>
    <n v="976"/>
    <n v="3.6"/>
    <n v="0.66"/>
    <d v="2024-01-24T00:00:00"/>
    <n v="294.45999999999998"/>
    <n v="0.40400000000000003"/>
    <n v="59531.520000000004"/>
    <x v="0"/>
    <x v="0"/>
  </r>
  <r>
    <x v="977"/>
    <x v="3"/>
    <n v="452"/>
    <n v="18"/>
    <n v="12"/>
    <n v="4"/>
    <n v="41.63"/>
    <x v="66"/>
    <x v="2"/>
    <n v="111"/>
    <n v="3.49"/>
    <n v="118.61"/>
    <n v="0.62"/>
    <n v="2"/>
    <n v="1"/>
    <n v="105"/>
    <n v="8.6999999999999993"/>
    <n v="0.46"/>
    <d v="2024-08-29T00:00:00"/>
    <n v="171.14"/>
    <n v="0.70599999999999996"/>
    <n v="53611.72"/>
    <x v="0"/>
    <x v="0"/>
  </r>
  <r>
    <x v="978"/>
    <x v="2"/>
    <n v="238"/>
    <n v="86"/>
    <n v="3"/>
    <n v="9"/>
    <n v="20.59"/>
    <x v="40"/>
    <x v="3"/>
    <n v="29"/>
    <n v="1.53"/>
    <n v="110.36"/>
    <n v="1.1000000000000001"/>
    <n v="6"/>
    <n v="0.73"/>
    <n v="719"/>
    <n v="6.35"/>
    <n v="0.88"/>
    <d v="2024-07-05T00:00:00"/>
    <n v="179.79"/>
    <n v="0.57699999999999996"/>
    <n v="26265.68"/>
    <x v="0"/>
    <x v="1"/>
  </r>
  <r>
    <x v="979"/>
    <x v="2"/>
    <n v="196"/>
    <n v="88"/>
    <n v="6"/>
    <n v="2"/>
    <n v="2.67"/>
    <x v="72"/>
    <x v="2"/>
    <n v="118"/>
    <n v="1.1299999999999999"/>
    <n v="114.69"/>
    <n v="1.57"/>
    <n v="4"/>
    <n v="0.76"/>
    <n v="320"/>
    <n v="1.38"/>
    <n v="0.7"/>
    <d v="2024-07-15T00:00:00"/>
    <n v="97.02"/>
    <n v="0.47299999999999998"/>
    <n v="22479.239999999998"/>
    <x v="0"/>
    <x v="1"/>
  </r>
  <r>
    <x v="980"/>
    <x v="2"/>
    <n v="223"/>
    <n v="36"/>
    <n v="14"/>
    <n v="6"/>
    <n v="41.23"/>
    <x v="39"/>
    <x v="2"/>
    <n v="97"/>
    <n v="1.41"/>
    <n v="171.44"/>
    <n v="1.56"/>
    <n v="8"/>
    <n v="0.78"/>
    <n v="323"/>
    <n v="3.75"/>
    <n v="0.83"/>
    <d v="2024-03-17T00:00:00"/>
    <n v="191.57"/>
    <n v="0.45600000000000002"/>
    <n v="38231.120000000003"/>
    <x v="0"/>
    <x v="1"/>
  </r>
  <r>
    <x v="981"/>
    <x v="0"/>
    <n v="90"/>
    <n v="24"/>
    <n v="13"/>
    <n v="6"/>
    <n v="27.75"/>
    <x v="27"/>
    <x v="2"/>
    <n v="56"/>
    <n v="2.09"/>
    <n v="184.04"/>
    <n v="1.34"/>
    <n v="2"/>
    <n v="0.89"/>
    <n v="593"/>
    <n v="3.88"/>
    <n v="0.99"/>
    <d v="2024-04-01T00:00:00"/>
    <n v="229.74"/>
    <n v="0.65400000000000003"/>
    <n v="16563.599999999999"/>
    <x v="0"/>
    <x v="2"/>
  </r>
  <r>
    <x v="982"/>
    <x v="0"/>
    <n v="406"/>
    <n v="28"/>
    <n v="6"/>
    <n v="5"/>
    <n v="17.57"/>
    <x v="62"/>
    <x v="0"/>
    <n v="60"/>
    <n v="1.17"/>
    <n v="31.44"/>
    <n v="0.25"/>
    <n v="5"/>
    <n v="0.92"/>
    <n v="319"/>
    <n v="2.15"/>
    <n v="0.3"/>
    <d v="2024-01-19T00:00:00"/>
    <n v="39.94"/>
    <n v="0.54800000000000004"/>
    <n v="12764.640000000001"/>
    <x v="0"/>
    <x v="0"/>
  </r>
  <r>
    <x v="983"/>
    <x v="3"/>
    <n v="285"/>
    <n v="99"/>
    <n v="12"/>
    <n v="8"/>
    <n v="13.29"/>
    <x v="96"/>
    <x v="1"/>
    <n v="48"/>
    <n v="1.21"/>
    <n v="118.07"/>
    <n v="0.2"/>
    <n v="9"/>
    <n v="0.93"/>
    <n v="239"/>
    <n v="7.35"/>
    <n v="0.8"/>
    <d v="2024-10-10T00:00:00"/>
    <n v="149.24"/>
    <n v="0.64400000000000002"/>
    <n v="33649.949999999997"/>
    <x v="0"/>
    <x v="0"/>
  </r>
  <r>
    <x v="984"/>
    <x v="2"/>
    <n v="117"/>
    <n v="61"/>
    <n v="11"/>
    <n v="7"/>
    <n v="30.1"/>
    <x v="48"/>
    <x v="3"/>
    <n v="23"/>
    <n v="0.7"/>
    <n v="184.5"/>
    <n v="0.84"/>
    <n v="1"/>
    <n v="0.7"/>
    <n v="771"/>
    <n v="8.11"/>
    <n v="0.81"/>
    <d v="2024-12-01T00:00:00"/>
    <n v="132.35"/>
    <n v="0.70599999999999996"/>
    <n v="21586.5"/>
    <x v="0"/>
    <x v="1"/>
  </r>
  <r>
    <x v="985"/>
    <x v="2"/>
    <n v="364"/>
    <n v="35"/>
    <n v="5"/>
    <n v="6"/>
    <n v="11.19"/>
    <x v="15"/>
    <x v="0"/>
    <n v="30"/>
    <n v="4.3600000000000003"/>
    <n v="35.6"/>
    <n v="0.15"/>
    <n v="2"/>
    <n v="0.9"/>
    <n v="532"/>
    <n v="5.76"/>
    <n v="0.9"/>
    <d v="2024-08-02T00:00:00"/>
    <n v="42.94"/>
    <n v="0.78200000000000003"/>
    <n v="12958.4"/>
    <x v="0"/>
    <x v="0"/>
  </r>
  <r>
    <x v="986"/>
    <x v="1"/>
    <n v="310"/>
    <n v="98"/>
    <n v="4"/>
    <n v="9"/>
    <n v="16.87"/>
    <x v="3"/>
    <x v="3"/>
    <n v="152"/>
    <n v="1.49"/>
    <n v="88.44"/>
    <n v="1.82"/>
    <n v="3"/>
    <n v="0.89"/>
    <n v="357"/>
    <n v="6.77"/>
    <n v="0.53"/>
    <d v="2024-04-24T00:00:00"/>
    <n v="108.97"/>
    <n v="0.53200000000000003"/>
    <n v="27416.399999999998"/>
    <x v="0"/>
    <x v="0"/>
  </r>
  <r>
    <x v="987"/>
    <x v="0"/>
    <n v="227"/>
    <n v="35"/>
    <n v="11"/>
    <n v="5"/>
    <n v="32.19"/>
    <x v="97"/>
    <x v="0"/>
    <n v="109"/>
    <n v="4.2"/>
    <n v="26.93"/>
    <n v="0.14000000000000001"/>
    <n v="5"/>
    <n v="0.86"/>
    <n v="71"/>
    <n v="8.69"/>
    <n v="0.9"/>
    <d v="2024-06-13T00:00:00"/>
    <n v="165.2"/>
    <n v="0.754"/>
    <n v="6113.11"/>
    <x v="0"/>
    <x v="1"/>
  </r>
  <r>
    <x v="988"/>
    <x v="2"/>
    <n v="21"/>
    <n v="35"/>
    <n v="11"/>
    <n v="7"/>
    <n v="44.2"/>
    <x v="4"/>
    <x v="3"/>
    <n v="106"/>
    <n v="2.4700000000000002"/>
    <n v="31.56"/>
    <n v="0.16"/>
    <n v="0"/>
    <n v="0.81"/>
    <n v="63"/>
    <n v="2.69"/>
    <n v="0.71"/>
    <d v="2024-05-07T00:00:00"/>
    <n v="198.46"/>
    <n v="0.72399999999999998"/>
    <n v="662.76"/>
    <x v="1"/>
    <x v="2"/>
  </r>
  <r>
    <x v="989"/>
    <x v="3"/>
    <n v="143"/>
    <n v="55"/>
    <n v="3"/>
    <n v="4"/>
    <n v="27.11"/>
    <x v="82"/>
    <x v="2"/>
    <n v="10"/>
    <n v="3.35"/>
    <n v="181.78"/>
    <n v="0.41"/>
    <n v="5"/>
    <n v="0.94"/>
    <n v="535"/>
    <n v="8.8699999999999992"/>
    <n v="0.26"/>
    <d v="2024-08-01T00:00:00"/>
    <n v="93.78"/>
    <n v="0.61699999999999999"/>
    <n v="25994.54"/>
    <x v="0"/>
    <x v="1"/>
  </r>
  <r>
    <x v="990"/>
    <x v="3"/>
    <n v="299"/>
    <n v="58"/>
    <n v="8"/>
    <n v="2"/>
    <n v="38.200000000000003"/>
    <x v="12"/>
    <x v="3"/>
    <n v="118"/>
    <n v="0.84"/>
    <n v="94.77"/>
    <n v="1.29"/>
    <n v="3"/>
    <n v="0.8"/>
    <n v="767"/>
    <n v="10.94"/>
    <n v="0.23"/>
    <d v="2024-06-12T00:00:00"/>
    <n v="148.13"/>
    <n v="0.56299999999999994"/>
    <n v="28336.23"/>
    <x v="0"/>
    <x v="0"/>
  </r>
  <r>
    <x v="991"/>
    <x v="2"/>
    <n v="93"/>
    <n v="91"/>
    <n v="12"/>
    <n v="6"/>
    <n v="38.39"/>
    <x v="27"/>
    <x v="1"/>
    <n v="91"/>
    <n v="3.13"/>
    <n v="140.86000000000001"/>
    <n v="1.1299999999999999"/>
    <n v="7"/>
    <n v="0.77"/>
    <n v="595"/>
    <n v="13.25"/>
    <n v="0.59"/>
    <d v="2024-05-18T00:00:00"/>
    <n v="222.88"/>
    <n v="0.59599999999999997"/>
    <n v="13099.980000000001"/>
    <x v="0"/>
    <x v="2"/>
  </r>
  <r>
    <x v="992"/>
    <x v="0"/>
    <n v="185"/>
    <n v="62"/>
    <n v="10"/>
    <n v="5"/>
    <n v="33.549999999999997"/>
    <x v="79"/>
    <x v="3"/>
    <n v="147"/>
    <n v="1.8"/>
    <n v="36.39"/>
    <n v="1.35"/>
    <n v="8"/>
    <n v="0.79"/>
    <n v="903"/>
    <n v="5.22"/>
    <n v="0.83"/>
    <d v="2024-02-09T00:00:00"/>
    <n v="132.44999999999999"/>
    <n v="0.499"/>
    <n v="6732.1500000000005"/>
    <x v="0"/>
    <x v="1"/>
  </r>
  <r>
    <x v="993"/>
    <x v="3"/>
    <n v="41"/>
    <n v="12"/>
    <n v="5"/>
    <n v="4"/>
    <n v="13.05"/>
    <x v="77"/>
    <x v="1"/>
    <n v="160"/>
    <n v="0.93"/>
    <n v="14.17"/>
    <n v="1.8"/>
    <n v="7"/>
    <n v="0.83"/>
    <n v="513"/>
    <n v="11.46"/>
    <n v="0.51"/>
    <d v="2024-10-19T00:00:00"/>
    <n v="282.82"/>
    <n v="0.501"/>
    <n v="580.97"/>
    <x v="0"/>
    <x v="2"/>
  </r>
  <r>
    <x v="994"/>
    <x v="1"/>
    <n v="173"/>
    <n v="75"/>
    <n v="13"/>
    <n v="6"/>
    <n v="43.47"/>
    <x v="98"/>
    <x v="3"/>
    <n v="27"/>
    <n v="4.59"/>
    <n v="179.19"/>
    <n v="0.96"/>
    <n v="7"/>
    <n v="0.76"/>
    <n v="617"/>
    <n v="9.48"/>
    <n v="0.88"/>
    <d v="2024-07-09T00:00:00"/>
    <n v="18.899999999999999"/>
    <n v="0.61799999999999999"/>
    <n v="30999.87"/>
    <x v="0"/>
    <x v="1"/>
  </r>
  <r>
    <x v="995"/>
    <x v="3"/>
    <n v="446"/>
    <n v="51"/>
    <n v="11"/>
    <n v="3"/>
    <n v="22.38"/>
    <x v="32"/>
    <x v="2"/>
    <n v="67"/>
    <n v="3.22"/>
    <n v="119.16"/>
    <n v="0.18"/>
    <n v="1"/>
    <n v="0.88"/>
    <n v="801"/>
    <n v="8.0399999999999991"/>
    <n v="0.59"/>
    <d v="2024-03-02T00:00:00"/>
    <n v="85.47"/>
    <n v="0.76300000000000001"/>
    <n v="53145.36"/>
    <x v="0"/>
    <x v="0"/>
  </r>
  <r>
    <x v="996"/>
    <x v="4"/>
    <n v="458"/>
    <n v="28"/>
    <n v="4"/>
    <n v="8"/>
    <n v="3.17"/>
    <x v="48"/>
    <x v="3"/>
    <n v="135"/>
    <n v="1.59"/>
    <n v="13.8"/>
    <n v="1.55"/>
    <n v="9"/>
    <n v="0.97"/>
    <n v="998"/>
    <n v="13.87"/>
    <n v="0.22"/>
    <d v="2024-09-14T00:00:00"/>
    <n v="48.68"/>
    <n v="0.48799999999999999"/>
    <n v="6320.4000000000005"/>
    <x v="0"/>
    <x v="0"/>
  </r>
  <r>
    <x v="997"/>
    <x v="4"/>
    <n v="314"/>
    <n v="26"/>
    <n v="8"/>
    <n v="4"/>
    <n v="12.99"/>
    <x v="43"/>
    <x v="0"/>
    <n v="82"/>
    <n v="2.39"/>
    <n v="198.54"/>
    <n v="1.64"/>
    <n v="1"/>
    <n v="0.88"/>
    <n v="482"/>
    <n v="9.68"/>
    <n v="0.98"/>
    <d v="2024-12-10T00:00:00"/>
    <n v="166.97"/>
    <n v="0.71699999999999997"/>
    <n v="62341.56"/>
    <x v="0"/>
    <x v="0"/>
  </r>
  <r>
    <x v="998"/>
    <x v="0"/>
    <n v="238"/>
    <n v="42"/>
    <n v="3"/>
    <n v="9"/>
    <n v="38.51"/>
    <x v="16"/>
    <x v="2"/>
    <n v="119"/>
    <n v="2.11"/>
    <n v="103.52"/>
    <n v="0.19"/>
    <n v="5"/>
    <n v="0.83"/>
    <n v="624"/>
    <n v="6.12"/>
    <n v="0.59"/>
    <d v="2024-01-27T00:00:00"/>
    <n v="61.44"/>
    <n v="0.64700000000000002"/>
    <n v="24637.759999999998"/>
    <x v="0"/>
    <x v="1"/>
  </r>
  <r>
    <x v="999"/>
    <x v="2"/>
    <n v="176"/>
    <n v="85"/>
    <n v="9"/>
    <n v="9"/>
    <n v="4.3899999999999997"/>
    <x v="46"/>
    <x v="2"/>
    <n v="61"/>
    <n v="3.65"/>
    <n v="100.42"/>
    <n v="0.56000000000000005"/>
    <n v="4"/>
    <n v="0.94"/>
    <n v="449"/>
    <n v="10.98"/>
    <n v="0.72"/>
    <d v="2024-04-01T00:00:00"/>
    <n v="225.13"/>
    <n v="0.74199999999999999"/>
    <n v="17673.920000000002"/>
    <x v="0"/>
    <x v="1"/>
  </r>
  <r>
    <x v="1000"/>
    <x v="0"/>
    <n v="249"/>
    <n v="58"/>
    <n v="5"/>
    <n v="6"/>
    <n v="8.2200000000000006"/>
    <x v="84"/>
    <x v="0"/>
    <n v="55"/>
    <n v="3.23"/>
    <n v="127.97"/>
    <n v="1.56"/>
    <n v="5"/>
    <n v="0.92"/>
    <n v="641"/>
    <n v="14.44"/>
    <n v="0.36"/>
    <d v="2024-04-24T00:00:00"/>
    <n v="276.32"/>
    <n v="0.59299999999999997"/>
    <n v="31864.53"/>
    <x v="0"/>
    <x v="1"/>
  </r>
  <r>
    <x v="1001"/>
    <x v="0"/>
    <n v="39"/>
    <n v="65"/>
    <n v="9"/>
    <n v="9"/>
    <n v="35.020000000000003"/>
    <x v="85"/>
    <x v="2"/>
    <n v="116"/>
    <n v="0.59"/>
    <n v="11.5"/>
    <n v="0.81"/>
    <n v="8"/>
    <n v="0.81"/>
    <n v="601"/>
    <n v="13.85"/>
    <n v="0.44"/>
    <d v="2024-09-21T00:00:00"/>
    <n v="70.09"/>
    <n v="0.59399999999999997"/>
    <n v="448.5"/>
    <x v="1"/>
    <x v="2"/>
  </r>
  <r>
    <x v="1002"/>
    <x v="0"/>
    <n v="494"/>
    <n v="72"/>
    <n v="6"/>
    <n v="4"/>
    <n v="44.74"/>
    <x v="81"/>
    <x v="2"/>
    <n v="22"/>
    <n v="1.39"/>
    <n v="118.14"/>
    <n v="1"/>
    <n v="9"/>
    <n v="0.88"/>
    <n v="855"/>
    <n v="14.72"/>
    <n v="0.59"/>
    <d v="2024-01-24T00:00:00"/>
    <n v="272.95999999999998"/>
    <n v="0.61"/>
    <n v="58361.16"/>
    <x v="0"/>
    <x v="0"/>
  </r>
  <r>
    <x v="1003"/>
    <x v="0"/>
    <n v="60"/>
    <n v="12"/>
    <n v="11"/>
    <n v="2"/>
    <n v="32.049999999999997"/>
    <x v="49"/>
    <x v="0"/>
    <n v="105"/>
    <n v="2.65"/>
    <n v="129.6"/>
    <n v="1.66"/>
    <n v="6"/>
    <n v="0.92"/>
    <n v="963"/>
    <n v="2.33"/>
    <n v="0.88"/>
    <d v="2024-07-24T00:00:00"/>
    <n v="193.21"/>
    <n v="0.505"/>
    <n v="7776"/>
    <x v="0"/>
    <x v="2"/>
  </r>
  <r>
    <x v="1004"/>
    <x v="1"/>
    <n v="457"/>
    <n v="58"/>
    <n v="7"/>
    <n v="2"/>
    <n v="11.89"/>
    <x v="39"/>
    <x v="2"/>
    <n v="26"/>
    <n v="2.5"/>
    <n v="66.42"/>
    <n v="0.28000000000000003"/>
    <n v="4"/>
    <n v="0.77"/>
    <n v="328"/>
    <n v="7.21"/>
    <n v="0.28000000000000003"/>
    <d v="2024-02-05T00:00:00"/>
    <n v="66.89"/>
    <n v="0.59799999999999998"/>
    <n v="30353.940000000002"/>
    <x v="0"/>
    <x v="0"/>
  </r>
  <r>
    <x v="1005"/>
    <x v="1"/>
    <n v="167"/>
    <n v="64"/>
    <n v="5"/>
    <n v="8"/>
    <n v="3.62"/>
    <x v="90"/>
    <x v="2"/>
    <n v="76"/>
    <n v="2.83"/>
    <n v="148.1"/>
    <n v="1.39"/>
    <n v="9"/>
    <n v="0.81"/>
    <n v="817"/>
    <n v="7.06"/>
    <n v="0.82"/>
    <d v="2024-08-26T00:00:00"/>
    <n v="223.6"/>
    <n v="0.501"/>
    <n v="24732.7"/>
    <x v="0"/>
    <x v="1"/>
  </r>
  <r>
    <x v="1006"/>
    <x v="3"/>
    <n v="127"/>
    <n v="35"/>
    <n v="10"/>
    <n v="2"/>
    <n v="31.14"/>
    <x v="4"/>
    <x v="2"/>
    <n v="70"/>
    <n v="3.72"/>
    <n v="81.709999999999994"/>
    <n v="0.51"/>
    <n v="6"/>
    <n v="0.73"/>
    <n v="159"/>
    <n v="6.37"/>
    <n v="0.66"/>
    <d v="2024-05-24T00:00:00"/>
    <n v="36.35"/>
    <n v="0.59199999999999997"/>
    <n v="10377.17"/>
    <x v="0"/>
    <x v="1"/>
  </r>
  <r>
    <x v="1007"/>
    <x v="4"/>
    <n v="422"/>
    <n v="81"/>
    <n v="8"/>
    <n v="7"/>
    <n v="3.32"/>
    <x v="36"/>
    <x v="2"/>
    <n v="74"/>
    <n v="3.57"/>
    <n v="146.38"/>
    <n v="0.22"/>
    <n v="7"/>
    <n v="1"/>
    <n v="97"/>
    <n v="3.5"/>
    <n v="0.6"/>
    <d v="2024-06-08T00:00:00"/>
    <n v="210.72"/>
    <n v="0.60499999999999998"/>
    <n v="61772.36"/>
    <x v="0"/>
    <x v="0"/>
  </r>
  <r>
    <x v="1008"/>
    <x v="0"/>
    <n v="103"/>
    <n v="61"/>
    <n v="4"/>
    <n v="3"/>
    <n v="31.02"/>
    <x v="76"/>
    <x v="3"/>
    <n v="142"/>
    <n v="2.1800000000000002"/>
    <n v="37.33"/>
    <n v="1.36"/>
    <n v="0"/>
    <n v="0.73"/>
    <n v="793"/>
    <n v="12.65"/>
    <n v="0.9"/>
    <d v="2024-06-16T00:00:00"/>
    <n v="259.77"/>
    <n v="0.75900000000000001"/>
    <n v="3844.99"/>
    <x v="0"/>
    <x v="1"/>
  </r>
  <r>
    <x v="1009"/>
    <x v="3"/>
    <n v="386"/>
    <n v="16"/>
    <n v="5"/>
    <n v="2"/>
    <n v="12.05"/>
    <x v="42"/>
    <x v="2"/>
    <n v="169"/>
    <n v="4.45"/>
    <n v="183.6"/>
    <n v="0.33"/>
    <n v="9"/>
    <n v="0.75"/>
    <n v="131"/>
    <n v="10.42"/>
    <n v="0.28999999999999998"/>
    <d v="2024-02-14T00:00:00"/>
    <n v="285.61"/>
    <n v="0.53400000000000003"/>
    <n v="70869.599999999991"/>
    <x v="0"/>
    <x v="0"/>
  </r>
  <r>
    <x v="1010"/>
    <x v="4"/>
    <n v="341"/>
    <n v="55"/>
    <n v="10"/>
    <n v="9"/>
    <n v="45.33"/>
    <x v="43"/>
    <x v="2"/>
    <n v="98"/>
    <n v="0.78"/>
    <n v="177.1"/>
    <n v="1.52"/>
    <n v="6"/>
    <n v="0.84"/>
    <n v="735"/>
    <n v="9.48"/>
    <n v="0.99"/>
    <d v="2024-10-10T00:00:00"/>
    <n v="25.81"/>
    <n v="0.62"/>
    <n v="60391.1"/>
    <x v="0"/>
    <x v="0"/>
  </r>
  <r>
    <x v="1011"/>
    <x v="2"/>
    <n v="433"/>
    <n v="55"/>
    <n v="12"/>
    <n v="3"/>
    <n v="24.28"/>
    <x v="23"/>
    <x v="2"/>
    <n v="65"/>
    <n v="3.13"/>
    <n v="38.619999999999997"/>
    <n v="0.49"/>
    <n v="3"/>
    <n v="0.96"/>
    <n v="674"/>
    <n v="7.26"/>
    <n v="0.88"/>
    <d v="2024-08-21T00:00:00"/>
    <n v="27.96"/>
    <n v="0.75600000000000001"/>
    <n v="16722.46"/>
    <x v="0"/>
    <x v="0"/>
  </r>
  <r>
    <x v="1012"/>
    <x v="1"/>
    <n v="328"/>
    <n v="25"/>
    <n v="9"/>
    <n v="2"/>
    <n v="11.97"/>
    <x v="90"/>
    <x v="3"/>
    <n v="14"/>
    <n v="4.7699999999999996"/>
    <n v="188.31"/>
    <n v="0.19"/>
    <n v="4"/>
    <n v="0.81"/>
    <n v="327"/>
    <n v="6.44"/>
    <n v="0.46"/>
    <d v="2024-01-05T00:00:00"/>
    <n v="279.82"/>
    <n v="0.64100000000000001"/>
    <n v="61765.68"/>
    <x v="0"/>
    <x v="0"/>
  </r>
  <r>
    <x v="1013"/>
    <x v="4"/>
    <n v="309"/>
    <n v="33"/>
    <n v="12"/>
    <n v="7"/>
    <n v="42.8"/>
    <x v="0"/>
    <x v="1"/>
    <n v="110"/>
    <n v="2.97"/>
    <n v="115.98"/>
    <n v="0.28999999999999998"/>
    <n v="1"/>
    <n v="0.93"/>
    <n v="430"/>
    <n v="12.01"/>
    <n v="0.56000000000000005"/>
    <d v="2024-07-07T00:00:00"/>
    <n v="238.98"/>
    <n v="0.80900000000000005"/>
    <n v="35837.82"/>
    <x v="0"/>
    <x v="0"/>
  </r>
  <r>
    <x v="1014"/>
    <x v="2"/>
    <n v="425"/>
    <n v="70"/>
    <n v="8"/>
    <n v="9"/>
    <n v="13.45"/>
    <x v="75"/>
    <x v="2"/>
    <n v="96"/>
    <n v="2.5499999999999998"/>
    <n v="143.31"/>
    <n v="1.7"/>
    <n v="9"/>
    <n v="0.9"/>
    <n v="359"/>
    <n v="8.3800000000000008"/>
    <n v="0.22"/>
    <d v="2024-04-12T00:00:00"/>
    <n v="234.54"/>
    <n v="0.38600000000000001"/>
    <n v="60906.75"/>
    <x v="0"/>
    <x v="0"/>
  </r>
  <r>
    <x v="1015"/>
    <x v="4"/>
    <n v="342"/>
    <n v="63"/>
    <n v="3"/>
    <n v="4"/>
    <n v="16.02"/>
    <x v="86"/>
    <x v="1"/>
    <n v="171"/>
    <n v="1.1000000000000001"/>
    <n v="169.66"/>
    <n v="0.8"/>
    <n v="4"/>
    <n v="0.89"/>
    <n v="601"/>
    <n v="9.51"/>
    <n v="0.62"/>
    <d v="2024-05-29T00:00:00"/>
    <n v="225.36"/>
    <n v="0.66900000000000004"/>
    <n v="58023.72"/>
    <x v="0"/>
    <x v="0"/>
  </r>
  <r>
    <x v="1016"/>
    <x v="1"/>
    <n v="153"/>
    <n v="71"/>
    <n v="11"/>
    <n v="6"/>
    <n v="41.88"/>
    <x v="8"/>
    <x v="1"/>
    <n v="70"/>
    <n v="4.1500000000000004"/>
    <n v="25.88"/>
    <n v="0.67"/>
    <n v="8"/>
    <n v="0.95"/>
    <n v="591"/>
    <n v="2.4"/>
    <n v="0.64"/>
    <d v="2024-10-15T00:00:00"/>
    <n v="218.03"/>
    <n v="0.52300000000000002"/>
    <n v="3959.64"/>
    <x v="0"/>
    <x v="1"/>
  </r>
  <r>
    <x v="1017"/>
    <x v="1"/>
    <n v="226"/>
    <n v="10"/>
    <n v="5"/>
    <n v="6"/>
    <n v="16.13"/>
    <x v="81"/>
    <x v="0"/>
    <n v="78"/>
    <n v="2.1800000000000002"/>
    <n v="42.16"/>
    <n v="1.03"/>
    <n v="0"/>
    <n v="0.7"/>
    <n v="816"/>
    <n v="7.6"/>
    <n v="0.94"/>
    <d v="2024-06-04T00:00:00"/>
    <n v="187.83"/>
    <n v="0.72599999999999998"/>
    <n v="9528.16"/>
    <x v="0"/>
    <x v="1"/>
  </r>
  <r>
    <x v="1018"/>
    <x v="3"/>
    <n v="302"/>
    <n v="58"/>
    <n v="7"/>
    <n v="2"/>
    <n v="21.1"/>
    <x v="47"/>
    <x v="0"/>
    <n v="72"/>
    <n v="3.66"/>
    <n v="65.17"/>
    <n v="1.3"/>
    <n v="2"/>
    <n v="0.98"/>
    <n v="289"/>
    <n v="2.82"/>
    <n v="0.51"/>
    <d v="2024-11-14T00:00:00"/>
    <n v="245.69"/>
    <n v="0.56599999999999995"/>
    <n v="19681.34"/>
    <x v="0"/>
    <x v="0"/>
  </r>
  <r>
    <x v="1019"/>
    <x v="0"/>
    <n v="285"/>
    <n v="34"/>
    <n v="9"/>
    <n v="6"/>
    <n v="18.04"/>
    <x v="98"/>
    <x v="1"/>
    <n v="53"/>
    <n v="1.39"/>
    <n v="100.67"/>
    <n v="0.17"/>
    <n v="3"/>
    <n v="0.95"/>
    <n v="232"/>
    <n v="1.75"/>
    <n v="0.66"/>
    <d v="2024-05-04T00:00:00"/>
    <n v="19.91"/>
    <n v="0.66800000000000004"/>
    <n v="28690.95"/>
    <x v="0"/>
    <x v="0"/>
  </r>
  <r>
    <x v="1020"/>
    <x v="4"/>
    <n v="92"/>
    <n v="19"/>
    <n v="9"/>
    <n v="2"/>
    <n v="6.7"/>
    <x v="91"/>
    <x v="3"/>
    <n v="37"/>
    <n v="0.69"/>
    <n v="75.75"/>
    <n v="1.81"/>
    <n v="8"/>
    <n v="0.98"/>
    <n v="233"/>
    <n v="10.65"/>
    <n v="0.79"/>
    <d v="2024-08-25T00:00:00"/>
    <n v="224.69"/>
    <n v="0.55500000000000005"/>
    <n v="6969"/>
    <x v="0"/>
    <x v="2"/>
  </r>
  <r>
    <x v="1021"/>
    <x v="4"/>
    <n v="371"/>
    <n v="89"/>
    <n v="5"/>
    <n v="2"/>
    <n v="2.91"/>
    <x v="97"/>
    <x v="2"/>
    <n v="22"/>
    <n v="1.87"/>
    <n v="106.11"/>
    <n v="1.92"/>
    <n v="1"/>
    <n v="0.94"/>
    <n v="603"/>
    <n v="4.8499999999999996"/>
    <n v="0.69"/>
    <d v="2024-07-07T00:00:00"/>
    <n v="179.05"/>
    <n v="0.57899999999999996"/>
    <n v="39366.81"/>
    <x v="0"/>
    <x v="0"/>
  </r>
  <r>
    <x v="1022"/>
    <x v="2"/>
    <n v="67"/>
    <n v="25"/>
    <n v="6"/>
    <n v="9"/>
    <n v="36.5"/>
    <x v="92"/>
    <x v="2"/>
    <n v="39"/>
    <n v="1.77"/>
    <n v="45.32"/>
    <n v="0.89"/>
    <n v="6"/>
    <n v="0.96"/>
    <n v="987"/>
    <n v="14.51"/>
    <n v="0.32"/>
    <d v="2024-10-29T00:00:00"/>
    <n v="273.16000000000003"/>
    <n v="0.64"/>
    <n v="3036.44"/>
    <x v="0"/>
    <x v="2"/>
  </r>
  <r>
    <x v="1023"/>
    <x v="1"/>
    <n v="345"/>
    <n v="67"/>
    <n v="12"/>
    <n v="8"/>
    <n v="32.61"/>
    <x v="29"/>
    <x v="2"/>
    <n v="163"/>
    <n v="4.43"/>
    <n v="139.61000000000001"/>
    <n v="0.88"/>
    <n v="8"/>
    <n v="0.76"/>
    <n v="515"/>
    <n v="9.48"/>
    <n v="0.34"/>
    <d v="2024-09-09T00:00:00"/>
    <n v="281.55"/>
    <n v="0.498"/>
    <n v="48165.450000000004"/>
    <x v="0"/>
    <x v="0"/>
  </r>
  <r>
    <x v="1024"/>
    <x v="4"/>
    <n v="252"/>
    <n v="81"/>
    <n v="9"/>
    <n v="5"/>
    <n v="14.84"/>
    <x v="96"/>
    <x v="0"/>
    <n v="72"/>
    <n v="4.3899999999999997"/>
    <n v="20.59"/>
    <n v="1.77"/>
    <n v="9"/>
    <n v="0.8"/>
    <n v="688"/>
    <n v="10.029999999999999"/>
    <n v="0.31"/>
    <d v="2024-04-10T00:00:00"/>
    <n v="79.989999999999995"/>
    <n v="0.39900000000000002"/>
    <n v="5188.68"/>
    <x v="0"/>
    <x v="0"/>
  </r>
  <r>
    <x v="1025"/>
    <x v="1"/>
    <n v="462"/>
    <n v="38"/>
    <n v="10"/>
    <n v="5"/>
    <n v="15.48"/>
    <x v="76"/>
    <x v="0"/>
    <n v="82"/>
    <n v="2.9"/>
    <n v="78.680000000000007"/>
    <n v="0.92"/>
    <n v="3"/>
    <n v="0.79"/>
    <n v="486"/>
    <n v="3.76"/>
    <n v="0.37"/>
    <d v="2024-10-06T00:00:00"/>
    <n v="238.94"/>
    <n v="0.53"/>
    <n v="36350.160000000003"/>
    <x v="0"/>
    <x v="0"/>
  </r>
  <r>
    <x v="1026"/>
    <x v="4"/>
    <n v="119"/>
    <n v="15"/>
    <n v="4"/>
    <n v="8"/>
    <n v="47.31"/>
    <x v="80"/>
    <x v="2"/>
    <n v="66"/>
    <n v="0.59"/>
    <n v="44.02"/>
    <n v="1.73"/>
    <n v="4"/>
    <n v="0.73"/>
    <n v="643"/>
    <n v="2.8"/>
    <n v="0.46"/>
    <d v="2024-05-05T00:00:00"/>
    <n v="287.52999999999997"/>
    <n v="0.42199999999999999"/>
    <n v="5238.38"/>
    <x v="0"/>
    <x v="1"/>
  </r>
  <r>
    <x v="1027"/>
    <x v="3"/>
    <n v="78"/>
    <n v="25"/>
    <n v="11"/>
    <n v="5"/>
    <n v="49.4"/>
    <x v="97"/>
    <x v="1"/>
    <n v="73"/>
    <n v="1.53"/>
    <n v="148.69"/>
    <n v="0.15"/>
    <n v="9"/>
    <n v="0.92"/>
    <n v="282"/>
    <n v="8.36"/>
    <n v="0.79"/>
    <d v="2024-03-18T00:00:00"/>
    <n v="87.33"/>
    <n v="0.65800000000000003"/>
    <n v="11597.82"/>
    <x v="0"/>
    <x v="2"/>
  </r>
  <r>
    <x v="1028"/>
    <x v="0"/>
    <n v="277"/>
    <n v="29"/>
    <n v="9"/>
    <n v="3"/>
    <n v="24.2"/>
    <x v="1"/>
    <x v="0"/>
    <n v="61"/>
    <n v="3.38"/>
    <n v="177.89"/>
    <n v="1.03"/>
    <n v="3"/>
    <n v="0.74"/>
    <n v="870"/>
    <n v="13.96"/>
    <n v="0.25"/>
    <d v="2024-01-04T00:00:00"/>
    <n v="256.81"/>
    <n v="0.621"/>
    <n v="49275.53"/>
    <x v="0"/>
    <x v="0"/>
  </r>
  <r>
    <x v="1029"/>
    <x v="4"/>
    <n v="432"/>
    <n v="89"/>
    <n v="10"/>
    <n v="5"/>
    <n v="40.32"/>
    <x v="50"/>
    <x v="2"/>
    <n v="72"/>
    <n v="0.96"/>
    <n v="24.97"/>
    <n v="1.91"/>
    <n v="6"/>
    <n v="0.72"/>
    <n v="753"/>
    <n v="1.78"/>
    <n v="0.86"/>
    <d v="2024-07-28T00:00:00"/>
    <n v="180.09"/>
    <n v="0.42899999999999999"/>
    <n v="10787.039999999999"/>
    <x v="0"/>
    <x v="0"/>
  </r>
  <r>
    <x v="1030"/>
    <x v="1"/>
    <n v="471"/>
    <n v="80"/>
    <n v="8"/>
    <n v="2"/>
    <n v="37.1"/>
    <x v="67"/>
    <x v="1"/>
    <n v="150"/>
    <n v="3.65"/>
    <n v="159.16"/>
    <n v="0.57999999999999996"/>
    <n v="7"/>
    <n v="0.93"/>
    <n v="50"/>
    <n v="8.11"/>
    <n v="0.41"/>
    <d v="2024-01-13T00:00:00"/>
    <n v="124.55"/>
    <n v="0.57799999999999996"/>
    <n v="74964.36"/>
    <x v="0"/>
    <x v="0"/>
  </r>
  <r>
    <x v="1031"/>
    <x v="3"/>
    <n v="84"/>
    <n v="87"/>
    <n v="8"/>
    <n v="7"/>
    <n v="15.57"/>
    <x v="86"/>
    <x v="2"/>
    <n v="102"/>
    <n v="0.55000000000000004"/>
    <n v="180.19"/>
    <n v="0.61"/>
    <n v="7"/>
    <n v="0.97"/>
    <n v="554"/>
    <n v="3.78"/>
    <n v="0.69"/>
    <d v="2024-04-29T00:00:00"/>
    <n v="248.85"/>
    <n v="0.58099999999999996"/>
    <n v="15135.96"/>
    <x v="1"/>
    <x v="2"/>
  </r>
  <r>
    <x v="1032"/>
    <x v="4"/>
    <n v="102"/>
    <n v="52"/>
    <n v="11"/>
    <n v="7"/>
    <n v="3.87"/>
    <x v="59"/>
    <x v="0"/>
    <n v="116"/>
    <n v="3.57"/>
    <n v="195.05"/>
    <n v="1.3"/>
    <n v="2"/>
    <n v="0.93"/>
    <n v="411"/>
    <n v="11.95"/>
    <n v="0.64"/>
    <d v="2024-10-04T00:00:00"/>
    <n v="262.39"/>
    <n v="0.70299999999999996"/>
    <n v="19895.100000000002"/>
    <x v="0"/>
    <x v="1"/>
  </r>
  <r>
    <x v="1033"/>
    <x v="2"/>
    <n v="173"/>
    <n v="35"/>
    <n v="6"/>
    <n v="4"/>
    <n v="7.99"/>
    <x v="47"/>
    <x v="3"/>
    <n v="118"/>
    <n v="4.3"/>
    <n v="120.08"/>
    <n v="1.86"/>
    <n v="1"/>
    <n v="0.95"/>
    <n v="768"/>
    <n v="10.55"/>
    <n v="0.32"/>
    <d v="2024-06-26T00:00:00"/>
    <n v="91.97"/>
    <n v="0.58899999999999997"/>
    <n v="20773.84"/>
    <x v="0"/>
    <x v="1"/>
  </r>
  <r>
    <x v="1034"/>
    <x v="0"/>
    <n v="492"/>
    <n v="99"/>
    <n v="13"/>
    <n v="9"/>
    <n v="42.08"/>
    <x v="44"/>
    <x v="3"/>
    <n v="97"/>
    <n v="2.61"/>
    <n v="72.2"/>
    <n v="0.48"/>
    <n v="5"/>
    <n v="0.88"/>
    <n v="758"/>
    <n v="2.36"/>
    <n v="0.43"/>
    <d v="2024-11-21T00:00:00"/>
    <n v="240.39"/>
    <n v="0.54500000000000004"/>
    <n v="35522.400000000001"/>
    <x v="0"/>
    <x v="0"/>
  </r>
  <r>
    <x v="1035"/>
    <x v="4"/>
    <n v="285"/>
    <n v="87"/>
    <n v="13"/>
    <n v="5"/>
    <n v="36.83"/>
    <x v="57"/>
    <x v="0"/>
    <n v="54"/>
    <n v="4.2300000000000004"/>
    <n v="71.17"/>
    <n v="1.85"/>
    <n v="0"/>
    <n v="0.97"/>
    <n v="332"/>
    <n v="9.6300000000000008"/>
    <n v="0.44"/>
    <d v="2024-12-21T00:00:00"/>
    <n v="24.4"/>
    <n v="0.625"/>
    <n v="20283.45"/>
    <x v="0"/>
    <x v="0"/>
  </r>
  <r>
    <x v="1036"/>
    <x v="3"/>
    <n v="328"/>
    <n v="80"/>
    <n v="7"/>
    <n v="7"/>
    <n v="33.549999999999997"/>
    <x v="76"/>
    <x v="1"/>
    <n v="117"/>
    <n v="4.0199999999999996"/>
    <n v="82"/>
    <n v="1.36"/>
    <n v="8"/>
    <n v="0.85"/>
    <n v="578"/>
    <n v="14.77"/>
    <n v="0.7"/>
    <d v="2024-01-05T00:00:00"/>
    <n v="131.12"/>
    <n v="0.61099999999999999"/>
    <n v="26896"/>
    <x v="0"/>
    <x v="0"/>
  </r>
  <r>
    <x v="1037"/>
    <x v="2"/>
    <n v="98"/>
    <n v="42"/>
    <n v="11"/>
    <n v="5"/>
    <n v="7.4"/>
    <x v="30"/>
    <x v="2"/>
    <n v="55"/>
    <n v="3.52"/>
    <n v="126.41"/>
    <n v="1.99"/>
    <n v="6"/>
    <n v="1"/>
    <n v="880"/>
    <n v="8.39"/>
    <n v="0.83"/>
    <d v="2024-06-20T00:00:00"/>
    <n v="30.24"/>
    <n v="0.55900000000000005"/>
    <n v="12388.18"/>
    <x v="0"/>
    <x v="2"/>
  </r>
  <r>
    <x v="1038"/>
    <x v="3"/>
    <n v="334"/>
    <n v="35"/>
    <n v="3"/>
    <n v="9"/>
    <n v="32.36"/>
    <x v="30"/>
    <x v="0"/>
    <n v="86"/>
    <n v="2.5"/>
    <n v="103.14"/>
    <n v="1.5"/>
    <n v="7"/>
    <n v="0.73"/>
    <n v="945"/>
    <n v="5"/>
    <n v="1"/>
    <d v="2024-01-01T00:00:00"/>
    <n v="95.21"/>
    <n v="0.52300000000000002"/>
    <n v="34448.76"/>
    <x v="0"/>
    <x v="0"/>
  </r>
  <r>
    <x v="1039"/>
    <x v="3"/>
    <n v="169"/>
    <n v="54"/>
    <n v="6"/>
    <n v="4"/>
    <n v="38.840000000000003"/>
    <x v="68"/>
    <x v="1"/>
    <n v="178"/>
    <n v="1.72"/>
    <n v="134.19"/>
    <n v="1.37"/>
    <n v="6"/>
    <n v="0.94"/>
    <n v="218"/>
    <n v="3.13"/>
    <n v="0.28000000000000003"/>
    <d v="2024-12-02T00:00:00"/>
    <n v="285.61"/>
    <n v="0.42899999999999999"/>
    <n v="22678.11"/>
    <x v="0"/>
    <x v="1"/>
  </r>
  <r>
    <x v="1040"/>
    <x v="2"/>
    <n v="454"/>
    <n v="93"/>
    <n v="9"/>
    <n v="7"/>
    <n v="43.17"/>
    <x v="85"/>
    <x v="2"/>
    <n v="55"/>
    <n v="4.37"/>
    <n v="17.47"/>
    <n v="1.65"/>
    <n v="4"/>
    <n v="0.89"/>
    <n v="938"/>
    <n v="14.85"/>
    <n v="0.95"/>
    <d v="2024-07-11T00:00:00"/>
    <n v="223.07"/>
    <n v="0.72099999999999997"/>
    <n v="7931.3799999999992"/>
    <x v="0"/>
    <x v="0"/>
  </r>
  <r>
    <x v="1041"/>
    <x v="3"/>
    <n v="67"/>
    <n v="72"/>
    <n v="13"/>
    <n v="2"/>
    <n v="1.65"/>
    <x v="41"/>
    <x v="2"/>
    <n v="138"/>
    <n v="3.42"/>
    <n v="30.12"/>
    <n v="0.43"/>
    <n v="4"/>
    <n v="0.87"/>
    <n v="235"/>
    <n v="8.89"/>
    <n v="0.65"/>
    <d v="2024-06-06T00:00:00"/>
    <n v="229.12"/>
    <n v="0.7"/>
    <n v="2018.04"/>
    <x v="1"/>
    <x v="2"/>
  </r>
  <r>
    <x v="1042"/>
    <x v="2"/>
    <n v="424"/>
    <n v="76"/>
    <n v="11"/>
    <n v="3"/>
    <n v="34.54"/>
    <x v="5"/>
    <x v="0"/>
    <n v="101"/>
    <n v="4.09"/>
    <n v="195.54"/>
    <n v="1.9"/>
    <n v="6"/>
    <n v="0.92"/>
    <n v="171"/>
    <n v="6.25"/>
    <n v="0.49"/>
    <d v="2024-02-23T00:00:00"/>
    <n v="49"/>
    <n v="0.45500000000000002"/>
    <n v="82908.959999999992"/>
    <x v="0"/>
    <x v="0"/>
  </r>
  <r>
    <x v="1043"/>
    <x v="4"/>
    <n v="398"/>
    <n v="61"/>
    <n v="13"/>
    <n v="8"/>
    <n v="1.94"/>
    <x v="40"/>
    <x v="2"/>
    <n v="21"/>
    <n v="2.98"/>
    <n v="199.12"/>
    <n v="0.41"/>
    <n v="6"/>
    <n v="0.95"/>
    <n v="490"/>
    <n v="4"/>
    <n v="0.43"/>
    <d v="2024-04-15T00:00:00"/>
    <n v="177.82"/>
    <n v="0.56799999999999995"/>
    <n v="79249.759999999995"/>
    <x v="0"/>
    <x v="0"/>
  </r>
  <r>
    <x v="1044"/>
    <x v="2"/>
    <n v="267"/>
    <n v="77"/>
    <n v="14"/>
    <n v="8"/>
    <n v="35.64"/>
    <x v="19"/>
    <x v="3"/>
    <n v="97"/>
    <n v="1.27"/>
    <n v="151.87"/>
    <n v="0.15"/>
    <n v="1"/>
    <n v="0.96"/>
    <n v="785"/>
    <n v="14.3"/>
    <n v="0.37"/>
    <d v="2024-09-28T00:00:00"/>
    <n v="122.76"/>
    <n v="0.82199999999999995"/>
    <n v="40549.29"/>
    <x v="0"/>
    <x v="0"/>
  </r>
  <r>
    <x v="1045"/>
    <x v="2"/>
    <n v="297"/>
    <n v="35"/>
    <n v="12"/>
    <n v="8"/>
    <n v="32.15"/>
    <x v="27"/>
    <x v="3"/>
    <n v="82"/>
    <n v="4.91"/>
    <n v="58.72"/>
    <n v="1.43"/>
    <n v="1"/>
    <n v="0.75"/>
    <n v="688"/>
    <n v="9.7799999999999994"/>
    <n v="0.65"/>
    <d v="2024-05-01T00:00:00"/>
    <n v="222.91"/>
    <n v="0.64700000000000002"/>
    <n v="17439.84"/>
    <x v="0"/>
    <x v="0"/>
  </r>
  <r>
    <x v="1046"/>
    <x v="0"/>
    <n v="375"/>
    <n v="84"/>
    <n v="8"/>
    <n v="5"/>
    <n v="8.27"/>
    <x v="24"/>
    <x v="2"/>
    <n v="172"/>
    <n v="1.32"/>
    <n v="191.14"/>
    <n v="0.45"/>
    <n v="6"/>
    <n v="0.76"/>
    <n v="727"/>
    <n v="1.81"/>
    <n v="0.96"/>
    <d v="2024-08-02T00:00:00"/>
    <n v="55.55"/>
    <n v="0.60299999999999998"/>
    <n v="71677.5"/>
    <x v="0"/>
    <x v="0"/>
  </r>
  <r>
    <x v="1047"/>
    <x v="2"/>
    <n v="117"/>
    <n v="11"/>
    <n v="14"/>
    <n v="7"/>
    <n v="38.54"/>
    <x v="18"/>
    <x v="0"/>
    <n v="111"/>
    <n v="4.5999999999999996"/>
    <n v="50.6"/>
    <n v="1.54"/>
    <n v="4"/>
    <n v="0.7"/>
    <n v="523"/>
    <n v="1.83"/>
    <n v="0.35"/>
    <d v="2024-09-08T00:00:00"/>
    <n v="91.76"/>
    <n v="0.4"/>
    <n v="5920.2"/>
    <x v="0"/>
    <x v="1"/>
  </r>
  <r>
    <x v="1048"/>
    <x v="2"/>
    <n v="433"/>
    <n v="23"/>
    <n v="10"/>
    <n v="9"/>
    <n v="4.3499999999999996"/>
    <x v="77"/>
    <x v="2"/>
    <n v="108"/>
    <n v="1.44"/>
    <n v="148.97"/>
    <n v="1.61"/>
    <n v="1"/>
    <n v="0.74"/>
    <n v="171"/>
    <n v="14.15"/>
    <n v="0.55000000000000004"/>
    <d v="2024-01-31T00:00:00"/>
    <n v="270.58999999999997"/>
    <n v="0.66600000000000004"/>
    <n v="64504.01"/>
    <x v="0"/>
    <x v="0"/>
  </r>
  <r>
    <x v="1049"/>
    <x v="4"/>
    <n v="44"/>
    <n v="39"/>
    <n v="11"/>
    <n v="9"/>
    <n v="41.49"/>
    <x v="45"/>
    <x v="0"/>
    <n v="170"/>
    <n v="2.1800000000000002"/>
    <n v="31.9"/>
    <n v="0.55000000000000004"/>
    <n v="0"/>
    <n v="0.78"/>
    <n v="883"/>
    <n v="10.94"/>
    <n v="0.36"/>
    <d v="2024-03-13T00:00:00"/>
    <n v="59.24"/>
    <n v="0.71899999999999997"/>
    <n v="1403.6"/>
    <x v="0"/>
    <x v="2"/>
  </r>
  <r>
    <x v="1050"/>
    <x v="0"/>
    <n v="303"/>
    <n v="58"/>
    <n v="12"/>
    <n v="7"/>
    <n v="13.83"/>
    <x v="6"/>
    <x v="0"/>
    <n v="67"/>
    <n v="2.48"/>
    <n v="133.29"/>
    <n v="0.26"/>
    <n v="8"/>
    <n v="0.92"/>
    <n v="781"/>
    <n v="2.4500000000000002"/>
    <n v="0.34"/>
    <d v="2024-12-30T00:00:00"/>
    <n v="193.4"/>
    <n v="0.499"/>
    <n v="40386.869999999995"/>
    <x v="0"/>
    <x v="0"/>
  </r>
  <r>
    <x v="1051"/>
    <x v="1"/>
    <n v="468"/>
    <n v="21"/>
    <n v="6"/>
    <n v="4"/>
    <n v="34.75"/>
    <x v="64"/>
    <x v="3"/>
    <n v="137"/>
    <n v="4.6500000000000004"/>
    <n v="154.31"/>
    <n v="1.05"/>
    <n v="7"/>
    <n v="0.84"/>
    <n v="990"/>
    <n v="9.73"/>
    <n v="0.89"/>
    <d v="2024-05-23T00:00:00"/>
    <n v="101.39"/>
    <n v="0.63100000000000001"/>
    <n v="72217.08"/>
    <x v="0"/>
    <x v="0"/>
  </r>
  <r>
    <x v="1052"/>
    <x v="4"/>
    <n v="388"/>
    <n v="99"/>
    <n v="3"/>
    <n v="2"/>
    <n v="46.26"/>
    <x v="93"/>
    <x v="3"/>
    <n v="126"/>
    <n v="4.5"/>
    <n v="173.33"/>
    <n v="1.79"/>
    <n v="1"/>
    <n v="0.93"/>
    <n v="840"/>
    <n v="6.87"/>
    <n v="0.41"/>
    <d v="2024-02-17T00:00:00"/>
    <n v="33.75"/>
    <n v="0.56100000000000005"/>
    <n v="67252.040000000008"/>
    <x v="0"/>
    <x v="0"/>
  </r>
  <r>
    <x v="1053"/>
    <x v="4"/>
    <n v="320"/>
    <n v="53"/>
    <n v="10"/>
    <n v="6"/>
    <n v="17.649999999999999"/>
    <x v="31"/>
    <x v="1"/>
    <n v="44"/>
    <n v="4.2"/>
    <n v="149.52000000000001"/>
    <n v="1.71"/>
    <n v="1"/>
    <n v="0.85"/>
    <n v="709"/>
    <n v="12.04"/>
    <n v="0.4"/>
    <d v="2024-01-23T00:00:00"/>
    <n v="74.87"/>
    <n v="0.62"/>
    <n v="47846.400000000001"/>
    <x v="0"/>
    <x v="0"/>
  </r>
  <r>
    <x v="1054"/>
    <x v="1"/>
    <n v="87"/>
    <n v="42"/>
    <n v="4"/>
    <n v="7"/>
    <n v="25.64"/>
    <x v="25"/>
    <x v="0"/>
    <n v="93"/>
    <n v="2.2000000000000002"/>
    <n v="185.46"/>
    <n v="0.32"/>
    <n v="2"/>
    <n v="0.87"/>
    <n v="341"/>
    <n v="4.83"/>
    <n v="0.93"/>
    <d v="2024-04-28T00:00:00"/>
    <n v="262.13"/>
    <n v="0.752"/>
    <n v="16135.02"/>
    <x v="0"/>
    <x v="2"/>
  </r>
  <r>
    <x v="1055"/>
    <x v="2"/>
    <n v="26"/>
    <n v="22"/>
    <n v="13"/>
    <n v="3"/>
    <n v="23.69"/>
    <x v="92"/>
    <x v="2"/>
    <n v="75"/>
    <n v="0.52"/>
    <n v="108.98"/>
    <n v="1.93"/>
    <n v="3"/>
    <n v="0.73"/>
    <n v="987"/>
    <n v="6.36"/>
    <n v="0.51"/>
    <d v="2024-09-23T00:00:00"/>
    <n v="274.06"/>
    <n v="0.48"/>
    <n v="2833.48"/>
    <x v="0"/>
    <x v="2"/>
  </r>
  <r>
    <x v="1056"/>
    <x v="3"/>
    <n v="324"/>
    <n v="87"/>
    <n v="3"/>
    <n v="4"/>
    <n v="8.7200000000000006"/>
    <x v="85"/>
    <x v="0"/>
    <n v="35"/>
    <n v="3.57"/>
    <n v="138.71"/>
    <n v="0.6"/>
    <n v="8"/>
    <n v="0.93"/>
    <n v="296"/>
    <n v="3.34"/>
    <n v="0.21"/>
    <d v="2024-07-30T00:00:00"/>
    <n v="131.75"/>
    <n v="0.45300000000000001"/>
    <n v="44942.04"/>
    <x v="0"/>
    <x v="0"/>
  </r>
  <r>
    <x v="1057"/>
    <x v="0"/>
    <n v="156"/>
    <n v="97"/>
    <n v="9"/>
    <n v="7"/>
    <n v="29.93"/>
    <x v="12"/>
    <x v="3"/>
    <n v="51"/>
    <n v="2.35"/>
    <n v="80.209999999999994"/>
    <n v="0.76"/>
    <n v="5"/>
    <n v="0.93"/>
    <n v="967"/>
    <n v="4.53"/>
    <n v="0.78"/>
    <d v="2024-12-24T00:00:00"/>
    <n v="190.06"/>
    <n v="0.626"/>
    <n v="12512.759999999998"/>
    <x v="0"/>
    <x v="1"/>
  </r>
  <r>
    <x v="1058"/>
    <x v="3"/>
    <n v="183"/>
    <n v="35"/>
    <n v="14"/>
    <n v="7"/>
    <n v="37.409999999999997"/>
    <x v="13"/>
    <x v="0"/>
    <n v="86"/>
    <n v="3.91"/>
    <n v="11.97"/>
    <n v="0.38"/>
    <n v="2"/>
    <n v="0.79"/>
    <n v="237"/>
    <n v="3.65"/>
    <n v="0.61"/>
    <d v="2024-07-09T00:00:00"/>
    <n v="160.94"/>
    <n v="0.65100000000000002"/>
    <n v="2190.5100000000002"/>
    <x v="0"/>
    <x v="1"/>
  </r>
  <r>
    <x v="1059"/>
    <x v="1"/>
    <n v="102"/>
    <n v="30"/>
    <n v="12"/>
    <n v="4"/>
    <n v="45.93"/>
    <x v="88"/>
    <x v="1"/>
    <n v="39"/>
    <n v="4.08"/>
    <n v="153.77000000000001"/>
    <n v="0.82"/>
    <n v="7"/>
    <n v="0.8"/>
    <n v="572"/>
    <n v="1.34"/>
    <n v="0.82"/>
    <d v="2024-08-22T00:00:00"/>
    <n v="91.11"/>
    <n v="0.52"/>
    <n v="15684.54"/>
    <x v="0"/>
    <x v="1"/>
  </r>
  <r>
    <x v="1060"/>
    <x v="4"/>
    <n v="404"/>
    <n v="37"/>
    <n v="11"/>
    <n v="4"/>
    <n v="42.69"/>
    <x v="68"/>
    <x v="2"/>
    <n v="125"/>
    <n v="2.48"/>
    <n v="175.27"/>
    <n v="1.31"/>
    <n v="5"/>
    <n v="0.77"/>
    <n v="333"/>
    <n v="1.65"/>
    <n v="0.66"/>
    <d v="2024-02-13T00:00:00"/>
    <n v="109.99"/>
    <n v="0.47699999999999998"/>
    <n v="70809.08"/>
    <x v="0"/>
    <x v="0"/>
  </r>
  <r>
    <x v="1061"/>
    <x v="4"/>
    <n v="157"/>
    <n v="57"/>
    <n v="13"/>
    <n v="5"/>
    <n v="25.99"/>
    <x v="45"/>
    <x v="0"/>
    <n v="169"/>
    <n v="3.87"/>
    <n v="43.05"/>
    <n v="1.06"/>
    <n v="7"/>
    <n v="0.94"/>
    <n v="606"/>
    <n v="12.7"/>
    <n v="0.48"/>
    <d v="2024-10-24T00:00:00"/>
    <n v="162.78"/>
    <n v="0.60699999999999998"/>
    <n v="6758.8499999999995"/>
    <x v="0"/>
    <x v="1"/>
  </r>
  <r>
    <x v="1062"/>
    <x v="0"/>
    <n v="439"/>
    <n v="49"/>
    <n v="14"/>
    <n v="7"/>
    <n v="36.229999999999997"/>
    <x v="65"/>
    <x v="2"/>
    <n v="45"/>
    <n v="4.28"/>
    <n v="15.44"/>
    <n v="1.67"/>
    <n v="9"/>
    <n v="0.92"/>
    <n v="173"/>
    <n v="12.25"/>
    <n v="0.25"/>
    <d v="2024-02-18T00:00:00"/>
    <n v="211.65"/>
    <n v="0.45"/>
    <n v="6778.16"/>
    <x v="0"/>
    <x v="0"/>
  </r>
  <r>
    <x v="1063"/>
    <x v="4"/>
    <n v="92"/>
    <n v="75"/>
    <n v="14"/>
    <n v="6"/>
    <n v="40.24"/>
    <x v="99"/>
    <x v="2"/>
    <n v="28"/>
    <n v="4.68"/>
    <n v="41.26"/>
    <n v="1.32"/>
    <n v="1"/>
    <n v="0.88"/>
    <n v="939"/>
    <n v="2.97"/>
    <n v="0.89"/>
    <d v="2024-09-15T00:00:00"/>
    <n v="111.46"/>
    <n v="0.64200000000000002"/>
    <n v="3795.9199999999996"/>
    <x v="0"/>
    <x v="2"/>
  </r>
  <r>
    <x v="1064"/>
    <x v="4"/>
    <n v="256"/>
    <n v="82"/>
    <n v="11"/>
    <n v="3"/>
    <n v="25.18"/>
    <x v="3"/>
    <x v="3"/>
    <n v="31"/>
    <n v="3.12"/>
    <n v="180.1"/>
    <n v="0.6"/>
    <n v="7"/>
    <n v="0.77"/>
    <n v="296"/>
    <n v="10.35"/>
    <n v="0.37"/>
    <d v="2024-03-09T00:00:00"/>
    <n v="212.69"/>
    <n v="0.56599999999999995"/>
    <n v="46105.599999999999"/>
    <x v="0"/>
    <x v="0"/>
  </r>
  <r>
    <x v="1065"/>
    <x v="0"/>
    <n v="65"/>
    <n v="96"/>
    <n v="5"/>
    <n v="2"/>
    <n v="6.66"/>
    <x v="32"/>
    <x v="0"/>
    <n v="74"/>
    <n v="4"/>
    <n v="66.150000000000006"/>
    <n v="1.1599999999999999"/>
    <n v="4"/>
    <n v="0.75"/>
    <n v="455"/>
    <n v="11.44"/>
    <n v="0.98"/>
    <d v="2024-11-22T00:00:00"/>
    <n v="288.68"/>
    <n v="0.70299999999999996"/>
    <n v="4299.75"/>
    <x v="1"/>
    <x v="2"/>
  </r>
  <r>
    <x v="1066"/>
    <x v="0"/>
    <n v="125"/>
    <n v="88"/>
    <n v="8"/>
    <n v="2"/>
    <n v="22.46"/>
    <x v="27"/>
    <x v="2"/>
    <n v="66"/>
    <n v="2.73"/>
    <n v="54.4"/>
    <n v="0.22"/>
    <n v="9"/>
    <n v="0.72"/>
    <n v="386"/>
    <n v="1.72"/>
    <n v="0.4"/>
    <d v="2024-07-20T00:00:00"/>
    <n v="17.12"/>
    <n v="0.44500000000000001"/>
    <n v="6800"/>
    <x v="0"/>
    <x v="1"/>
  </r>
  <r>
    <x v="1067"/>
    <x v="1"/>
    <n v="435"/>
    <n v="86"/>
    <n v="9"/>
    <n v="6"/>
    <n v="42.28"/>
    <x v="54"/>
    <x v="3"/>
    <n v="20"/>
    <n v="0.69"/>
    <n v="12.77"/>
    <n v="1.2"/>
    <n v="3"/>
    <n v="0.71"/>
    <n v="208"/>
    <n v="2.2400000000000002"/>
    <n v="0.86"/>
    <d v="2024-02-08T00:00:00"/>
    <n v="57.51"/>
    <n v="0.56399999999999995"/>
    <n v="5554.95"/>
    <x v="0"/>
    <x v="0"/>
  </r>
  <r>
    <x v="1068"/>
    <x v="4"/>
    <n v="307"/>
    <n v="32"/>
    <n v="12"/>
    <n v="9"/>
    <n v="30.24"/>
    <x v="44"/>
    <x v="1"/>
    <n v="35"/>
    <n v="1.2"/>
    <n v="66.44"/>
    <n v="0.84"/>
    <n v="2"/>
    <n v="0.76"/>
    <n v="316"/>
    <n v="8.8800000000000008"/>
    <n v="0.83"/>
    <d v="2024-10-30T00:00:00"/>
    <n v="275.72000000000003"/>
    <n v="0.71199999999999997"/>
    <n v="20397.079999999998"/>
    <x v="0"/>
    <x v="0"/>
  </r>
  <r>
    <x v="1069"/>
    <x v="4"/>
    <n v="281"/>
    <n v="90"/>
    <n v="11"/>
    <n v="4"/>
    <n v="36.5"/>
    <x v="15"/>
    <x v="1"/>
    <n v="28"/>
    <n v="1.08"/>
    <n v="145.97"/>
    <n v="0.28999999999999998"/>
    <n v="8"/>
    <n v="0.73"/>
    <n v="341"/>
    <n v="6.24"/>
    <n v="0.56999999999999995"/>
    <d v="2024-10-17T00:00:00"/>
    <n v="30.76"/>
    <n v="0.55400000000000005"/>
    <n v="41017.57"/>
    <x v="0"/>
    <x v="0"/>
  </r>
  <r>
    <x v="1070"/>
    <x v="1"/>
    <n v="195"/>
    <n v="57"/>
    <n v="4"/>
    <n v="4"/>
    <n v="10.08"/>
    <x v="35"/>
    <x v="0"/>
    <n v="92"/>
    <n v="1.27"/>
    <n v="192.23"/>
    <n v="0.68"/>
    <n v="9"/>
    <n v="0.87"/>
    <n v="639"/>
    <n v="10.79"/>
    <n v="0.52"/>
    <d v="2024-02-01T00:00:00"/>
    <n v="231.86"/>
    <n v="0.57399999999999995"/>
    <n v="37484.85"/>
    <x v="0"/>
    <x v="1"/>
  </r>
  <r>
    <x v="1071"/>
    <x v="2"/>
    <n v="185"/>
    <n v="11"/>
    <n v="10"/>
    <n v="9"/>
    <n v="48.25"/>
    <x v="51"/>
    <x v="2"/>
    <n v="149"/>
    <n v="0.55000000000000004"/>
    <n v="69.42"/>
    <n v="1.81"/>
    <n v="6"/>
    <n v="0.81"/>
    <n v="852"/>
    <n v="8.81"/>
    <n v="0.76"/>
    <d v="2024-08-10T00:00:00"/>
    <n v="190.95"/>
    <n v="0.53"/>
    <n v="12842.7"/>
    <x v="0"/>
    <x v="1"/>
  </r>
  <r>
    <x v="1072"/>
    <x v="2"/>
    <n v="164"/>
    <n v="93"/>
    <n v="9"/>
    <n v="4"/>
    <n v="20.8"/>
    <x v="41"/>
    <x v="0"/>
    <n v="76"/>
    <n v="4.3600000000000003"/>
    <n v="55.73"/>
    <n v="1.21"/>
    <n v="6"/>
    <n v="0.83"/>
    <n v="944"/>
    <n v="1.43"/>
    <n v="0.62"/>
    <d v="2024-12-05T00:00:00"/>
    <n v="23.83"/>
    <n v="0.46800000000000003"/>
    <n v="9139.7199999999993"/>
    <x v="0"/>
    <x v="1"/>
  </r>
  <r>
    <x v="1073"/>
    <x v="2"/>
    <n v="349"/>
    <n v="29"/>
    <n v="6"/>
    <n v="9"/>
    <n v="33.03"/>
    <x v="28"/>
    <x v="2"/>
    <n v="65"/>
    <n v="3.02"/>
    <n v="178.73"/>
    <n v="1.82"/>
    <n v="5"/>
    <n v="0.88"/>
    <n v="200"/>
    <n v="10.57"/>
    <n v="0.71"/>
    <d v="2024-03-07T00:00:00"/>
    <n v="10.210000000000001"/>
    <n v="0.57699999999999996"/>
    <n v="62376.77"/>
    <x v="0"/>
    <x v="0"/>
  </r>
  <r>
    <x v="1074"/>
    <x v="1"/>
    <n v="389"/>
    <n v="68"/>
    <n v="4"/>
    <n v="7"/>
    <n v="1.92"/>
    <x v="89"/>
    <x v="3"/>
    <n v="27"/>
    <n v="2.2200000000000002"/>
    <n v="171.98"/>
    <n v="0.88"/>
    <n v="8"/>
    <n v="0.9"/>
    <n v="334"/>
    <n v="3.85"/>
    <n v="0.57999999999999996"/>
    <d v="2024-05-01T00:00:00"/>
    <n v="155.58000000000001"/>
    <n v="0.499"/>
    <n v="66900.22"/>
    <x v="0"/>
    <x v="0"/>
  </r>
  <r>
    <x v="1075"/>
    <x v="4"/>
    <n v="302"/>
    <n v="55"/>
    <n v="10"/>
    <n v="9"/>
    <n v="7.24"/>
    <x v="84"/>
    <x v="1"/>
    <n v="122"/>
    <n v="2.34"/>
    <n v="72.349999999999994"/>
    <n v="1.96"/>
    <n v="2"/>
    <n v="0.89"/>
    <n v="200"/>
    <n v="5.38"/>
    <n v="0.65"/>
    <d v="2024-05-29T00:00:00"/>
    <n v="44.03"/>
    <n v="0.54400000000000004"/>
    <n v="21849.699999999997"/>
    <x v="0"/>
    <x v="0"/>
  </r>
  <r>
    <x v="1076"/>
    <x v="1"/>
    <n v="73"/>
    <n v="12"/>
    <n v="13"/>
    <n v="4"/>
    <n v="39.32"/>
    <x v="42"/>
    <x v="1"/>
    <n v="14"/>
    <n v="2.59"/>
    <n v="23.07"/>
    <n v="0.78"/>
    <n v="0"/>
    <n v="0.78"/>
    <n v="173"/>
    <n v="11.31"/>
    <n v="0.35"/>
    <d v="2024-05-13T00:00:00"/>
    <n v="262.94"/>
    <n v="0.69899999999999995"/>
    <n v="1684.1100000000001"/>
    <x v="0"/>
    <x v="2"/>
  </r>
  <r>
    <x v="1077"/>
    <x v="1"/>
    <n v="197"/>
    <n v="64"/>
    <n v="7"/>
    <n v="4"/>
    <n v="48.43"/>
    <x v="59"/>
    <x v="1"/>
    <n v="121"/>
    <n v="0.83"/>
    <n v="198.48"/>
    <n v="1.54"/>
    <n v="6"/>
    <n v="0.94"/>
    <n v="789"/>
    <n v="11.8"/>
    <n v="0.24"/>
    <d v="2024-06-10T00:00:00"/>
    <n v="149.41999999999999"/>
    <n v="0.51900000000000002"/>
    <n v="39100.559999999998"/>
    <x v="0"/>
    <x v="1"/>
  </r>
  <r>
    <x v="1078"/>
    <x v="2"/>
    <n v="438"/>
    <n v="21"/>
    <n v="8"/>
    <n v="7"/>
    <n v="16.68"/>
    <x v="28"/>
    <x v="1"/>
    <n v="161"/>
    <n v="1.74"/>
    <n v="139.33000000000001"/>
    <n v="0.68"/>
    <n v="8"/>
    <n v="0.98"/>
    <n v="321"/>
    <n v="5.84"/>
    <n v="0.48"/>
    <d v="2024-07-20T00:00:00"/>
    <n v="77.989999999999995"/>
    <n v="0.54200000000000004"/>
    <n v="61026.540000000008"/>
    <x v="0"/>
    <x v="0"/>
  </r>
  <r>
    <x v="1079"/>
    <x v="3"/>
    <n v="263"/>
    <n v="49"/>
    <n v="13"/>
    <n v="9"/>
    <n v="2.82"/>
    <x v="26"/>
    <x v="0"/>
    <n v="124"/>
    <n v="4.33"/>
    <n v="186.05"/>
    <n v="0.3"/>
    <n v="5"/>
    <n v="0.79"/>
    <n v="920"/>
    <n v="2.25"/>
    <n v="0.56999999999999995"/>
    <d v="2024-12-24T00:00:00"/>
    <n v="58.78"/>
    <n v="0.57199999999999995"/>
    <n v="48931.15"/>
    <x v="0"/>
    <x v="0"/>
  </r>
  <r>
    <x v="1080"/>
    <x v="4"/>
    <n v="360"/>
    <n v="75"/>
    <n v="9"/>
    <n v="7"/>
    <n v="18.68"/>
    <x v="95"/>
    <x v="2"/>
    <n v="175"/>
    <n v="3.85"/>
    <n v="74.959999999999994"/>
    <n v="1.68"/>
    <n v="9"/>
    <n v="0.71"/>
    <n v="389"/>
    <n v="11.78"/>
    <n v="0.92"/>
    <d v="2024-06-16T00:00:00"/>
    <n v="252.37"/>
    <n v="0.53500000000000003"/>
    <n v="26985.599999999999"/>
    <x v="0"/>
    <x v="0"/>
  </r>
  <r>
    <x v="1081"/>
    <x v="2"/>
    <n v="146"/>
    <n v="87"/>
    <n v="12"/>
    <n v="6"/>
    <n v="1.86"/>
    <x v="25"/>
    <x v="0"/>
    <n v="76"/>
    <n v="3.04"/>
    <n v="133.06"/>
    <n v="1.55"/>
    <n v="1"/>
    <n v="0.97"/>
    <n v="778"/>
    <n v="13.18"/>
    <n v="0.53"/>
    <d v="2024-06-11T00:00:00"/>
    <n v="218.43"/>
    <n v="0.70099999999999996"/>
    <n v="19426.760000000002"/>
    <x v="0"/>
    <x v="1"/>
  </r>
  <r>
    <x v="1082"/>
    <x v="3"/>
    <n v="428"/>
    <n v="25"/>
    <n v="3"/>
    <n v="5"/>
    <n v="10.43"/>
    <x v="62"/>
    <x v="3"/>
    <n v="79"/>
    <n v="2.66"/>
    <n v="138.15"/>
    <n v="1.66"/>
    <n v="7"/>
    <n v="0.98"/>
    <n v="708"/>
    <n v="14.5"/>
    <n v="0.55000000000000004"/>
    <d v="2024-08-19T00:00:00"/>
    <n v="218.21"/>
    <n v="0.59299999999999997"/>
    <n v="59128.200000000004"/>
    <x v="0"/>
    <x v="0"/>
  </r>
  <r>
    <x v="1083"/>
    <x v="3"/>
    <n v="431"/>
    <n v="92"/>
    <n v="10"/>
    <n v="7"/>
    <n v="37.869999999999997"/>
    <x v="77"/>
    <x v="1"/>
    <n v="61"/>
    <n v="1.67"/>
    <n v="175.85"/>
    <n v="0.67"/>
    <n v="8"/>
    <n v="0.72"/>
    <n v="779"/>
    <n v="5.45"/>
    <n v="0.74"/>
    <d v="2024-05-19T00:00:00"/>
    <n v="34.74"/>
    <n v="0.53800000000000003"/>
    <n v="75791.349999999991"/>
    <x v="0"/>
    <x v="0"/>
  </r>
  <r>
    <x v="1084"/>
    <x v="0"/>
    <n v="386"/>
    <n v="43"/>
    <n v="6"/>
    <n v="3"/>
    <n v="46.92"/>
    <x v="91"/>
    <x v="2"/>
    <n v="136"/>
    <n v="2.62"/>
    <n v="198.68"/>
    <n v="1.44"/>
    <n v="9"/>
    <n v="0.7"/>
    <n v="657"/>
    <n v="2.73"/>
    <n v="0.37"/>
    <d v="2024-04-29T00:00:00"/>
    <n v="191.11"/>
    <n v="0.32600000000000001"/>
    <n v="76690.48"/>
    <x v="0"/>
    <x v="0"/>
  </r>
  <r>
    <x v="1085"/>
    <x v="4"/>
    <n v="290"/>
    <n v="53"/>
    <n v="11"/>
    <n v="4"/>
    <n v="5.29"/>
    <x v="43"/>
    <x v="0"/>
    <n v="176"/>
    <n v="3.19"/>
    <n v="30.65"/>
    <n v="0.52"/>
    <n v="7"/>
    <n v="0.94"/>
    <n v="496"/>
    <n v="14.13"/>
    <n v="0.9"/>
    <d v="2024-02-08T00:00:00"/>
    <n v="262.14999999999998"/>
    <n v="0.76400000000000001"/>
    <n v="8888.5"/>
    <x v="0"/>
    <x v="0"/>
  </r>
  <r>
    <x v="1086"/>
    <x v="3"/>
    <n v="151"/>
    <n v="15"/>
    <n v="3"/>
    <n v="5"/>
    <n v="28.34"/>
    <x v="14"/>
    <x v="2"/>
    <n v="163"/>
    <n v="3.71"/>
    <n v="129.91"/>
    <n v="0.12"/>
    <n v="8"/>
    <n v="0.79"/>
    <n v="611"/>
    <n v="6.6"/>
    <n v="0.54"/>
    <d v="2024-04-13T00:00:00"/>
    <n v="232.11"/>
    <n v="0.58199999999999996"/>
    <n v="19616.41"/>
    <x v="0"/>
    <x v="1"/>
  </r>
  <r>
    <x v="1087"/>
    <x v="2"/>
    <n v="112"/>
    <n v="86"/>
    <n v="13"/>
    <n v="2"/>
    <n v="13.44"/>
    <x v="16"/>
    <x v="0"/>
    <n v="74"/>
    <n v="1.25"/>
    <n v="73.92"/>
    <n v="1.75"/>
    <n v="0"/>
    <n v="0.97"/>
    <n v="506"/>
    <n v="2.31"/>
    <n v="0.94"/>
    <d v="2024-03-10T00:00:00"/>
    <n v="44.27"/>
    <n v="0.63800000000000001"/>
    <n v="8279.0400000000009"/>
    <x v="0"/>
    <x v="1"/>
  </r>
  <r>
    <x v="1088"/>
    <x v="0"/>
    <n v="398"/>
    <n v="73"/>
    <n v="4"/>
    <n v="6"/>
    <n v="7.81"/>
    <x v="98"/>
    <x v="2"/>
    <n v="89"/>
    <n v="4.16"/>
    <n v="164.22"/>
    <n v="1.0900000000000001"/>
    <n v="2"/>
    <n v="0.77"/>
    <n v="604"/>
    <n v="7.98"/>
    <n v="0.42"/>
    <d v="2024-10-26T00:00:00"/>
    <n v="285.29000000000002"/>
    <n v="0.59499999999999997"/>
    <n v="65359.56"/>
    <x v="0"/>
    <x v="0"/>
  </r>
  <r>
    <x v="1089"/>
    <x v="4"/>
    <n v="92"/>
    <n v="31"/>
    <n v="8"/>
    <n v="9"/>
    <n v="11.73"/>
    <x v="49"/>
    <x v="2"/>
    <n v="122"/>
    <n v="2.06"/>
    <n v="153.29"/>
    <n v="1.97"/>
    <n v="2"/>
    <n v="0.96"/>
    <n v="580"/>
    <n v="3.67"/>
    <n v="0.56999999999999995"/>
    <d v="2024-02-25T00:00:00"/>
    <n v="30.22"/>
    <n v="0.51800000000000002"/>
    <n v="14102.679999999998"/>
    <x v="0"/>
    <x v="2"/>
  </r>
  <r>
    <x v="1090"/>
    <x v="1"/>
    <n v="430"/>
    <n v="27"/>
    <n v="13"/>
    <n v="5"/>
    <n v="29.31"/>
    <x v="98"/>
    <x v="1"/>
    <n v="120"/>
    <n v="2.76"/>
    <n v="179.58"/>
    <n v="0.83"/>
    <n v="8"/>
    <n v="0.72"/>
    <n v="162"/>
    <n v="5.97"/>
    <n v="0.82"/>
    <d v="2024-03-20T00:00:00"/>
    <n v="171.5"/>
    <n v="0.54500000000000004"/>
    <n v="77219.400000000009"/>
    <x v="0"/>
    <x v="0"/>
  </r>
  <r>
    <x v="1091"/>
    <x v="2"/>
    <n v="429"/>
    <n v="21"/>
    <n v="12"/>
    <n v="7"/>
    <n v="4.1900000000000004"/>
    <x v="23"/>
    <x v="0"/>
    <n v="62"/>
    <n v="3.24"/>
    <n v="75.3"/>
    <n v="1.92"/>
    <n v="2"/>
    <n v="0.78"/>
    <n v="938"/>
    <n v="5.48"/>
    <n v="0.64"/>
    <d v="2024-02-24T00:00:00"/>
    <n v="284.05"/>
    <n v="0.52500000000000002"/>
    <n v="32303.699999999997"/>
    <x v="0"/>
    <x v="0"/>
  </r>
  <r>
    <x v="1092"/>
    <x v="3"/>
    <n v="422"/>
    <n v="61"/>
    <n v="13"/>
    <n v="4"/>
    <n v="22.28"/>
    <x v="38"/>
    <x v="3"/>
    <n v="146"/>
    <n v="2.7"/>
    <n v="45.06"/>
    <n v="1.27"/>
    <n v="9"/>
    <n v="0.99"/>
    <n v="774"/>
    <n v="14.82"/>
    <n v="0.73"/>
    <d v="2024-03-25T00:00:00"/>
    <n v="248.45"/>
    <n v="0.63500000000000001"/>
    <n v="19015.32"/>
    <x v="0"/>
    <x v="0"/>
  </r>
  <r>
    <x v="1093"/>
    <x v="3"/>
    <n v="267"/>
    <n v="60"/>
    <n v="3"/>
    <n v="4"/>
    <n v="7.63"/>
    <x v="59"/>
    <x v="2"/>
    <n v="142"/>
    <n v="3.07"/>
    <n v="14.14"/>
    <n v="1.07"/>
    <n v="0"/>
    <n v="0.77"/>
    <n v="579"/>
    <n v="9.9499999999999993"/>
    <n v="0.42"/>
    <d v="2024-08-18T00:00:00"/>
    <n v="207.44"/>
    <n v="0.66400000000000003"/>
    <n v="3775.38"/>
    <x v="0"/>
    <x v="0"/>
  </r>
  <r>
    <x v="1094"/>
    <x v="2"/>
    <n v="367"/>
    <n v="80"/>
    <n v="6"/>
    <n v="4"/>
    <n v="14.36"/>
    <x v="57"/>
    <x v="3"/>
    <n v="125"/>
    <n v="1"/>
    <n v="58.55"/>
    <n v="0.68"/>
    <n v="2"/>
    <n v="0.74"/>
    <n v="695"/>
    <n v="7.89"/>
    <n v="0.46"/>
    <d v="2024-08-26T00:00:00"/>
    <n v="258.33999999999997"/>
    <n v="0.63700000000000001"/>
    <n v="21487.85"/>
    <x v="0"/>
    <x v="0"/>
  </r>
  <r>
    <x v="1095"/>
    <x v="3"/>
    <n v="292"/>
    <n v="57"/>
    <n v="10"/>
    <n v="5"/>
    <n v="10.35"/>
    <x v="16"/>
    <x v="1"/>
    <n v="81"/>
    <n v="2.44"/>
    <n v="79.760000000000005"/>
    <n v="1.67"/>
    <n v="1"/>
    <n v="0.96"/>
    <n v="852"/>
    <n v="8.19"/>
    <n v="0.61"/>
    <d v="2024-06-09T00:00:00"/>
    <n v="205.25"/>
    <n v="0.63600000000000001"/>
    <n v="23289.920000000002"/>
    <x v="0"/>
    <x v="0"/>
  </r>
  <r>
    <x v="1096"/>
    <x v="0"/>
    <n v="62"/>
    <n v="28"/>
    <n v="12"/>
    <n v="4"/>
    <n v="44.27"/>
    <x v="35"/>
    <x v="3"/>
    <n v="30"/>
    <n v="1.76"/>
    <n v="189.75"/>
    <n v="1.67"/>
    <n v="8"/>
    <n v="0.74"/>
    <n v="575"/>
    <n v="9.4600000000000009"/>
    <n v="0.36"/>
    <d v="2024-07-27T00:00:00"/>
    <n v="25.94"/>
    <n v="0.41899999999999998"/>
    <n v="11764.5"/>
    <x v="0"/>
    <x v="2"/>
  </r>
  <r>
    <x v="1097"/>
    <x v="4"/>
    <n v="396"/>
    <n v="15"/>
    <n v="7"/>
    <n v="7"/>
    <n v="35.69"/>
    <x v="44"/>
    <x v="2"/>
    <n v="112"/>
    <n v="0.89"/>
    <n v="103.36"/>
    <n v="0.89"/>
    <n v="0"/>
    <n v="0.73"/>
    <n v="113"/>
    <n v="13.22"/>
    <n v="0.3"/>
    <d v="2024-03-02T00:00:00"/>
    <n v="111.75"/>
    <n v="0.69299999999999995"/>
    <n v="40930.559999999998"/>
    <x v="0"/>
    <x v="0"/>
  </r>
  <r>
    <x v="1098"/>
    <x v="0"/>
    <n v="60"/>
    <n v="93"/>
    <n v="11"/>
    <n v="9"/>
    <n v="43.55"/>
    <x v="12"/>
    <x v="2"/>
    <n v="116"/>
    <n v="1.36"/>
    <n v="115.72"/>
    <n v="1.48"/>
    <n v="1"/>
    <n v="0.8"/>
    <n v="442"/>
    <n v="3.04"/>
    <n v="0.88"/>
    <d v="2024-10-01T00:00:00"/>
    <n v="133.87"/>
    <n v="0.60899999999999999"/>
    <n v="6943.2"/>
    <x v="1"/>
    <x v="2"/>
  </r>
  <r>
    <x v="1099"/>
    <x v="3"/>
    <n v="189"/>
    <n v="36"/>
    <n v="13"/>
    <n v="5"/>
    <n v="19.79"/>
    <x v="51"/>
    <x v="2"/>
    <n v="72"/>
    <n v="3.21"/>
    <n v="177.22"/>
    <n v="0.95"/>
    <n v="0"/>
    <n v="0.89"/>
    <n v="724"/>
    <n v="9.39"/>
    <n v="0.82"/>
    <d v="2024-07-02T00:00:00"/>
    <n v="168.45"/>
    <n v="0.77200000000000002"/>
    <n v="33494.58"/>
    <x v="0"/>
    <x v="1"/>
  </r>
  <r>
    <x v="1100"/>
    <x v="1"/>
    <n v="453"/>
    <n v="62"/>
    <n v="13"/>
    <n v="4"/>
    <n v="16.36"/>
    <x v="20"/>
    <x v="0"/>
    <n v="157"/>
    <n v="1.39"/>
    <n v="178.16"/>
    <n v="1.51"/>
    <n v="8"/>
    <n v="0.91"/>
    <n v="819"/>
    <n v="5.51"/>
    <n v="0.95"/>
    <d v="2024-04-16T00:00:00"/>
    <n v="76.599999999999994"/>
    <n v="0.53400000000000003"/>
    <n v="80706.48"/>
    <x v="0"/>
    <x v="0"/>
  </r>
  <r>
    <x v="1101"/>
    <x v="4"/>
    <n v="231"/>
    <n v="57"/>
    <n v="8"/>
    <n v="2"/>
    <n v="19.649999999999999"/>
    <x v="13"/>
    <x v="3"/>
    <n v="159"/>
    <n v="1.31"/>
    <n v="110.3"/>
    <n v="1.99"/>
    <n v="6"/>
    <n v="0.96"/>
    <n v="548"/>
    <n v="9"/>
    <n v="0.67"/>
    <d v="2024-08-19T00:00:00"/>
    <n v="265.54000000000002"/>
    <n v="0.52700000000000002"/>
    <n v="25479.3"/>
    <x v="0"/>
    <x v="1"/>
  </r>
  <r>
    <x v="1102"/>
    <x v="4"/>
    <n v="187"/>
    <n v="16"/>
    <n v="3"/>
    <n v="2"/>
    <n v="1.91"/>
    <x v="1"/>
    <x v="0"/>
    <n v="86"/>
    <n v="2.99"/>
    <n v="31.6"/>
    <n v="0.6"/>
    <n v="0"/>
    <n v="0.86"/>
    <n v="567"/>
    <n v="8.25"/>
    <n v="0.54"/>
    <d v="2024-06-06T00:00:00"/>
    <n v="76.319999999999993"/>
    <n v="0.73"/>
    <n v="5909.2"/>
    <x v="0"/>
    <x v="1"/>
  </r>
  <r>
    <x v="1103"/>
    <x v="2"/>
    <n v="58"/>
    <n v="68"/>
    <n v="8"/>
    <n v="3"/>
    <n v="36.51"/>
    <x v="10"/>
    <x v="2"/>
    <n v="84"/>
    <n v="4.57"/>
    <n v="61.4"/>
    <n v="1.3"/>
    <n v="9"/>
    <n v="0.82"/>
    <n v="404"/>
    <n v="1.42"/>
    <n v="0.28000000000000003"/>
    <d v="2024-08-25T00:00:00"/>
    <n v="200.7"/>
    <n v="0.32900000000000001"/>
    <n v="3561.2"/>
    <x v="1"/>
    <x v="2"/>
  </r>
  <r>
    <x v="1104"/>
    <x v="2"/>
    <n v="388"/>
    <n v="78"/>
    <n v="8"/>
    <n v="4"/>
    <n v="18.14"/>
    <x v="6"/>
    <x v="2"/>
    <n v="167"/>
    <n v="4.05"/>
    <n v="96.81"/>
    <n v="0.82"/>
    <n v="5"/>
    <n v="0.81"/>
    <n v="682"/>
    <n v="9.15"/>
    <n v="0.88"/>
    <d v="2024-05-15T00:00:00"/>
    <n v="264.22000000000003"/>
    <n v="0.67800000000000005"/>
    <n v="37562.28"/>
    <x v="0"/>
    <x v="0"/>
  </r>
  <r>
    <x v="1105"/>
    <x v="1"/>
    <n v="264"/>
    <n v="20"/>
    <n v="8"/>
    <n v="4"/>
    <n v="16.350000000000001"/>
    <x v="58"/>
    <x v="1"/>
    <n v="72"/>
    <n v="4.57"/>
    <n v="152.72"/>
    <n v="1.1399999999999999"/>
    <n v="4"/>
    <n v="0.95"/>
    <n v="202"/>
    <n v="10.93"/>
    <n v="0.56999999999999995"/>
    <d v="2024-03-02T00:00:00"/>
    <n v="222.52"/>
    <n v="0.65600000000000003"/>
    <n v="40318.080000000002"/>
    <x v="0"/>
    <x v="0"/>
  </r>
  <r>
    <x v="1106"/>
    <x v="4"/>
    <n v="170"/>
    <n v="24"/>
    <n v="10"/>
    <n v="5"/>
    <n v="30.31"/>
    <x v="30"/>
    <x v="1"/>
    <n v="76"/>
    <n v="3.12"/>
    <n v="145.22"/>
    <n v="1.76"/>
    <n v="9"/>
    <n v="0.92"/>
    <n v="378"/>
    <n v="4.4400000000000004"/>
    <n v="0.65"/>
    <d v="2024-02-16T00:00:00"/>
    <n v="49.44"/>
    <n v="0.41699999999999998"/>
    <n v="24687.4"/>
    <x v="0"/>
    <x v="1"/>
  </r>
  <r>
    <x v="1107"/>
    <x v="1"/>
    <n v="130"/>
    <n v="73"/>
    <n v="8"/>
    <n v="5"/>
    <n v="22.38"/>
    <x v="56"/>
    <x v="2"/>
    <n v="45"/>
    <n v="2.34"/>
    <n v="132.11000000000001"/>
    <n v="0.76"/>
    <n v="4"/>
    <n v="0.97"/>
    <n v="739"/>
    <n v="2.5"/>
    <n v="0.45"/>
    <d v="2024-03-21T00:00:00"/>
    <n v="285.89999999999998"/>
    <n v="0.56100000000000005"/>
    <n v="17174.300000000003"/>
    <x v="0"/>
    <x v="1"/>
  </r>
  <r>
    <x v="1108"/>
    <x v="2"/>
    <n v="499"/>
    <n v="12"/>
    <n v="7"/>
    <n v="8"/>
    <n v="49.06"/>
    <x v="71"/>
    <x v="0"/>
    <n v="143"/>
    <n v="3.78"/>
    <n v="177.25"/>
    <n v="0.24"/>
    <n v="3"/>
    <n v="0.99"/>
    <n v="528"/>
    <n v="3.96"/>
    <n v="0.62"/>
    <d v="2024-12-17T00:00:00"/>
    <n v="36.659999999999997"/>
    <n v="0.69099999999999995"/>
    <n v="88447.75"/>
    <x v="0"/>
    <x v="0"/>
  </r>
  <r>
    <x v="1109"/>
    <x v="2"/>
    <n v="455"/>
    <n v="78"/>
    <n v="13"/>
    <n v="9"/>
    <n v="18.46"/>
    <x v="59"/>
    <x v="0"/>
    <n v="46"/>
    <n v="1.68"/>
    <n v="162.5"/>
    <n v="1.62"/>
    <n v="2"/>
    <n v="0.79"/>
    <n v="440"/>
    <n v="9.91"/>
    <n v="0.83"/>
    <d v="2024-06-04T00:00:00"/>
    <n v="68.02"/>
    <n v="0.65400000000000003"/>
    <n v="73937.5"/>
    <x v="0"/>
    <x v="0"/>
  </r>
  <r>
    <x v="1110"/>
    <x v="4"/>
    <n v="66"/>
    <n v="32"/>
    <n v="4"/>
    <n v="4"/>
    <n v="31.08"/>
    <x v="65"/>
    <x v="2"/>
    <n v="102"/>
    <n v="0.85"/>
    <n v="196.6"/>
    <n v="1.1499999999999999"/>
    <n v="7"/>
    <n v="0.86"/>
    <n v="624"/>
    <n v="7.56"/>
    <n v="0.77"/>
    <d v="2024-12-26T00:00:00"/>
    <n v="50.38"/>
    <n v="0.57199999999999995"/>
    <n v="12975.6"/>
    <x v="0"/>
    <x v="2"/>
  </r>
  <r>
    <x v="1111"/>
    <x v="0"/>
    <n v="82"/>
    <n v="62"/>
    <n v="6"/>
    <n v="3"/>
    <n v="16.27"/>
    <x v="60"/>
    <x v="3"/>
    <n v="84"/>
    <n v="2.0499999999999998"/>
    <n v="178.94"/>
    <n v="0.95"/>
    <n v="6"/>
    <n v="0.89"/>
    <n v="461"/>
    <n v="13.11"/>
    <n v="0.99"/>
    <d v="2024-12-22T00:00:00"/>
    <n v="203.41"/>
    <n v="0.73599999999999999"/>
    <n v="14673.08"/>
    <x v="0"/>
    <x v="2"/>
  </r>
  <r>
    <x v="1112"/>
    <x v="3"/>
    <n v="244"/>
    <n v="46"/>
    <n v="12"/>
    <n v="9"/>
    <n v="49.54"/>
    <x v="88"/>
    <x v="0"/>
    <n v="175"/>
    <n v="1.85"/>
    <n v="47.17"/>
    <n v="0.45"/>
    <n v="4"/>
    <n v="0.75"/>
    <n v="307"/>
    <n v="4.99"/>
    <n v="0.6"/>
    <d v="2024-11-04T00:00:00"/>
    <n v="244.15"/>
    <n v="0.61199999999999999"/>
    <n v="11509.48"/>
    <x v="0"/>
    <x v="1"/>
  </r>
  <r>
    <x v="1113"/>
    <x v="2"/>
    <n v="385"/>
    <n v="18"/>
    <n v="7"/>
    <n v="4"/>
    <n v="22.81"/>
    <x v="77"/>
    <x v="2"/>
    <n v="124"/>
    <n v="3.54"/>
    <n v="20.95"/>
    <n v="0.28000000000000003"/>
    <n v="8"/>
    <n v="0.72"/>
    <n v="626"/>
    <n v="6.11"/>
    <n v="0.62"/>
    <d v="2024-01-21T00:00:00"/>
    <n v="79.02"/>
    <n v="0.56100000000000005"/>
    <n v="8065.75"/>
    <x v="0"/>
    <x v="0"/>
  </r>
  <r>
    <x v="1114"/>
    <x v="2"/>
    <n v="88"/>
    <n v="24"/>
    <n v="12"/>
    <n v="9"/>
    <n v="32.07"/>
    <x v="72"/>
    <x v="1"/>
    <n v="162"/>
    <n v="2.98"/>
    <n v="88.76"/>
    <n v="0.63"/>
    <n v="6"/>
    <n v="0.96"/>
    <n v="918"/>
    <n v="8.39"/>
    <n v="0.24"/>
    <d v="2024-04-20T00:00:00"/>
    <n v="293.98"/>
    <n v="0.56899999999999995"/>
    <n v="7810.88"/>
    <x v="0"/>
    <x v="2"/>
  </r>
  <r>
    <x v="1115"/>
    <x v="0"/>
    <n v="318"/>
    <n v="12"/>
    <n v="6"/>
    <n v="7"/>
    <n v="7.21"/>
    <x v="68"/>
    <x v="2"/>
    <n v="86"/>
    <n v="1.1200000000000001"/>
    <n v="127.33"/>
    <n v="1.47"/>
    <n v="9"/>
    <n v="0.86"/>
    <n v="556"/>
    <n v="7.44"/>
    <n v="0.51"/>
    <d v="2024-06-16T00:00:00"/>
    <n v="50.38"/>
    <n v="0.44600000000000001"/>
    <n v="40490.94"/>
    <x v="0"/>
    <x v="0"/>
  </r>
  <r>
    <x v="1116"/>
    <x v="0"/>
    <n v="451"/>
    <n v="79"/>
    <n v="4"/>
    <n v="5"/>
    <n v="36.92"/>
    <x v="98"/>
    <x v="0"/>
    <n v="170"/>
    <n v="4.59"/>
    <n v="132.19"/>
    <n v="0.88"/>
    <n v="1"/>
    <n v="0.87"/>
    <n v="748"/>
    <n v="8.67"/>
    <n v="0.94"/>
    <d v="2024-03-16T00:00:00"/>
    <n v="101.6"/>
    <n v="0.77"/>
    <n v="59617.69"/>
    <x v="0"/>
    <x v="0"/>
  </r>
  <r>
    <x v="1117"/>
    <x v="1"/>
    <n v="309"/>
    <n v="26"/>
    <n v="9"/>
    <n v="4"/>
    <n v="14.19"/>
    <x v="92"/>
    <x v="2"/>
    <n v="22"/>
    <n v="3.17"/>
    <n v="60.83"/>
    <n v="1.18"/>
    <n v="6"/>
    <n v="0.87"/>
    <n v="969"/>
    <n v="5.37"/>
    <n v="0.48"/>
    <d v="2024-02-16T00:00:00"/>
    <n v="152.19"/>
    <n v="0.504"/>
    <n v="18796.47"/>
    <x v="0"/>
    <x v="0"/>
  </r>
  <r>
    <x v="1118"/>
    <x v="1"/>
    <n v="315"/>
    <n v="35"/>
    <n v="12"/>
    <n v="9"/>
    <n v="22.98"/>
    <x v="40"/>
    <x v="3"/>
    <n v="47"/>
    <n v="2.56"/>
    <n v="173.38"/>
    <n v="0.26"/>
    <n v="6"/>
    <n v="0.93"/>
    <n v="788"/>
    <n v="3.33"/>
    <n v="0.81"/>
    <d v="2024-12-30T00:00:00"/>
    <n v="244.57"/>
    <n v="0.64600000000000002"/>
    <n v="54614.7"/>
    <x v="0"/>
    <x v="0"/>
  </r>
  <r>
    <x v="1119"/>
    <x v="3"/>
    <n v="222"/>
    <n v="30"/>
    <n v="12"/>
    <n v="5"/>
    <n v="44.27"/>
    <x v="61"/>
    <x v="3"/>
    <n v="157"/>
    <n v="4.72"/>
    <n v="72.56"/>
    <n v="0.33"/>
    <n v="3"/>
    <n v="0.74"/>
    <n v="760"/>
    <n v="12.25"/>
    <n v="0.98"/>
    <d v="2024-05-07T00:00:00"/>
    <n v="119.2"/>
    <n v="0.81399999999999995"/>
    <n v="16108.32"/>
    <x v="0"/>
    <x v="1"/>
  </r>
  <r>
    <x v="1120"/>
    <x v="3"/>
    <n v="80"/>
    <n v="81"/>
    <n v="4"/>
    <n v="4"/>
    <n v="48.56"/>
    <x v="62"/>
    <x v="0"/>
    <n v="26"/>
    <n v="0.94"/>
    <n v="184.63"/>
    <n v="0.12"/>
    <n v="7"/>
    <n v="0.88"/>
    <n v="343"/>
    <n v="1.55"/>
    <n v="0.3"/>
    <d v="2024-07-01T00:00:00"/>
    <n v="62.17"/>
    <n v="0.505"/>
    <n v="14770.4"/>
    <x v="1"/>
    <x v="2"/>
  </r>
  <r>
    <x v="1121"/>
    <x v="4"/>
    <n v="453"/>
    <n v="30"/>
    <n v="3"/>
    <n v="6"/>
    <n v="21.8"/>
    <x v="85"/>
    <x v="2"/>
    <n v="132"/>
    <n v="4.05"/>
    <n v="99.6"/>
    <n v="1.38"/>
    <n v="3"/>
    <n v="0.84"/>
    <n v="812"/>
    <n v="6.18"/>
    <n v="0.47"/>
    <d v="2024-07-21T00:00:00"/>
    <n v="144.83000000000001"/>
    <n v="0.54600000000000004"/>
    <n v="45118.799999999996"/>
    <x v="0"/>
    <x v="0"/>
  </r>
  <r>
    <x v="1122"/>
    <x v="1"/>
    <n v="470"/>
    <n v="20"/>
    <n v="7"/>
    <n v="5"/>
    <n v="41.91"/>
    <x v="23"/>
    <x v="3"/>
    <n v="123"/>
    <n v="2.14"/>
    <n v="11.97"/>
    <n v="0.6"/>
    <n v="6"/>
    <n v="0.97"/>
    <n v="526"/>
    <n v="2.2200000000000002"/>
    <n v="0.57999999999999996"/>
    <d v="2024-09-19T00:00:00"/>
    <n v="148.18"/>
    <n v="0.56000000000000005"/>
    <n v="5625.9000000000005"/>
    <x v="0"/>
    <x v="0"/>
  </r>
  <r>
    <x v="1123"/>
    <x v="2"/>
    <n v="337"/>
    <n v="47"/>
    <n v="14"/>
    <n v="9"/>
    <n v="3.61"/>
    <x v="67"/>
    <x v="3"/>
    <n v="161"/>
    <n v="3.63"/>
    <n v="40.79"/>
    <n v="1.94"/>
    <n v="3"/>
    <n v="0.86"/>
    <n v="879"/>
    <n v="11.31"/>
    <n v="0.39"/>
    <d v="2024-01-26T00:00:00"/>
    <n v="14.7"/>
    <n v="0.54700000000000004"/>
    <n v="13746.23"/>
    <x v="0"/>
    <x v="0"/>
  </r>
  <r>
    <x v="1124"/>
    <x v="1"/>
    <n v="333"/>
    <n v="81"/>
    <n v="3"/>
    <n v="3"/>
    <n v="42.53"/>
    <x v="56"/>
    <x v="1"/>
    <n v="35"/>
    <n v="4.6900000000000004"/>
    <n v="29.44"/>
    <n v="0.69"/>
    <n v="7"/>
    <n v="0.98"/>
    <n v="754"/>
    <n v="6.12"/>
    <n v="0.21"/>
    <d v="2024-12-12T00:00:00"/>
    <n v="16.059999999999999"/>
    <n v="0.51100000000000001"/>
    <n v="9803.52"/>
    <x v="0"/>
    <x v="0"/>
  </r>
  <r>
    <x v="1125"/>
    <x v="2"/>
    <n v="180"/>
    <n v="97"/>
    <n v="3"/>
    <n v="6"/>
    <n v="31.85"/>
    <x v="17"/>
    <x v="0"/>
    <n v="177"/>
    <n v="2.83"/>
    <n v="18.36"/>
    <n v="0.79"/>
    <n v="2"/>
    <n v="0.81"/>
    <n v="557"/>
    <n v="1.42"/>
    <n v="0.56999999999999995"/>
    <d v="2024-06-02T00:00:00"/>
    <n v="90.52"/>
    <n v="0.57599999999999996"/>
    <n v="3304.7999999999997"/>
    <x v="0"/>
    <x v="1"/>
  </r>
  <r>
    <x v="1126"/>
    <x v="0"/>
    <n v="350"/>
    <n v="44"/>
    <n v="3"/>
    <n v="7"/>
    <n v="24.95"/>
    <x v="10"/>
    <x v="1"/>
    <n v="41"/>
    <n v="0.6"/>
    <n v="145.66"/>
    <n v="0.99"/>
    <n v="1"/>
    <n v="0.99"/>
    <n v="168"/>
    <n v="2.06"/>
    <n v="0.63"/>
    <d v="2024-05-13T00:00:00"/>
    <n v="224.95"/>
    <n v="0.63200000000000001"/>
    <n v="50981"/>
    <x v="0"/>
    <x v="0"/>
  </r>
  <r>
    <x v="1127"/>
    <x v="1"/>
    <n v="35"/>
    <n v="23"/>
    <n v="8"/>
    <n v="4"/>
    <n v="44.61"/>
    <x v="69"/>
    <x v="1"/>
    <n v="174"/>
    <n v="0.63"/>
    <n v="46.54"/>
    <n v="0.71"/>
    <n v="9"/>
    <n v="0.96"/>
    <n v="740"/>
    <n v="3.78"/>
    <n v="0.7"/>
    <d v="2024-03-30T00:00:00"/>
    <n v="116.14"/>
    <n v="0.53100000000000003"/>
    <n v="1628.8999999999999"/>
    <x v="0"/>
    <x v="2"/>
  </r>
  <r>
    <x v="1128"/>
    <x v="0"/>
    <n v="357"/>
    <n v="23"/>
    <n v="11"/>
    <n v="8"/>
    <n v="42.42"/>
    <x v="92"/>
    <x v="3"/>
    <n v="95"/>
    <n v="1.99"/>
    <n v="169.34"/>
    <n v="1.65"/>
    <n v="5"/>
    <n v="0.88"/>
    <n v="527"/>
    <n v="12.02"/>
    <n v="0.86"/>
    <d v="2024-01-16T00:00:00"/>
    <n v="71.25"/>
    <n v="0.64300000000000002"/>
    <n v="60454.380000000005"/>
    <x v="0"/>
    <x v="0"/>
  </r>
  <r>
    <x v="1129"/>
    <x v="3"/>
    <n v="113"/>
    <n v="19"/>
    <n v="12"/>
    <n v="7"/>
    <n v="15.55"/>
    <x v="41"/>
    <x v="2"/>
    <n v="107"/>
    <n v="4.0199999999999996"/>
    <n v="60.25"/>
    <n v="1.76"/>
    <n v="6"/>
    <n v="0.81"/>
    <n v="613"/>
    <n v="12.19"/>
    <n v="0.4"/>
    <d v="2024-07-26T00:00:00"/>
    <n v="42.76"/>
    <n v="0.50900000000000001"/>
    <n v="6808.25"/>
    <x v="0"/>
    <x v="1"/>
  </r>
  <r>
    <x v="1130"/>
    <x v="3"/>
    <n v="323"/>
    <n v="21"/>
    <n v="13"/>
    <n v="5"/>
    <n v="39.78"/>
    <x v="77"/>
    <x v="1"/>
    <n v="100"/>
    <n v="1.8"/>
    <n v="16.14"/>
    <n v="0.12"/>
    <n v="6"/>
    <n v="0.81"/>
    <n v="671"/>
    <n v="14.95"/>
    <n v="0.25"/>
    <d v="2024-08-19T00:00:00"/>
    <n v="91.35"/>
    <n v="0.67900000000000005"/>
    <n v="5213.22"/>
    <x v="0"/>
    <x v="0"/>
  </r>
  <r>
    <x v="1131"/>
    <x v="4"/>
    <n v="157"/>
    <n v="47"/>
    <n v="14"/>
    <n v="6"/>
    <n v="5.88"/>
    <x v="36"/>
    <x v="0"/>
    <n v="130"/>
    <n v="2.0099999999999998"/>
    <n v="165.93"/>
    <n v="1.34"/>
    <n v="5"/>
    <n v="0.93"/>
    <n v="785"/>
    <n v="4.37"/>
    <n v="0.27"/>
    <d v="2024-10-11T00:00:00"/>
    <n v="149.62"/>
    <n v="0.46400000000000002"/>
    <n v="26051.010000000002"/>
    <x v="0"/>
    <x v="1"/>
  </r>
  <r>
    <x v="1132"/>
    <x v="1"/>
    <n v="357"/>
    <n v="43"/>
    <n v="3"/>
    <n v="7"/>
    <n v="41.32"/>
    <x v="83"/>
    <x v="0"/>
    <n v="66"/>
    <n v="4.03"/>
    <n v="98.57"/>
    <n v="1.4"/>
    <n v="7"/>
    <n v="0.87"/>
    <n v="891"/>
    <n v="1.85"/>
    <n v="0.6"/>
    <d v="2024-10-08T00:00:00"/>
    <n v="37.08"/>
    <n v="0.439"/>
    <n v="35189.49"/>
    <x v="0"/>
    <x v="0"/>
  </r>
  <r>
    <x v="1133"/>
    <x v="0"/>
    <n v="57"/>
    <n v="50"/>
    <n v="7"/>
    <n v="3"/>
    <n v="34.1"/>
    <x v="3"/>
    <x v="2"/>
    <n v="116"/>
    <n v="1.02"/>
    <n v="123.91"/>
    <n v="1.93"/>
    <n v="5"/>
    <n v="0.82"/>
    <n v="659"/>
    <n v="4.96"/>
    <n v="0.94"/>
    <d v="2024-05-07T00:00:00"/>
    <n v="14.33"/>
    <n v="0.52500000000000002"/>
    <n v="7062.87"/>
    <x v="0"/>
    <x v="2"/>
  </r>
  <r>
    <x v="1134"/>
    <x v="2"/>
    <n v="146"/>
    <n v="19"/>
    <n v="11"/>
    <n v="8"/>
    <n v="5.31"/>
    <x v="63"/>
    <x v="0"/>
    <n v="31"/>
    <n v="4.3099999999999996"/>
    <n v="73.88"/>
    <n v="0.8"/>
    <n v="5"/>
    <n v="0.89"/>
    <n v="368"/>
    <n v="3.5"/>
    <n v="0.99"/>
    <d v="2024-02-18T00:00:00"/>
    <n v="46.92"/>
    <n v="0.64300000000000002"/>
    <n v="10786.48"/>
    <x v="0"/>
    <x v="1"/>
  </r>
  <r>
    <x v="1135"/>
    <x v="3"/>
    <n v="294"/>
    <n v="26"/>
    <n v="11"/>
    <n v="5"/>
    <n v="34.47"/>
    <x v="18"/>
    <x v="1"/>
    <n v="121"/>
    <n v="1.7"/>
    <n v="18.75"/>
    <n v="0.47"/>
    <n v="2"/>
    <n v="0.92"/>
    <n v="444"/>
    <n v="10.95"/>
    <n v="0.36"/>
    <d v="2024-08-24T00:00:00"/>
    <n v="224.01"/>
    <n v="0.71499999999999997"/>
    <n v="5512.5"/>
    <x v="0"/>
    <x v="0"/>
  </r>
  <r>
    <x v="1136"/>
    <x v="3"/>
    <n v="183"/>
    <n v="26"/>
    <n v="3"/>
    <n v="6"/>
    <n v="29.45"/>
    <x v="80"/>
    <x v="2"/>
    <n v="94"/>
    <n v="0.73"/>
    <n v="80.33"/>
    <n v="1.0900000000000001"/>
    <n v="1"/>
    <n v="0.71"/>
    <n v="97"/>
    <n v="14.57"/>
    <n v="0.32"/>
    <d v="2024-02-22T00:00:00"/>
    <n v="145.22999999999999"/>
    <n v="0.67100000000000004"/>
    <n v="14700.39"/>
    <x v="0"/>
    <x v="1"/>
  </r>
  <r>
    <x v="1137"/>
    <x v="2"/>
    <n v="462"/>
    <n v="76"/>
    <n v="10"/>
    <n v="7"/>
    <n v="30.13"/>
    <x v="2"/>
    <x v="0"/>
    <n v="89"/>
    <n v="1.03"/>
    <n v="108.47"/>
    <n v="0.95"/>
    <n v="6"/>
    <n v="0.73"/>
    <n v="662"/>
    <n v="4.82"/>
    <n v="0.48"/>
    <d v="2024-03-12T00:00:00"/>
    <n v="139.1"/>
    <n v="0.49099999999999999"/>
    <n v="50113.14"/>
    <x v="0"/>
    <x v="0"/>
  </r>
  <r>
    <x v="1138"/>
    <x v="0"/>
    <n v="338"/>
    <n v="71"/>
    <n v="3"/>
    <n v="6"/>
    <n v="15.25"/>
    <x v="11"/>
    <x v="0"/>
    <n v="82"/>
    <n v="4.79"/>
    <n v="12.22"/>
    <n v="1.6"/>
    <n v="5"/>
    <n v="0.73"/>
    <n v="487"/>
    <n v="5.6"/>
    <n v="0.56999999999999995"/>
    <d v="2024-03-03T00:00:00"/>
    <n v="15.73"/>
    <n v="0.47499999999999998"/>
    <n v="4130.3600000000006"/>
    <x v="0"/>
    <x v="0"/>
  </r>
  <r>
    <x v="1139"/>
    <x v="0"/>
    <n v="96"/>
    <n v="10"/>
    <n v="10"/>
    <n v="6"/>
    <n v="14.06"/>
    <x v="16"/>
    <x v="1"/>
    <n v="86"/>
    <n v="2.5299999999999998"/>
    <n v="119.12"/>
    <n v="1.82"/>
    <n v="0"/>
    <n v="0.77"/>
    <n v="524"/>
    <n v="5.92"/>
    <n v="0.85"/>
    <d v="2024-01-07T00:00:00"/>
    <n v="216.17"/>
    <n v="0.621"/>
    <n v="11435.52"/>
    <x v="0"/>
    <x v="2"/>
  </r>
  <r>
    <x v="1140"/>
    <x v="1"/>
    <n v="193"/>
    <n v="21"/>
    <n v="3"/>
    <n v="7"/>
    <n v="38.36"/>
    <x v="9"/>
    <x v="1"/>
    <n v="83"/>
    <n v="1.65"/>
    <n v="179.68"/>
    <n v="0.26"/>
    <n v="1"/>
    <n v="0.83"/>
    <n v="995"/>
    <n v="13"/>
    <n v="0.82"/>
    <d v="2024-02-01T00:00:00"/>
    <n v="68.55"/>
    <n v="0.85699999999999998"/>
    <n v="34678.239999999998"/>
    <x v="0"/>
    <x v="1"/>
  </r>
  <r>
    <x v="1141"/>
    <x v="1"/>
    <n v="406"/>
    <n v="13"/>
    <n v="14"/>
    <n v="2"/>
    <n v="13.58"/>
    <x v="47"/>
    <x v="1"/>
    <n v="136"/>
    <n v="2.85"/>
    <n v="51.39"/>
    <n v="1.71"/>
    <n v="1"/>
    <n v="0.94"/>
    <n v="801"/>
    <n v="9.09"/>
    <n v="0.94"/>
    <d v="2024-04-23T00:00:00"/>
    <n v="36.35"/>
    <n v="0.70599999999999996"/>
    <n v="20864.34"/>
    <x v="0"/>
    <x v="0"/>
  </r>
  <r>
    <x v="1142"/>
    <x v="4"/>
    <n v="477"/>
    <n v="51"/>
    <n v="7"/>
    <n v="4"/>
    <n v="22.87"/>
    <x v="12"/>
    <x v="1"/>
    <n v="130"/>
    <n v="3.57"/>
    <n v="186.09"/>
    <n v="1.83"/>
    <n v="0"/>
    <n v="0.81"/>
    <n v="635"/>
    <n v="14.64"/>
    <n v="0.89"/>
    <d v="2024-03-07T00:00:00"/>
    <n v="254.19"/>
    <n v="0.752"/>
    <n v="88764.930000000008"/>
    <x v="0"/>
    <x v="0"/>
  </r>
  <r>
    <x v="1143"/>
    <x v="3"/>
    <n v="377"/>
    <n v="22"/>
    <n v="10"/>
    <n v="9"/>
    <n v="35.04"/>
    <x v="87"/>
    <x v="2"/>
    <n v="94"/>
    <n v="1.93"/>
    <n v="28.55"/>
    <n v="1.86"/>
    <n v="2"/>
    <n v="0.71"/>
    <n v="599"/>
    <n v="9.7799999999999994"/>
    <n v="0.55000000000000004"/>
    <d v="2024-04-11T00:00:00"/>
    <n v="150.83000000000001"/>
    <n v="0.55600000000000005"/>
    <n v="10763.35"/>
    <x v="0"/>
    <x v="0"/>
  </r>
  <r>
    <x v="1144"/>
    <x v="1"/>
    <n v="340"/>
    <n v="94"/>
    <n v="8"/>
    <n v="5"/>
    <n v="4.9000000000000004"/>
    <x v="27"/>
    <x v="2"/>
    <n v="179"/>
    <n v="3.76"/>
    <n v="166.83"/>
    <n v="1.55"/>
    <n v="4"/>
    <n v="0.85"/>
    <n v="777"/>
    <n v="10.88"/>
    <n v="0.22"/>
    <d v="2024-07-24T00:00:00"/>
    <n v="227.19"/>
    <n v="0.52400000000000002"/>
    <n v="56722.200000000004"/>
    <x v="0"/>
    <x v="0"/>
  </r>
  <r>
    <x v="1145"/>
    <x v="0"/>
    <n v="395"/>
    <n v="95"/>
    <n v="11"/>
    <n v="5"/>
    <n v="30.13"/>
    <x v="9"/>
    <x v="2"/>
    <n v="177"/>
    <n v="1.64"/>
    <n v="169.66"/>
    <n v="1.51"/>
    <n v="3"/>
    <n v="1"/>
    <n v="185"/>
    <n v="2.25"/>
    <n v="0.39"/>
    <d v="2024-07-09T00:00:00"/>
    <n v="248.35"/>
    <n v="0.497"/>
    <n v="67015.7"/>
    <x v="0"/>
    <x v="0"/>
  </r>
  <r>
    <x v="1146"/>
    <x v="2"/>
    <n v="110"/>
    <n v="13"/>
    <n v="3"/>
    <n v="8"/>
    <n v="29.88"/>
    <x v="56"/>
    <x v="3"/>
    <n v="159"/>
    <n v="1.01"/>
    <n v="58.97"/>
    <n v="0.13"/>
    <n v="1"/>
    <n v="0.8"/>
    <n v="567"/>
    <n v="14.32"/>
    <n v="0.69"/>
    <d v="2024-12-17T00:00:00"/>
    <n v="289.74"/>
    <n v="0.85599999999999998"/>
    <n v="6486.7"/>
    <x v="0"/>
    <x v="1"/>
  </r>
  <r>
    <x v="1147"/>
    <x v="0"/>
    <n v="257"/>
    <n v="91"/>
    <n v="11"/>
    <n v="8"/>
    <n v="34.53"/>
    <x v="47"/>
    <x v="1"/>
    <n v="91"/>
    <n v="2.97"/>
    <n v="191.99"/>
    <n v="1.85"/>
    <n v="7"/>
    <n v="0.99"/>
    <n v="808"/>
    <n v="9.7899999999999991"/>
    <n v="0.6"/>
    <d v="2024-11-18T00:00:00"/>
    <n v="190.87"/>
    <n v="0.52400000000000002"/>
    <n v="49341.43"/>
    <x v="0"/>
    <x v="0"/>
  </r>
  <r>
    <x v="1148"/>
    <x v="3"/>
    <n v="283"/>
    <n v="78"/>
    <n v="3"/>
    <n v="8"/>
    <n v="19.13"/>
    <x v="36"/>
    <x v="1"/>
    <n v="30"/>
    <n v="1.18"/>
    <n v="89.15"/>
    <n v="0.77"/>
    <n v="8"/>
    <n v="0.73"/>
    <n v="373"/>
    <n v="8.2799999999999994"/>
    <n v="0.39"/>
    <d v="2024-11-26T00:00:00"/>
    <n v="29.8"/>
    <n v="0.497"/>
    <n v="25229.45"/>
    <x v="0"/>
    <x v="0"/>
  </r>
  <r>
    <x v="1149"/>
    <x v="0"/>
    <n v="198"/>
    <n v="28"/>
    <n v="12"/>
    <n v="5"/>
    <n v="23"/>
    <x v="27"/>
    <x v="2"/>
    <n v="151"/>
    <n v="4.7300000000000004"/>
    <n v="36.840000000000003"/>
    <n v="0.18"/>
    <n v="7"/>
    <n v="0.75"/>
    <n v="246"/>
    <n v="6.42"/>
    <n v="0.31"/>
    <d v="2024-02-13T00:00:00"/>
    <n v="171.73"/>
    <n v="0.54"/>
    <n v="7294.3200000000006"/>
    <x v="0"/>
    <x v="1"/>
  </r>
  <r>
    <x v="1150"/>
    <x v="4"/>
    <n v="228"/>
    <n v="11"/>
    <n v="12"/>
    <n v="6"/>
    <n v="17.170000000000002"/>
    <x v="75"/>
    <x v="0"/>
    <n v="83"/>
    <n v="0.5"/>
    <n v="122.43"/>
    <n v="0.88"/>
    <n v="6"/>
    <n v="0.92"/>
    <n v="951"/>
    <n v="2.08"/>
    <n v="0.37"/>
    <d v="2024-10-25T00:00:00"/>
    <n v="157.76"/>
    <n v="0.47799999999999998"/>
    <n v="27914.04"/>
    <x v="0"/>
    <x v="1"/>
  </r>
  <r>
    <x v="1151"/>
    <x v="3"/>
    <n v="92"/>
    <n v="21"/>
    <n v="5"/>
    <n v="8"/>
    <n v="40.6"/>
    <x v="84"/>
    <x v="0"/>
    <n v="18"/>
    <n v="3.9"/>
    <n v="199.36"/>
    <n v="1.49"/>
    <n v="9"/>
    <n v="0.85"/>
    <n v="160"/>
    <n v="2.87"/>
    <n v="0.41"/>
    <d v="2024-10-27T00:00:00"/>
    <n v="26.69"/>
    <n v="0.36099999999999999"/>
    <n v="18341.120000000003"/>
    <x v="0"/>
    <x v="2"/>
  </r>
  <r>
    <x v="1152"/>
    <x v="2"/>
    <n v="409"/>
    <n v="90"/>
    <n v="3"/>
    <n v="7"/>
    <n v="7.4"/>
    <x v="91"/>
    <x v="1"/>
    <n v="155"/>
    <n v="1.76"/>
    <n v="180.87"/>
    <n v="0.94"/>
    <n v="1"/>
    <n v="0.93"/>
    <n v="849"/>
    <n v="1.1599999999999999"/>
    <n v="0.89"/>
    <d v="2024-05-12T00:00:00"/>
    <n v="98.83"/>
    <n v="0.66500000000000004"/>
    <n v="73975.83"/>
    <x v="0"/>
    <x v="0"/>
  </r>
  <r>
    <x v="1153"/>
    <x v="4"/>
    <n v="126"/>
    <n v="83"/>
    <n v="5"/>
    <n v="4"/>
    <n v="48.18"/>
    <x v="93"/>
    <x v="1"/>
    <n v="22"/>
    <n v="4.3099999999999996"/>
    <n v="62.93"/>
    <n v="1.54"/>
    <n v="5"/>
    <n v="0.96"/>
    <n v="599"/>
    <n v="14.98"/>
    <n v="0.77"/>
    <d v="2024-02-08T00:00:00"/>
    <n v="129.53"/>
    <n v="0.69199999999999995"/>
    <n v="7929.18"/>
    <x v="0"/>
    <x v="1"/>
  </r>
  <r>
    <x v="1154"/>
    <x v="3"/>
    <n v="364"/>
    <n v="15"/>
    <n v="14"/>
    <n v="3"/>
    <n v="32.11"/>
    <x v="22"/>
    <x v="2"/>
    <n v="26"/>
    <n v="0.77"/>
    <n v="119.63"/>
    <n v="1.07"/>
    <n v="3"/>
    <n v="0.78"/>
    <n v="164"/>
    <n v="12.01"/>
    <n v="0.64"/>
    <d v="2024-01-12T00:00:00"/>
    <n v="56.68"/>
    <n v="0.67700000000000005"/>
    <n v="43545.32"/>
    <x v="0"/>
    <x v="0"/>
  </r>
  <r>
    <x v="1155"/>
    <x v="2"/>
    <n v="314"/>
    <n v="17"/>
    <n v="13"/>
    <n v="5"/>
    <n v="44.46"/>
    <x v="92"/>
    <x v="1"/>
    <n v="135"/>
    <n v="4.79"/>
    <n v="31.92"/>
    <n v="0.67"/>
    <n v="4"/>
    <n v="0.9"/>
    <n v="746"/>
    <n v="12.16"/>
    <n v="0.22"/>
    <d v="2024-02-03T00:00:00"/>
    <n v="12.54"/>
    <n v="0.63900000000000001"/>
    <n v="10022.880000000001"/>
    <x v="0"/>
    <x v="0"/>
  </r>
  <r>
    <x v="1156"/>
    <x v="4"/>
    <n v="388"/>
    <n v="60"/>
    <n v="4"/>
    <n v="7"/>
    <n v="21.89"/>
    <x v="4"/>
    <x v="0"/>
    <n v="96"/>
    <n v="0.96"/>
    <n v="97.75"/>
    <n v="0.49"/>
    <n v="8"/>
    <n v="0.88"/>
    <n v="773"/>
    <n v="11.22"/>
    <n v="0.86"/>
    <d v="2024-04-11T00:00:00"/>
    <n v="229.52"/>
    <n v="0.68899999999999995"/>
    <n v="37927"/>
    <x v="0"/>
    <x v="0"/>
  </r>
  <r>
    <x v="1157"/>
    <x v="4"/>
    <n v="463"/>
    <n v="20"/>
    <n v="4"/>
    <n v="4"/>
    <n v="17.28"/>
    <x v="96"/>
    <x v="0"/>
    <n v="162"/>
    <n v="4.05"/>
    <n v="109.38"/>
    <n v="0.9"/>
    <n v="8"/>
    <n v="0.96"/>
    <n v="537"/>
    <n v="7.78"/>
    <n v="0.64"/>
    <d v="2024-11-26T00:00:00"/>
    <n v="256.97000000000003"/>
    <n v="0.57399999999999995"/>
    <n v="50642.939999999995"/>
    <x v="0"/>
    <x v="0"/>
  </r>
  <r>
    <x v="1158"/>
    <x v="3"/>
    <n v="303"/>
    <n v="72"/>
    <n v="11"/>
    <n v="4"/>
    <n v="45.14"/>
    <x v="73"/>
    <x v="1"/>
    <n v="25"/>
    <n v="2.83"/>
    <n v="69.900000000000006"/>
    <n v="0.17"/>
    <n v="3"/>
    <n v="0.83"/>
    <n v="414"/>
    <n v="2.23"/>
    <n v="0.7"/>
    <d v="2024-08-15T00:00:00"/>
    <n v="76.44"/>
    <n v="0.65900000000000003"/>
    <n v="21179.7"/>
    <x v="0"/>
    <x v="0"/>
  </r>
  <r>
    <x v="1159"/>
    <x v="1"/>
    <n v="372"/>
    <n v="66"/>
    <n v="10"/>
    <n v="2"/>
    <n v="5.84"/>
    <x v="83"/>
    <x v="2"/>
    <n v="33"/>
    <n v="2.44"/>
    <n v="102"/>
    <n v="0.9"/>
    <n v="7"/>
    <n v="0.72"/>
    <n v="533"/>
    <n v="2.0099999999999998"/>
    <n v="0.25"/>
    <d v="2024-03-06T00:00:00"/>
    <n v="11.1"/>
    <n v="0.39100000000000001"/>
    <n v="37944"/>
    <x v="0"/>
    <x v="0"/>
  </r>
  <r>
    <x v="1160"/>
    <x v="4"/>
    <n v="201"/>
    <n v="21"/>
    <n v="3"/>
    <n v="9"/>
    <n v="6.74"/>
    <x v="0"/>
    <x v="2"/>
    <n v="84"/>
    <n v="1.76"/>
    <n v="184.79"/>
    <n v="0.23"/>
    <n v="4"/>
    <n v="0.87"/>
    <n v="816"/>
    <n v="13.83"/>
    <n v="0.85"/>
    <d v="2024-02-17T00:00:00"/>
    <n v="268.08"/>
    <n v="0.82499999999999996"/>
    <n v="37142.79"/>
    <x v="0"/>
    <x v="1"/>
  </r>
  <r>
    <x v="1161"/>
    <x v="4"/>
    <n v="56"/>
    <n v="82"/>
    <n v="14"/>
    <n v="7"/>
    <n v="15.67"/>
    <x v="86"/>
    <x v="0"/>
    <n v="160"/>
    <n v="4.29"/>
    <n v="105.03"/>
    <n v="1.77"/>
    <n v="8"/>
    <n v="0.99"/>
    <n v="881"/>
    <n v="1"/>
    <n v="0.87"/>
    <d v="2024-06-18T00:00:00"/>
    <n v="48.85"/>
    <n v="0.44800000000000001"/>
    <n v="5881.68"/>
    <x v="1"/>
    <x v="2"/>
  </r>
  <r>
    <x v="1162"/>
    <x v="2"/>
    <n v="156"/>
    <n v="11"/>
    <n v="6"/>
    <n v="5"/>
    <n v="48.03"/>
    <x v="11"/>
    <x v="2"/>
    <n v="178"/>
    <n v="1.4"/>
    <n v="167.89"/>
    <n v="1.19"/>
    <n v="1"/>
    <n v="0.7"/>
    <n v="359"/>
    <n v="10.79"/>
    <n v="0.91"/>
    <d v="2024-03-03T00:00:00"/>
    <n v="126.94"/>
    <n v="0.72699999999999998"/>
    <n v="26190.839999999997"/>
    <x v="0"/>
    <x v="1"/>
  </r>
  <r>
    <x v="1163"/>
    <x v="0"/>
    <n v="357"/>
    <n v="17"/>
    <n v="3"/>
    <n v="8"/>
    <n v="32.020000000000003"/>
    <x v="91"/>
    <x v="0"/>
    <n v="112"/>
    <n v="3.75"/>
    <n v="70.3"/>
    <n v="1.33"/>
    <n v="3"/>
    <n v="0.77"/>
    <n v="162"/>
    <n v="9.8000000000000007"/>
    <n v="0.62"/>
    <d v="2024-01-22T00:00:00"/>
    <n v="116.13"/>
    <n v="0.61599999999999999"/>
    <n v="25097.1"/>
    <x v="0"/>
    <x v="0"/>
  </r>
  <r>
    <x v="1164"/>
    <x v="3"/>
    <n v="75"/>
    <n v="20"/>
    <n v="3"/>
    <n v="6"/>
    <n v="28.16"/>
    <x v="34"/>
    <x v="1"/>
    <n v="95"/>
    <n v="2.5099999999999998"/>
    <n v="194.57"/>
    <n v="0.65"/>
    <n v="2"/>
    <n v="0.79"/>
    <n v="319"/>
    <n v="8.02"/>
    <n v="0.52"/>
    <d v="2024-08-24T00:00:00"/>
    <n v="57.64"/>
    <n v="0.66400000000000003"/>
    <n v="14592.75"/>
    <x v="0"/>
    <x v="2"/>
  </r>
  <r>
    <x v="1165"/>
    <x v="3"/>
    <n v="206"/>
    <n v="62"/>
    <n v="14"/>
    <n v="8"/>
    <n v="35.56"/>
    <x v="95"/>
    <x v="0"/>
    <n v="170"/>
    <n v="4.99"/>
    <n v="27.76"/>
    <n v="0.53"/>
    <n v="6"/>
    <n v="0.93"/>
    <n v="369"/>
    <n v="14.65"/>
    <n v="0.26"/>
    <d v="2024-01-26T00:00:00"/>
    <n v="183.66"/>
    <n v="0.66"/>
    <n v="5718.56"/>
    <x v="0"/>
    <x v="1"/>
  </r>
  <r>
    <x v="1166"/>
    <x v="1"/>
    <n v="360"/>
    <n v="19"/>
    <n v="14"/>
    <n v="4"/>
    <n v="21.46"/>
    <x v="94"/>
    <x v="1"/>
    <n v="114"/>
    <n v="3.25"/>
    <n v="121.26"/>
    <n v="1.45"/>
    <n v="1"/>
    <n v="0.8"/>
    <n v="995"/>
    <n v="3.77"/>
    <n v="0.36"/>
    <d v="2024-03-27T00:00:00"/>
    <n v="276.38"/>
    <n v="0.51700000000000002"/>
    <n v="43653.599999999999"/>
    <x v="0"/>
    <x v="0"/>
  </r>
  <r>
    <x v="1167"/>
    <x v="1"/>
    <n v="277"/>
    <n v="94"/>
    <n v="6"/>
    <n v="4"/>
    <n v="38.15"/>
    <x v="63"/>
    <x v="2"/>
    <n v="51"/>
    <n v="0.97"/>
    <n v="160.08000000000001"/>
    <n v="1.38"/>
    <n v="2"/>
    <n v="0.77"/>
    <n v="224"/>
    <n v="11.99"/>
    <n v="0.38"/>
    <d v="2024-10-20T00:00:00"/>
    <n v="158.97999999999999"/>
    <n v="0.61199999999999999"/>
    <n v="44342.16"/>
    <x v="0"/>
    <x v="0"/>
  </r>
  <r>
    <x v="1168"/>
    <x v="3"/>
    <n v="464"/>
    <n v="93"/>
    <n v="4"/>
    <n v="3"/>
    <n v="20.27"/>
    <x v="55"/>
    <x v="3"/>
    <n v="27"/>
    <n v="2.39"/>
    <n v="164.67"/>
    <n v="0.33"/>
    <n v="8"/>
    <n v="0.89"/>
    <n v="871"/>
    <n v="10.45"/>
    <n v="0.25"/>
    <d v="2024-08-09T00:00:00"/>
    <n v="292.14"/>
    <n v="0.57399999999999995"/>
    <n v="76406.87999999999"/>
    <x v="0"/>
    <x v="0"/>
  </r>
  <r>
    <x v="1169"/>
    <x v="1"/>
    <n v="77"/>
    <n v="17"/>
    <n v="5"/>
    <n v="8"/>
    <n v="41.49"/>
    <x v="8"/>
    <x v="3"/>
    <n v="87"/>
    <n v="0.8"/>
    <n v="47.67"/>
    <n v="0.55000000000000004"/>
    <n v="7"/>
    <n v="0.71"/>
    <n v="68"/>
    <n v="14.64"/>
    <n v="0.32"/>
    <d v="2024-07-21T00:00:00"/>
    <n v="65.319999999999993"/>
    <n v="0.60599999999999998"/>
    <n v="3670.59"/>
    <x v="0"/>
    <x v="2"/>
  </r>
  <r>
    <x v="1170"/>
    <x v="2"/>
    <n v="382"/>
    <n v="45"/>
    <n v="13"/>
    <n v="9"/>
    <n v="14.1"/>
    <x v="28"/>
    <x v="3"/>
    <n v="101"/>
    <n v="1.79"/>
    <n v="86.31"/>
    <n v="1.9"/>
    <n v="1"/>
    <n v="0.75"/>
    <n v="252"/>
    <n v="14.08"/>
    <n v="0.91"/>
    <d v="2024-09-11T00:00:00"/>
    <n v="256.07"/>
    <n v="0.71"/>
    <n v="32970.42"/>
    <x v="0"/>
    <x v="0"/>
  </r>
  <r>
    <x v="1171"/>
    <x v="3"/>
    <n v="142"/>
    <n v="85"/>
    <n v="11"/>
    <n v="9"/>
    <n v="14.6"/>
    <x v="94"/>
    <x v="0"/>
    <n v="20"/>
    <n v="2.04"/>
    <n v="128.6"/>
    <n v="0.68"/>
    <n v="5"/>
    <n v="0.82"/>
    <n v="984"/>
    <n v="2.8"/>
    <n v="0.64"/>
    <d v="2024-01-16T00:00:00"/>
    <n v="84.5"/>
    <n v="0.56100000000000005"/>
    <n v="18261.2"/>
    <x v="0"/>
    <x v="1"/>
  </r>
  <r>
    <x v="1172"/>
    <x v="1"/>
    <n v="207"/>
    <n v="23"/>
    <n v="4"/>
    <n v="2"/>
    <n v="26.6"/>
    <x v="95"/>
    <x v="3"/>
    <n v="161"/>
    <n v="4.34"/>
    <n v="70.02"/>
    <n v="0.15"/>
    <n v="2"/>
    <n v="0.81"/>
    <n v="175"/>
    <n v="5.31"/>
    <n v="0.81"/>
    <d v="2024-07-14T00:00:00"/>
    <n v="82.66"/>
    <n v="0.74"/>
    <n v="14494.14"/>
    <x v="0"/>
    <x v="1"/>
  </r>
  <r>
    <x v="1173"/>
    <x v="3"/>
    <n v="249"/>
    <n v="63"/>
    <n v="6"/>
    <n v="9"/>
    <n v="22.11"/>
    <x v="62"/>
    <x v="0"/>
    <n v="173"/>
    <n v="4.2699999999999996"/>
    <n v="135.08000000000001"/>
    <n v="0.22"/>
    <n v="5"/>
    <n v="0.8"/>
    <n v="516"/>
    <n v="12.91"/>
    <n v="0.42"/>
    <d v="2024-12-15T00:00:00"/>
    <n v="44.13"/>
    <n v="0.69399999999999995"/>
    <n v="33634.920000000006"/>
    <x v="0"/>
    <x v="1"/>
  </r>
  <r>
    <x v="1174"/>
    <x v="0"/>
    <n v="187"/>
    <n v="94"/>
    <n v="3"/>
    <n v="4"/>
    <n v="32.76"/>
    <x v="69"/>
    <x v="2"/>
    <n v="135"/>
    <n v="0.55000000000000004"/>
    <n v="81.97"/>
    <n v="1.57"/>
    <n v="4"/>
    <n v="0.73"/>
    <n v="303"/>
    <n v="4.2"/>
    <n v="0.31"/>
    <d v="2024-08-06T00:00:00"/>
    <n v="260.45"/>
    <n v="0.42699999999999999"/>
    <n v="15328.39"/>
    <x v="0"/>
    <x v="1"/>
  </r>
  <r>
    <x v="1175"/>
    <x v="4"/>
    <n v="439"/>
    <n v="95"/>
    <n v="4"/>
    <n v="4"/>
    <n v="18.850000000000001"/>
    <x v="98"/>
    <x v="1"/>
    <n v="106"/>
    <n v="2.9"/>
    <n v="76.66"/>
    <n v="1.54"/>
    <n v="9"/>
    <n v="0.81"/>
    <n v="877"/>
    <n v="6.3"/>
    <n v="0.5"/>
    <d v="2024-03-29T00:00:00"/>
    <n v="220.27"/>
    <n v="0.41199999999999998"/>
    <n v="33653.74"/>
    <x v="0"/>
    <x v="0"/>
  </r>
  <r>
    <x v="1176"/>
    <x v="3"/>
    <n v="133"/>
    <n v="30"/>
    <n v="7"/>
    <n v="9"/>
    <n v="12.3"/>
    <x v="51"/>
    <x v="3"/>
    <n v="62"/>
    <n v="1.51"/>
    <n v="30.53"/>
    <n v="0.83"/>
    <n v="3"/>
    <n v="0.94"/>
    <n v="978"/>
    <n v="9.76"/>
    <n v="0.83"/>
    <d v="2024-06-30T00:00:00"/>
    <n v="109.08"/>
    <n v="0.74099999999999999"/>
    <n v="4060.4900000000002"/>
    <x v="0"/>
    <x v="1"/>
  </r>
  <r>
    <x v="1177"/>
    <x v="4"/>
    <n v="271"/>
    <n v="59"/>
    <n v="12"/>
    <n v="6"/>
    <n v="24.02"/>
    <x v="67"/>
    <x v="0"/>
    <n v="92"/>
    <n v="1.94"/>
    <n v="17.46"/>
    <n v="0.39"/>
    <n v="6"/>
    <n v="0.82"/>
    <n v="816"/>
    <n v="8.8800000000000008"/>
    <n v="0.44"/>
    <d v="2024-04-19T00:00:00"/>
    <n v="111.33"/>
    <n v="0.61099999999999999"/>
    <n v="4731.66"/>
    <x v="0"/>
    <x v="0"/>
  </r>
  <r>
    <x v="1178"/>
    <x v="1"/>
    <n v="126"/>
    <n v="48"/>
    <n v="3"/>
    <n v="6"/>
    <n v="28.49"/>
    <x v="27"/>
    <x v="2"/>
    <n v="56"/>
    <n v="0.6"/>
    <n v="168.7"/>
    <n v="1.05"/>
    <n v="9"/>
    <n v="0.88"/>
    <n v="849"/>
    <n v="9.9700000000000006"/>
    <n v="0.36"/>
    <d v="2024-04-05T00:00:00"/>
    <n v="254.99"/>
    <n v="0.496"/>
    <n v="21256.199999999997"/>
    <x v="0"/>
    <x v="1"/>
  </r>
  <r>
    <x v="1179"/>
    <x v="4"/>
    <n v="56"/>
    <n v="29"/>
    <n v="13"/>
    <n v="9"/>
    <n v="7.99"/>
    <x v="42"/>
    <x v="2"/>
    <n v="61"/>
    <n v="3.87"/>
    <n v="103.01"/>
    <n v="0.73"/>
    <n v="6"/>
    <n v="0.75"/>
    <n v="341"/>
    <n v="10.99"/>
    <n v="0.22"/>
    <d v="2024-05-20T00:00:00"/>
    <n v="279"/>
    <n v="0.54800000000000004"/>
    <n v="5768.56"/>
    <x v="0"/>
    <x v="2"/>
  </r>
  <r>
    <x v="1180"/>
    <x v="3"/>
    <n v="354"/>
    <n v="97"/>
    <n v="9"/>
    <n v="3"/>
    <n v="28.28"/>
    <x v="14"/>
    <x v="3"/>
    <n v="66"/>
    <n v="4.78"/>
    <n v="116.95"/>
    <n v="0.81"/>
    <n v="3"/>
    <n v="0.72"/>
    <n v="201"/>
    <n v="11.2"/>
    <n v="0.7"/>
    <d v="2024-05-23T00:00:00"/>
    <n v="184.7"/>
    <n v="0.69199999999999995"/>
    <n v="41400.300000000003"/>
    <x v="0"/>
    <x v="0"/>
  </r>
  <r>
    <x v="1181"/>
    <x v="0"/>
    <n v="111"/>
    <n v="96"/>
    <n v="6"/>
    <n v="7"/>
    <n v="16.64"/>
    <x v="38"/>
    <x v="2"/>
    <n v="84"/>
    <n v="1.49"/>
    <n v="80.72"/>
    <n v="0.6"/>
    <n v="2"/>
    <n v="0.96"/>
    <n v="988"/>
    <n v="11.33"/>
    <n v="0.55000000000000004"/>
    <d v="2024-08-16T00:00:00"/>
    <n v="127.98"/>
    <n v="0.753"/>
    <n v="8959.92"/>
    <x v="0"/>
    <x v="1"/>
  </r>
  <r>
    <x v="1182"/>
    <x v="1"/>
    <n v="37"/>
    <n v="16"/>
    <n v="8"/>
    <n v="3"/>
    <n v="20.23"/>
    <x v="11"/>
    <x v="2"/>
    <n v="160"/>
    <n v="2.04"/>
    <n v="35.979999999999997"/>
    <n v="0.22"/>
    <n v="3"/>
    <n v="0.8"/>
    <n v="248"/>
    <n v="14.88"/>
    <n v="0.41"/>
    <d v="2024-03-17T00:00:00"/>
    <n v="25.41"/>
    <n v="0.75800000000000001"/>
    <n v="1331.26"/>
    <x v="0"/>
    <x v="2"/>
  </r>
  <r>
    <x v="1183"/>
    <x v="3"/>
    <n v="373"/>
    <n v="18"/>
    <n v="10"/>
    <n v="3"/>
    <n v="14.69"/>
    <x v="66"/>
    <x v="2"/>
    <n v="68"/>
    <n v="1.43"/>
    <n v="95.42"/>
    <n v="1.6"/>
    <n v="1"/>
    <n v="0.81"/>
    <n v="248"/>
    <n v="5.99"/>
    <n v="0.62"/>
    <d v="2024-01-18T00:00:00"/>
    <n v="46.7"/>
    <n v="0.58599999999999997"/>
    <n v="35591.660000000003"/>
    <x v="0"/>
    <x v="0"/>
  </r>
  <r>
    <x v="1184"/>
    <x v="1"/>
    <n v="82"/>
    <n v="10"/>
    <n v="8"/>
    <n v="9"/>
    <n v="46.64"/>
    <x v="80"/>
    <x v="0"/>
    <n v="78"/>
    <n v="4.6900000000000004"/>
    <n v="53.5"/>
    <n v="1.27"/>
    <n v="3"/>
    <n v="0.96"/>
    <n v="863"/>
    <n v="1.62"/>
    <n v="0.76"/>
    <d v="2024-11-10T00:00:00"/>
    <n v="51.12"/>
    <n v="0.57899999999999996"/>
    <n v="4387"/>
    <x v="0"/>
    <x v="2"/>
  </r>
  <r>
    <x v="1185"/>
    <x v="2"/>
    <n v="169"/>
    <n v="35"/>
    <n v="4"/>
    <n v="6"/>
    <n v="34.479999999999997"/>
    <x v="63"/>
    <x v="2"/>
    <n v="95"/>
    <n v="0.54"/>
    <n v="169.16"/>
    <n v="1.69"/>
    <n v="3"/>
    <n v="0.91"/>
    <n v="736"/>
    <n v="5.88"/>
    <n v="0.4"/>
    <d v="2024-11-13T00:00:00"/>
    <n v="90.27"/>
    <n v="0.51100000000000001"/>
    <n v="28588.04"/>
    <x v="0"/>
    <x v="1"/>
  </r>
  <r>
    <x v="1186"/>
    <x v="4"/>
    <n v="158"/>
    <n v="47"/>
    <n v="3"/>
    <n v="8"/>
    <n v="13.86"/>
    <x v="1"/>
    <x v="2"/>
    <n v="179"/>
    <n v="3.13"/>
    <n v="197.49"/>
    <n v="1.06"/>
    <n v="4"/>
    <n v="0.93"/>
    <n v="502"/>
    <n v="13.76"/>
    <n v="0.69"/>
    <d v="2024-11-11T00:00:00"/>
    <n v="84.54"/>
    <n v="0.72099999999999997"/>
    <n v="31203.420000000002"/>
    <x v="0"/>
    <x v="1"/>
  </r>
  <r>
    <x v="1187"/>
    <x v="2"/>
    <n v="205"/>
    <n v="47"/>
    <n v="10"/>
    <n v="8"/>
    <n v="32.61"/>
    <x v="52"/>
    <x v="2"/>
    <n v="155"/>
    <n v="4.42"/>
    <n v="178.93"/>
    <n v="1.97"/>
    <n v="0"/>
    <n v="0.9"/>
    <n v="831"/>
    <n v="2.17"/>
    <n v="0.41"/>
    <d v="2024-05-05T00:00:00"/>
    <n v="167.44"/>
    <n v="0.49399999999999999"/>
    <n v="36680.65"/>
    <x v="0"/>
    <x v="1"/>
  </r>
  <r>
    <x v="1188"/>
    <x v="3"/>
    <n v="204"/>
    <n v="70"/>
    <n v="10"/>
    <n v="9"/>
    <n v="42.58"/>
    <x v="67"/>
    <x v="2"/>
    <n v="80"/>
    <n v="1.34"/>
    <n v="110.37"/>
    <n v="1.93"/>
    <n v="1"/>
    <n v="0.73"/>
    <n v="990"/>
    <n v="10.06"/>
    <n v="0.99"/>
    <d v="2024-11-27T00:00:00"/>
    <n v="283.79000000000002"/>
    <n v="0.66500000000000004"/>
    <n v="22515.48"/>
    <x v="0"/>
    <x v="1"/>
  </r>
  <r>
    <x v="1189"/>
    <x v="0"/>
    <n v="224"/>
    <n v="53"/>
    <n v="11"/>
    <n v="8"/>
    <n v="20.68"/>
    <x v="74"/>
    <x v="2"/>
    <n v="42"/>
    <n v="3.15"/>
    <n v="129.35"/>
    <n v="0.62"/>
    <n v="7"/>
    <n v="0.99"/>
    <n v="229"/>
    <n v="6.92"/>
    <n v="0.79"/>
    <d v="2024-05-31T00:00:00"/>
    <n v="259.88"/>
    <n v="0.64600000000000002"/>
    <n v="28974.399999999998"/>
    <x v="0"/>
    <x v="1"/>
  </r>
  <r>
    <x v="1190"/>
    <x v="1"/>
    <n v="279"/>
    <n v="95"/>
    <n v="8"/>
    <n v="7"/>
    <n v="41.67"/>
    <x v="26"/>
    <x v="0"/>
    <n v="12"/>
    <n v="0.73"/>
    <n v="190.14"/>
    <n v="0.84"/>
    <n v="7"/>
    <n v="0.97"/>
    <n v="267"/>
    <n v="13.9"/>
    <n v="0.68"/>
    <d v="2024-09-12T00:00:00"/>
    <n v="157.66"/>
    <n v="0.69099999999999995"/>
    <n v="53049.06"/>
    <x v="0"/>
    <x v="0"/>
  </r>
  <r>
    <x v="1191"/>
    <x v="4"/>
    <n v="233"/>
    <n v="53"/>
    <n v="14"/>
    <n v="6"/>
    <n v="8.57"/>
    <x v="51"/>
    <x v="2"/>
    <n v="37"/>
    <n v="4.17"/>
    <n v="112.35"/>
    <n v="1.53"/>
    <n v="7"/>
    <n v="0.77"/>
    <n v="679"/>
    <n v="14"/>
    <n v="0.34"/>
    <d v="2024-07-29T00:00:00"/>
    <n v="15.02"/>
    <n v="0.51600000000000001"/>
    <n v="26177.55"/>
    <x v="0"/>
    <x v="1"/>
  </r>
  <r>
    <x v="1192"/>
    <x v="1"/>
    <n v="275"/>
    <n v="83"/>
    <n v="3"/>
    <n v="9"/>
    <n v="41.32"/>
    <x v="10"/>
    <x v="2"/>
    <n v="10"/>
    <n v="1.73"/>
    <n v="131.33000000000001"/>
    <n v="1.58"/>
    <n v="4"/>
    <n v="0.94"/>
    <n v="867"/>
    <n v="11.99"/>
    <n v="0.67"/>
    <d v="2024-10-08T00:00:00"/>
    <n v="29.84"/>
    <n v="0.64400000000000002"/>
    <n v="36115.75"/>
    <x v="0"/>
    <x v="0"/>
  </r>
  <r>
    <x v="1193"/>
    <x v="3"/>
    <n v="154"/>
    <n v="71"/>
    <n v="11"/>
    <n v="2"/>
    <n v="27.47"/>
    <x v="61"/>
    <x v="1"/>
    <n v="135"/>
    <n v="4.95"/>
    <n v="129.55000000000001"/>
    <n v="1.83"/>
    <n v="7"/>
    <n v="0.82"/>
    <n v="882"/>
    <n v="2.38"/>
    <n v="0.84"/>
    <d v="2024-09-02T00:00:00"/>
    <n v="259.5"/>
    <n v="0.441"/>
    <n v="19950.7"/>
    <x v="0"/>
    <x v="1"/>
  </r>
  <r>
    <x v="1194"/>
    <x v="1"/>
    <n v="80"/>
    <n v="15"/>
    <n v="14"/>
    <n v="5"/>
    <n v="11.93"/>
    <x v="95"/>
    <x v="2"/>
    <n v="122"/>
    <n v="4.6500000000000004"/>
    <n v="144.54"/>
    <n v="1.34"/>
    <n v="8"/>
    <n v="0.91"/>
    <n v="894"/>
    <n v="1.35"/>
    <n v="0.79"/>
    <d v="2024-02-01T00:00:00"/>
    <n v="92.25"/>
    <n v="0.46400000000000002"/>
    <n v="11563.199999999999"/>
    <x v="0"/>
    <x v="2"/>
  </r>
  <r>
    <x v="1195"/>
    <x v="4"/>
    <n v="382"/>
    <n v="26"/>
    <n v="5"/>
    <n v="5"/>
    <n v="20.95"/>
    <x v="76"/>
    <x v="2"/>
    <n v="56"/>
    <n v="3.8"/>
    <n v="131.65"/>
    <n v="1"/>
    <n v="3"/>
    <n v="0.75"/>
    <n v="369"/>
    <n v="2.91"/>
    <n v="0.82"/>
    <d v="2024-02-14T00:00:00"/>
    <n v="102.25"/>
    <n v="0.59299999999999997"/>
    <n v="50290.3"/>
    <x v="0"/>
    <x v="0"/>
  </r>
  <r>
    <x v="1196"/>
    <x v="3"/>
    <n v="329"/>
    <n v="60"/>
    <n v="13"/>
    <n v="9"/>
    <n v="49.41"/>
    <x v="48"/>
    <x v="0"/>
    <n v="46"/>
    <n v="2.74"/>
    <n v="137.43"/>
    <n v="0.82"/>
    <n v="3"/>
    <n v="0.86"/>
    <n v="72"/>
    <n v="5.51"/>
    <n v="0.45"/>
    <d v="2024-05-23T00:00:00"/>
    <n v="50.54"/>
    <n v="0.59299999999999997"/>
    <n v="45214.47"/>
    <x v="0"/>
    <x v="0"/>
  </r>
  <r>
    <x v="1197"/>
    <x v="1"/>
    <n v="107"/>
    <n v="47"/>
    <n v="8"/>
    <n v="9"/>
    <n v="39.39"/>
    <x v="93"/>
    <x v="2"/>
    <n v="95"/>
    <n v="3.95"/>
    <n v="147.91999999999999"/>
    <n v="0.9"/>
    <n v="6"/>
    <n v="0.74"/>
    <n v="686"/>
    <n v="4.38"/>
    <n v="0.46"/>
    <d v="2024-07-15T00:00:00"/>
    <n v="74.7"/>
    <n v="0.48799999999999999"/>
    <n v="15827.439999999999"/>
    <x v="0"/>
    <x v="1"/>
  </r>
  <r>
    <x v="1198"/>
    <x v="0"/>
    <n v="343"/>
    <n v="33"/>
    <n v="12"/>
    <n v="2"/>
    <n v="29.18"/>
    <x v="46"/>
    <x v="0"/>
    <n v="57"/>
    <n v="1.0900000000000001"/>
    <n v="163.72999999999999"/>
    <n v="1.72"/>
    <n v="4"/>
    <n v="0.86"/>
    <n v="133"/>
    <n v="6.18"/>
    <n v="0.63"/>
    <d v="2024-03-11T00:00:00"/>
    <n v="81.680000000000007"/>
    <n v="0.52800000000000002"/>
    <n v="56159.39"/>
    <x v="0"/>
    <x v="0"/>
  </r>
  <r>
    <x v="1199"/>
    <x v="3"/>
    <n v="495"/>
    <n v="60"/>
    <n v="12"/>
    <n v="8"/>
    <n v="6.64"/>
    <x v="45"/>
    <x v="3"/>
    <n v="117"/>
    <n v="1.9"/>
    <n v="86.58"/>
    <n v="1.96"/>
    <n v="9"/>
    <n v="0.77"/>
    <n v="760"/>
    <n v="3"/>
    <n v="0.42"/>
    <d v="2024-08-02T00:00:00"/>
    <n v="129.51"/>
    <n v="0.30199999999999999"/>
    <n v="42857.1"/>
    <x v="0"/>
    <x v="0"/>
  </r>
  <r>
    <x v="1200"/>
    <x v="3"/>
    <n v="226"/>
    <n v="19"/>
    <n v="13"/>
    <n v="5"/>
    <n v="21.47"/>
    <x v="75"/>
    <x v="2"/>
    <n v="28"/>
    <n v="0.62"/>
    <n v="151.71"/>
    <n v="0.2"/>
    <n v="0"/>
    <n v="0.84"/>
    <n v="375"/>
    <n v="11.54"/>
    <n v="0.28999999999999998"/>
    <d v="2024-04-12T00:00:00"/>
    <n v="190.71"/>
    <n v="0.76"/>
    <n v="34286.46"/>
    <x v="0"/>
    <x v="1"/>
  </r>
  <r>
    <x v="1201"/>
    <x v="0"/>
    <n v="148"/>
    <n v="81"/>
    <n v="14"/>
    <n v="7"/>
    <n v="13.89"/>
    <x v="69"/>
    <x v="1"/>
    <n v="151"/>
    <n v="3.4"/>
    <n v="29.04"/>
    <n v="1.2"/>
    <n v="7"/>
    <n v="0.9"/>
    <n v="748"/>
    <n v="12.83"/>
    <n v="0.56999999999999995"/>
    <d v="2024-11-25T00:00:00"/>
    <n v="112.42"/>
    <n v="0.60499999999999998"/>
    <n v="4297.92"/>
    <x v="0"/>
    <x v="1"/>
  </r>
  <r>
    <x v="1202"/>
    <x v="2"/>
    <n v="330"/>
    <n v="30"/>
    <n v="11"/>
    <n v="9"/>
    <n v="4.4800000000000004"/>
    <x v="44"/>
    <x v="0"/>
    <n v="92"/>
    <n v="4.12"/>
    <n v="176.48"/>
    <n v="1.0900000000000001"/>
    <n v="3"/>
    <n v="0.96"/>
    <n v="378"/>
    <n v="7.83"/>
    <n v="0.2"/>
    <d v="2024-09-26T00:00:00"/>
    <n v="140.46"/>
    <n v="0.56699999999999995"/>
    <n v="58238.399999999994"/>
    <x v="0"/>
    <x v="0"/>
  </r>
  <r>
    <x v="1203"/>
    <x v="4"/>
    <n v="22"/>
    <n v="79"/>
    <n v="13"/>
    <n v="6"/>
    <n v="27.57"/>
    <x v="92"/>
    <x v="3"/>
    <n v="74"/>
    <n v="4.76"/>
    <n v="65.11"/>
    <n v="0.81"/>
    <n v="7"/>
    <n v="0.75"/>
    <n v="653"/>
    <n v="14.39"/>
    <n v="0.81"/>
    <d v="2024-05-07T00:00:00"/>
    <n v="62.75"/>
    <n v="0.68300000000000005"/>
    <n v="1432.42"/>
    <x v="1"/>
    <x v="2"/>
  </r>
  <r>
    <x v="1204"/>
    <x v="2"/>
    <n v="481"/>
    <n v="94"/>
    <n v="5"/>
    <n v="5"/>
    <n v="44.57"/>
    <x v="27"/>
    <x v="1"/>
    <n v="35"/>
    <n v="3.59"/>
    <n v="86.66"/>
    <n v="1.72"/>
    <n v="1"/>
    <n v="0.97"/>
    <n v="379"/>
    <n v="2.68"/>
    <n v="0.8"/>
    <d v="2024-11-18T00:00:00"/>
    <n v="26.35"/>
    <n v="0.59799999999999998"/>
    <n v="41683.46"/>
    <x v="0"/>
    <x v="0"/>
  </r>
  <r>
    <x v="1205"/>
    <x v="1"/>
    <n v="441"/>
    <n v="66"/>
    <n v="7"/>
    <n v="7"/>
    <n v="34.1"/>
    <x v="76"/>
    <x v="0"/>
    <n v="147"/>
    <n v="3.79"/>
    <n v="162.69"/>
    <n v="1.19"/>
    <n v="3"/>
    <n v="0.82"/>
    <n v="743"/>
    <n v="2.48"/>
    <n v="0.64"/>
    <d v="2024-10-05T00:00:00"/>
    <n v="110.99"/>
    <n v="0.54600000000000004"/>
    <n v="71746.289999999994"/>
    <x v="0"/>
    <x v="0"/>
  </r>
  <r>
    <x v="1206"/>
    <x v="0"/>
    <n v="261"/>
    <n v="48"/>
    <n v="7"/>
    <n v="6"/>
    <n v="13.23"/>
    <x v="54"/>
    <x v="3"/>
    <n v="108"/>
    <n v="4.53"/>
    <n v="131.03"/>
    <n v="0.69"/>
    <n v="1"/>
    <n v="0.95"/>
    <n v="788"/>
    <n v="3.81"/>
    <n v="0.8"/>
    <d v="2024-01-10T00:00:00"/>
    <n v="28.12"/>
    <n v="0.71199999999999997"/>
    <n v="34198.83"/>
    <x v="0"/>
    <x v="0"/>
  </r>
  <r>
    <x v="1207"/>
    <x v="2"/>
    <n v="140"/>
    <n v="97"/>
    <n v="12"/>
    <n v="9"/>
    <n v="29.11"/>
    <x v="56"/>
    <x v="1"/>
    <n v="86"/>
    <n v="4.71"/>
    <n v="68.64"/>
    <n v="0.94"/>
    <n v="4"/>
    <n v="0.85"/>
    <n v="760"/>
    <n v="14.75"/>
    <n v="0.7"/>
    <d v="2024-07-14T00:00:00"/>
    <n v="96.92"/>
    <n v="0.73299999999999998"/>
    <n v="9609.6"/>
    <x v="0"/>
    <x v="1"/>
  </r>
  <r>
    <x v="1208"/>
    <x v="3"/>
    <n v="404"/>
    <n v="42"/>
    <n v="9"/>
    <n v="7"/>
    <n v="47.22"/>
    <x v="42"/>
    <x v="2"/>
    <n v="79"/>
    <n v="2.71"/>
    <n v="52.83"/>
    <n v="0.78"/>
    <n v="9"/>
    <n v="0.96"/>
    <n v="522"/>
    <n v="6.83"/>
    <n v="0.76"/>
    <d v="2024-07-02T00:00:00"/>
    <n v="252.9"/>
    <n v="0.57699999999999996"/>
    <n v="21343.32"/>
    <x v="0"/>
    <x v="0"/>
  </r>
  <r>
    <x v="1209"/>
    <x v="1"/>
    <n v="121"/>
    <n v="68"/>
    <n v="6"/>
    <n v="2"/>
    <n v="36.42"/>
    <x v="90"/>
    <x v="1"/>
    <n v="52"/>
    <n v="0.99"/>
    <n v="191.97"/>
    <n v="0.92"/>
    <n v="9"/>
    <n v="0.9"/>
    <n v="527"/>
    <n v="13.94"/>
    <n v="0.25"/>
    <d v="2024-09-02T00:00:00"/>
    <n v="116.41"/>
    <n v="0.54400000000000004"/>
    <n v="23228.37"/>
    <x v="0"/>
    <x v="1"/>
  </r>
  <r>
    <x v="1210"/>
    <x v="1"/>
    <n v="57"/>
    <n v="27"/>
    <n v="13"/>
    <n v="9"/>
    <n v="34.78"/>
    <x v="98"/>
    <x v="1"/>
    <n v="79"/>
    <n v="2.6"/>
    <n v="26.68"/>
    <n v="0.24"/>
    <n v="7"/>
    <n v="0.85"/>
    <n v="284"/>
    <n v="3.83"/>
    <n v="0.91"/>
    <d v="2024-10-05T00:00:00"/>
    <n v="66.05"/>
    <n v="0.63900000000000001"/>
    <n v="1520.76"/>
    <x v="0"/>
    <x v="2"/>
  </r>
  <r>
    <x v="1211"/>
    <x v="2"/>
    <n v="360"/>
    <n v="65"/>
    <n v="6"/>
    <n v="3"/>
    <n v="48.44"/>
    <x v="92"/>
    <x v="1"/>
    <n v="68"/>
    <n v="3"/>
    <n v="10.82"/>
    <n v="0.31"/>
    <n v="6"/>
    <n v="0.79"/>
    <n v="971"/>
    <n v="12.85"/>
    <n v="0.72"/>
    <d v="2024-09-05T00:00:00"/>
    <n v="271.60000000000002"/>
    <n v="0.72199999999999998"/>
    <n v="3895.2000000000003"/>
    <x v="0"/>
    <x v="0"/>
  </r>
  <r>
    <x v="1212"/>
    <x v="2"/>
    <n v="432"/>
    <n v="66"/>
    <n v="9"/>
    <n v="2"/>
    <n v="40.14"/>
    <x v="23"/>
    <x v="0"/>
    <n v="12"/>
    <n v="3.34"/>
    <n v="137.86000000000001"/>
    <n v="1.29"/>
    <n v="4"/>
    <n v="0.99"/>
    <n v="605"/>
    <n v="5.34"/>
    <n v="0.69"/>
    <d v="2024-06-25T00:00:00"/>
    <n v="195.41"/>
    <n v="0.59799999999999998"/>
    <n v="59555.520000000004"/>
    <x v="0"/>
    <x v="0"/>
  </r>
  <r>
    <x v="1213"/>
    <x v="0"/>
    <n v="152"/>
    <n v="85"/>
    <n v="11"/>
    <n v="5"/>
    <n v="7.69"/>
    <x v="86"/>
    <x v="2"/>
    <n v="142"/>
    <n v="4.95"/>
    <n v="126.75"/>
    <n v="1.4"/>
    <n v="6"/>
    <n v="0.94"/>
    <n v="637"/>
    <n v="11.28"/>
    <n v="0.51"/>
    <d v="2024-10-16T00:00:00"/>
    <n v="296.58999999999997"/>
    <n v="0.57999999999999996"/>
    <n v="19266"/>
    <x v="0"/>
    <x v="1"/>
  </r>
  <r>
    <x v="1214"/>
    <x v="4"/>
    <n v="221"/>
    <n v="57"/>
    <n v="13"/>
    <n v="6"/>
    <n v="18.03"/>
    <x v="40"/>
    <x v="2"/>
    <n v="94"/>
    <n v="4.63"/>
    <n v="150.15"/>
    <n v="1.31"/>
    <n v="4"/>
    <n v="0.81"/>
    <n v="702"/>
    <n v="14.64"/>
    <n v="0.22"/>
    <d v="2024-09-14T00:00:00"/>
    <n v="97.07"/>
    <n v="0.59"/>
    <n v="33183.15"/>
    <x v="0"/>
    <x v="1"/>
  </r>
  <r>
    <x v="1215"/>
    <x v="2"/>
    <n v="367"/>
    <n v="51"/>
    <n v="6"/>
    <n v="7"/>
    <n v="48.29"/>
    <x v="2"/>
    <x v="0"/>
    <n v="104"/>
    <n v="2.2799999999999998"/>
    <n v="149.01"/>
    <n v="1.55"/>
    <n v="6"/>
    <n v="0.75"/>
    <n v="743"/>
    <n v="14.06"/>
    <n v="0.92"/>
    <d v="2024-06-13T00:00:00"/>
    <n v="68.11"/>
    <n v="0.64600000000000002"/>
    <n v="54686.67"/>
    <x v="0"/>
    <x v="0"/>
  </r>
  <r>
    <x v="1216"/>
    <x v="2"/>
    <n v="40"/>
    <n v="36"/>
    <n v="6"/>
    <n v="5"/>
    <n v="25"/>
    <x v="44"/>
    <x v="1"/>
    <n v="87"/>
    <n v="1.01"/>
    <n v="174.02"/>
    <n v="1.89"/>
    <n v="3"/>
    <n v="0.93"/>
    <n v="168"/>
    <n v="12.64"/>
    <n v="0.99"/>
    <d v="2024-07-17T00:00:00"/>
    <n v="96.4"/>
    <n v="0.70399999999999996"/>
    <n v="6960.8"/>
    <x v="0"/>
    <x v="2"/>
  </r>
  <r>
    <x v="1217"/>
    <x v="3"/>
    <n v="261"/>
    <n v="83"/>
    <n v="8"/>
    <n v="5"/>
    <n v="6.47"/>
    <x v="18"/>
    <x v="2"/>
    <n v="110"/>
    <n v="1.47"/>
    <n v="185.2"/>
    <n v="1.74"/>
    <n v="3"/>
    <n v="1"/>
    <n v="89"/>
    <n v="1.7"/>
    <n v="0.85"/>
    <d v="2024-05-18T00:00:00"/>
    <n v="245.62"/>
    <n v="0.55900000000000005"/>
    <n v="48337.2"/>
    <x v="0"/>
    <x v="0"/>
  </r>
  <r>
    <x v="1218"/>
    <x v="1"/>
    <n v="474"/>
    <n v="61"/>
    <n v="8"/>
    <n v="9"/>
    <n v="23.47"/>
    <x v="89"/>
    <x v="1"/>
    <n v="92"/>
    <n v="1.28"/>
    <n v="157.25"/>
    <n v="0.9"/>
    <n v="9"/>
    <n v="0.78"/>
    <n v="309"/>
    <n v="9.51"/>
    <n v="0.93"/>
    <d v="2024-04-02T00:00:00"/>
    <n v="53.94"/>
    <n v="0.59899999999999998"/>
    <n v="74536.5"/>
    <x v="0"/>
    <x v="0"/>
  </r>
  <r>
    <x v="1219"/>
    <x v="4"/>
    <n v="470"/>
    <n v="51"/>
    <n v="9"/>
    <n v="3"/>
    <n v="35.15"/>
    <x v="49"/>
    <x v="2"/>
    <n v="174"/>
    <n v="2.1"/>
    <n v="54.14"/>
    <n v="0.51"/>
    <n v="3"/>
    <n v="0.97"/>
    <n v="998"/>
    <n v="12.7"/>
    <n v="0.3"/>
    <d v="2024-01-14T00:00:00"/>
    <n v="79.91"/>
    <n v="0.71199999999999997"/>
    <n v="25445.8"/>
    <x v="0"/>
    <x v="0"/>
  </r>
  <r>
    <x v="1220"/>
    <x v="3"/>
    <n v="128"/>
    <n v="41"/>
    <n v="3"/>
    <n v="8"/>
    <n v="49.88"/>
    <x v="28"/>
    <x v="0"/>
    <n v="93"/>
    <n v="4.4400000000000004"/>
    <n v="98.06"/>
    <n v="0.69"/>
    <n v="7"/>
    <n v="0.74"/>
    <n v="805"/>
    <n v="6.59"/>
    <n v="0.3"/>
    <d v="2024-06-12T00:00:00"/>
    <n v="213.47"/>
    <n v="0.48699999999999999"/>
    <n v="12551.68"/>
    <x v="0"/>
    <x v="1"/>
  </r>
  <r>
    <x v="1221"/>
    <x v="0"/>
    <n v="322"/>
    <n v="35"/>
    <n v="13"/>
    <n v="5"/>
    <n v="16.87"/>
    <x v="88"/>
    <x v="3"/>
    <n v="130"/>
    <n v="2.4700000000000002"/>
    <n v="131.93"/>
    <n v="1.22"/>
    <n v="0"/>
    <n v="0.99"/>
    <n v="690"/>
    <n v="11.24"/>
    <n v="0.9"/>
    <d v="2024-11-01T00:00:00"/>
    <n v="224.02"/>
    <n v="0.80600000000000005"/>
    <n v="42481.46"/>
    <x v="0"/>
    <x v="0"/>
  </r>
  <r>
    <x v="1222"/>
    <x v="0"/>
    <n v="103"/>
    <n v="34"/>
    <n v="5"/>
    <n v="3"/>
    <n v="26.19"/>
    <x v="42"/>
    <x v="1"/>
    <n v="144"/>
    <n v="3.05"/>
    <n v="112.48"/>
    <n v="1.73"/>
    <n v="9"/>
    <n v="0.92"/>
    <n v="55"/>
    <n v="2.93"/>
    <n v="0.25"/>
    <d v="2024-04-22T00:00:00"/>
    <n v="288.06"/>
    <n v="0.32"/>
    <n v="11585.44"/>
    <x v="0"/>
    <x v="1"/>
  </r>
  <r>
    <x v="1223"/>
    <x v="2"/>
    <n v="102"/>
    <n v="84"/>
    <n v="11"/>
    <n v="6"/>
    <n v="44.1"/>
    <x v="81"/>
    <x v="2"/>
    <n v="62"/>
    <n v="1.31"/>
    <n v="40.19"/>
    <n v="1.43"/>
    <n v="4"/>
    <n v="0.8"/>
    <n v="360"/>
    <n v="3.47"/>
    <n v="0.27"/>
    <d v="2024-01-16T00:00:00"/>
    <n v="294.24"/>
    <n v="0.437"/>
    <n v="4099.38"/>
    <x v="0"/>
    <x v="1"/>
  </r>
  <r>
    <x v="1224"/>
    <x v="2"/>
    <n v="310"/>
    <n v="32"/>
    <n v="8"/>
    <n v="6"/>
    <n v="18.41"/>
    <x v="42"/>
    <x v="2"/>
    <n v="123"/>
    <n v="2.72"/>
    <n v="121.96"/>
    <n v="1.1299999999999999"/>
    <n v="9"/>
    <n v="0.79"/>
    <n v="115"/>
    <n v="10.01"/>
    <n v="0.85"/>
    <d v="2024-05-23T00:00:00"/>
    <n v="202.42"/>
    <n v="0.56799999999999995"/>
    <n v="37807.599999999999"/>
    <x v="0"/>
    <x v="0"/>
  </r>
  <r>
    <x v="1225"/>
    <x v="0"/>
    <n v="471"/>
    <n v="66"/>
    <n v="8"/>
    <n v="7"/>
    <n v="6.35"/>
    <x v="95"/>
    <x v="2"/>
    <n v="15"/>
    <n v="4.43"/>
    <n v="178.44"/>
    <n v="1.24"/>
    <n v="1"/>
    <n v="0.89"/>
    <n v="423"/>
    <n v="7.12"/>
    <n v="0.65"/>
    <d v="2024-01-30T00:00:00"/>
    <n v="115.21"/>
    <n v="0.65900000000000003"/>
    <n v="84045.24"/>
    <x v="0"/>
    <x v="0"/>
  </r>
  <r>
    <x v="1226"/>
    <x v="2"/>
    <n v="88"/>
    <n v="61"/>
    <n v="7"/>
    <n v="8"/>
    <n v="47.5"/>
    <x v="11"/>
    <x v="0"/>
    <n v="144"/>
    <n v="3.98"/>
    <n v="89.52"/>
    <n v="1.1000000000000001"/>
    <n v="9"/>
    <n v="0.88"/>
    <n v="780"/>
    <n v="4.0599999999999996"/>
    <n v="0.51"/>
    <d v="2024-08-29T00:00:00"/>
    <n v="141.37"/>
    <n v="0.442"/>
    <n v="7877.7599999999993"/>
    <x v="0"/>
    <x v="2"/>
  </r>
  <r>
    <x v="1227"/>
    <x v="4"/>
    <n v="148"/>
    <n v="96"/>
    <n v="13"/>
    <n v="3"/>
    <n v="24.93"/>
    <x v="6"/>
    <x v="0"/>
    <n v="27"/>
    <n v="0.87"/>
    <n v="137.1"/>
    <n v="1.95"/>
    <n v="3"/>
    <n v="0.98"/>
    <n v="195"/>
    <n v="4.96"/>
    <n v="0.64"/>
    <d v="2024-09-28T00:00:00"/>
    <n v="137.38999999999999"/>
    <n v="0.53500000000000003"/>
    <n v="20290.8"/>
    <x v="0"/>
    <x v="1"/>
  </r>
  <r>
    <x v="1228"/>
    <x v="2"/>
    <n v="215"/>
    <n v="40"/>
    <n v="5"/>
    <n v="2"/>
    <n v="25.64"/>
    <x v="1"/>
    <x v="3"/>
    <n v="63"/>
    <n v="4.38"/>
    <n v="127.03"/>
    <n v="1.65"/>
    <n v="4"/>
    <n v="0.93"/>
    <n v="283"/>
    <n v="9.66"/>
    <n v="0.9"/>
    <d v="2024-07-02T00:00:00"/>
    <n v="122.34"/>
    <n v="0.65"/>
    <n v="27311.45"/>
    <x v="0"/>
    <x v="1"/>
  </r>
  <r>
    <x v="1229"/>
    <x v="1"/>
    <n v="159"/>
    <n v="73"/>
    <n v="13"/>
    <n v="6"/>
    <n v="31.44"/>
    <x v="61"/>
    <x v="0"/>
    <n v="136"/>
    <n v="1.73"/>
    <n v="81.64"/>
    <n v="1.58"/>
    <n v="7"/>
    <n v="0.86"/>
    <n v="78"/>
    <n v="11.16"/>
    <n v="0.81"/>
    <d v="2024-10-26T00:00:00"/>
    <n v="108.09"/>
    <n v="0.58499999999999996"/>
    <n v="12980.76"/>
    <x v="0"/>
    <x v="1"/>
  </r>
  <r>
    <x v="1230"/>
    <x v="2"/>
    <n v="463"/>
    <n v="80"/>
    <n v="7"/>
    <n v="9"/>
    <n v="1.17"/>
    <x v="40"/>
    <x v="1"/>
    <n v="166"/>
    <n v="3.5"/>
    <n v="117.4"/>
    <n v="1.08"/>
    <n v="1"/>
    <n v="0.98"/>
    <n v="870"/>
    <n v="3.91"/>
    <n v="0.75"/>
    <d v="2024-04-29T00:00:00"/>
    <n v="58.69"/>
    <n v="0.67"/>
    <n v="54356.200000000004"/>
    <x v="0"/>
    <x v="0"/>
  </r>
  <r>
    <x v="1231"/>
    <x v="3"/>
    <n v="302"/>
    <n v="42"/>
    <n v="3"/>
    <n v="8"/>
    <n v="46.63"/>
    <x v="58"/>
    <x v="0"/>
    <n v="34"/>
    <n v="1.1599999999999999"/>
    <n v="49.94"/>
    <n v="0.73"/>
    <n v="1"/>
    <n v="0.88"/>
    <n v="722"/>
    <n v="14.37"/>
    <n v="0.98"/>
    <d v="2024-03-22T00:00:00"/>
    <n v="116.19"/>
    <n v="0.871"/>
    <n v="15081.88"/>
    <x v="0"/>
    <x v="0"/>
  </r>
  <r>
    <x v="1232"/>
    <x v="4"/>
    <n v="331"/>
    <n v="94"/>
    <n v="5"/>
    <n v="7"/>
    <n v="18.71"/>
    <x v="30"/>
    <x v="2"/>
    <n v="72"/>
    <n v="3.54"/>
    <n v="113.76"/>
    <n v="0.14000000000000001"/>
    <n v="1"/>
    <n v="0.95"/>
    <n v="692"/>
    <n v="1.1100000000000001"/>
    <n v="0.62"/>
    <d v="2024-02-21T00:00:00"/>
    <n v="291.08"/>
    <n v="0.69499999999999995"/>
    <n v="37654.560000000005"/>
    <x v="0"/>
    <x v="0"/>
  </r>
  <r>
    <x v="1233"/>
    <x v="3"/>
    <n v="253"/>
    <n v="11"/>
    <n v="6"/>
    <n v="2"/>
    <n v="20.45"/>
    <x v="69"/>
    <x v="1"/>
    <n v="124"/>
    <n v="0.66"/>
    <n v="161.78"/>
    <n v="0.18"/>
    <n v="7"/>
    <n v="0.95"/>
    <n v="709"/>
    <n v="10.8"/>
    <n v="0.21"/>
    <d v="2024-05-06T00:00:00"/>
    <n v="265.83"/>
    <n v="0.61799999999999999"/>
    <n v="40930.340000000004"/>
    <x v="0"/>
    <x v="0"/>
  </r>
  <r>
    <x v="1234"/>
    <x v="3"/>
    <n v="42"/>
    <n v="27"/>
    <n v="7"/>
    <n v="6"/>
    <n v="9.5299999999999994"/>
    <x v="21"/>
    <x v="0"/>
    <n v="150"/>
    <n v="3.2"/>
    <n v="154.19999999999999"/>
    <n v="0.16"/>
    <n v="2"/>
    <n v="0.98"/>
    <n v="949"/>
    <n v="5.07"/>
    <n v="0.54"/>
    <d v="2024-12-02T00:00:00"/>
    <n v="189.02"/>
    <n v="0.71599999999999997"/>
    <n v="6476.4"/>
    <x v="0"/>
    <x v="2"/>
  </r>
  <r>
    <x v="1235"/>
    <x v="1"/>
    <n v="172"/>
    <n v="56"/>
    <n v="12"/>
    <n v="6"/>
    <n v="19.53"/>
    <x v="43"/>
    <x v="1"/>
    <n v="169"/>
    <n v="3.41"/>
    <n v="78.010000000000005"/>
    <n v="1.96"/>
    <n v="4"/>
    <n v="0.72"/>
    <n v="643"/>
    <n v="7.7"/>
    <n v="0.28000000000000003"/>
    <d v="2024-05-03T00:00:00"/>
    <n v="65.91"/>
    <n v="0.42699999999999999"/>
    <n v="13417.720000000001"/>
    <x v="0"/>
    <x v="1"/>
  </r>
  <r>
    <x v="1236"/>
    <x v="4"/>
    <n v="296"/>
    <n v="42"/>
    <n v="11"/>
    <n v="7"/>
    <n v="40.39"/>
    <x v="74"/>
    <x v="1"/>
    <n v="164"/>
    <n v="1.6"/>
    <n v="31.3"/>
    <n v="0.32"/>
    <n v="1"/>
    <n v="0.88"/>
    <n v="953"/>
    <n v="8.98"/>
    <n v="0.28999999999999998"/>
    <d v="2024-05-16T00:00:00"/>
    <n v="264.81"/>
    <n v="0.70199999999999996"/>
    <n v="9264.8000000000011"/>
    <x v="0"/>
    <x v="0"/>
  </r>
  <r>
    <x v="1237"/>
    <x v="4"/>
    <n v="80"/>
    <n v="93"/>
    <n v="6"/>
    <n v="7"/>
    <n v="40.200000000000003"/>
    <x v="49"/>
    <x v="0"/>
    <n v="60"/>
    <n v="4.72"/>
    <n v="161.99"/>
    <n v="0.37"/>
    <n v="5"/>
    <n v="0.84"/>
    <n v="519"/>
    <n v="8.86"/>
    <n v="0.4"/>
    <d v="2024-09-30T00:00:00"/>
    <n v="100.44"/>
    <n v="0.629"/>
    <n v="12959.2"/>
    <x v="1"/>
    <x v="2"/>
  </r>
  <r>
    <x v="1238"/>
    <x v="4"/>
    <n v="338"/>
    <n v="44"/>
    <n v="5"/>
    <n v="4"/>
    <n v="46.85"/>
    <x v="56"/>
    <x v="1"/>
    <n v="171"/>
    <n v="0.71"/>
    <n v="60.36"/>
    <n v="1.02"/>
    <n v="9"/>
    <n v="0.85"/>
    <n v="410"/>
    <n v="11.87"/>
    <n v="0.51"/>
    <d v="2024-01-29T00:00:00"/>
    <n v="168.26"/>
    <n v="0.54800000000000004"/>
    <n v="20401.68"/>
    <x v="0"/>
    <x v="0"/>
  </r>
  <r>
    <x v="1239"/>
    <x v="4"/>
    <n v="397"/>
    <n v="60"/>
    <n v="12"/>
    <n v="9"/>
    <n v="20.76"/>
    <x v="24"/>
    <x v="2"/>
    <n v="37"/>
    <n v="4.51"/>
    <n v="20.079999999999998"/>
    <n v="1.01"/>
    <n v="5"/>
    <n v="0.84"/>
    <n v="903"/>
    <n v="12.53"/>
    <n v="0.59"/>
    <d v="2024-04-22T00:00:00"/>
    <n v="274.42"/>
    <n v="0.65200000000000002"/>
    <n v="7971.7599999999993"/>
    <x v="0"/>
    <x v="0"/>
  </r>
  <r>
    <x v="1240"/>
    <x v="4"/>
    <n v="71"/>
    <n v="27"/>
    <n v="3"/>
    <n v="5"/>
    <n v="35.729999999999997"/>
    <x v="97"/>
    <x v="2"/>
    <n v="82"/>
    <n v="2.2200000000000002"/>
    <n v="94.59"/>
    <n v="1.85"/>
    <n v="1"/>
    <n v="0.95"/>
    <n v="644"/>
    <n v="2.0299999999999998"/>
    <n v="0.34"/>
    <d v="2024-10-21T00:00:00"/>
    <n v="107.06"/>
    <n v="0.48"/>
    <n v="6715.89"/>
    <x v="0"/>
    <x v="2"/>
  </r>
  <r>
    <x v="1241"/>
    <x v="1"/>
    <n v="363"/>
    <n v="97"/>
    <n v="12"/>
    <n v="5"/>
    <n v="25.85"/>
    <x v="91"/>
    <x v="0"/>
    <n v="81"/>
    <n v="3.71"/>
    <n v="150.5"/>
    <n v="0.24"/>
    <n v="3"/>
    <n v="0.8"/>
    <n v="973"/>
    <n v="10.84"/>
    <n v="0.45"/>
    <d v="2024-07-17T00:00:00"/>
    <n v="274.87"/>
    <n v="0.71099999999999997"/>
    <n v="54631.5"/>
    <x v="0"/>
    <x v="0"/>
  </r>
  <r>
    <x v="1242"/>
    <x v="2"/>
    <n v="172"/>
    <n v="81"/>
    <n v="8"/>
    <n v="2"/>
    <n v="40.4"/>
    <x v="5"/>
    <x v="0"/>
    <n v="94"/>
    <n v="3.43"/>
    <n v="163.61000000000001"/>
    <n v="1.92"/>
    <n v="1"/>
    <n v="0.84"/>
    <n v="634"/>
    <n v="6.59"/>
    <n v="0.42"/>
    <d v="2024-06-30T00:00:00"/>
    <n v="78.19"/>
    <n v="0.52800000000000002"/>
    <n v="28140.920000000002"/>
    <x v="0"/>
    <x v="1"/>
  </r>
  <r>
    <x v="1243"/>
    <x v="3"/>
    <n v="256"/>
    <n v="39"/>
    <n v="9"/>
    <n v="5"/>
    <n v="35.909999999999997"/>
    <x v="38"/>
    <x v="2"/>
    <n v="119"/>
    <n v="1.26"/>
    <n v="196.62"/>
    <n v="0.51"/>
    <n v="9"/>
    <n v="0.76"/>
    <n v="404"/>
    <n v="12.46"/>
    <n v="0.49"/>
    <d v="2024-03-29T00:00:00"/>
    <n v="279.32"/>
    <n v="0.58499999999999996"/>
    <n v="50334.720000000001"/>
    <x v="0"/>
    <x v="0"/>
  </r>
  <r>
    <x v="1244"/>
    <x v="4"/>
    <n v="330"/>
    <n v="53"/>
    <n v="12"/>
    <n v="2"/>
    <n v="19.03"/>
    <x v="42"/>
    <x v="0"/>
    <n v="39"/>
    <n v="1.94"/>
    <n v="45.99"/>
    <n v="1.94"/>
    <n v="3"/>
    <n v="0.78"/>
    <n v="775"/>
    <n v="9.52"/>
    <n v="0.28999999999999998"/>
    <d v="2024-03-31T00:00:00"/>
    <n v="114.01"/>
    <n v="0.48699999999999999"/>
    <n v="15176.7"/>
    <x v="0"/>
    <x v="0"/>
  </r>
  <r>
    <x v="1245"/>
    <x v="2"/>
    <n v="321"/>
    <n v="62"/>
    <n v="10"/>
    <n v="8"/>
    <n v="17.5"/>
    <x v="71"/>
    <x v="2"/>
    <n v="18"/>
    <n v="2.88"/>
    <n v="65.819999999999993"/>
    <n v="1.1299999999999999"/>
    <n v="6"/>
    <n v="0.9"/>
    <n v="75"/>
    <n v="1.1399999999999999"/>
    <n v="0.52"/>
    <d v="2024-05-01T00:00:00"/>
    <n v="118.63"/>
    <n v="0.46600000000000003"/>
    <n v="21128.219999999998"/>
    <x v="0"/>
    <x v="0"/>
  </r>
  <r>
    <x v="1246"/>
    <x v="2"/>
    <n v="51"/>
    <n v="19"/>
    <n v="14"/>
    <n v="6"/>
    <n v="13.37"/>
    <x v="78"/>
    <x v="1"/>
    <n v="150"/>
    <n v="4.3099999999999996"/>
    <n v="125.8"/>
    <n v="1.34"/>
    <n v="4"/>
    <n v="0.74"/>
    <n v="339"/>
    <n v="10.33"/>
    <n v="0.64"/>
    <d v="2024-10-30T00:00:00"/>
    <n v="170.37"/>
    <n v="0.6"/>
    <n v="6415.8"/>
    <x v="0"/>
    <x v="2"/>
  </r>
  <r>
    <x v="1247"/>
    <x v="3"/>
    <n v="74"/>
    <n v="96"/>
    <n v="3"/>
    <n v="4"/>
    <n v="29.25"/>
    <x v="48"/>
    <x v="0"/>
    <n v="91"/>
    <n v="4.8"/>
    <n v="164.16"/>
    <n v="0.7"/>
    <n v="9"/>
    <n v="0.76"/>
    <n v="120"/>
    <n v="13.96"/>
    <n v="0.28000000000000003"/>
    <d v="2024-06-11T00:00:00"/>
    <n v="110.64"/>
    <n v="0.54400000000000004"/>
    <n v="12147.84"/>
    <x v="1"/>
    <x v="2"/>
  </r>
  <r>
    <x v="1248"/>
    <x v="1"/>
    <n v="371"/>
    <n v="61"/>
    <n v="14"/>
    <n v="4"/>
    <n v="48.23"/>
    <x v="77"/>
    <x v="3"/>
    <n v="73"/>
    <n v="0.59"/>
    <n v="54.47"/>
    <n v="1.26"/>
    <n v="3"/>
    <n v="0.86"/>
    <n v="911"/>
    <n v="2.16"/>
    <n v="0.62"/>
    <d v="2024-12-23T00:00:00"/>
    <n v="140.49"/>
    <n v="0.53900000000000003"/>
    <n v="20208.37"/>
    <x v="0"/>
    <x v="0"/>
  </r>
  <r>
    <x v="1249"/>
    <x v="0"/>
    <n v="408"/>
    <n v="58"/>
    <n v="6"/>
    <n v="9"/>
    <n v="10.8"/>
    <x v="74"/>
    <x v="2"/>
    <n v="47"/>
    <n v="2.09"/>
    <n v="87.88"/>
    <n v="1.45"/>
    <n v="9"/>
    <n v="0.71"/>
    <n v="738"/>
    <n v="7.92"/>
    <n v="0.8"/>
    <d v="2024-07-02T00:00:00"/>
    <n v="155.38"/>
    <n v="0.48299999999999998"/>
    <n v="35855.040000000001"/>
    <x v="0"/>
    <x v="0"/>
  </r>
  <r>
    <x v="1250"/>
    <x v="0"/>
    <n v="55"/>
    <n v="20"/>
    <n v="13"/>
    <n v="9"/>
    <n v="5.67"/>
    <x v="72"/>
    <x v="2"/>
    <n v="128"/>
    <n v="3.51"/>
    <n v="87.6"/>
    <n v="0.12"/>
    <n v="9"/>
    <n v="0.74"/>
    <n v="138"/>
    <n v="9.76"/>
    <n v="0.21"/>
    <d v="2024-10-29T00:00:00"/>
    <n v="152.4"/>
    <n v="0.52800000000000002"/>
    <n v="4818"/>
    <x v="0"/>
    <x v="2"/>
  </r>
  <r>
    <x v="1251"/>
    <x v="2"/>
    <n v="129"/>
    <n v="75"/>
    <n v="7"/>
    <n v="6"/>
    <n v="6.85"/>
    <x v="7"/>
    <x v="1"/>
    <n v="31"/>
    <n v="2.87"/>
    <n v="156.86000000000001"/>
    <n v="0.17"/>
    <n v="2"/>
    <n v="0.96"/>
    <n v="226"/>
    <n v="3.74"/>
    <n v="0.24"/>
    <d v="2024-01-15T00:00:00"/>
    <n v="288.72000000000003"/>
    <n v="0.63300000000000001"/>
    <n v="20234.940000000002"/>
    <x v="0"/>
    <x v="1"/>
  </r>
  <r>
    <x v="1252"/>
    <x v="3"/>
    <n v="196"/>
    <n v="67"/>
    <n v="4"/>
    <n v="7"/>
    <n v="39.369999999999997"/>
    <x v="50"/>
    <x v="3"/>
    <n v="168"/>
    <n v="4.74"/>
    <n v="55.78"/>
    <n v="1.97"/>
    <n v="5"/>
    <n v="0.95"/>
    <n v="76"/>
    <n v="10.11"/>
    <n v="0.56999999999999995"/>
    <d v="2024-12-26T00:00:00"/>
    <n v="91.72"/>
    <n v="0.54200000000000004"/>
    <n v="10932.880000000001"/>
    <x v="0"/>
    <x v="1"/>
  </r>
  <r>
    <x v="1253"/>
    <x v="0"/>
    <n v="381"/>
    <n v="99"/>
    <n v="3"/>
    <n v="9"/>
    <n v="18.16"/>
    <x v="4"/>
    <x v="3"/>
    <n v="108"/>
    <n v="0.57999999999999996"/>
    <n v="194.06"/>
    <n v="0.97"/>
    <n v="1"/>
    <n v="0.8"/>
    <n v="338"/>
    <n v="1.7"/>
    <n v="0.9"/>
    <d v="2024-12-24T00:00:00"/>
    <n v="92.53"/>
    <n v="0.64600000000000002"/>
    <n v="73936.86"/>
    <x v="0"/>
    <x v="0"/>
  </r>
  <r>
    <x v="1254"/>
    <x v="2"/>
    <n v="333"/>
    <n v="45"/>
    <n v="10"/>
    <n v="9"/>
    <n v="11.99"/>
    <x v="52"/>
    <x v="3"/>
    <n v="179"/>
    <n v="2.4700000000000002"/>
    <n v="106.99"/>
    <n v="1.88"/>
    <n v="3"/>
    <n v="0.8"/>
    <n v="889"/>
    <n v="13.68"/>
    <n v="1"/>
    <d v="2024-06-29T00:00:00"/>
    <n v="253"/>
    <n v="0.69399999999999995"/>
    <n v="35627.67"/>
    <x v="0"/>
    <x v="0"/>
  </r>
  <r>
    <x v="1255"/>
    <x v="1"/>
    <n v="314"/>
    <n v="42"/>
    <n v="8"/>
    <n v="3"/>
    <n v="18.29"/>
    <x v="24"/>
    <x v="2"/>
    <n v="115"/>
    <n v="3.51"/>
    <n v="63.59"/>
    <n v="1.49"/>
    <n v="7"/>
    <n v="0.98"/>
    <n v="866"/>
    <n v="11.68"/>
    <n v="0.27"/>
    <d v="2024-10-17T00:00:00"/>
    <n v="123.68"/>
    <n v="0.51700000000000002"/>
    <n v="19967.260000000002"/>
    <x v="0"/>
    <x v="0"/>
  </r>
  <r>
    <x v="1256"/>
    <x v="0"/>
    <n v="355"/>
    <n v="56"/>
    <n v="7"/>
    <n v="3"/>
    <n v="32.619999999999997"/>
    <x v="29"/>
    <x v="2"/>
    <n v="73"/>
    <n v="1.48"/>
    <n v="64.010000000000005"/>
    <n v="0.81"/>
    <n v="1"/>
    <n v="0.71"/>
    <n v="624"/>
    <n v="14.17"/>
    <n v="0.21"/>
    <d v="2024-10-15T00:00:00"/>
    <n v="31.23"/>
    <n v="0.67200000000000004"/>
    <n v="22723.550000000003"/>
    <x v="0"/>
    <x v="0"/>
  </r>
  <r>
    <x v="1257"/>
    <x v="2"/>
    <n v="116"/>
    <n v="22"/>
    <n v="11"/>
    <n v="5"/>
    <n v="27.79"/>
    <x v="17"/>
    <x v="3"/>
    <n v="18"/>
    <n v="3.77"/>
    <n v="13.48"/>
    <n v="0.39"/>
    <n v="8"/>
    <n v="0.87"/>
    <n v="977"/>
    <n v="6.86"/>
    <n v="0.38"/>
    <d v="2024-03-13T00:00:00"/>
    <n v="149.56"/>
    <n v="0.54200000000000004"/>
    <n v="1563.68"/>
    <x v="0"/>
    <x v="1"/>
  </r>
  <r>
    <x v="1258"/>
    <x v="2"/>
    <n v="388"/>
    <n v="49"/>
    <n v="13"/>
    <n v="7"/>
    <n v="37.44"/>
    <x v="56"/>
    <x v="0"/>
    <n v="135"/>
    <n v="0.87"/>
    <n v="141.56"/>
    <n v="1.96"/>
    <n v="1"/>
    <n v="0.88"/>
    <n v="580"/>
    <n v="1.48"/>
    <n v="0.56999999999999995"/>
    <d v="2024-10-15T00:00:00"/>
    <n v="169.57"/>
    <n v="0.49399999999999999"/>
    <n v="54925.279999999999"/>
    <x v="0"/>
    <x v="0"/>
  </r>
  <r>
    <x v="1259"/>
    <x v="4"/>
    <n v="232"/>
    <n v="98"/>
    <n v="13"/>
    <n v="2"/>
    <n v="17.61"/>
    <x v="26"/>
    <x v="3"/>
    <n v="104"/>
    <n v="2.5299999999999998"/>
    <n v="157.43"/>
    <n v="1.21"/>
    <n v="7"/>
    <n v="0.94"/>
    <n v="533"/>
    <n v="5.78"/>
    <n v="0.66"/>
    <d v="2024-04-06T00:00:00"/>
    <n v="189.13"/>
    <n v="0.53600000000000003"/>
    <n v="36523.760000000002"/>
    <x v="0"/>
    <x v="1"/>
  </r>
  <r>
    <x v="1260"/>
    <x v="1"/>
    <n v="336"/>
    <n v="77"/>
    <n v="4"/>
    <n v="8"/>
    <n v="23.15"/>
    <x v="98"/>
    <x v="1"/>
    <n v="177"/>
    <n v="3.54"/>
    <n v="16.16"/>
    <n v="0.47"/>
    <n v="7"/>
    <n v="0.99"/>
    <n v="483"/>
    <n v="8.2200000000000006"/>
    <n v="0.98"/>
    <d v="2024-09-09T00:00:00"/>
    <n v="78.180000000000007"/>
    <n v="0.71699999999999997"/>
    <n v="5429.76"/>
    <x v="0"/>
    <x v="0"/>
  </r>
  <r>
    <x v="1261"/>
    <x v="4"/>
    <n v="156"/>
    <n v="51"/>
    <n v="12"/>
    <n v="4"/>
    <n v="6"/>
    <x v="82"/>
    <x v="3"/>
    <n v="97"/>
    <n v="1.7"/>
    <n v="121.33"/>
    <n v="1.4"/>
    <n v="6"/>
    <n v="0.81"/>
    <n v="542"/>
    <n v="14.1"/>
    <n v="0.91"/>
    <d v="2024-10-04T00:00:00"/>
    <n v="292.25"/>
    <n v="0.67200000000000004"/>
    <n v="18927.48"/>
    <x v="0"/>
    <x v="1"/>
  </r>
  <r>
    <x v="1262"/>
    <x v="3"/>
    <n v="25"/>
    <n v="28"/>
    <n v="14"/>
    <n v="5"/>
    <n v="4.58"/>
    <x v="85"/>
    <x v="3"/>
    <n v="178"/>
    <n v="0.83"/>
    <n v="158.52000000000001"/>
    <n v="0.27"/>
    <n v="9"/>
    <n v="0.83"/>
    <n v="327"/>
    <n v="13.36"/>
    <n v="0.65"/>
    <d v="2024-06-07T00:00:00"/>
    <n v="223.74"/>
    <n v="0.66700000000000004"/>
    <n v="3963.0000000000005"/>
    <x v="1"/>
    <x v="2"/>
  </r>
  <r>
    <x v="1263"/>
    <x v="4"/>
    <n v="128"/>
    <n v="91"/>
    <n v="10"/>
    <n v="9"/>
    <n v="23.65"/>
    <x v="12"/>
    <x v="3"/>
    <n v="122"/>
    <n v="4.8099999999999996"/>
    <n v="81.489999999999995"/>
    <n v="1.75"/>
    <n v="5"/>
    <n v="0.9"/>
    <n v="395"/>
    <n v="9.32"/>
    <n v="0.49"/>
    <d v="2024-03-30T00:00:00"/>
    <n v="218.84"/>
    <n v="0.52700000000000002"/>
    <n v="10430.719999999999"/>
    <x v="0"/>
    <x v="1"/>
  </r>
  <r>
    <x v="1264"/>
    <x v="4"/>
    <n v="54"/>
    <n v="28"/>
    <n v="13"/>
    <n v="6"/>
    <n v="15.78"/>
    <x v="73"/>
    <x v="0"/>
    <n v="81"/>
    <n v="4.6100000000000003"/>
    <n v="92.22"/>
    <n v="0.27"/>
    <n v="0"/>
    <n v="0.99"/>
    <n v="628"/>
    <n v="11.22"/>
    <n v="0.46"/>
    <d v="2024-09-08T00:00:00"/>
    <n v="263.13"/>
    <n v="0.81299999999999994"/>
    <n v="4979.88"/>
    <x v="0"/>
    <x v="2"/>
  </r>
  <r>
    <x v="1265"/>
    <x v="0"/>
    <n v="58"/>
    <n v="67"/>
    <n v="12"/>
    <n v="7"/>
    <n v="31.03"/>
    <x v="51"/>
    <x v="3"/>
    <n v="59"/>
    <n v="4.67"/>
    <n v="78.709999999999994"/>
    <n v="0.55000000000000004"/>
    <n v="1"/>
    <n v="0.97"/>
    <n v="287"/>
    <n v="14.35"/>
    <n v="0.66"/>
    <d v="2024-01-20T00:00:00"/>
    <n v="17.579999999999998"/>
    <n v="0.84199999999999997"/>
    <n v="4565.1799999999994"/>
    <x v="1"/>
    <x v="2"/>
  </r>
  <r>
    <x v="1266"/>
    <x v="2"/>
    <n v="169"/>
    <n v="32"/>
    <n v="11"/>
    <n v="9"/>
    <n v="3.11"/>
    <x v="86"/>
    <x v="3"/>
    <n v="157"/>
    <n v="4.9000000000000004"/>
    <n v="69.97"/>
    <n v="0.27"/>
    <n v="6"/>
    <n v="0.9"/>
    <n v="186"/>
    <n v="12.91"/>
    <n v="0.78"/>
    <d v="2024-02-16T00:00:00"/>
    <n v="187.81"/>
    <n v="0.76100000000000001"/>
    <n v="11824.93"/>
    <x v="0"/>
    <x v="1"/>
  </r>
  <r>
    <x v="1267"/>
    <x v="1"/>
    <n v="444"/>
    <n v="63"/>
    <n v="3"/>
    <n v="4"/>
    <n v="6.97"/>
    <x v="30"/>
    <x v="2"/>
    <n v="90"/>
    <n v="1.33"/>
    <n v="103.32"/>
    <n v="0.3"/>
    <n v="3"/>
    <n v="0.96"/>
    <n v="212"/>
    <n v="10.220000000000001"/>
    <n v="0.59"/>
    <d v="2024-01-29T00:00:00"/>
    <n v="247.17"/>
    <n v="0.75600000000000001"/>
    <n v="45874.079999999994"/>
    <x v="0"/>
    <x v="0"/>
  </r>
  <r>
    <x v="1268"/>
    <x v="4"/>
    <n v="137"/>
    <n v="89"/>
    <n v="9"/>
    <n v="2"/>
    <n v="43.39"/>
    <x v="25"/>
    <x v="3"/>
    <n v="179"/>
    <n v="1.21"/>
    <n v="41.56"/>
    <n v="1.1000000000000001"/>
    <n v="8"/>
    <n v="0.73"/>
    <n v="888"/>
    <n v="8.56"/>
    <n v="0.44"/>
    <d v="2024-04-29T00:00:00"/>
    <n v="19.97"/>
    <n v="0.47799999999999998"/>
    <n v="5693.72"/>
    <x v="0"/>
    <x v="1"/>
  </r>
  <r>
    <x v="1269"/>
    <x v="1"/>
    <n v="280"/>
    <n v="74"/>
    <n v="10"/>
    <n v="2"/>
    <n v="28.75"/>
    <x v="39"/>
    <x v="1"/>
    <n v="42"/>
    <n v="0.65"/>
    <n v="93.73"/>
    <n v="1.41"/>
    <n v="2"/>
    <n v="0.81"/>
    <n v="896"/>
    <n v="7.66"/>
    <n v="0.69"/>
    <d v="2024-11-04T00:00:00"/>
    <n v="229.28"/>
    <n v="0.621"/>
    <n v="26244.400000000001"/>
    <x v="0"/>
    <x v="0"/>
  </r>
  <r>
    <x v="1270"/>
    <x v="4"/>
    <n v="445"/>
    <n v="21"/>
    <n v="5"/>
    <n v="3"/>
    <n v="35.89"/>
    <x v="97"/>
    <x v="2"/>
    <n v="72"/>
    <n v="4.51"/>
    <n v="188.95"/>
    <n v="1.6"/>
    <n v="3"/>
    <n v="0.7"/>
    <n v="949"/>
    <n v="11.59"/>
    <n v="0.65"/>
    <d v="2024-04-22T00:00:00"/>
    <n v="297.01"/>
    <n v="0.60499999999999998"/>
    <n v="84082.75"/>
    <x v="0"/>
    <x v="0"/>
  </r>
  <r>
    <x v="1271"/>
    <x v="3"/>
    <n v="106"/>
    <n v="33"/>
    <n v="6"/>
    <n v="5"/>
    <n v="42.26"/>
    <x v="34"/>
    <x v="0"/>
    <n v="114"/>
    <n v="3.89"/>
    <n v="15.21"/>
    <n v="1.42"/>
    <n v="2"/>
    <n v="0.75"/>
    <n v="342"/>
    <n v="12.32"/>
    <n v="0.54"/>
    <d v="2024-01-11T00:00:00"/>
    <n v="182.09"/>
    <n v="0.64"/>
    <n v="1612.26"/>
    <x v="0"/>
    <x v="1"/>
  </r>
  <r>
    <x v="1272"/>
    <x v="4"/>
    <n v="484"/>
    <n v="43"/>
    <n v="5"/>
    <n v="9"/>
    <n v="23.73"/>
    <x v="94"/>
    <x v="2"/>
    <n v="108"/>
    <n v="3.35"/>
    <n v="41.3"/>
    <n v="0.79"/>
    <n v="6"/>
    <n v="0.89"/>
    <n v="77"/>
    <n v="4.05"/>
    <n v="0.8"/>
    <d v="2024-09-26T00:00:00"/>
    <n v="133.16"/>
    <n v="0.59299999999999997"/>
    <n v="19989.199999999997"/>
    <x v="0"/>
    <x v="0"/>
  </r>
  <r>
    <x v="1273"/>
    <x v="0"/>
    <n v="95"/>
    <n v="62"/>
    <n v="9"/>
    <n v="6"/>
    <n v="38.29"/>
    <x v="42"/>
    <x v="0"/>
    <n v="15"/>
    <n v="4.67"/>
    <n v="157.76"/>
    <n v="1.1599999999999999"/>
    <n v="1"/>
    <n v="0.97"/>
    <n v="305"/>
    <n v="7.64"/>
    <n v="0.43"/>
    <d v="2024-09-01T00:00:00"/>
    <n v="141.55000000000001"/>
    <n v="0.64600000000000002"/>
    <n v="14987.199999999999"/>
    <x v="0"/>
    <x v="2"/>
  </r>
  <r>
    <x v="1274"/>
    <x v="2"/>
    <n v="490"/>
    <n v="17"/>
    <n v="11"/>
    <n v="4"/>
    <n v="26.7"/>
    <x v="27"/>
    <x v="0"/>
    <n v="144"/>
    <n v="3.09"/>
    <n v="35.090000000000003"/>
    <n v="1.86"/>
    <n v="9"/>
    <n v="0.89"/>
    <n v="954"/>
    <n v="11.8"/>
    <n v="0.59"/>
    <d v="2024-01-01T00:00:00"/>
    <n v="207.05"/>
    <n v="0.48699999999999999"/>
    <n v="17194.100000000002"/>
    <x v="0"/>
    <x v="0"/>
  </r>
  <r>
    <x v="1275"/>
    <x v="3"/>
    <n v="483"/>
    <n v="27"/>
    <n v="5"/>
    <n v="9"/>
    <n v="11.91"/>
    <x v="10"/>
    <x v="1"/>
    <n v="18"/>
    <n v="1.08"/>
    <n v="61.54"/>
    <n v="0.84"/>
    <n v="1"/>
    <n v="0.9"/>
    <n v="852"/>
    <n v="10.46"/>
    <n v="0.95"/>
    <d v="2024-06-18T00:00:00"/>
    <n v="175.29"/>
    <n v="0.80500000000000005"/>
    <n v="29723.82"/>
    <x v="0"/>
    <x v="0"/>
  </r>
  <r>
    <x v="1276"/>
    <x v="4"/>
    <n v="470"/>
    <n v="66"/>
    <n v="8"/>
    <n v="8"/>
    <n v="17.55"/>
    <x v="31"/>
    <x v="3"/>
    <n v="110"/>
    <n v="1.3"/>
    <n v="96.42"/>
    <n v="0.57999999999999996"/>
    <n v="1"/>
    <n v="0.73"/>
    <n v="673"/>
    <n v="9.2799999999999994"/>
    <n v="0.78"/>
    <d v="2024-11-10T00:00:00"/>
    <n v="238.4"/>
    <n v="0.748"/>
    <n v="45317.4"/>
    <x v="0"/>
    <x v="0"/>
  </r>
  <r>
    <x v="1277"/>
    <x v="1"/>
    <n v="433"/>
    <n v="14"/>
    <n v="10"/>
    <n v="2"/>
    <n v="25.03"/>
    <x v="38"/>
    <x v="1"/>
    <n v="70"/>
    <n v="1.0900000000000001"/>
    <n v="189.2"/>
    <n v="1.0900000000000001"/>
    <n v="3"/>
    <n v="0.9"/>
    <n v="801"/>
    <n v="5.53"/>
    <n v="0.51"/>
    <d v="2024-04-13T00:00:00"/>
    <n v="132.27000000000001"/>
    <n v="0.58699999999999997"/>
    <n v="81923.599999999991"/>
    <x v="0"/>
    <x v="0"/>
  </r>
  <r>
    <x v="1278"/>
    <x v="3"/>
    <n v="332"/>
    <n v="35"/>
    <n v="8"/>
    <n v="9"/>
    <n v="16.53"/>
    <x v="63"/>
    <x v="2"/>
    <n v="171"/>
    <n v="1.88"/>
    <n v="44.87"/>
    <n v="0.66"/>
    <n v="7"/>
    <n v="0.84"/>
    <n v="804"/>
    <n v="9.5299999999999994"/>
    <n v="0.64"/>
    <d v="2024-03-07T00:00:00"/>
    <n v="131.02000000000001"/>
    <n v="0.61699999999999999"/>
    <n v="14896.839999999998"/>
    <x v="0"/>
    <x v="0"/>
  </r>
  <r>
    <x v="1279"/>
    <x v="3"/>
    <n v="402"/>
    <n v="39"/>
    <n v="4"/>
    <n v="4"/>
    <n v="17.440000000000001"/>
    <x v="48"/>
    <x v="0"/>
    <n v="172"/>
    <n v="2.21"/>
    <n v="185.39"/>
    <n v="0.6"/>
    <n v="7"/>
    <n v="0.9"/>
    <n v="714"/>
    <n v="9.57"/>
    <n v="0.52"/>
    <d v="2024-06-23T00:00:00"/>
    <n v="226.33"/>
    <n v="0.61199999999999999"/>
    <n v="74526.78"/>
    <x v="0"/>
    <x v="0"/>
  </r>
  <r>
    <x v="1280"/>
    <x v="4"/>
    <n v="233"/>
    <n v="63"/>
    <n v="9"/>
    <n v="6"/>
    <n v="17.53"/>
    <x v="23"/>
    <x v="2"/>
    <n v="108"/>
    <n v="4.09"/>
    <n v="146.52000000000001"/>
    <n v="1.58"/>
    <n v="7"/>
    <n v="0.8"/>
    <n v="314"/>
    <n v="7.05"/>
    <n v="0.28999999999999998"/>
    <d v="2024-03-31T00:00:00"/>
    <n v="197.2"/>
    <n v="0.41399999999999998"/>
    <n v="34139.160000000003"/>
    <x v="0"/>
    <x v="1"/>
  </r>
  <r>
    <x v="1281"/>
    <x v="3"/>
    <n v="476"/>
    <n v="22"/>
    <n v="4"/>
    <n v="4"/>
    <n v="7.02"/>
    <x v="89"/>
    <x v="0"/>
    <n v="157"/>
    <n v="1.36"/>
    <n v="137.52000000000001"/>
    <n v="1.79"/>
    <n v="7"/>
    <n v="0.87"/>
    <n v="613"/>
    <n v="14.44"/>
    <n v="0.47"/>
    <d v="2024-06-14T00:00:00"/>
    <n v="235.65"/>
    <n v="0.54200000000000004"/>
    <n v="65459.520000000004"/>
    <x v="0"/>
    <x v="0"/>
  </r>
  <r>
    <x v="1282"/>
    <x v="1"/>
    <n v="304"/>
    <n v="92"/>
    <n v="4"/>
    <n v="5"/>
    <n v="5.15"/>
    <x v="47"/>
    <x v="2"/>
    <n v="67"/>
    <n v="3.76"/>
    <n v="147.47"/>
    <n v="1.05"/>
    <n v="6"/>
    <n v="0.83"/>
    <n v="530"/>
    <n v="10.14"/>
    <n v="0.89"/>
    <d v="2024-01-31T00:00:00"/>
    <n v="267.27999999999997"/>
    <n v="0.65400000000000003"/>
    <n v="44830.879999999997"/>
    <x v="0"/>
    <x v="0"/>
  </r>
  <r>
    <x v="1283"/>
    <x v="3"/>
    <n v="258"/>
    <n v="38"/>
    <n v="4"/>
    <n v="3"/>
    <n v="3.28"/>
    <x v="78"/>
    <x v="0"/>
    <n v="69"/>
    <n v="2.71"/>
    <n v="15.94"/>
    <n v="1.58"/>
    <n v="5"/>
    <n v="0.87"/>
    <n v="450"/>
    <n v="12.91"/>
    <n v="0.56999999999999995"/>
    <d v="2024-01-12T00:00:00"/>
    <n v="86.39"/>
    <n v="0.60199999999999998"/>
    <n v="4112.5199999999995"/>
    <x v="0"/>
    <x v="0"/>
  </r>
  <r>
    <x v="1284"/>
    <x v="1"/>
    <n v="184"/>
    <n v="12"/>
    <n v="13"/>
    <n v="4"/>
    <n v="6.44"/>
    <x v="16"/>
    <x v="1"/>
    <n v="44"/>
    <n v="5"/>
    <n v="28.79"/>
    <n v="0.46"/>
    <n v="6"/>
    <n v="0.74"/>
    <n v="509"/>
    <n v="2.81"/>
    <n v="0.67"/>
    <d v="2024-03-16T00:00:00"/>
    <n v="101.36"/>
    <n v="0.55300000000000005"/>
    <n v="5297.36"/>
    <x v="0"/>
    <x v="1"/>
  </r>
  <r>
    <x v="1285"/>
    <x v="4"/>
    <n v="106"/>
    <n v="99"/>
    <n v="3"/>
    <n v="7"/>
    <n v="17.84"/>
    <x v="64"/>
    <x v="0"/>
    <n v="56"/>
    <n v="3.99"/>
    <n v="73.62"/>
    <n v="1.1399999999999999"/>
    <n v="4"/>
    <n v="0.82"/>
    <n v="826"/>
    <n v="11.59"/>
    <n v="0.35"/>
    <d v="2024-10-27T00:00:00"/>
    <n v="162.82"/>
    <n v="0.59499999999999997"/>
    <n v="7803.72"/>
    <x v="0"/>
    <x v="1"/>
  </r>
  <r>
    <x v="1286"/>
    <x v="2"/>
    <n v="160"/>
    <n v="67"/>
    <n v="13"/>
    <n v="9"/>
    <n v="30.1"/>
    <x v="95"/>
    <x v="3"/>
    <n v="55"/>
    <n v="4.8600000000000003"/>
    <n v="24.05"/>
    <n v="1.31"/>
    <n v="7"/>
    <n v="0.81"/>
    <n v="615"/>
    <n v="9.43"/>
    <n v="0.48"/>
    <d v="2024-12-26T00:00:00"/>
    <n v="279.83"/>
    <n v="0.51300000000000001"/>
    <n v="3848"/>
    <x v="0"/>
    <x v="1"/>
  </r>
  <r>
    <x v="1287"/>
    <x v="3"/>
    <n v="179"/>
    <n v="85"/>
    <n v="3"/>
    <n v="3"/>
    <n v="10.220000000000001"/>
    <x v="36"/>
    <x v="1"/>
    <n v="96"/>
    <n v="2.04"/>
    <n v="197.64"/>
    <n v="1.03"/>
    <n v="1"/>
    <n v="0.92"/>
    <n v="182"/>
    <n v="5.32"/>
    <n v="0.94"/>
    <d v="2024-03-13T00:00:00"/>
    <n v="252.06"/>
    <n v="0.72"/>
    <n v="35377.56"/>
    <x v="0"/>
    <x v="1"/>
  </r>
  <r>
    <x v="1288"/>
    <x v="2"/>
    <n v="65"/>
    <n v="11"/>
    <n v="9"/>
    <n v="6"/>
    <n v="44.51"/>
    <x v="66"/>
    <x v="3"/>
    <n v="13"/>
    <n v="1.05"/>
    <n v="120.28"/>
    <n v="0.32"/>
    <n v="4"/>
    <n v="0.91"/>
    <n v="240"/>
    <n v="2.91"/>
    <n v="0.45"/>
    <d v="2024-02-26T00:00:00"/>
    <n v="145.85"/>
    <n v="0.59899999999999998"/>
    <n v="7818.2"/>
    <x v="0"/>
    <x v="2"/>
  </r>
  <r>
    <x v="1289"/>
    <x v="1"/>
    <n v="391"/>
    <n v="84"/>
    <n v="14"/>
    <n v="3"/>
    <n v="40.61"/>
    <x v="72"/>
    <x v="2"/>
    <n v="19"/>
    <n v="2.78"/>
    <n v="102.6"/>
    <n v="1.49"/>
    <n v="6"/>
    <n v="0.97"/>
    <n v="173"/>
    <n v="6.32"/>
    <n v="0.4"/>
    <d v="2024-09-26T00:00:00"/>
    <n v="176.2"/>
    <n v="0.48899999999999999"/>
    <n v="40116.6"/>
    <x v="0"/>
    <x v="0"/>
  </r>
  <r>
    <x v="1290"/>
    <x v="3"/>
    <n v="131"/>
    <n v="37"/>
    <n v="7"/>
    <n v="4"/>
    <n v="26.51"/>
    <x v="91"/>
    <x v="2"/>
    <n v="116"/>
    <n v="1.06"/>
    <n v="159.25"/>
    <n v="1.69"/>
    <n v="8"/>
    <n v="0.89"/>
    <n v="480"/>
    <n v="7.18"/>
    <n v="0.24"/>
    <d v="2024-07-05T00:00:00"/>
    <n v="216.57"/>
    <n v="0.39300000000000002"/>
    <n v="20861.75"/>
    <x v="0"/>
    <x v="1"/>
  </r>
  <r>
    <x v="1291"/>
    <x v="0"/>
    <n v="426"/>
    <n v="91"/>
    <n v="13"/>
    <n v="4"/>
    <n v="36.49"/>
    <x v="49"/>
    <x v="0"/>
    <n v="84"/>
    <n v="2.72"/>
    <n v="195.62"/>
    <n v="1.31"/>
    <n v="9"/>
    <n v="0.79"/>
    <n v="267"/>
    <n v="2.97"/>
    <n v="0.28000000000000003"/>
    <d v="2024-02-07T00:00:00"/>
    <n v="161.58000000000001"/>
    <n v="0.34300000000000003"/>
    <n v="83334.12"/>
    <x v="0"/>
    <x v="0"/>
  </r>
  <r>
    <x v="1292"/>
    <x v="2"/>
    <n v="64"/>
    <n v="86"/>
    <n v="5"/>
    <n v="7"/>
    <n v="18.95"/>
    <x v="31"/>
    <x v="0"/>
    <n v="49"/>
    <n v="1.71"/>
    <n v="191.47"/>
    <n v="0.42"/>
    <n v="0"/>
    <n v="0.93"/>
    <n v="926"/>
    <n v="10.38"/>
    <n v="0.67"/>
    <d v="2024-07-10T00:00:00"/>
    <n v="38.549999999999997"/>
    <n v="0.81599999999999995"/>
    <n v="12254.08"/>
    <x v="1"/>
    <x v="2"/>
  </r>
  <r>
    <x v="1293"/>
    <x v="3"/>
    <n v="420"/>
    <n v="95"/>
    <n v="3"/>
    <n v="2"/>
    <n v="2.8"/>
    <x v="78"/>
    <x v="2"/>
    <n v="136"/>
    <n v="2.71"/>
    <n v="160.68"/>
    <n v="0.24"/>
    <n v="8"/>
    <n v="0.85"/>
    <n v="452"/>
    <n v="5.3"/>
    <n v="0.73"/>
    <d v="2024-12-26T00:00:00"/>
    <n v="112.29"/>
    <n v="0.60299999999999998"/>
    <n v="67485.600000000006"/>
    <x v="0"/>
    <x v="0"/>
  </r>
  <r>
    <x v="1294"/>
    <x v="2"/>
    <n v="266"/>
    <n v="85"/>
    <n v="13"/>
    <n v="9"/>
    <n v="45.31"/>
    <x v="51"/>
    <x v="1"/>
    <n v="128"/>
    <n v="4.7699999999999996"/>
    <n v="81.66"/>
    <n v="0.67"/>
    <n v="2"/>
    <n v="0.76"/>
    <n v="371"/>
    <n v="12.28"/>
    <n v="0.71"/>
    <d v="2024-12-05T00:00:00"/>
    <n v="23.81"/>
    <n v="0.751"/>
    <n v="21721.559999999998"/>
    <x v="0"/>
    <x v="0"/>
  </r>
  <r>
    <x v="1295"/>
    <x v="3"/>
    <n v="123"/>
    <n v="11"/>
    <n v="12"/>
    <n v="7"/>
    <n v="7.26"/>
    <x v="22"/>
    <x v="3"/>
    <n v="82"/>
    <n v="1.8"/>
    <n v="22.53"/>
    <n v="0.17"/>
    <n v="0"/>
    <n v="0.92"/>
    <n v="350"/>
    <n v="10.08"/>
    <n v="0.63"/>
    <d v="2024-07-21T00:00:00"/>
    <n v="204.26"/>
    <n v="0.82699999999999996"/>
    <n v="2771.19"/>
    <x v="0"/>
    <x v="1"/>
  </r>
  <r>
    <x v="1296"/>
    <x v="4"/>
    <n v="104"/>
    <n v="16"/>
    <n v="8"/>
    <n v="4"/>
    <n v="47.45"/>
    <x v="30"/>
    <x v="2"/>
    <n v="49"/>
    <n v="4.97"/>
    <n v="28.69"/>
    <n v="1.69"/>
    <n v="6"/>
    <n v="0.74"/>
    <n v="120"/>
    <n v="5.35"/>
    <n v="0.59"/>
    <d v="2024-10-27T00:00:00"/>
    <n v="107.77"/>
    <n v="0.44800000000000001"/>
    <n v="2983.76"/>
    <x v="0"/>
    <x v="1"/>
  </r>
  <r>
    <x v="1297"/>
    <x v="2"/>
    <n v="469"/>
    <n v="35"/>
    <n v="13"/>
    <n v="8"/>
    <n v="29.02"/>
    <x v="69"/>
    <x v="1"/>
    <n v="105"/>
    <n v="1.53"/>
    <n v="10.220000000000001"/>
    <n v="1.44"/>
    <n v="2"/>
    <n v="0.75"/>
    <n v="263"/>
    <n v="6.04"/>
    <n v="0.26"/>
    <d v="2024-02-21T00:00:00"/>
    <n v="224.13"/>
    <n v="0.499"/>
    <n v="4793.18"/>
    <x v="0"/>
    <x v="0"/>
  </r>
  <r>
    <x v="1298"/>
    <x v="0"/>
    <n v="153"/>
    <n v="99"/>
    <n v="3"/>
    <n v="3"/>
    <n v="15.97"/>
    <x v="14"/>
    <x v="3"/>
    <n v="32"/>
    <n v="1.44"/>
    <n v="10.36"/>
    <n v="1.17"/>
    <n v="7"/>
    <n v="0.93"/>
    <n v="923"/>
    <n v="14.19"/>
    <n v="0.87"/>
    <d v="2024-06-21T00:00:00"/>
    <n v="134.62"/>
    <n v="0.69199999999999995"/>
    <n v="1585.08"/>
    <x v="0"/>
    <x v="1"/>
  </r>
  <r>
    <x v="1299"/>
    <x v="0"/>
    <n v="127"/>
    <n v="97"/>
    <n v="11"/>
    <n v="7"/>
    <n v="25.28"/>
    <x v="90"/>
    <x v="0"/>
    <n v="152"/>
    <n v="2.95"/>
    <n v="187.92"/>
    <n v="1.79"/>
    <n v="1"/>
    <n v="0.93"/>
    <n v="594"/>
    <n v="14.27"/>
    <n v="0.61"/>
    <d v="2024-06-03T00:00:00"/>
    <n v="23.22"/>
    <n v="0.69899999999999995"/>
    <n v="23865.84"/>
    <x v="0"/>
    <x v="1"/>
  </r>
  <r>
    <x v="1300"/>
    <x v="1"/>
    <n v="37"/>
    <n v="85"/>
    <n v="4"/>
    <n v="7"/>
    <n v="25.58"/>
    <x v="17"/>
    <x v="1"/>
    <n v="124"/>
    <n v="4.29"/>
    <n v="186.13"/>
    <n v="0.31"/>
    <n v="3"/>
    <n v="0.94"/>
    <n v="423"/>
    <n v="6.86"/>
    <n v="0.31"/>
    <d v="2024-06-14T00:00:00"/>
    <n v="120.09"/>
    <n v="0.65"/>
    <n v="6886.8099999999995"/>
    <x v="1"/>
    <x v="2"/>
  </r>
  <r>
    <x v="1301"/>
    <x v="3"/>
    <n v="113"/>
    <n v="25"/>
    <n v="3"/>
    <n v="9"/>
    <n v="2.14"/>
    <x v="12"/>
    <x v="1"/>
    <n v="125"/>
    <n v="3.87"/>
    <n v="136.84"/>
    <n v="1.46"/>
    <n v="1"/>
    <n v="0.79"/>
    <n v="385"/>
    <n v="10.51"/>
    <n v="0.31"/>
    <d v="2024-03-10T00:00:00"/>
    <n v="73.42"/>
    <n v="0.59399999999999997"/>
    <n v="15462.92"/>
    <x v="0"/>
    <x v="1"/>
  </r>
  <r>
    <x v="1302"/>
    <x v="2"/>
    <n v="169"/>
    <n v="32"/>
    <n v="14"/>
    <n v="8"/>
    <n v="18.420000000000002"/>
    <x v="94"/>
    <x v="2"/>
    <n v="142"/>
    <n v="3.76"/>
    <n v="148.07"/>
    <n v="0.38"/>
    <n v="3"/>
    <n v="0.96"/>
    <n v="220"/>
    <n v="14.72"/>
    <n v="0.61"/>
    <d v="2024-03-21T00:00:00"/>
    <n v="72.14"/>
    <n v="0.81200000000000006"/>
    <n v="25023.829999999998"/>
    <x v="0"/>
    <x v="1"/>
  </r>
  <r>
    <x v="1303"/>
    <x v="1"/>
    <n v="265"/>
    <n v="49"/>
    <n v="9"/>
    <n v="8"/>
    <n v="37.25"/>
    <x v="32"/>
    <x v="3"/>
    <n v="177"/>
    <n v="1.77"/>
    <n v="107.51"/>
    <n v="0.22"/>
    <n v="0"/>
    <n v="0.92"/>
    <n v="393"/>
    <n v="14.92"/>
    <n v="0.4"/>
    <d v="2024-08-11T00:00:00"/>
    <n v="119.51"/>
    <n v="0.84099999999999997"/>
    <n v="28490.15"/>
    <x v="0"/>
    <x v="0"/>
  </r>
  <r>
    <x v="1304"/>
    <x v="2"/>
    <n v="308"/>
    <n v="69"/>
    <n v="8"/>
    <n v="8"/>
    <n v="25.99"/>
    <x v="92"/>
    <x v="2"/>
    <n v="155"/>
    <n v="0.6"/>
    <n v="55.19"/>
    <n v="0.35"/>
    <n v="9"/>
    <n v="0.95"/>
    <n v="505"/>
    <n v="2.0099999999999998"/>
    <n v="0.94"/>
    <d v="2024-11-23T00:00:00"/>
    <n v="293.70999999999998"/>
    <n v="0.59"/>
    <n v="16998.52"/>
    <x v="0"/>
    <x v="0"/>
  </r>
  <r>
    <x v="1305"/>
    <x v="3"/>
    <n v="433"/>
    <n v="82"/>
    <n v="8"/>
    <n v="9"/>
    <n v="12.97"/>
    <x v="32"/>
    <x v="0"/>
    <n v="30"/>
    <n v="1.23"/>
    <n v="183.73"/>
    <n v="1.91"/>
    <n v="4"/>
    <n v="0.91"/>
    <n v="911"/>
    <n v="8.75"/>
    <n v="0.6"/>
    <d v="2024-09-06T00:00:00"/>
    <n v="288.42"/>
    <n v="0.54800000000000004"/>
    <n v="79555.09"/>
    <x v="0"/>
    <x v="0"/>
  </r>
  <r>
    <x v="1306"/>
    <x v="0"/>
    <n v="228"/>
    <n v="41"/>
    <n v="7"/>
    <n v="2"/>
    <n v="17.420000000000002"/>
    <x v="79"/>
    <x v="0"/>
    <n v="12"/>
    <n v="2.0699999999999998"/>
    <n v="62.76"/>
    <n v="0.94"/>
    <n v="2"/>
    <n v="0.87"/>
    <n v="459"/>
    <n v="11.17"/>
    <n v="0.98"/>
    <d v="2024-11-28T00:00:00"/>
    <n v="243"/>
    <n v="0.78500000000000003"/>
    <n v="14309.279999999999"/>
    <x v="0"/>
    <x v="1"/>
  </r>
  <r>
    <x v="1307"/>
    <x v="4"/>
    <n v="145"/>
    <n v="24"/>
    <n v="13"/>
    <n v="4"/>
    <n v="43.29"/>
    <x v="38"/>
    <x v="3"/>
    <n v="55"/>
    <n v="4.87"/>
    <n v="150.54"/>
    <n v="0.19"/>
    <n v="8"/>
    <n v="0.73"/>
    <n v="350"/>
    <n v="3.62"/>
    <n v="0.79"/>
    <d v="2024-06-11T00:00:00"/>
    <n v="81.19"/>
    <n v="0.57299999999999995"/>
    <n v="21828.3"/>
    <x v="0"/>
    <x v="1"/>
  </r>
  <r>
    <x v="1308"/>
    <x v="0"/>
    <n v="254"/>
    <n v="22"/>
    <n v="6"/>
    <n v="4"/>
    <n v="26.75"/>
    <x v="81"/>
    <x v="3"/>
    <n v="99"/>
    <n v="4.6399999999999997"/>
    <n v="56.63"/>
    <n v="1.21"/>
    <n v="3"/>
    <n v="0.91"/>
    <n v="545"/>
    <n v="12.51"/>
    <n v="0.85"/>
    <d v="2024-03-30T00:00:00"/>
    <n v="231.54"/>
    <n v="0.73799999999999999"/>
    <n v="14384.02"/>
    <x v="0"/>
    <x v="0"/>
  </r>
  <r>
    <x v="1309"/>
    <x v="1"/>
    <n v="435"/>
    <n v="14"/>
    <n v="13"/>
    <n v="6"/>
    <n v="26.89"/>
    <x v="82"/>
    <x v="3"/>
    <n v="88"/>
    <n v="1.4"/>
    <n v="175.33"/>
    <n v="0.48"/>
    <n v="5"/>
    <n v="0.91"/>
    <n v="340"/>
    <n v="7.56"/>
    <n v="0.51"/>
    <d v="2024-12-28T00:00:00"/>
    <n v="14.46"/>
    <n v="0.63700000000000001"/>
    <n v="76268.55"/>
    <x v="0"/>
    <x v="0"/>
  </r>
  <r>
    <x v="1310"/>
    <x v="4"/>
    <n v="445"/>
    <n v="84"/>
    <n v="6"/>
    <n v="9"/>
    <n v="48.11"/>
    <x v="71"/>
    <x v="2"/>
    <n v="136"/>
    <n v="3.77"/>
    <n v="133.74"/>
    <n v="0.11"/>
    <n v="8"/>
    <n v="0.79"/>
    <n v="798"/>
    <n v="7.97"/>
    <n v="0.31"/>
    <d v="2024-10-14T00:00:00"/>
    <n v="26.34"/>
    <n v="0.55500000000000005"/>
    <n v="59514.3"/>
    <x v="0"/>
    <x v="0"/>
  </r>
  <r>
    <x v="1311"/>
    <x v="1"/>
    <n v="481"/>
    <n v="83"/>
    <n v="5"/>
    <n v="2"/>
    <n v="16.72"/>
    <x v="95"/>
    <x v="3"/>
    <n v="62"/>
    <n v="3.11"/>
    <n v="132.11000000000001"/>
    <n v="1.54"/>
    <n v="1"/>
    <n v="0.92"/>
    <n v="898"/>
    <n v="4.84"/>
    <n v="0.75"/>
    <d v="2024-12-21T00:00:00"/>
    <n v="252.36"/>
    <n v="0.625"/>
    <n v="63544.91"/>
    <x v="0"/>
    <x v="0"/>
  </r>
  <r>
    <x v="1312"/>
    <x v="3"/>
    <n v="141"/>
    <n v="61"/>
    <n v="12"/>
    <n v="6"/>
    <n v="24.5"/>
    <x v="22"/>
    <x v="3"/>
    <n v="157"/>
    <n v="0.72"/>
    <n v="28.5"/>
    <n v="0.39"/>
    <n v="6"/>
    <n v="0.87"/>
    <n v="486"/>
    <n v="5.2"/>
    <n v="0.53"/>
    <d v="2024-11-10T00:00:00"/>
    <n v="173.63"/>
    <n v="0.59"/>
    <n v="4018.5"/>
    <x v="0"/>
    <x v="1"/>
  </r>
  <r>
    <x v="1313"/>
    <x v="4"/>
    <n v="157"/>
    <n v="86"/>
    <n v="10"/>
    <n v="6"/>
    <n v="40.770000000000003"/>
    <x v="30"/>
    <x v="2"/>
    <n v="30"/>
    <n v="2.17"/>
    <n v="89.7"/>
    <n v="1.89"/>
    <n v="2"/>
    <n v="0.87"/>
    <n v="151"/>
    <n v="2.1800000000000002"/>
    <n v="0.96"/>
    <d v="2024-07-01T00:00:00"/>
    <n v="118.26"/>
    <n v="0.56599999999999995"/>
    <n v="14082.9"/>
    <x v="0"/>
    <x v="1"/>
  </r>
  <r>
    <x v="1314"/>
    <x v="1"/>
    <n v="134"/>
    <n v="50"/>
    <n v="9"/>
    <n v="6"/>
    <n v="38.19"/>
    <x v="59"/>
    <x v="0"/>
    <n v="99"/>
    <n v="2.69"/>
    <n v="109.73"/>
    <n v="1.23"/>
    <n v="0"/>
    <n v="0.81"/>
    <n v="59"/>
    <n v="14.04"/>
    <n v="0.35"/>
    <d v="2024-04-24T00:00:00"/>
    <n v="224.73"/>
    <n v="0.69599999999999995"/>
    <n v="14703.82"/>
    <x v="0"/>
    <x v="1"/>
  </r>
  <r>
    <x v="1315"/>
    <x v="3"/>
    <n v="439"/>
    <n v="62"/>
    <n v="11"/>
    <n v="9"/>
    <n v="14.02"/>
    <x v="91"/>
    <x v="0"/>
    <n v="122"/>
    <n v="3.5"/>
    <n v="65.87"/>
    <n v="0.27"/>
    <n v="8"/>
    <n v="0.74"/>
    <n v="90"/>
    <n v="6.35"/>
    <n v="0.7"/>
    <d v="2024-12-06T00:00:00"/>
    <n v="43.17"/>
    <n v="0.58599999999999997"/>
    <n v="28916.93"/>
    <x v="0"/>
    <x v="0"/>
  </r>
  <r>
    <x v="1316"/>
    <x v="0"/>
    <n v="181"/>
    <n v="59"/>
    <n v="3"/>
    <n v="5"/>
    <n v="8.4"/>
    <x v="35"/>
    <x v="1"/>
    <n v="60"/>
    <n v="1.83"/>
    <n v="177.39"/>
    <n v="0.51"/>
    <n v="8"/>
    <n v="0.77"/>
    <n v="419"/>
    <n v="3.27"/>
    <n v="0.89"/>
    <d v="2024-10-28T00:00:00"/>
    <n v="93.14"/>
    <n v="0.56499999999999995"/>
    <n v="32107.589999999997"/>
    <x v="0"/>
    <x v="1"/>
  </r>
  <r>
    <x v="1317"/>
    <x v="3"/>
    <n v="220"/>
    <n v="24"/>
    <n v="9"/>
    <n v="6"/>
    <n v="35.33"/>
    <x v="29"/>
    <x v="0"/>
    <n v="162"/>
    <n v="4.7"/>
    <n v="169.16"/>
    <n v="1.26"/>
    <n v="3"/>
    <n v="0.93"/>
    <n v="175"/>
    <n v="2.99"/>
    <n v="0.52"/>
    <d v="2024-03-30T00:00:00"/>
    <n v="221.01"/>
    <n v="0.54400000000000004"/>
    <n v="37215.199999999997"/>
    <x v="0"/>
    <x v="1"/>
  </r>
  <r>
    <x v="1318"/>
    <x v="2"/>
    <n v="253"/>
    <n v="16"/>
    <n v="12"/>
    <n v="7"/>
    <n v="13.63"/>
    <x v="45"/>
    <x v="3"/>
    <n v="77"/>
    <n v="2.5299999999999998"/>
    <n v="103.79"/>
    <n v="0.74"/>
    <n v="8"/>
    <n v="0.78"/>
    <n v="834"/>
    <n v="6.7"/>
    <n v="0.96"/>
    <d v="2024-07-12T00:00:00"/>
    <n v="70.08"/>
    <n v="0.60299999999999998"/>
    <n v="26258.870000000003"/>
    <x v="0"/>
    <x v="0"/>
  </r>
  <r>
    <x v="1319"/>
    <x v="3"/>
    <n v="47"/>
    <n v="49"/>
    <n v="6"/>
    <n v="3"/>
    <n v="46.21"/>
    <x v="62"/>
    <x v="0"/>
    <n v="125"/>
    <n v="1.62"/>
    <n v="74.61"/>
    <n v="1.1100000000000001"/>
    <n v="6"/>
    <n v="0.7"/>
    <n v="432"/>
    <n v="9.85"/>
    <n v="0.26"/>
    <d v="2024-06-06T00:00:00"/>
    <n v="184.19"/>
    <n v="0.49199999999999999"/>
    <n v="3506.67"/>
    <x v="1"/>
    <x v="2"/>
  </r>
  <r>
    <x v="1320"/>
    <x v="3"/>
    <n v="30"/>
    <n v="37"/>
    <n v="9"/>
    <n v="7"/>
    <n v="7.33"/>
    <x v="70"/>
    <x v="2"/>
    <n v="147"/>
    <n v="1.92"/>
    <n v="162.29"/>
    <n v="1.62"/>
    <n v="3"/>
    <n v="1"/>
    <n v="376"/>
    <n v="11.89"/>
    <n v="0.67"/>
    <d v="2024-12-18T00:00:00"/>
    <n v="139.82"/>
    <n v="0.67100000000000004"/>
    <n v="4868.7"/>
    <x v="1"/>
    <x v="2"/>
  </r>
  <r>
    <x v="1321"/>
    <x v="2"/>
    <n v="225"/>
    <n v="41"/>
    <n v="14"/>
    <n v="7"/>
    <n v="16.600000000000001"/>
    <x v="22"/>
    <x v="0"/>
    <n v="92"/>
    <n v="3.88"/>
    <n v="47.41"/>
    <n v="1.61"/>
    <n v="1"/>
    <n v="0.76"/>
    <n v="499"/>
    <n v="13.94"/>
    <n v="0.82"/>
    <d v="2024-05-30T00:00:00"/>
    <n v="68.69"/>
    <n v="0.72099999999999997"/>
    <n v="10667.25"/>
    <x v="0"/>
    <x v="1"/>
  </r>
  <r>
    <x v="1322"/>
    <x v="1"/>
    <n v="186"/>
    <n v="24"/>
    <n v="3"/>
    <n v="4"/>
    <n v="3.68"/>
    <x v="41"/>
    <x v="0"/>
    <n v="104"/>
    <n v="3.38"/>
    <n v="23.59"/>
    <n v="1.43"/>
    <n v="4"/>
    <n v="0.9"/>
    <n v="572"/>
    <n v="9.9"/>
    <n v="0.36"/>
    <d v="2024-03-06T00:00:00"/>
    <n v="267.63"/>
    <n v="0.56100000000000005"/>
    <n v="4387.74"/>
    <x v="0"/>
    <x v="1"/>
  </r>
  <r>
    <x v="1323"/>
    <x v="1"/>
    <n v="266"/>
    <n v="94"/>
    <n v="7"/>
    <n v="5"/>
    <n v="35.46"/>
    <x v="94"/>
    <x v="1"/>
    <n v="146"/>
    <n v="3.84"/>
    <n v="18.68"/>
    <n v="1.78"/>
    <n v="7"/>
    <n v="0.98"/>
    <n v="880"/>
    <n v="6.89"/>
    <n v="0.25"/>
    <d v="2024-03-31T00:00:00"/>
    <n v="136.30000000000001"/>
    <n v="0.42"/>
    <n v="4968.88"/>
    <x v="0"/>
    <x v="0"/>
  </r>
  <r>
    <x v="1324"/>
    <x v="3"/>
    <n v="66"/>
    <n v="79"/>
    <n v="5"/>
    <n v="9"/>
    <n v="44.67"/>
    <x v="9"/>
    <x v="1"/>
    <n v="38"/>
    <n v="1.82"/>
    <n v="17.350000000000001"/>
    <n v="0.48"/>
    <n v="9"/>
    <n v="0.88"/>
    <n v="756"/>
    <n v="6.91"/>
    <n v="0.26"/>
    <d v="2024-01-01T00:00:00"/>
    <n v="183.66"/>
    <n v="0.49199999999999999"/>
    <n v="1145.1000000000001"/>
    <x v="1"/>
    <x v="2"/>
  </r>
  <r>
    <x v="1325"/>
    <x v="2"/>
    <n v="265"/>
    <n v="74"/>
    <n v="7"/>
    <n v="6"/>
    <n v="32.159999999999997"/>
    <x v="39"/>
    <x v="3"/>
    <n v="174"/>
    <n v="1.97"/>
    <n v="102.89"/>
    <n v="0.44"/>
    <n v="9"/>
    <n v="0.94"/>
    <n v="991"/>
    <n v="9.0399999999999991"/>
    <n v="0.46"/>
    <d v="2024-12-25T00:00:00"/>
    <n v="83.38"/>
    <n v="0.57699999999999996"/>
    <n v="27265.85"/>
    <x v="0"/>
    <x v="0"/>
  </r>
  <r>
    <x v="1326"/>
    <x v="2"/>
    <n v="146"/>
    <n v="13"/>
    <n v="6"/>
    <n v="4"/>
    <n v="46.95"/>
    <x v="31"/>
    <x v="2"/>
    <n v="119"/>
    <n v="2.29"/>
    <n v="58.51"/>
    <n v="1.62"/>
    <n v="5"/>
    <n v="0.99"/>
    <n v="581"/>
    <n v="8.5299999999999994"/>
    <n v="0.38"/>
    <d v="2024-10-20T00:00:00"/>
    <n v="110.57"/>
    <n v="0.52600000000000002"/>
    <n v="8542.4599999999991"/>
    <x v="0"/>
    <x v="1"/>
  </r>
  <r>
    <x v="1327"/>
    <x v="0"/>
    <n v="166"/>
    <n v="20"/>
    <n v="4"/>
    <n v="2"/>
    <n v="7.3"/>
    <x v="66"/>
    <x v="3"/>
    <n v="80"/>
    <n v="1.35"/>
    <n v="141.16999999999999"/>
    <n v="0.71"/>
    <n v="4"/>
    <n v="0.96"/>
    <n v="958"/>
    <n v="9.9700000000000006"/>
    <n v="0.38"/>
    <d v="2024-07-19T00:00:00"/>
    <n v="24.21"/>
    <n v="0.65"/>
    <n v="23434.219999999998"/>
    <x v="0"/>
    <x v="1"/>
  </r>
  <r>
    <x v="1328"/>
    <x v="1"/>
    <n v="137"/>
    <n v="35"/>
    <n v="13"/>
    <n v="2"/>
    <n v="5.3"/>
    <x v="44"/>
    <x v="2"/>
    <n v="47"/>
    <n v="3.61"/>
    <n v="134.24"/>
    <n v="1.07"/>
    <n v="3"/>
    <n v="0.87"/>
    <n v="322"/>
    <n v="8.0500000000000007"/>
    <n v="0.56999999999999995"/>
    <d v="2024-10-17T00:00:00"/>
    <n v="150.13"/>
    <n v="0.628"/>
    <n v="18390.88"/>
    <x v="0"/>
    <x v="1"/>
  </r>
  <r>
    <x v="1329"/>
    <x v="4"/>
    <n v="418"/>
    <n v="70"/>
    <n v="6"/>
    <n v="9"/>
    <n v="42.08"/>
    <x v="21"/>
    <x v="2"/>
    <n v="136"/>
    <n v="1.98"/>
    <n v="112.98"/>
    <n v="1.51"/>
    <n v="5"/>
    <n v="0.81"/>
    <n v="551"/>
    <n v="1.83"/>
    <n v="0.27"/>
    <d v="2024-01-17T00:00:00"/>
    <n v="110.01"/>
    <n v="0.38900000000000001"/>
    <n v="47225.64"/>
    <x v="0"/>
    <x v="0"/>
  </r>
  <r>
    <x v="1330"/>
    <x v="1"/>
    <n v="401"/>
    <n v="46"/>
    <n v="5"/>
    <n v="4"/>
    <n v="42.92"/>
    <x v="27"/>
    <x v="1"/>
    <n v="81"/>
    <n v="1.97"/>
    <n v="77.040000000000006"/>
    <n v="0.85"/>
    <n v="2"/>
    <n v="0.84"/>
    <n v="796"/>
    <n v="8.01"/>
    <n v="1"/>
    <d v="2024-04-03T00:00:00"/>
    <n v="105.53"/>
    <n v="0.75"/>
    <n v="30893.040000000001"/>
    <x v="0"/>
    <x v="0"/>
  </r>
  <r>
    <x v="1331"/>
    <x v="1"/>
    <n v="431"/>
    <n v="32"/>
    <n v="3"/>
    <n v="3"/>
    <n v="41.72"/>
    <x v="86"/>
    <x v="0"/>
    <n v="68"/>
    <n v="1.71"/>
    <n v="171.59"/>
    <n v="0.35"/>
    <n v="1"/>
    <n v="0.95"/>
    <n v="536"/>
    <n v="1.32"/>
    <n v="0.76"/>
    <d v="2024-11-04T00:00:00"/>
    <n v="268.08"/>
    <n v="0.70499999999999996"/>
    <n v="73955.290000000008"/>
    <x v="0"/>
    <x v="0"/>
  </r>
  <r>
    <x v="1332"/>
    <x v="0"/>
    <n v="171"/>
    <n v="94"/>
    <n v="14"/>
    <n v="9"/>
    <n v="40.15"/>
    <x v="10"/>
    <x v="0"/>
    <n v="37"/>
    <n v="2.54"/>
    <n v="144.84"/>
    <n v="1.39"/>
    <n v="0"/>
    <n v="0.96"/>
    <n v="977"/>
    <n v="3.53"/>
    <n v="0.22"/>
    <d v="2024-06-11T00:00:00"/>
    <n v="214.12"/>
    <n v="0.54400000000000004"/>
    <n v="24767.64"/>
    <x v="0"/>
    <x v="1"/>
  </r>
  <r>
    <x v="1333"/>
    <x v="4"/>
    <n v="91"/>
    <n v="49"/>
    <n v="12"/>
    <n v="4"/>
    <n v="18.75"/>
    <x v="14"/>
    <x v="1"/>
    <n v="165"/>
    <n v="3.97"/>
    <n v="61.59"/>
    <n v="1.65"/>
    <n v="8"/>
    <n v="0.95"/>
    <n v="276"/>
    <n v="6.42"/>
    <n v="0.75"/>
    <d v="2024-11-09T00:00:00"/>
    <n v="142.61000000000001"/>
    <n v="0.501"/>
    <n v="5604.6900000000005"/>
    <x v="0"/>
    <x v="2"/>
  </r>
  <r>
    <x v="1334"/>
    <x v="0"/>
    <n v="382"/>
    <n v="86"/>
    <n v="10"/>
    <n v="4"/>
    <n v="11.66"/>
    <x v="45"/>
    <x v="3"/>
    <n v="55"/>
    <n v="4.26"/>
    <n v="105.32"/>
    <n v="0.12"/>
    <n v="0"/>
    <n v="0.88"/>
    <n v="276"/>
    <n v="8.7200000000000006"/>
    <n v="0.83"/>
    <d v="2024-04-23T00:00:00"/>
    <n v="66.650000000000006"/>
    <n v="0.84599999999999997"/>
    <n v="40232.239999999998"/>
    <x v="0"/>
    <x v="0"/>
  </r>
  <r>
    <x v="1335"/>
    <x v="4"/>
    <n v="156"/>
    <n v="32"/>
    <n v="7"/>
    <n v="5"/>
    <n v="46.51"/>
    <x v="50"/>
    <x v="0"/>
    <n v="80"/>
    <n v="4.12"/>
    <n v="39.69"/>
    <n v="1.17"/>
    <n v="3"/>
    <n v="0.84"/>
    <n v="915"/>
    <n v="3.59"/>
    <n v="0.35"/>
    <d v="2024-11-23T00:00:00"/>
    <n v="292.24"/>
    <n v="0.50900000000000001"/>
    <n v="6191.6399999999994"/>
    <x v="0"/>
    <x v="1"/>
  </r>
  <r>
    <x v="1336"/>
    <x v="3"/>
    <n v="194"/>
    <n v="25"/>
    <n v="6"/>
    <n v="9"/>
    <n v="16.04"/>
    <x v="89"/>
    <x v="3"/>
    <n v="47"/>
    <n v="3.3"/>
    <n v="72.47"/>
    <n v="0.99"/>
    <n v="5"/>
    <n v="0.79"/>
    <n v="390"/>
    <n v="4.87"/>
    <n v="0.87"/>
    <d v="2024-10-16T00:00:00"/>
    <n v="31.68"/>
    <n v="0.59799999999999998"/>
    <n v="14059.18"/>
    <x v="0"/>
    <x v="1"/>
  </r>
  <r>
    <x v="1337"/>
    <x v="4"/>
    <n v="308"/>
    <n v="70"/>
    <n v="12"/>
    <n v="2"/>
    <n v="20.52"/>
    <x v="44"/>
    <x v="0"/>
    <n v="126"/>
    <n v="1.76"/>
    <n v="199.46"/>
    <n v="0.59"/>
    <n v="8"/>
    <n v="0.7"/>
    <n v="321"/>
    <n v="6.24"/>
    <n v="0.69"/>
    <d v="2024-02-23T00:00:00"/>
    <n v="49.47"/>
    <n v="0.54200000000000004"/>
    <n v="61433.68"/>
    <x v="0"/>
    <x v="0"/>
  </r>
  <r>
    <x v="1338"/>
    <x v="0"/>
    <n v="465"/>
    <n v="77"/>
    <n v="14"/>
    <n v="2"/>
    <n v="35.28"/>
    <x v="57"/>
    <x v="3"/>
    <n v="117"/>
    <n v="3.81"/>
    <n v="52.53"/>
    <n v="0.41"/>
    <n v="3"/>
    <n v="0.93"/>
    <n v="840"/>
    <n v="3.76"/>
    <n v="0.86"/>
    <d v="2024-09-11T00:00:00"/>
    <n v="88.39"/>
    <n v="0.70699999999999996"/>
    <n v="24426.45"/>
    <x v="0"/>
    <x v="0"/>
  </r>
  <r>
    <x v="1339"/>
    <x v="1"/>
    <n v="38"/>
    <n v="89"/>
    <n v="7"/>
    <n v="6"/>
    <n v="15.37"/>
    <x v="98"/>
    <x v="2"/>
    <n v="155"/>
    <n v="0.68"/>
    <n v="142.68"/>
    <n v="0.46"/>
    <n v="6"/>
    <n v="0.78"/>
    <n v="444"/>
    <n v="14.98"/>
    <n v="0.77"/>
    <d v="2024-03-13T00:00:00"/>
    <n v="286.81"/>
    <n v="0.74399999999999999"/>
    <n v="5421.84"/>
    <x v="1"/>
    <x v="2"/>
  </r>
  <r>
    <x v="1340"/>
    <x v="4"/>
    <n v="214"/>
    <n v="40"/>
    <n v="6"/>
    <n v="7"/>
    <n v="41.14"/>
    <x v="16"/>
    <x v="2"/>
    <n v="104"/>
    <n v="4.09"/>
    <n v="55.3"/>
    <n v="1.48"/>
    <n v="6"/>
    <n v="0.8"/>
    <n v="173"/>
    <n v="12.27"/>
    <n v="0.76"/>
    <d v="2024-06-18T00:00:00"/>
    <n v="90.88"/>
    <n v="0.60799999999999998"/>
    <n v="11834.199999999999"/>
    <x v="0"/>
    <x v="1"/>
  </r>
  <r>
    <x v="1341"/>
    <x v="4"/>
    <n v="349"/>
    <n v="62"/>
    <n v="5"/>
    <n v="9"/>
    <n v="4.43"/>
    <x v="72"/>
    <x v="0"/>
    <n v="72"/>
    <n v="4.01"/>
    <n v="188.25"/>
    <n v="1.1200000000000001"/>
    <n v="5"/>
    <n v="0.95"/>
    <n v="959"/>
    <n v="12.35"/>
    <n v="0.33"/>
    <d v="2024-02-09T00:00:00"/>
    <n v="152.51"/>
    <n v="0.60899999999999999"/>
    <n v="65699.25"/>
    <x v="0"/>
    <x v="0"/>
  </r>
  <r>
    <x v="1342"/>
    <x v="2"/>
    <n v="443"/>
    <n v="34"/>
    <n v="7"/>
    <n v="4"/>
    <n v="39.770000000000003"/>
    <x v="11"/>
    <x v="3"/>
    <n v="112"/>
    <n v="3.52"/>
    <n v="68.930000000000007"/>
    <n v="1.96"/>
    <n v="8"/>
    <n v="0.72"/>
    <n v="244"/>
    <n v="8.9600000000000009"/>
    <n v="0.45"/>
    <d v="2024-05-01T00:00:00"/>
    <n v="230.74"/>
    <n v="0.39700000000000002"/>
    <n v="30535.99"/>
    <x v="0"/>
    <x v="0"/>
  </r>
  <r>
    <x v="1343"/>
    <x v="1"/>
    <n v="194"/>
    <n v="53"/>
    <n v="6"/>
    <n v="9"/>
    <n v="30.49"/>
    <x v="83"/>
    <x v="3"/>
    <n v="14"/>
    <n v="0.94"/>
    <n v="75.87"/>
    <n v="0.56000000000000005"/>
    <n v="9"/>
    <n v="0.98"/>
    <n v="632"/>
    <n v="14.46"/>
    <n v="0.62"/>
    <d v="2024-06-26T00:00:00"/>
    <n v="279.45999999999998"/>
    <n v="0.67700000000000005"/>
    <n v="14718.78"/>
    <x v="0"/>
    <x v="1"/>
  </r>
  <r>
    <x v="1344"/>
    <x v="3"/>
    <n v="468"/>
    <n v="21"/>
    <n v="3"/>
    <n v="4"/>
    <n v="29.08"/>
    <x v="32"/>
    <x v="2"/>
    <n v="166"/>
    <n v="4.99"/>
    <n v="122.83"/>
    <n v="1.92"/>
    <n v="6"/>
    <n v="0.7"/>
    <n v="793"/>
    <n v="11.25"/>
    <n v="0.28999999999999998"/>
    <d v="2024-06-12T00:00:00"/>
    <n v="185.48"/>
    <n v="0.436"/>
    <n v="57484.44"/>
    <x v="0"/>
    <x v="0"/>
  </r>
  <r>
    <x v="1345"/>
    <x v="0"/>
    <n v="432"/>
    <n v="99"/>
    <n v="14"/>
    <n v="3"/>
    <n v="23.46"/>
    <x v="27"/>
    <x v="3"/>
    <n v="116"/>
    <n v="3.9"/>
    <n v="121.74"/>
    <n v="1.08"/>
    <n v="2"/>
    <n v="0.98"/>
    <n v="222"/>
    <n v="5.63"/>
    <n v="0.57999999999999996"/>
    <d v="2024-03-26T00:00:00"/>
    <n v="121.44"/>
    <n v="0.63900000000000001"/>
    <n v="52591.68"/>
    <x v="0"/>
    <x v="0"/>
  </r>
  <r>
    <x v="1346"/>
    <x v="3"/>
    <n v="453"/>
    <n v="18"/>
    <n v="5"/>
    <n v="9"/>
    <n v="14.58"/>
    <x v="0"/>
    <x v="1"/>
    <n v="151"/>
    <n v="3.81"/>
    <n v="120.02"/>
    <n v="0.38"/>
    <n v="5"/>
    <n v="0.84"/>
    <n v="252"/>
    <n v="9.5500000000000007"/>
    <n v="0.56000000000000005"/>
    <d v="2024-11-21T00:00:00"/>
    <n v="295.8"/>
    <n v="0.66900000000000004"/>
    <n v="54369.06"/>
    <x v="0"/>
    <x v="0"/>
  </r>
  <r>
    <x v="1347"/>
    <x v="1"/>
    <n v="373"/>
    <n v="21"/>
    <n v="12"/>
    <n v="8"/>
    <n v="23.74"/>
    <x v="49"/>
    <x v="3"/>
    <n v="67"/>
    <n v="0.79"/>
    <n v="118.92"/>
    <n v="0.38"/>
    <n v="6"/>
    <n v="0.73"/>
    <n v="82"/>
    <n v="8.61"/>
    <n v="0.39"/>
    <d v="2024-02-15T00:00:00"/>
    <n v="17.59"/>
    <n v="0.58099999999999996"/>
    <n v="44357.16"/>
    <x v="0"/>
    <x v="0"/>
  </r>
  <r>
    <x v="1348"/>
    <x v="4"/>
    <n v="160"/>
    <n v="78"/>
    <n v="12"/>
    <n v="8"/>
    <n v="23.05"/>
    <x v="32"/>
    <x v="2"/>
    <n v="155"/>
    <n v="2.29"/>
    <n v="69.319999999999993"/>
    <n v="1.26"/>
    <n v="6"/>
    <n v="0.9"/>
    <n v="260"/>
    <n v="9.1199999999999992"/>
    <n v="0.36"/>
    <d v="2024-12-28T00:00:00"/>
    <n v="251.33"/>
    <n v="0.52800000000000002"/>
    <n v="11091.199999999999"/>
    <x v="0"/>
    <x v="1"/>
  </r>
  <r>
    <x v="1349"/>
    <x v="4"/>
    <n v="265"/>
    <n v="63"/>
    <n v="10"/>
    <n v="2"/>
    <n v="29.6"/>
    <x v="92"/>
    <x v="1"/>
    <n v="16"/>
    <n v="0.89"/>
    <n v="92.54"/>
    <n v="1.68"/>
    <n v="5"/>
    <n v="0.97"/>
    <n v="862"/>
    <n v="12.45"/>
    <n v="0.4"/>
    <d v="2024-12-09T00:00:00"/>
    <n v="90.45"/>
    <n v="0.57199999999999995"/>
    <n v="24523.100000000002"/>
    <x v="0"/>
    <x v="0"/>
  </r>
  <r>
    <x v="1350"/>
    <x v="1"/>
    <n v="404"/>
    <n v="63"/>
    <n v="9"/>
    <n v="3"/>
    <n v="14.8"/>
    <x v="60"/>
    <x v="1"/>
    <n v="96"/>
    <n v="2.12"/>
    <n v="122.75"/>
    <n v="1.52"/>
    <n v="2"/>
    <n v="0.83"/>
    <n v="743"/>
    <n v="8.1300000000000008"/>
    <n v="0.68"/>
    <d v="2024-11-23T00:00:00"/>
    <n v="247.06"/>
    <n v="0.61799999999999999"/>
    <n v="49591"/>
    <x v="0"/>
    <x v="0"/>
  </r>
  <r>
    <x v="1351"/>
    <x v="4"/>
    <n v="437"/>
    <n v="37"/>
    <n v="4"/>
    <n v="5"/>
    <n v="4.8"/>
    <x v="62"/>
    <x v="3"/>
    <n v="106"/>
    <n v="3.07"/>
    <n v="137.54"/>
    <n v="1.35"/>
    <n v="5"/>
    <n v="0.91"/>
    <n v="802"/>
    <n v="11.2"/>
    <n v="0.53"/>
    <d v="2024-06-20T00:00:00"/>
    <n v="57.03"/>
    <n v="0.60199999999999998"/>
    <n v="60104.979999999996"/>
    <x v="0"/>
    <x v="0"/>
  </r>
  <r>
    <x v="1352"/>
    <x v="4"/>
    <n v="112"/>
    <n v="65"/>
    <n v="3"/>
    <n v="6"/>
    <n v="8.11"/>
    <x v="85"/>
    <x v="2"/>
    <n v="54"/>
    <n v="4.45"/>
    <n v="58.09"/>
    <n v="0.43"/>
    <n v="1"/>
    <n v="0.99"/>
    <n v="100"/>
    <n v="4.51"/>
    <n v="0.53"/>
    <d v="2024-08-16T00:00:00"/>
    <n v="110.58"/>
    <n v="0.70099999999999996"/>
    <n v="6506.08"/>
    <x v="0"/>
    <x v="1"/>
  </r>
  <r>
    <x v="1353"/>
    <x v="4"/>
    <n v="451"/>
    <n v="78"/>
    <n v="5"/>
    <n v="3"/>
    <n v="35.26"/>
    <x v="2"/>
    <x v="2"/>
    <n v="25"/>
    <n v="1.77"/>
    <n v="143.28"/>
    <n v="0.31"/>
    <n v="9"/>
    <n v="0.77"/>
    <n v="932"/>
    <n v="14.05"/>
    <n v="0.35"/>
    <d v="2024-01-06T00:00:00"/>
    <n v="26.23"/>
    <n v="0.6"/>
    <n v="64619.28"/>
    <x v="0"/>
    <x v="0"/>
  </r>
  <r>
    <x v="1354"/>
    <x v="0"/>
    <n v="258"/>
    <n v="86"/>
    <n v="7"/>
    <n v="2"/>
    <n v="2.1"/>
    <x v="36"/>
    <x v="2"/>
    <n v="73"/>
    <n v="3.31"/>
    <n v="185.42"/>
    <n v="0.1"/>
    <n v="0"/>
    <n v="0.95"/>
    <n v="941"/>
    <n v="2.21"/>
    <n v="0.83"/>
    <d v="2024-05-15T00:00:00"/>
    <n v="67.89"/>
    <n v="0.77500000000000002"/>
    <n v="47838.359999999993"/>
    <x v="0"/>
    <x v="0"/>
  </r>
  <r>
    <x v="1355"/>
    <x v="0"/>
    <n v="224"/>
    <n v="67"/>
    <n v="12"/>
    <n v="5"/>
    <n v="42.97"/>
    <x v="63"/>
    <x v="1"/>
    <n v="46"/>
    <n v="1.24"/>
    <n v="154.01"/>
    <n v="0.28999999999999998"/>
    <n v="7"/>
    <n v="0.79"/>
    <n v="904"/>
    <n v="14.91"/>
    <n v="0.76"/>
    <d v="2024-04-17T00:00:00"/>
    <n v="184.81"/>
    <n v="0.74"/>
    <n v="34498.239999999998"/>
    <x v="0"/>
    <x v="1"/>
  </r>
  <r>
    <x v="1356"/>
    <x v="2"/>
    <n v="67"/>
    <n v="87"/>
    <n v="13"/>
    <n v="4"/>
    <n v="35.03"/>
    <x v="65"/>
    <x v="2"/>
    <n v="162"/>
    <n v="2.09"/>
    <n v="26"/>
    <n v="1.56"/>
    <n v="2"/>
    <n v="0.83"/>
    <n v="456"/>
    <n v="9.86"/>
    <n v="0.54"/>
    <d v="2024-05-07T00:00:00"/>
    <n v="230.84"/>
    <n v="0.60899999999999999"/>
    <n v="1742"/>
    <x v="1"/>
    <x v="2"/>
  </r>
  <r>
    <x v="1357"/>
    <x v="3"/>
    <n v="452"/>
    <n v="84"/>
    <n v="14"/>
    <n v="5"/>
    <n v="38.64"/>
    <x v="43"/>
    <x v="1"/>
    <n v="18"/>
    <n v="4.76"/>
    <n v="99.13"/>
    <n v="1.8"/>
    <n v="7"/>
    <n v="0.78"/>
    <n v="590"/>
    <n v="7.58"/>
    <n v="0.31"/>
    <d v="2024-12-20T00:00:00"/>
    <n v="274.26"/>
    <n v="0.39900000000000002"/>
    <n v="44806.759999999995"/>
    <x v="0"/>
    <x v="0"/>
  </r>
  <r>
    <x v="1358"/>
    <x v="1"/>
    <n v="264"/>
    <n v="51"/>
    <n v="3"/>
    <n v="7"/>
    <n v="41.96"/>
    <x v="33"/>
    <x v="1"/>
    <n v="165"/>
    <n v="3.86"/>
    <n v="92.7"/>
    <n v="0.56000000000000005"/>
    <n v="2"/>
    <n v="0.83"/>
    <n v="567"/>
    <n v="5.35"/>
    <n v="0.77"/>
    <d v="2024-02-04T00:00:00"/>
    <n v="44.71"/>
    <n v="0.69499999999999995"/>
    <n v="24472.799999999999"/>
    <x v="0"/>
    <x v="0"/>
  </r>
  <r>
    <x v="1359"/>
    <x v="1"/>
    <n v="339"/>
    <n v="47"/>
    <n v="5"/>
    <n v="9"/>
    <n v="7.01"/>
    <x v="53"/>
    <x v="0"/>
    <n v="146"/>
    <n v="2.96"/>
    <n v="73.94"/>
    <n v="1.61"/>
    <n v="1"/>
    <n v="0.7"/>
    <n v="984"/>
    <n v="6.67"/>
    <n v="0.92"/>
    <d v="2024-06-28T00:00:00"/>
    <n v="50.77"/>
    <n v="0.63200000000000001"/>
    <n v="25065.66"/>
    <x v="0"/>
    <x v="0"/>
  </r>
  <r>
    <x v="1360"/>
    <x v="1"/>
    <n v="336"/>
    <n v="77"/>
    <n v="5"/>
    <n v="3"/>
    <n v="41.3"/>
    <x v="83"/>
    <x v="3"/>
    <n v="149"/>
    <n v="1.63"/>
    <n v="103.35"/>
    <n v="0.48"/>
    <n v="7"/>
    <n v="0.79"/>
    <n v="182"/>
    <n v="11.95"/>
    <n v="0.34"/>
    <d v="2024-05-11T00:00:00"/>
    <n v="282.24"/>
    <n v="0.59699999999999998"/>
    <n v="34725.599999999999"/>
    <x v="0"/>
    <x v="0"/>
  </r>
  <r>
    <x v="1361"/>
    <x v="2"/>
    <n v="432"/>
    <n v="62"/>
    <n v="7"/>
    <n v="2"/>
    <n v="25.73"/>
    <x v="71"/>
    <x v="2"/>
    <n v="155"/>
    <n v="2.21"/>
    <n v="93.53"/>
    <n v="0.56999999999999995"/>
    <n v="2"/>
    <n v="0.83"/>
    <n v="145"/>
    <n v="2.95"/>
    <n v="0.68"/>
    <d v="2024-02-25T00:00:00"/>
    <n v="232.13"/>
    <n v="0.64400000000000002"/>
    <n v="40404.959999999999"/>
    <x v="0"/>
    <x v="0"/>
  </r>
  <r>
    <x v="1362"/>
    <x v="0"/>
    <n v="314"/>
    <n v="42"/>
    <n v="5"/>
    <n v="3"/>
    <n v="44.39"/>
    <x v="5"/>
    <x v="1"/>
    <n v="99"/>
    <n v="1.21"/>
    <n v="11.17"/>
    <n v="0.53"/>
    <n v="7"/>
    <n v="0.89"/>
    <n v="473"/>
    <n v="4.54"/>
    <n v="0.54"/>
    <d v="2024-01-01T00:00:00"/>
    <n v="166.53"/>
    <n v="0.55400000000000005"/>
    <n v="3507.38"/>
    <x v="0"/>
    <x v="0"/>
  </r>
  <r>
    <x v="1363"/>
    <x v="2"/>
    <n v="147"/>
    <n v="80"/>
    <n v="11"/>
    <n v="4"/>
    <n v="44.44"/>
    <x v="79"/>
    <x v="3"/>
    <n v="83"/>
    <n v="2.09"/>
    <n v="54.95"/>
    <n v="0.2"/>
    <n v="1"/>
    <n v="0.89"/>
    <n v="907"/>
    <n v="2.73"/>
    <n v="0.27"/>
    <d v="2024-01-25T00:00:00"/>
    <n v="148.25"/>
    <n v="0.628"/>
    <n v="8077.6500000000005"/>
    <x v="0"/>
    <x v="1"/>
  </r>
  <r>
    <x v="1364"/>
    <x v="1"/>
    <n v="363"/>
    <n v="65"/>
    <n v="3"/>
    <n v="8"/>
    <n v="2.1800000000000002"/>
    <x v="95"/>
    <x v="1"/>
    <n v="134"/>
    <n v="1.18"/>
    <n v="50.62"/>
    <n v="0.47"/>
    <n v="3"/>
    <n v="0.88"/>
    <n v="131"/>
    <n v="6.97"/>
    <n v="0.78"/>
    <d v="2024-07-16T00:00:00"/>
    <n v="55.74"/>
    <n v="0.71799999999999997"/>
    <n v="18375.059999999998"/>
    <x v="0"/>
    <x v="0"/>
  </r>
  <r>
    <x v="1365"/>
    <x v="3"/>
    <n v="301"/>
    <n v="81"/>
    <n v="6"/>
    <n v="4"/>
    <n v="19.760000000000002"/>
    <x v="68"/>
    <x v="3"/>
    <n v="60"/>
    <n v="4.08"/>
    <n v="76.36"/>
    <n v="0.81"/>
    <n v="8"/>
    <n v="0.79"/>
    <n v="838"/>
    <n v="6.42"/>
    <n v="0.26"/>
    <d v="2024-08-12T00:00:00"/>
    <n v="120"/>
    <n v="0.45500000000000002"/>
    <n v="22984.36"/>
    <x v="0"/>
    <x v="0"/>
  </r>
  <r>
    <x v="1366"/>
    <x v="4"/>
    <n v="36"/>
    <n v="60"/>
    <n v="12"/>
    <n v="2"/>
    <n v="26.79"/>
    <x v="57"/>
    <x v="1"/>
    <n v="41"/>
    <n v="0.86"/>
    <n v="43.15"/>
    <n v="0.87"/>
    <n v="0"/>
    <n v="0.98"/>
    <n v="364"/>
    <n v="10.08"/>
    <n v="0.76"/>
    <d v="2024-08-02T00:00:00"/>
    <n v="118.06"/>
    <n v="0.79500000000000004"/>
    <n v="1553.3999999999999"/>
    <x v="1"/>
    <x v="2"/>
  </r>
  <r>
    <x v="1367"/>
    <x v="0"/>
    <n v="90"/>
    <n v="83"/>
    <n v="12"/>
    <n v="7"/>
    <n v="34.24"/>
    <x v="96"/>
    <x v="2"/>
    <n v="97"/>
    <n v="1.35"/>
    <n v="22.88"/>
    <n v="0.69"/>
    <n v="1"/>
    <n v="0.82"/>
    <n v="778"/>
    <n v="14.94"/>
    <n v="0.42"/>
    <d v="2024-03-26T00:00:00"/>
    <n v="198.02"/>
    <n v="0.75800000000000001"/>
    <n v="2059.1999999999998"/>
    <x v="0"/>
    <x v="2"/>
  </r>
  <r>
    <x v="1368"/>
    <x v="0"/>
    <n v="288"/>
    <n v="52"/>
    <n v="6"/>
    <n v="6"/>
    <n v="15.02"/>
    <x v="60"/>
    <x v="0"/>
    <n v="145"/>
    <n v="3.61"/>
    <n v="47.36"/>
    <n v="1.08"/>
    <n v="1"/>
    <n v="0.77"/>
    <n v="965"/>
    <n v="13.49"/>
    <n v="0.65"/>
    <d v="2024-07-30T00:00:00"/>
    <n v="183.68"/>
    <n v="0.73599999999999999"/>
    <n v="13639.68"/>
    <x v="0"/>
    <x v="0"/>
  </r>
  <r>
    <x v="1369"/>
    <x v="2"/>
    <n v="344"/>
    <n v="24"/>
    <n v="3"/>
    <n v="9"/>
    <n v="13.35"/>
    <x v="84"/>
    <x v="0"/>
    <n v="167"/>
    <n v="4.5599999999999996"/>
    <n v="172.3"/>
    <n v="0.82"/>
    <n v="8"/>
    <n v="0.87"/>
    <n v="329"/>
    <n v="13.33"/>
    <n v="0.33"/>
    <d v="2024-09-09T00:00:00"/>
    <n v="27.32"/>
    <n v="0.57599999999999996"/>
    <n v="59271.200000000004"/>
    <x v="0"/>
    <x v="0"/>
  </r>
  <r>
    <x v="1370"/>
    <x v="0"/>
    <n v="301"/>
    <n v="47"/>
    <n v="4"/>
    <n v="9"/>
    <n v="19.68"/>
    <x v="41"/>
    <x v="0"/>
    <n v="35"/>
    <n v="4.84"/>
    <n v="161.44"/>
    <n v="1.94"/>
    <n v="9"/>
    <n v="0.92"/>
    <n v="692"/>
    <n v="10.039999999999999"/>
    <n v="0.5"/>
    <d v="2024-07-12T00:00:00"/>
    <n v="256.06"/>
    <n v="0.44400000000000001"/>
    <n v="48593.440000000002"/>
    <x v="0"/>
    <x v="0"/>
  </r>
  <r>
    <x v="1371"/>
    <x v="1"/>
    <n v="324"/>
    <n v="24"/>
    <n v="13"/>
    <n v="5"/>
    <n v="25.55"/>
    <x v="99"/>
    <x v="1"/>
    <n v="161"/>
    <n v="4.26"/>
    <n v="94"/>
    <n v="1.63"/>
    <n v="4"/>
    <n v="0.7"/>
    <n v="135"/>
    <n v="4.79"/>
    <n v="0.28000000000000003"/>
    <d v="2024-06-28T00:00:00"/>
    <n v="281.89"/>
    <n v="0.41699999999999998"/>
    <n v="30456"/>
    <x v="0"/>
    <x v="0"/>
  </r>
  <r>
    <x v="1372"/>
    <x v="1"/>
    <n v="470"/>
    <n v="14"/>
    <n v="3"/>
    <n v="5"/>
    <n v="47.61"/>
    <x v="31"/>
    <x v="3"/>
    <n v="164"/>
    <n v="1.45"/>
    <n v="176.78"/>
    <n v="1.87"/>
    <n v="3"/>
    <n v="0.78"/>
    <n v="889"/>
    <n v="6.38"/>
    <n v="0.56999999999999995"/>
    <d v="2024-10-06T00:00:00"/>
    <n v="236.26"/>
    <n v="0.50800000000000001"/>
    <n v="83086.600000000006"/>
    <x v="0"/>
    <x v="0"/>
  </r>
  <r>
    <x v="1373"/>
    <x v="2"/>
    <n v="26"/>
    <n v="92"/>
    <n v="8"/>
    <n v="4"/>
    <n v="38.340000000000003"/>
    <x v="45"/>
    <x v="2"/>
    <n v="176"/>
    <n v="1.79"/>
    <n v="54.21"/>
    <n v="1.1599999999999999"/>
    <n v="9"/>
    <n v="0.95"/>
    <n v="415"/>
    <n v="4.5"/>
    <n v="0.37"/>
    <d v="2024-07-11T00:00:00"/>
    <n v="61.73"/>
    <n v="0.42799999999999999"/>
    <n v="1409.46"/>
    <x v="1"/>
    <x v="2"/>
  </r>
  <r>
    <x v="1374"/>
    <x v="1"/>
    <n v="333"/>
    <n v="63"/>
    <n v="5"/>
    <n v="3"/>
    <n v="22.04"/>
    <x v="57"/>
    <x v="2"/>
    <n v="75"/>
    <n v="4.42"/>
    <n v="121"/>
    <n v="1.39"/>
    <n v="9"/>
    <n v="0.85"/>
    <n v="874"/>
    <n v="2.89"/>
    <n v="0.35"/>
    <d v="2024-02-21T00:00:00"/>
    <n v="59.93"/>
    <n v="0.36"/>
    <n v="40293"/>
    <x v="0"/>
    <x v="0"/>
  </r>
  <r>
    <x v="1375"/>
    <x v="3"/>
    <n v="324"/>
    <n v="60"/>
    <n v="9"/>
    <n v="8"/>
    <n v="3.66"/>
    <x v="89"/>
    <x v="1"/>
    <n v="82"/>
    <n v="4.5"/>
    <n v="37.159999999999997"/>
    <n v="0.42"/>
    <n v="3"/>
    <n v="0.82"/>
    <n v="415"/>
    <n v="7.1"/>
    <n v="0.28999999999999998"/>
    <d v="2024-09-02T00:00:00"/>
    <n v="220.57"/>
    <n v="0.61499999999999999"/>
    <n v="12039.839999999998"/>
    <x v="0"/>
    <x v="0"/>
  </r>
  <r>
    <x v="1376"/>
    <x v="2"/>
    <n v="122"/>
    <n v="19"/>
    <n v="7"/>
    <n v="3"/>
    <n v="9.26"/>
    <x v="69"/>
    <x v="0"/>
    <n v="59"/>
    <n v="3.38"/>
    <n v="168.35"/>
    <n v="1.53"/>
    <n v="6"/>
    <n v="0.98"/>
    <n v="142"/>
    <n v="13.57"/>
    <n v="0.81"/>
    <d v="2024-10-22T00:00:00"/>
    <n v="137.85"/>
    <n v="0.66600000000000004"/>
    <n v="20538.7"/>
    <x v="0"/>
    <x v="1"/>
  </r>
  <r>
    <x v="1377"/>
    <x v="3"/>
    <n v="328"/>
    <n v="21"/>
    <n v="11"/>
    <n v="7"/>
    <n v="23.34"/>
    <x v="73"/>
    <x v="1"/>
    <n v="54"/>
    <n v="1.91"/>
    <n v="34.81"/>
    <n v="0.55000000000000004"/>
    <n v="2"/>
    <n v="0.73"/>
    <n v="120"/>
    <n v="11.41"/>
    <n v="0.71"/>
    <d v="2024-11-29T00:00:00"/>
    <n v="235.85"/>
    <n v="0.745"/>
    <n v="11417.68"/>
    <x v="0"/>
    <x v="0"/>
  </r>
  <r>
    <x v="1378"/>
    <x v="4"/>
    <n v="212"/>
    <n v="13"/>
    <n v="9"/>
    <n v="6"/>
    <n v="40.880000000000003"/>
    <x v="71"/>
    <x v="3"/>
    <n v="96"/>
    <n v="1.51"/>
    <n v="16.05"/>
    <n v="0.38"/>
    <n v="8"/>
    <n v="0.88"/>
    <n v="375"/>
    <n v="14.79"/>
    <n v="0.33"/>
    <d v="2024-12-17T00:00:00"/>
    <n v="31.89"/>
    <n v="0.64100000000000001"/>
    <n v="3402.6000000000004"/>
    <x v="0"/>
    <x v="1"/>
  </r>
  <r>
    <x v="1379"/>
    <x v="3"/>
    <n v="260"/>
    <n v="27"/>
    <n v="6"/>
    <n v="9"/>
    <n v="19.649999999999999"/>
    <x v="16"/>
    <x v="0"/>
    <n v="42"/>
    <n v="4.34"/>
    <n v="61.95"/>
    <n v="0.18"/>
    <n v="4"/>
    <n v="0.8"/>
    <n v="556"/>
    <n v="3.73"/>
    <n v="0.57999999999999996"/>
    <d v="2024-04-25T00:00:00"/>
    <n v="217.77"/>
    <n v="0.628"/>
    <n v="16107"/>
    <x v="0"/>
    <x v="0"/>
  </r>
  <r>
    <x v="1380"/>
    <x v="4"/>
    <n v="81"/>
    <n v="89"/>
    <n v="7"/>
    <n v="3"/>
    <n v="27.39"/>
    <x v="61"/>
    <x v="1"/>
    <n v="28"/>
    <n v="1.42"/>
    <n v="181.18"/>
    <n v="1"/>
    <n v="8"/>
    <n v="0.72"/>
    <n v="375"/>
    <n v="8.01"/>
    <n v="0.73"/>
    <d v="2024-03-24T00:00:00"/>
    <n v="132.99"/>
    <n v="0.53700000000000003"/>
    <n v="14675.58"/>
    <x v="1"/>
    <x v="2"/>
  </r>
  <r>
    <x v="1381"/>
    <x v="4"/>
    <n v="36"/>
    <n v="45"/>
    <n v="7"/>
    <n v="9"/>
    <n v="44.7"/>
    <x v="0"/>
    <x v="3"/>
    <n v="150"/>
    <n v="3.48"/>
    <n v="34.6"/>
    <n v="0.64"/>
    <n v="0"/>
    <n v="0.76"/>
    <n v="893"/>
    <n v="12.1"/>
    <n v="0.9"/>
    <d v="2024-08-19T00:00:00"/>
    <n v="18.989999999999998"/>
    <n v="0.82899999999999996"/>
    <n v="1245.6000000000001"/>
    <x v="1"/>
    <x v="2"/>
  </r>
  <r>
    <x v="1382"/>
    <x v="3"/>
    <n v="190"/>
    <n v="34"/>
    <n v="13"/>
    <n v="5"/>
    <n v="45.78"/>
    <x v="80"/>
    <x v="0"/>
    <n v="122"/>
    <n v="4.8600000000000003"/>
    <n v="72.83"/>
    <n v="1.97"/>
    <n v="9"/>
    <n v="0.89"/>
    <n v="240"/>
    <n v="7.45"/>
    <n v="0.25"/>
    <d v="2024-02-07T00:00:00"/>
    <n v="168.1"/>
    <n v="0.35"/>
    <n v="13837.699999999999"/>
    <x v="0"/>
    <x v="1"/>
  </r>
  <r>
    <x v="1383"/>
    <x v="2"/>
    <n v="44"/>
    <n v="96"/>
    <n v="7"/>
    <n v="9"/>
    <n v="11.57"/>
    <x v="38"/>
    <x v="2"/>
    <n v="31"/>
    <n v="3.67"/>
    <n v="70.12"/>
    <n v="0.56999999999999995"/>
    <n v="7"/>
    <n v="0.71"/>
    <n v="263"/>
    <n v="5.97"/>
    <n v="0.49"/>
    <d v="2024-01-18T00:00:00"/>
    <n v="212.72"/>
    <n v="0.52300000000000002"/>
    <n v="3085.28"/>
    <x v="1"/>
    <x v="2"/>
  </r>
  <r>
    <x v="1384"/>
    <x v="1"/>
    <n v="270"/>
    <n v="85"/>
    <n v="12"/>
    <n v="8"/>
    <n v="3.14"/>
    <x v="80"/>
    <x v="3"/>
    <n v="157"/>
    <n v="1.66"/>
    <n v="162.31"/>
    <n v="1.75"/>
    <n v="1"/>
    <n v="0.88"/>
    <n v="96"/>
    <n v="12.42"/>
    <n v="0.69"/>
    <d v="2024-05-30T00:00:00"/>
    <n v="163.19"/>
    <n v="0.68500000000000005"/>
    <n v="43823.7"/>
    <x v="0"/>
    <x v="0"/>
  </r>
  <r>
    <x v="1385"/>
    <x v="1"/>
    <n v="272"/>
    <n v="45"/>
    <n v="11"/>
    <n v="9"/>
    <n v="15.97"/>
    <x v="55"/>
    <x v="2"/>
    <n v="106"/>
    <n v="1.77"/>
    <n v="90.09"/>
    <n v="0.7"/>
    <n v="7"/>
    <n v="0.99"/>
    <n v="779"/>
    <n v="7.02"/>
    <n v="0.21"/>
    <d v="2024-01-11T00:00:00"/>
    <n v="45.64"/>
    <n v="0.52400000000000002"/>
    <n v="24504.48"/>
    <x v="0"/>
    <x v="0"/>
  </r>
  <r>
    <x v="1386"/>
    <x v="4"/>
    <n v="406"/>
    <n v="76"/>
    <n v="12"/>
    <n v="3"/>
    <n v="35.090000000000003"/>
    <x v="81"/>
    <x v="3"/>
    <n v="14"/>
    <n v="0.92"/>
    <n v="126.2"/>
    <n v="1.52"/>
    <n v="3"/>
    <n v="0.94"/>
    <n v="138"/>
    <n v="13.78"/>
    <n v="0.39"/>
    <d v="2024-06-12T00:00:00"/>
    <n v="246.61"/>
    <n v="0.63800000000000001"/>
    <n v="51237.200000000004"/>
    <x v="0"/>
    <x v="0"/>
  </r>
  <r>
    <x v="1387"/>
    <x v="4"/>
    <n v="226"/>
    <n v="18"/>
    <n v="5"/>
    <n v="8"/>
    <n v="47.6"/>
    <x v="61"/>
    <x v="0"/>
    <n v="135"/>
    <n v="3.59"/>
    <n v="86.83"/>
    <n v="1.35"/>
    <n v="1"/>
    <n v="0.8"/>
    <n v="836"/>
    <n v="4.76"/>
    <n v="0.8"/>
    <d v="2024-05-13T00:00:00"/>
    <n v="101.95"/>
    <n v="0.628"/>
    <n v="19623.579999999998"/>
    <x v="0"/>
    <x v="1"/>
  </r>
  <r>
    <x v="1388"/>
    <x v="2"/>
    <n v="48"/>
    <n v="70"/>
    <n v="8"/>
    <n v="9"/>
    <n v="4.7699999999999996"/>
    <x v="98"/>
    <x v="1"/>
    <n v="87"/>
    <n v="2.83"/>
    <n v="114.78"/>
    <n v="1.17"/>
    <n v="1"/>
    <n v="0.74"/>
    <n v="276"/>
    <n v="13.55"/>
    <n v="0.48"/>
    <d v="2024-02-23T00:00:00"/>
    <n v="277.22000000000003"/>
    <n v="0.68799999999999994"/>
    <n v="5509.4400000000005"/>
    <x v="1"/>
    <x v="2"/>
  </r>
  <r>
    <x v="1389"/>
    <x v="0"/>
    <n v="136"/>
    <n v="62"/>
    <n v="10"/>
    <n v="6"/>
    <n v="2.4"/>
    <x v="9"/>
    <x v="1"/>
    <n v="169"/>
    <n v="1.43"/>
    <n v="21.86"/>
    <n v="0.89"/>
    <n v="5"/>
    <n v="0.84"/>
    <n v="446"/>
    <n v="4.9000000000000004"/>
    <n v="0.27"/>
    <d v="2024-02-07T00:00:00"/>
    <n v="272.99"/>
    <n v="0.498"/>
    <n v="2972.96"/>
    <x v="0"/>
    <x v="1"/>
  </r>
  <r>
    <x v="1390"/>
    <x v="3"/>
    <n v="435"/>
    <n v="27"/>
    <n v="13"/>
    <n v="5"/>
    <n v="44.32"/>
    <x v="10"/>
    <x v="1"/>
    <n v="39"/>
    <n v="1.52"/>
    <n v="81.069999999999993"/>
    <n v="1.38"/>
    <n v="2"/>
    <n v="0.82"/>
    <n v="266"/>
    <n v="5.05"/>
    <n v="0.7"/>
    <d v="2024-06-24T00:00:00"/>
    <n v="68.11"/>
    <n v="0.59299999999999997"/>
    <n v="35265.449999999997"/>
    <x v="0"/>
    <x v="0"/>
  </r>
  <r>
    <x v="1391"/>
    <x v="4"/>
    <n v="301"/>
    <n v="52"/>
    <n v="11"/>
    <n v="9"/>
    <n v="37.659999999999997"/>
    <x v="28"/>
    <x v="1"/>
    <n v="100"/>
    <n v="0.54"/>
    <n v="172.47"/>
    <n v="0.87"/>
    <n v="9"/>
    <n v="0.99"/>
    <n v="801"/>
    <n v="6.89"/>
    <n v="0.4"/>
    <d v="2024-03-28T00:00:00"/>
    <n v="148.15"/>
    <n v="0.503"/>
    <n v="51913.47"/>
    <x v="0"/>
    <x v="0"/>
  </r>
  <r>
    <x v="1392"/>
    <x v="1"/>
    <n v="399"/>
    <n v="44"/>
    <n v="9"/>
    <n v="8"/>
    <n v="49.62"/>
    <x v="59"/>
    <x v="3"/>
    <n v="163"/>
    <n v="4.9000000000000004"/>
    <n v="141.30000000000001"/>
    <n v="1.1399999999999999"/>
    <n v="2"/>
    <n v="1"/>
    <n v="350"/>
    <n v="8.2200000000000006"/>
    <n v="0.76"/>
    <d v="2024-07-11T00:00:00"/>
    <n v="49.84"/>
    <n v="0.70799999999999996"/>
    <n v="56378.700000000004"/>
    <x v="0"/>
    <x v="0"/>
  </r>
  <r>
    <x v="1393"/>
    <x v="2"/>
    <n v="163"/>
    <n v="72"/>
    <n v="14"/>
    <n v="3"/>
    <n v="20.440000000000001"/>
    <x v="92"/>
    <x v="1"/>
    <n v="91"/>
    <n v="4.2300000000000004"/>
    <n v="196.55"/>
    <n v="1.22"/>
    <n v="8"/>
    <n v="0.82"/>
    <n v="465"/>
    <n v="6.86"/>
    <n v="0.92"/>
    <d v="2024-03-23T00:00:00"/>
    <n v="206.55"/>
    <n v="0.55700000000000005"/>
    <n v="32037.65"/>
    <x v="0"/>
    <x v="1"/>
  </r>
  <r>
    <x v="1394"/>
    <x v="3"/>
    <n v="44"/>
    <n v="87"/>
    <n v="5"/>
    <n v="5"/>
    <n v="21.39"/>
    <x v="34"/>
    <x v="1"/>
    <n v="97"/>
    <n v="2.27"/>
    <n v="159.69999999999999"/>
    <n v="0.61"/>
    <n v="4"/>
    <n v="0.74"/>
    <n v="975"/>
    <n v="13.07"/>
    <n v="0.62"/>
    <d v="2024-02-08T00:00:00"/>
    <n v="257.06"/>
    <n v="0.70499999999999996"/>
    <n v="7026.7999999999993"/>
    <x v="1"/>
    <x v="2"/>
  </r>
  <r>
    <x v="1395"/>
    <x v="2"/>
    <n v="329"/>
    <n v="13"/>
    <n v="3"/>
    <n v="4"/>
    <n v="9.44"/>
    <x v="12"/>
    <x v="3"/>
    <n v="141"/>
    <n v="4.76"/>
    <n v="95.79"/>
    <n v="0.75"/>
    <n v="6"/>
    <n v="0.97"/>
    <n v="902"/>
    <n v="12.14"/>
    <n v="0.68"/>
    <d v="2024-10-07T00:00:00"/>
    <n v="198.03"/>
    <n v="0.69699999999999995"/>
    <n v="31514.910000000003"/>
    <x v="0"/>
    <x v="0"/>
  </r>
  <r>
    <x v="1396"/>
    <x v="3"/>
    <n v="175"/>
    <n v="50"/>
    <n v="6"/>
    <n v="4"/>
    <n v="6.68"/>
    <x v="85"/>
    <x v="3"/>
    <n v="114"/>
    <n v="3.55"/>
    <n v="138.49"/>
    <n v="0.13"/>
    <n v="4"/>
    <n v="0.94"/>
    <n v="943"/>
    <n v="5.34"/>
    <n v="0.61"/>
    <d v="2024-02-17T00:00:00"/>
    <n v="85.54"/>
    <n v="0.68799999999999994"/>
    <n v="24235.75"/>
    <x v="0"/>
    <x v="1"/>
  </r>
  <r>
    <x v="1397"/>
    <x v="3"/>
    <n v="92"/>
    <n v="54"/>
    <n v="8"/>
    <n v="7"/>
    <n v="29.36"/>
    <x v="0"/>
    <x v="0"/>
    <n v="76"/>
    <n v="3.88"/>
    <n v="157.41999999999999"/>
    <n v="1.72"/>
    <n v="1"/>
    <n v="0.85"/>
    <n v="219"/>
    <n v="8.16"/>
    <n v="0.85"/>
    <d v="2024-06-22T00:00:00"/>
    <n v="32.130000000000003"/>
    <n v="0.65700000000000003"/>
    <n v="14482.64"/>
    <x v="0"/>
    <x v="2"/>
  </r>
  <r>
    <x v="1398"/>
    <x v="4"/>
    <n v="139"/>
    <n v="59"/>
    <n v="5"/>
    <n v="4"/>
    <n v="18.850000000000001"/>
    <x v="13"/>
    <x v="3"/>
    <n v="127"/>
    <n v="3.56"/>
    <n v="61.24"/>
    <n v="1.54"/>
    <n v="7"/>
    <n v="0.81"/>
    <n v="414"/>
    <n v="7.03"/>
    <n v="0.39"/>
    <d v="2024-10-31T00:00:00"/>
    <n v="30.09"/>
    <n v="0.44"/>
    <n v="8512.36"/>
    <x v="0"/>
    <x v="1"/>
  </r>
  <r>
    <x v="1399"/>
    <x v="2"/>
    <n v="331"/>
    <n v="88"/>
    <n v="3"/>
    <n v="3"/>
    <n v="4.9400000000000004"/>
    <x v="62"/>
    <x v="2"/>
    <n v="39"/>
    <n v="3.91"/>
    <n v="21.4"/>
    <n v="0.45"/>
    <n v="8"/>
    <n v="0.83"/>
    <n v="281"/>
    <n v="1.78"/>
    <n v="0.52"/>
    <d v="2024-11-10T00:00:00"/>
    <n v="187.17"/>
    <n v="0.48899999999999999"/>
    <n v="7083.4"/>
    <x v="0"/>
    <x v="0"/>
  </r>
  <r>
    <x v="1400"/>
    <x v="2"/>
    <n v="340"/>
    <n v="37"/>
    <n v="8"/>
    <n v="6"/>
    <n v="44.46"/>
    <x v="80"/>
    <x v="0"/>
    <n v="120"/>
    <n v="1.27"/>
    <n v="87.11"/>
    <n v="0.79"/>
    <n v="1"/>
    <n v="0.97"/>
    <n v="669"/>
    <n v="11.47"/>
    <n v="0.92"/>
    <d v="2024-09-04T00:00:00"/>
    <n v="286.47000000000003"/>
    <n v="0.83199999999999996"/>
    <n v="29617.4"/>
    <x v="0"/>
    <x v="0"/>
  </r>
  <r>
    <x v="1401"/>
    <x v="1"/>
    <n v="112"/>
    <n v="51"/>
    <n v="3"/>
    <n v="5"/>
    <n v="10.72"/>
    <x v="38"/>
    <x v="0"/>
    <n v="153"/>
    <n v="3.03"/>
    <n v="37.49"/>
    <n v="0.9"/>
    <n v="1"/>
    <n v="0.76"/>
    <n v="377"/>
    <n v="3.54"/>
    <n v="0.78"/>
    <d v="2024-12-26T00:00:00"/>
    <n v="211.63"/>
    <n v="0.64500000000000002"/>
    <n v="4198.88"/>
    <x v="0"/>
    <x v="1"/>
  </r>
  <r>
    <x v="1402"/>
    <x v="1"/>
    <n v="105"/>
    <n v="89"/>
    <n v="11"/>
    <n v="8"/>
    <n v="37.68"/>
    <x v="85"/>
    <x v="1"/>
    <n v="48"/>
    <n v="4.32"/>
    <n v="62.68"/>
    <n v="0.74"/>
    <n v="3"/>
    <n v="0.94"/>
    <n v="282"/>
    <n v="14.08"/>
    <n v="0.46"/>
    <d v="2024-01-16T00:00:00"/>
    <n v="221.88"/>
    <n v="0.73399999999999999"/>
    <n v="6581.4"/>
    <x v="0"/>
    <x v="1"/>
  </r>
  <r>
    <x v="1403"/>
    <x v="4"/>
    <n v="355"/>
    <n v="85"/>
    <n v="13"/>
    <n v="2"/>
    <n v="14.83"/>
    <x v="20"/>
    <x v="1"/>
    <n v="95"/>
    <n v="0.59"/>
    <n v="189.9"/>
    <n v="1.62"/>
    <n v="7"/>
    <n v="0.71"/>
    <n v="731"/>
    <n v="6.57"/>
    <n v="0.87"/>
    <d v="2024-08-08T00:00:00"/>
    <n v="105.5"/>
    <n v="0.502"/>
    <n v="67414.5"/>
    <x v="0"/>
    <x v="0"/>
  </r>
  <r>
    <x v="1404"/>
    <x v="4"/>
    <n v="444"/>
    <n v="78"/>
    <n v="14"/>
    <n v="4"/>
    <n v="40.83"/>
    <x v="78"/>
    <x v="2"/>
    <n v="50"/>
    <n v="1.06"/>
    <n v="170.95"/>
    <n v="1.48"/>
    <n v="4"/>
    <n v="0.98"/>
    <n v="696"/>
    <n v="9.7100000000000009"/>
    <n v="0.39"/>
    <d v="2024-11-30T00:00:00"/>
    <n v="179.95"/>
    <n v="0.57499999999999996"/>
    <n v="75901.799999999988"/>
    <x v="0"/>
    <x v="0"/>
  </r>
  <r>
    <x v="1405"/>
    <x v="0"/>
    <n v="383"/>
    <n v="10"/>
    <n v="3"/>
    <n v="4"/>
    <n v="6.8"/>
    <x v="97"/>
    <x v="1"/>
    <n v="40"/>
    <n v="1.61"/>
    <n v="122.57"/>
    <n v="1.56"/>
    <n v="4"/>
    <n v="0.85"/>
    <n v="692"/>
    <n v="12.46"/>
    <n v="0.71"/>
    <d v="2024-03-25T00:00:00"/>
    <n v="101.81"/>
    <n v="0.64200000000000002"/>
    <n v="46944.31"/>
    <x v="0"/>
    <x v="0"/>
  </r>
  <r>
    <x v="1406"/>
    <x v="1"/>
    <n v="454"/>
    <n v="48"/>
    <n v="8"/>
    <n v="2"/>
    <n v="38.049999999999997"/>
    <x v="8"/>
    <x v="3"/>
    <n v="150"/>
    <n v="1.83"/>
    <n v="86.24"/>
    <n v="1.82"/>
    <n v="6"/>
    <n v="0.77"/>
    <n v="86"/>
    <n v="3.52"/>
    <n v="0.97"/>
    <d v="2024-11-06T00:00:00"/>
    <n v="271.48"/>
    <n v="0.49299999999999999"/>
    <n v="39152.959999999999"/>
    <x v="0"/>
    <x v="0"/>
  </r>
  <r>
    <x v="1407"/>
    <x v="3"/>
    <n v="137"/>
    <n v="99"/>
    <n v="3"/>
    <n v="8"/>
    <n v="5.81"/>
    <x v="89"/>
    <x v="3"/>
    <n v="178"/>
    <n v="1.32"/>
    <n v="60.22"/>
    <n v="1.23"/>
    <n v="3"/>
    <n v="0.7"/>
    <n v="820"/>
    <n v="8.58"/>
    <n v="0.66"/>
    <d v="2024-08-10T00:00:00"/>
    <n v="48.43"/>
    <n v="0.60299999999999998"/>
    <n v="8250.14"/>
    <x v="0"/>
    <x v="1"/>
  </r>
  <r>
    <x v="1408"/>
    <x v="2"/>
    <n v="252"/>
    <n v="26"/>
    <n v="14"/>
    <n v="8"/>
    <n v="22.9"/>
    <x v="31"/>
    <x v="1"/>
    <n v="165"/>
    <n v="3.31"/>
    <n v="118.58"/>
    <n v="1.27"/>
    <n v="8"/>
    <n v="0.87"/>
    <n v="451"/>
    <n v="4.32"/>
    <n v="0.84"/>
    <d v="2024-03-21T00:00:00"/>
    <n v="193.29"/>
    <n v="0.51300000000000001"/>
    <n v="29882.16"/>
    <x v="0"/>
    <x v="0"/>
  </r>
  <r>
    <x v="1409"/>
    <x v="4"/>
    <n v="218"/>
    <n v="97"/>
    <n v="9"/>
    <n v="2"/>
    <n v="36.97"/>
    <x v="47"/>
    <x v="1"/>
    <n v="136"/>
    <n v="1.82"/>
    <n v="111.3"/>
    <n v="1.47"/>
    <n v="3"/>
    <n v="0.77"/>
    <n v="685"/>
    <n v="8.14"/>
    <n v="0.79"/>
    <d v="2024-01-28T00:00:00"/>
    <n v="221.95"/>
    <n v="0.61399999999999999"/>
    <n v="24263.399999999998"/>
    <x v="0"/>
    <x v="1"/>
  </r>
  <r>
    <x v="1410"/>
    <x v="2"/>
    <n v="225"/>
    <n v="44"/>
    <n v="5"/>
    <n v="8"/>
    <n v="9.49"/>
    <x v="33"/>
    <x v="3"/>
    <n v="73"/>
    <n v="1.21"/>
    <n v="158.35"/>
    <n v="1.39"/>
    <n v="7"/>
    <n v="0.89"/>
    <n v="475"/>
    <n v="9.11"/>
    <n v="0.89"/>
    <d v="2024-02-21T00:00:00"/>
    <n v="212.56"/>
    <n v="0.59799999999999998"/>
    <n v="35628.75"/>
    <x v="0"/>
    <x v="1"/>
  </r>
  <r>
    <x v="1411"/>
    <x v="2"/>
    <n v="432"/>
    <n v="55"/>
    <n v="8"/>
    <n v="3"/>
    <n v="15"/>
    <x v="47"/>
    <x v="0"/>
    <n v="126"/>
    <n v="4.58"/>
    <n v="186.32"/>
    <n v="1.75"/>
    <n v="2"/>
    <n v="0.78"/>
    <n v="954"/>
    <n v="3.37"/>
    <n v="0.98"/>
    <d v="2024-06-18T00:00:00"/>
    <n v="84.62"/>
    <n v="0.58199999999999996"/>
    <n v="80490.239999999991"/>
    <x v="0"/>
    <x v="0"/>
  </r>
  <r>
    <x v="1412"/>
    <x v="0"/>
    <n v="358"/>
    <n v="51"/>
    <n v="9"/>
    <n v="8"/>
    <n v="43.37"/>
    <x v="43"/>
    <x v="2"/>
    <n v="28"/>
    <n v="3.63"/>
    <n v="72.5"/>
    <n v="1.56"/>
    <n v="5"/>
    <n v="0.73"/>
    <n v="457"/>
    <n v="9.1300000000000008"/>
    <n v="0.22"/>
    <d v="2024-04-15T00:00:00"/>
    <n v="150.94999999999999"/>
    <n v="0.45600000000000002"/>
    <n v="25955"/>
    <x v="0"/>
    <x v="0"/>
  </r>
  <r>
    <x v="1413"/>
    <x v="1"/>
    <n v="166"/>
    <n v="48"/>
    <n v="3"/>
    <n v="5"/>
    <n v="44.37"/>
    <x v="23"/>
    <x v="2"/>
    <n v="120"/>
    <n v="1.61"/>
    <n v="49.2"/>
    <n v="0.33"/>
    <n v="0"/>
    <n v="0.85"/>
    <n v="824"/>
    <n v="7.37"/>
    <n v="0.22"/>
    <d v="2024-04-07T00:00:00"/>
    <n v="202.37"/>
    <n v="0.67900000000000005"/>
    <n v="8167.2000000000007"/>
    <x v="0"/>
    <x v="1"/>
  </r>
  <r>
    <x v="1414"/>
    <x v="4"/>
    <n v="469"/>
    <n v="99"/>
    <n v="3"/>
    <n v="8"/>
    <n v="3.2"/>
    <x v="43"/>
    <x v="0"/>
    <n v="123"/>
    <n v="2.12"/>
    <n v="86.53"/>
    <n v="1.86"/>
    <n v="6"/>
    <n v="0.87"/>
    <n v="914"/>
    <n v="8.31"/>
    <n v="0.68"/>
    <d v="2024-07-28T00:00:00"/>
    <n v="279.97000000000003"/>
    <n v="0.51500000000000001"/>
    <n v="40582.57"/>
    <x v="0"/>
    <x v="0"/>
  </r>
  <r>
    <x v="1415"/>
    <x v="2"/>
    <n v="444"/>
    <n v="58"/>
    <n v="7"/>
    <n v="9"/>
    <n v="9.24"/>
    <x v="87"/>
    <x v="2"/>
    <n v="34"/>
    <n v="3.83"/>
    <n v="93.13"/>
    <n v="1.4"/>
    <n v="6"/>
    <n v="0.84"/>
    <n v="266"/>
    <n v="13.67"/>
    <n v="0.96"/>
    <d v="2024-12-22T00:00:00"/>
    <n v="154.9"/>
    <n v="0.68200000000000005"/>
    <n v="41349.72"/>
    <x v="0"/>
    <x v="0"/>
  </r>
  <r>
    <x v="1416"/>
    <x v="4"/>
    <n v="448"/>
    <n v="71"/>
    <n v="8"/>
    <n v="9"/>
    <n v="6.76"/>
    <x v="51"/>
    <x v="1"/>
    <n v="175"/>
    <n v="4.0599999999999996"/>
    <n v="17.579999999999998"/>
    <n v="0.34"/>
    <n v="1"/>
    <n v="0.84"/>
    <n v="219"/>
    <n v="7.77"/>
    <n v="0.59"/>
    <d v="2024-10-10T00:00:00"/>
    <n v="97.15"/>
    <n v="0.73599999999999999"/>
    <n v="7875.8399999999992"/>
    <x v="0"/>
    <x v="0"/>
  </r>
  <r>
    <x v="1417"/>
    <x v="3"/>
    <n v="290"/>
    <n v="47"/>
    <n v="11"/>
    <n v="4"/>
    <n v="9.8000000000000007"/>
    <x v="70"/>
    <x v="1"/>
    <n v="130"/>
    <n v="1.29"/>
    <n v="173.72"/>
    <n v="1.57"/>
    <n v="4"/>
    <n v="0.88"/>
    <n v="659"/>
    <n v="7.67"/>
    <n v="0.87"/>
    <d v="2024-10-03T00:00:00"/>
    <n v="122.09"/>
    <n v="0.61499999999999999"/>
    <n v="50378.8"/>
    <x v="0"/>
    <x v="0"/>
  </r>
  <r>
    <x v="1418"/>
    <x v="0"/>
    <n v="406"/>
    <n v="32"/>
    <n v="3"/>
    <n v="6"/>
    <n v="48.54"/>
    <x v="4"/>
    <x v="1"/>
    <n v="108"/>
    <n v="4.71"/>
    <n v="199.16"/>
    <n v="0.78"/>
    <n v="3"/>
    <n v="0.86"/>
    <n v="407"/>
    <n v="7.59"/>
    <n v="0.81"/>
    <d v="2024-05-15T00:00:00"/>
    <n v="166.98"/>
    <n v="0.69699999999999995"/>
    <n v="80858.959999999992"/>
    <x v="0"/>
    <x v="0"/>
  </r>
  <r>
    <x v="1419"/>
    <x v="3"/>
    <n v="158"/>
    <n v="31"/>
    <n v="6"/>
    <n v="3"/>
    <n v="28.03"/>
    <x v="81"/>
    <x v="2"/>
    <n v="99"/>
    <n v="4.03"/>
    <n v="185.41"/>
    <n v="1.63"/>
    <n v="9"/>
    <n v="0.74"/>
    <n v="235"/>
    <n v="9.7200000000000006"/>
    <n v="0.6"/>
    <d v="2024-12-04T00:00:00"/>
    <n v="293.14"/>
    <n v="0.45500000000000002"/>
    <n v="29294.78"/>
    <x v="0"/>
    <x v="1"/>
  </r>
  <r>
    <x v="1420"/>
    <x v="4"/>
    <n v="200"/>
    <n v="13"/>
    <n v="12"/>
    <n v="3"/>
    <n v="23.94"/>
    <x v="68"/>
    <x v="0"/>
    <n v="12"/>
    <n v="4.3600000000000003"/>
    <n v="173.53"/>
    <n v="1.92"/>
    <n v="8"/>
    <n v="0.76"/>
    <n v="774"/>
    <n v="6.15"/>
    <n v="0.61"/>
    <d v="2024-05-24T00:00:00"/>
    <n v="192.22"/>
    <n v="0.40400000000000003"/>
    <n v="34706"/>
    <x v="0"/>
    <x v="1"/>
  </r>
  <r>
    <x v="1421"/>
    <x v="4"/>
    <n v="449"/>
    <n v="58"/>
    <n v="10"/>
    <n v="8"/>
    <n v="49.24"/>
    <x v="57"/>
    <x v="1"/>
    <n v="139"/>
    <n v="1.1499999999999999"/>
    <n v="198.59"/>
    <n v="0.57999999999999996"/>
    <n v="1"/>
    <n v="0.74"/>
    <n v="919"/>
    <n v="12.22"/>
    <n v="0.55000000000000004"/>
    <d v="2024-06-01T00:00:00"/>
    <n v="54.87"/>
    <n v="0.74299999999999999"/>
    <n v="89166.91"/>
    <x v="0"/>
    <x v="0"/>
  </r>
  <r>
    <x v="1422"/>
    <x v="1"/>
    <n v="49"/>
    <n v="68"/>
    <n v="12"/>
    <n v="6"/>
    <n v="28.29"/>
    <x v="64"/>
    <x v="0"/>
    <n v="14"/>
    <n v="1.1499999999999999"/>
    <n v="182.48"/>
    <n v="1.73"/>
    <n v="2"/>
    <n v="0.91"/>
    <n v="873"/>
    <n v="5"/>
    <n v="0.4"/>
    <d v="2024-05-01T00:00:00"/>
    <n v="254.51"/>
    <n v="0.51600000000000001"/>
    <n v="8941.5199999999986"/>
    <x v="1"/>
    <x v="2"/>
  </r>
  <r>
    <x v="1423"/>
    <x v="2"/>
    <n v="76"/>
    <n v="82"/>
    <n v="11"/>
    <n v="6"/>
    <n v="33.39"/>
    <x v="72"/>
    <x v="3"/>
    <n v="29"/>
    <n v="1.87"/>
    <n v="140.79"/>
    <n v="1.57"/>
    <n v="0"/>
    <n v="0.86"/>
    <n v="793"/>
    <n v="5.19"/>
    <n v="0.89"/>
    <d v="2024-02-19T00:00:00"/>
    <n v="62.62"/>
    <n v="0.66200000000000003"/>
    <n v="10700.039999999999"/>
    <x v="1"/>
    <x v="2"/>
  </r>
  <r>
    <x v="1424"/>
    <x v="2"/>
    <n v="251"/>
    <n v="77"/>
    <n v="5"/>
    <n v="7"/>
    <n v="17.309999999999999"/>
    <x v="76"/>
    <x v="3"/>
    <n v="47"/>
    <n v="0.79"/>
    <n v="41.68"/>
    <n v="1.38"/>
    <n v="9"/>
    <n v="0.83"/>
    <n v="963"/>
    <n v="9.24"/>
    <n v="0.37"/>
    <d v="2024-01-26T00:00:00"/>
    <n v="21.24"/>
    <n v="0.44500000000000001"/>
    <n v="10461.68"/>
    <x v="0"/>
    <x v="0"/>
  </r>
  <r>
    <x v="1425"/>
    <x v="3"/>
    <n v="165"/>
    <n v="80"/>
    <n v="13"/>
    <n v="6"/>
    <n v="19.72"/>
    <x v="18"/>
    <x v="3"/>
    <n v="110"/>
    <n v="0.91"/>
    <n v="39.71"/>
    <n v="0.83"/>
    <n v="4"/>
    <n v="0.94"/>
    <n v="728"/>
    <n v="4.6399999999999997"/>
    <n v="0.93"/>
    <d v="2024-07-20T00:00:00"/>
    <n v="39.06"/>
    <n v="0.67300000000000004"/>
    <n v="6552.1500000000005"/>
    <x v="0"/>
    <x v="1"/>
  </r>
  <r>
    <x v="1426"/>
    <x v="0"/>
    <n v="454"/>
    <n v="96"/>
    <n v="4"/>
    <n v="8"/>
    <n v="30.13"/>
    <x v="72"/>
    <x v="2"/>
    <n v="137"/>
    <n v="1.1399999999999999"/>
    <n v="19.27"/>
    <n v="0.31"/>
    <n v="2"/>
    <n v="0.8"/>
    <n v="867"/>
    <n v="2.2599999999999998"/>
    <n v="0.49"/>
    <d v="2024-10-19T00:00:00"/>
    <n v="237.98"/>
    <n v="0.61699999999999999"/>
    <n v="8748.58"/>
    <x v="0"/>
    <x v="0"/>
  </r>
  <r>
    <x v="1427"/>
    <x v="2"/>
    <n v="403"/>
    <n v="11"/>
    <n v="6"/>
    <n v="8"/>
    <n v="4.42"/>
    <x v="69"/>
    <x v="2"/>
    <n v="111"/>
    <n v="3.71"/>
    <n v="88.25"/>
    <n v="1.02"/>
    <n v="3"/>
    <n v="0.87"/>
    <n v="210"/>
    <n v="3.88"/>
    <n v="0.22"/>
    <d v="2024-10-08T00:00:00"/>
    <n v="271.55"/>
    <n v="0.50800000000000001"/>
    <n v="35564.75"/>
    <x v="0"/>
    <x v="0"/>
  </r>
  <r>
    <x v="1428"/>
    <x v="1"/>
    <n v="67"/>
    <n v="58"/>
    <n v="4"/>
    <n v="2"/>
    <n v="13.54"/>
    <x v="98"/>
    <x v="1"/>
    <n v="45"/>
    <n v="0.64"/>
    <n v="163.68"/>
    <n v="0.3"/>
    <n v="3"/>
    <n v="0.72"/>
    <n v="333"/>
    <n v="13.79"/>
    <n v="0.33"/>
    <d v="2024-09-08T00:00:00"/>
    <n v="87.78"/>
    <n v="0.70399999999999996"/>
    <n v="10966.560000000001"/>
    <x v="0"/>
    <x v="2"/>
  </r>
  <r>
    <x v="1429"/>
    <x v="3"/>
    <n v="213"/>
    <n v="97"/>
    <n v="3"/>
    <n v="4"/>
    <n v="10.64"/>
    <x v="64"/>
    <x v="3"/>
    <n v="108"/>
    <n v="0.87"/>
    <n v="103.16"/>
    <n v="1.05"/>
    <n v="5"/>
    <n v="0.92"/>
    <n v="233"/>
    <n v="1.1499999999999999"/>
    <n v="0.91"/>
    <d v="2024-03-19T00:00:00"/>
    <n v="154.44999999999999"/>
    <n v="0.57599999999999996"/>
    <n v="21973.079999999998"/>
    <x v="0"/>
    <x v="1"/>
  </r>
  <r>
    <x v="1430"/>
    <x v="3"/>
    <n v="243"/>
    <n v="40"/>
    <n v="14"/>
    <n v="9"/>
    <n v="1.78"/>
    <x v="16"/>
    <x v="0"/>
    <n v="122"/>
    <n v="4.75"/>
    <n v="79.599999999999994"/>
    <n v="1.66"/>
    <n v="9"/>
    <n v="0.91"/>
    <n v="586"/>
    <n v="2.87"/>
    <n v="0.3"/>
    <d v="2024-01-28T00:00:00"/>
    <n v="183.19"/>
    <n v="0.33400000000000002"/>
    <n v="19342.8"/>
    <x v="0"/>
    <x v="1"/>
  </r>
  <r>
    <x v="1431"/>
    <x v="1"/>
    <n v="155"/>
    <n v="49"/>
    <n v="5"/>
    <n v="7"/>
    <n v="27.31"/>
    <x v="18"/>
    <x v="2"/>
    <n v="46"/>
    <n v="0.88"/>
    <n v="30.75"/>
    <n v="2"/>
    <n v="6"/>
    <n v="0.94"/>
    <n v="191"/>
    <n v="11.61"/>
    <n v="0.79"/>
    <d v="2024-07-03T00:00:00"/>
    <n v="131.41999999999999"/>
    <n v="0.58099999999999996"/>
    <n v="4766.25"/>
    <x v="0"/>
    <x v="1"/>
  </r>
  <r>
    <x v="1432"/>
    <x v="0"/>
    <n v="41"/>
    <n v="57"/>
    <n v="9"/>
    <n v="8"/>
    <n v="28.49"/>
    <x v="33"/>
    <x v="0"/>
    <n v="63"/>
    <n v="2.92"/>
    <n v="19.829999999999998"/>
    <n v="0.48"/>
    <n v="6"/>
    <n v="0.97"/>
    <n v="744"/>
    <n v="14.72"/>
    <n v="0.35"/>
    <d v="2024-01-02T00:00:00"/>
    <n v="28.94"/>
    <n v="0.69199999999999995"/>
    <n v="813.03"/>
    <x v="1"/>
    <x v="2"/>
  </r>
  <r>
    <x v="1433"/>
    <x v="1"/>
    <n v="25"/>
    <n v="60"/>
    <n v="3"/>
    <n v="2"/>
    <n v="19.809999999999999"/>
    <x v="6"/>
    <x v="0"/>
    <n v="158"/>
    <n v="3.39"/>
    <n v="85.84"/>
    <n v="0.49"/>
    <n v="7"/>
    <n v="0.93"/>
    <n v="645"/>
    <n v="10.63"/>
    <n v="0.6"/>
    <d v="2024-08-06T00:00:00"/>
    <n v="26.43"/>
    <n v="0.65900000000000003"/>
    <n v="2146"/>
    <x v="1"/>
    <x v="2"/>
  </r>
  <r>
    <x v="1434"/>
    <x v="0"/>
    <n v="223"/>
    <n v="52"/>
    <n v="4"/>
    <n v="7"/>
    <n v="14.17"/>
    <x v="0"/>
    <x v="1"/>
    <n v="158"/>
    <n v="4.8099999999999996"/>
    <n v="28.99"/>
    <n v="1.64"/>
    <n v="2"/>
    <n v="0.95"/>
    <n v="280"/>
    <n v="13.91"/>
    <n v="0.36"/>
    <d v="2024-02-14T00:00:00"/>
    <n v="137.69999999999999"/>
    <n v="0.64300000000000002"/>
    <n v="6464.7699999999995"/>
    <x v="0"/>
    <x v="1"/>
  </r>
  <r>
    <x v="1435"/>
    <x v="1"/>
    <n v="258"/>
    <n v="64"/>
    <n v="3"/>
    <n v="4"/>
    <n v="32.950000000000003"/>
    <x v="48"/>
    <x v="1"/>
    <n v="101"/>
    <n v="4.55"/>
    <n v="29.67"/>
    <n v="0.99"/>
    <n v="4"/>
    <n v="0.8"/>
    <n v="517"/>
    <n v="12.97"/>
    <n v="0.47"/>
    <d v="2024-05-30T00:00:00"/>
    <n v="241.38"/>
    <n v="0.64800000000000002"/>
    <n v="7654.8600000000006"/>
    <x v="0"/>
    <x v="0"/>
  </r>
  <r>
    <x v="1436"/>
    <x v="1"/>
    <n v="204"/>
    <n v="97"/>
    <n v="10"/>
    <n v="7"/>
    <n v="7.6"/>
    <x v="45"/>
    <x v="0"/>
    <n v="79"/>
    <n v="2.48"/>
    <n v="85.12"/>
    <n v="1.84"/>
    <n v="9"/>
    <n v="0.8"/>
    <n v="952"/>
    <n v="7.72"/>
    <n v="0.3"/>
    <d v="2024-12-04T00:00:00"/>
    <n v="34.54"/>
    <n v="0.35899999999999999"/>
    <n v="17364.48"/>
    <x v="0"/>
    <x v="1"/>
  </r>
  <r>
    <x v="1437"/>
    <x v="4"/>
    <n v="379"/>
    <n v="58"/>
    <n v="7"/>
    <n v="2"/>
    <n v="26.41"/>
    <x v="80"/>
    <x v="0"/>
    <n v="93"/>
    <n v="4.74"/>
    <n v="105.54"/>
    <n v="1.56"/>
    <n v="5"/>
    <n v="0.98"/>
    <n v="437"/>
    <n v="5.67"/>
    <n v="0.64"/>
    <d v="2024-11-16T00:00:00"/>
    <n v="69.650000000000006"/>
    <n v="0.54400000000000004"/>
    <n v="39999.660000000003"/>
    <x v="0"/>
    <x v="0"/>
  </r>
  <r>
    <x v="1438"/>
    <x v="3"/>
    <n v="311"/>
    <n v="99"/>
    <n v="10"/>
    <n v="5"/>
    <n v="38.64"/>
    <x v="9"/>
    <x v="0"/>
    <n v="173"/>
    <n v="2.4500000000000002"/>
    <n v="45.47"/>
    <n v="1.5"/>
    <n v="5"/>
    <n v="0.97"/>
    <n v="784"/>
    <n v="9.85"/>
    <n v="0.49"/>
    <d v="2024-11-03T00:00:00"/>
    <n v="88.23"/>
    <n v="0.57299999999999995"/>
    <n v="14141.17"/>
    <x v="0"/>
    <x v="0"/>
  </r>
  <r>
    <x v="1439"/>
    <x v="1"/>
    <n v="354"/>
    <n v="89"/>
    <n v="5"/>
    <n v="9"/>
    <n v="9.0500000000000007"/>
    <x v="75"/>
    <x v="0"/>
    <n v="20"/>
    <n v="3.51"/>
    <n v="140.08000000000001"/>
    <n v="0.28999999999999998"/>
    <n v="7"/>
    <n v="0.86"/>
    <n v="207"/>
    <n v="8.4700000000000006"/>
    <n v="0.49"/>
    <d v="2024-09-02T00:00:00"/>
    <n v="172.15"/>
    <n v="0.61399999999999999"/>
    <n v="49588.320000000007"/>
    <x v="0"/>
    <x v="0"/>
  </r>
  <r>
    <x v="1440"/>
    <x v="1"/>
    <n v="239"/>
    <n v="66"/>
    <n v="14"/>
    <n v="8"/>
    <n v="37.909999999999997"/>
    <x v="82"/>
    <x v="3"/>
    <n v="97"/>
    <n v="1.67"/>
    <n v="89.55"/>
    <n v="0.17"/>
    <n v="4"/>
    <n v="0.81"/>
    <n v="367"/>
    <n v="1.36"/>
    <n v="0.23"/>
    <d v="2024-04-12T00:00:00"/>
    <n v="22.53"/>
    <n v="0.52900000000000003"/>
    <n v="21402.45"/>
    <x v="0"/>
    <x v="1"/>
  </r>
  <r>
    <x v="1441"/>
    <x v="2"/>
    <n v="135"/>
    <n v="86"/>
    <n v="9"/>
    <n v="9"/>
    <n v="38.28"/>
    <x v="52"/>
    <x v="0"/>
    <n v="96"/>
    <n v="3.36"/>
    <n v="27.47"/>
    <n v="0.7"/>
    <n v="4"/>
    <n v="0.96"/>
    <n v="234"/>
    <n v="14.4"/>
    <n v="0.31"/>
    <d v="2024-02-19T00:00:00"/>
    <n v="259.41000000000003"/>
    <n v="0.69599999999999995"/>
    <n v="3708.45"/>
    <x v="0"/>
    <x v="1"/>
  </r>
  <r>
    <x v="1442"/>
    <x v="3"/>
    <n v="332"/>
    <n v="24"/>
    <n v="10"/>
    <n v="4"/>
    <n v="3.94"/>
    <x v="51"/>
    <x v="2"/>
    <n v="40"/>
    <n v="2.92"/>
    <n v="131.04"/>
    <n v="0.51"/>
    <n v="0"/>
    <n v="0.8"/>
    <n v="470"/>
    <n v="8.98"/>
    <n v="0.77"/>
    <d v="2024-01-14T00:00:00"/>
    <n v="146.51"/>
    <n v="0.78300000000000003"/>
    <n v="43505.279999999999"/>
    <x v="0"/>
    <x v="0"/>
  </r>
  <r>
    <x v="1443"/>
    <x v="2"/>
    <n v="68"/>
    <n v="36"/>
    <n v="8"/>
    <n v="3"/>
    <n v="1.92"/>
    <x v="57"/>
    <x v="1"/>
    <n v="110"/>
    <n v="3.23"/>
    <n v="77.819999999999993"/>
    <n v="1.45"/>
    <n v="0"/>
    <n v="0.75"/>
    <n v="232"/>
    <n v="13.24"/>
    <n v="0.43"/>
    <d v="2024-04-15T00:00:00"/>
    <n v="150.72"/>
    <n v="0.66800000000000004"/>
    <n v="5291.7599999999993"/>
    <x v="0"/>
    <x v="2"/>
  </r>
  <r>
    <x v="1444"/>
    <x v="3"/>
    <n v="192"/>
    <n v="77"/>
    <n v="9"/>
    <n v="4"/>
    <n v="48.72"/>
    <x v="7"/>
    <x v="2"/>
    <n v="174"/>
    <n v="3.57"/>
    <n v="19.940000000000001"/>
    <n v="0.96"/>
    <n v="5"/>
    <n v="0.89"/>
    <n v="646"/>
    <n v="11.28"/>
    <n v="0.55000000000000004"/>
    <d v="2024-03-28T00:00:00"/>
    <n v="104.69"/>
    <n v="0.64200000000000002"/>
    <n v="3828.4800000000005"/>
    <x v="0"/>
    <x v="1"/>
  </r>
  <r>
    <x v="1445"/>
    <x v="2"/>
    <n v="101"/>
    <n v="89"/>
    <n v="14"/>
    <n v="4"/>
    <n v="10.48"/>
    <x v="44"/>
    <x v="1"/>
    <n v="69"/>
    <n v="1.28"/>
    <n v="190.12"/>
    <n v="1.0900000000000001"/>
    <n v="9"/>
    <n v="0.71"/>
    <n v="626"/>
    <n v="5.77"/>
    <n v="0.81"/>
    <d v="2024-11-22T00:00:00"/>
    <n v="71.48"/>
    <n v="0.49199999999999999"/>
    <n v="19202.12"/>
    <x v="0"/>
    <x v="1"/>
  </r>
  <r>
    <x v="1446"/>
    <x v="1"/>
    <n v="341"/>
    <n v="73"/>
    <n v="4"/>
    <n v="4"/>
    <n v="41.28"/>
    <x v="32"/>
    <x v="1"/>
    <n v="70"/>
    <n v="1.86"/>
    <n v="118.53"/>
    <n v="1.65"/>
    <n v="9"/>
    <n v="0.81"/>
    <n v="101"/>
    <n v="13.62"/>
    <n v="0.56000000000000005"/>
    <d v="2024-05-29T00:00:00"/>
    <n v="115.46"/>
    <n v="0.51100000000000001"/>
    <n v="40418.730000000003"/>
    <x v="0"/>
    <x v="0"/>
  </r>
  <r>
    <x v="1447"/>
    <x v="1"/>
    <n v="352"/>
    <n v="39"/>
    <n v="10"/>
    <n v="5"/>
    <n v="28.53"/>
    <x v="44"/>
    <x v="1"/>
    <n v="76"/>
    <n v="3.81"/>
    <n v="100.77"/>
    <n v="1.01"/>
    <n v="4"/>
    <n v="0.94"/>
    <n v="52"/>
    <n v="12.07"/>
    <n v="0.38"/>
    <d v="2024-02-11T00:00:00"/>
    <n v="274.89"/>
    <n v="0.64400000000000002"/>
    <n v="35471.040000000001"/>
    <x v="0"/>
    <x v="0"/>
  </r>
  <r>
    <x v="1448"/>
    <x v="4"/>
    <n v="64"/>
    <n v="45"/>
    <n v="7"/>
    <n v="8"/>
    <n v="13.96"/>
    <x v="58"/>
    <x v="2"/>
    <n v="166"/>
    <n v="1.24"/>
    <n v="173.24"/>
    <n v="1.1399999999999999"/>
    <n v="9"/>
    <n v="0.79"/>
    <n v="126"/>
    <n v="7.02"/>
    <n v="0.64"/>
    <d v="2024-08-30T00:00:00"/>
    <n v="37.33"/>
    <n v="0.48599999999999999"/>
    <n v="11087.36"/>
    <x v="0"/>
    <x v="2"/>
  </r>
  <r>
    <x v="1449"/>
    <x v="2"/>
    <n v="354"/>
    <n v="76"/>
    <n v="9"/>
    <n v="2"/>
    <n v="7.37"/>
    <x v="36"/>
    <x v="1"/>
    <n v="88"/>
    <n v="2.0499999999999998"/>
    <n v="187.98"/>
    <n v="1.7"/>
    <n v="5"/>
    <n v="0.98"/>
    <n v="696"/>
    <n v="12.77"/>
    <n v="0.84"/>
    <d v="2024-02-29T00:00:00"/>
    <n v="27.61"/>
    <n v="0.66400000000000003"/>
    <n v="66544.92"/>
    <x v="0"/>
    <x v="0"/>
  </r>
  <r>
    <x v="1450"/>
    <x v="0"/>
    <n v="39"/>
    <n v="95"/>
    <n v="3"/>
    <n v="8"/>
    <n v="25.34"/>
    <x v="88"/>
    <x v="0"/>
    <n v="80"/>
    <n v="3.5"/>
    <n v="51.86"/>
    <n v="0.92"/>
    <n v="8"/>
    <n v="0.99"/>
    <n v="887"/>
    <n v="4.8"/>
    <n v="0.68"/>
    <d v="2024-06-06T00:00:00"/>
    <n v="43.19"/>
    <n v="0.54600000000000004"/>
    <n v="2022.54"/>
    <x v="1"/>
    <x v="2"/>
  </r>
  <r>
    <x v="1451"/>
    <x v="4"/>
    <n v="467"/>
    <n v="95"/>
    <n v="7"/>
    <n v="3"/>
    <n v="20.96"/>
    <x v="92"/>
    <x v="0"/>
    <n v="76"/>
    <n v="4.72"/>
    <n v="163.93"/>
    <n v="0.26"/>
    <n v="7"/>
    <n v="0.94"/>
    <n v="631"/>
    <n v="10.39"/>
    <n v="0.54"/>
    <d v="2024-07-22T00:00:00"/>
    <n v="235.32"/>
    <n v="0.66900000000000004"/>
    <n v="76555.31"/>
    <x v="0"/>
    <x v="0"/>
  </r>
  <r>
    <x v="1452"/>
    <x v="2"/>
    <n v="240"/>
    <n v="58"/>
    <n v="3"/>
    <n v="2"/>
    <n v="35.25"/>
    <x v="14"/>
    <x v="3"/>
    <n v="137"/>
    <n v="0.84"/>
    <n v="167.91"/>
    <n v="1.0900000000000001"/>
    <n v="6"/>
    <n v="1"/>
    <n v="723"/>
    <n v="2.6"/>
    <n v="0.3"/>
    <d v="2024-08-29T00:00:00"/>
    <n v="24.04"/>
    <n v="0.46600000000000003"/>
    <n v="40298.400000000001"/>
    <x v="0"/>
    <x v="1"/>
  </r>
  <r>
    <x v="1453"/>
    <x v="2"/>
    <n v="142"/>
    <n v="85"/>
    <n v="14"/>
    <n v="7"/>
    <n v="45.3"/>
    <x v="73"/>
    <x v="3"/>
    <n v="120"/>
    <n v="2.82"/>
    <n v="20.34"/>
    <n v="1.2"/>
    <n v="6"/>
    <n v="0.86"/>
    <n v="657"/>
    <n v="13.12"/>
    <n v="0.4"/>
    <d v="2024-09-07T00:00:00"/>
    <n v="106.62"/>
    <n v="0.58699999999999997"/>
    <n v="2888.28"/>
    <x v="0"/>
    <x v="1"/>
  </r>
  <r>
    <x v="1454"/>
    <x v="4"/>
    <n v="253"/>
    <n v="64"/>
    <n v="10"/>
    <n v="7"/>
    <n v="40.46"/>
    <x v="46"/>
    <x v="3"/>
    <n v="25"/>
    <n v="0.87"/>
    <n v="145.27000000000001"/>
    <n v="1.07"/>
    <n v="5"/>
    <n v="0.87"/>
    <n v="65"/>
    <n v="11.21"/>
    <n v="0.96"/>
    <d v="2024-12-04T00:00:00"/>
    <n v="133.21"/>
    <n v="0.70799999999999996"/>
    <n v="36753.310000000005"/>
    <x v="0"/>
    <x v="0"/>
  </r>
  <r>
    <x v="1455"/>
    <x v="1"/>
    <n v="240"/>
    <n v="94"/>
    <n v="6"/>
    <n v="7"/>
    <n v="14.45"/>
    <x v="37"/>
    <x v="0"/>
    <n v="54"/>
    <n v="2.21"/>
    <n v="21.96"/>
    <n v="0.59"/>
    <n v="5"/>
    <n v="0.95"/>
    <n v="279"/>
    <n v="3.14"/>
    <n v="0.82"/>
    <d v="2024-05-15T00:00:00"/>
    <n v="157.06"/>
    <n v="0.63700000000000001"/>
    <n v="5270.4000000000005"/>
    <x v="0"/>
    <x v="1"/>
  </r>
  <r>
    <x v="1456"/>
    <x v="2"/>
    <n v="342"/>
    <n v="65"/>
    <n v="6"/>
    <n v="2"/>
    <n v="44.07"/>
    <x v="90"/>
    <x v="2"/>
    <n v="43"/>
    <n v="1.29"/>
    <n v="122.99"/>
    <n v="0.53"/>
    <n v="0"/>
    <n v="0.85"/>
    <n v="953"/>
    <n v="1.3"/>
    <n v="0.27"/>
    <d v="2024-02-16T00:00:00"/>
    <n v="10.93"/>
    <n v="0.58799999999999997"/>
    <n v="42062.58"/>
    <x v="0"/>
    <x v="0"/>
  </r>
  <r>
    <x v="1457"/>
    <x v="1"/>
    <n v="358"/>
    <n v="77"/>
    <n v="4"/>
    <n v="6"/>
    <n v="41.84"/>
    <x v="11"/>
    <x v="3"/>
    <n v="53"/>
    <n v="3.42"/>
    <n v="137.15"/>
    <n v="0.8"/>
    <n v="6"/>
    <n v="0.82"/>
    <n v="966"/>
    <n v="6.46"/>
    <n v="0.2"/>
    <d v="2024-11-24T00:00:00"/>
    <n v="151.16"/>
    <n v="0.49"/>
    <n v="49099.700000000004"/>
    <x v="0"/>
    <x v="0"/>
  </r>
  <r>
    <x v="1458"/>
    <x v="4"/>
    <n v="22"/>
    <n v="53"/>
    <n v="7"/>
    <n v="5"/>
    <n v="46.53"/>
    <x v="43"/>
    <x v="0"/>
    <n v="126"/>
    <n v="3.91"/>
    <n v="79.739999999999995"/>
    <n v="0.42"/>
    <n v="4"/>
    <n v="0.88"/>
    <n v="938"/>
    <n v="10.45"/>
    <n v="0.34"/>
    <d v="2024-10-05T00:00:00"/>
    <n v="66.53"/>
    <n v="0.66100000000000003"/>
    <n v="1754.28"/>
    <x v="1"/>
    <x v="2"/>
  </r>
  <r>
    <x v="1459"/>
    <x v="1"/>
    <n v="201"/>
    <n v="40"/>
    <n v="3"/>
    <n v="6"/>
    <n v="23.47"/>
    <x v="63"/>
    <x v="1"/>
    <n v="134"/>
    <n v="1.61"/>
    <n v="177.35"/>
    <n v="1.37"/>
    <n v="6"/>
    <n v="0.9"/>
    <n v="316"/>
    <n v="4.96"/>
    <n v="0.96"/>
    <d v="2024-07-17T00:00:00"/>
    <n v="38.380000000000003"/>
    <n v="0.58099999999999996"/>
    <n v="35647.35"/>
    <x v="0"/>
    <x v="1"/>
  </r>
  <r>
    <x v="1460"/>
    <x v="3"/>
    <n v="225"/>
    <n v="67"/>
    <n v="11"/>
    <n v="8"/>
    <n v="38.659999999999997"/>
    <x v="72"/>
    <x v="2"/>
    <n v="112"/>
    <n v="3.71"/>
    <n v="162.1"/>
    <n v="1.27"/>
    <n v="5"/>
    <n v="0.93"/>
    <n v="355"/>
    <n v="14.63"/>
    <n v="0.66"/>
    <d v="2024-04-04T00:00:00"/>
    <n v="164.66"/>
    <n v="0.68600000000000005"/>
    <n v="36472.5"/>
    <x v="0"/>
    <x v="1"/>
  </r>
  <r>
    <x v="1461"/>
    <x v="0"/>
    <n v="339"/>
    <n v="96"/>
    <n v="7"/>
    <n v="7"/>
    <n v="29.99"/>
    <x v="24"/>
    <x v="2"/>
    <n v="129"/>
    <n v="2.5099999999999998"/>
    <n v="185.93"/>
    <n v="1.3"/>
    <n v="7"/>
    <n v="0.9"/>
    <n v="904"/>
    <n v="14.09"/>
    <n v="0.87"/>
    <d v="2024-07-08T00:00:00"/>
    <n v="225.8"/>
    <n v="0.67200000000000004"/>
    <n v="63030.270000000004"/>
    <x v="0"/>
    <x v="0"/>
  </r>
  <r>
    <x v="1462"/>
    <x v="2"/>
    <n v="59"/>
    <n v="62"/>
    <n v="8"/>
    <n v="5"/>
    <n v="16.21"/>
    <x v="84"/>
    <x v="0"/>
    <n v="179"/>
    <n v="1.78"/>
    <n v="69.83"/>
    <n v="0.53"/>
    <n v="2"/>
    <n v="0.92"/>
    <n v="55"/>
    <n v="9.3699999999999992"/>
    <n v="0.56999999999999995"/>
    <d v="2024-07-14T00:00:00"/>
    <n v="281.08"/>
    <n v="0.73"/>
    <n v="4119.97"/>
    <x v="1"/>
    <x v="2"/>
  </r>
  <r>
    <x v="1463"/>
    <x v="0"/>
    <n v="78"/>
    <n v="93"/>
    <n v="4"/>
    <n v="2"/>
    <n v="49.73"/>
    <x v="20"/>
    <x v="0"/>
    <n v="44"/>
    <n v="2.86"/>
    <n v="14.09"/>
    <n v="0.56999999999999995"/>
    <n v="7"/>
    <n v="0.9"/>
    <n v="159"/>
    <n v="5.42"/>
    <n v="0.86"/>
    <d v="2024-07-08T00:00:00"/>
    <n v="274.67"/>
    <n v="0.627"/>
    <n v="1099.02"/>
    <x v="1"/>
    <x v="2"/>
  </r>
  <r>
    <x v="1464"/>
    <x v="1"/>
    <n v="458"/>
    <n v="88"/>
    <n v="12"/>
    <n v="7"/>
    <n v="2.88"/>
    <x v="90"/>
    <x v="1"/>
    <n v="135"/>
    <n v="2.21"/>
    <n v="164.18"/>
    <n v="1.6"/>
    <n v="6"/>
    <n v="0.84"/>
    <n v="192"/>
    <n v="13.55"/>
    <n v="0.23"/>
    <d v="2024-04-05T00:00:00"/>
    <n v="125.71"/>
    <n v="0.51500000000000001"/>
    <n v="75194.44"/>
    <x v="0"/>
    <x v="0"/>
  </r>
  <r>
    <x v="1465"/>
    <x v="2"/>
    <n v="81"/>
    <n v="32"/>
    <n v="12"/>
    <n v="2"/>
    <n v="8.9499999999999993"/>
    <x v="10"/>
    <x v="1"/>
    <n v="84"/>
    <n v="1.53"/>
    <n v="52.37"/>
    <n v="1.41"/>
    <n v="0"/>
    <n v="0.74"/>
    <n v="956"/>
    <n v="12.25"/>
    <n v="0.54"/>
    <d v="2024-08-16T00:00:00"/>
    <n v="214.18"/>
    <n v="0.67800000000000005"/>
    <n v="4241.9699999999993"/>
    <x v="0"/>
    <x v="2"/>
  </r>
  <r>
    <x v="1466"/>
    <x v="1"/>
    <n v="151"/>
    <n v="37"/>
    <n v="3"/>
    <n v="5"/>
    <n v="44.73"/>
    <x v="46"/>
    <x v="1"/>
    <n v="93"/>
    <n v="3.91"/>
    <n v="98.76"/>
    <n v="1.76"/>
    <n v="2"/>
    <n v="0.94"/>
    <n v="716"/>
    <n v="2.21"/>
    <n v="0.5"/>
    <d v="2024-01-23T00:00:00"/>
    <n v="211.73"/>
    <n v="0.501"/>
    <n v="14912.76"/>
    <x v="0"/>
    <x v="1"/>
  </r>
  <r>
    <x v="1467"/>
    <x v="3"/>
    <n v="79"/>
    <n v="25"/>
    <n v="6"/>
    <n v="2"/>
    <n v="3.97"/>
    <x v="79"/>
    <x v="2"/>
    <n v="167"/>
    <n v="4.09"/>
    <n v="165.29"/>
    <n v="0.87"/>
    <n v="9"/>
    <n v="0.71"/>
    <n v="256"/>
    <n v="7.67"/>
    <n v="0.99"/>
    <d v="2024-05-14T00:00:00"/>
    <n v="129.51"/>
    <n v="0.57499999999999996"/>
    <n v="13057.91"/>
    <x v="0"/>
    <x v="2"/>
  </r>
  <r>
    <x v="1468"/>
    <x v="4"/>
    <n v="391"/>
    <n v="46"/>
    <n v="9"/>
    <n v="2"/>
    <n v="44.45"/>
    <x v="17"/>
    <x v="2"/>
    <n v="62"/>
    <n v="4.0999999999999996"/>
    <n v="51.07"/>
    <n v="1.1399999999999999"/>
    <n v="3"/>
    <n v="1"/>
    <n v="478"/>
    <n v="14.74"/>
    <n v="0.44"/>
    <d v="2024-08-13T00:00:00"/>
    <n v="38.479999999999997"/>
    <n v="0.71099999999999997"/>
    <n v="19968.37"/>
    <x v="0"/>
    <x v="0"/>
  </r>
  <r>
    <x v="1469"/>
    <x v="2"/>
    <n v="350"/>
    <n v="30"/>
    <n v="8"/>
    <n v="3"/>
    <n v="36.049999999999997"/>
    <x v="56"/>
    <x v="3"/>
    <n v="67"/>
    <n v="2.2200000000000002"/>
    <n v="69.260000000000005"/>
    <n v="1.5"/>
    <n v="8"/>
    <n v="0.95"/>
    <n v="215"/>
    <n v="7.35"/>
    <n v="0.53"/>
    <d v="2024-08-26T00:00:00"/>
    <n v="120.78"/>
    <n v="0.48399999999999999"/>
    <n v="24241"/>
    <x v="0"/>
    <x v="0"/>
  </r>
  <r>
    <x v="1470"/>
    <x v="3"/>
    <n v="141"/>
    <n v="88"/>
    <n v="12"/>
    <n v="8"/>
    <n v="2.8"/>
    <x v="60"/>
    <x v="3"/>
    <n v="165"/>
    <n v="1.26"/>
    <n v="93.43"/>
    <n v="1.95"/>
    <n v="5"/>
    <n v="0.9"/>
    <n v="309"/>
    <n v="14.06"/>
    <n v="0.81"/>
    <d v="2024-05-14T00:00:00"/>
    <n v="297.77999999999997"/>
    <n v="0.63400000000000001"/>
    <n v="13173.630000000001"/>
    <x v="0"/>
    <x v="1"/>
  </r>
  <r>
    <x v="1471"/>
    <x v="3"/>
    <n v="498"/>
    <n v="26"/>
    <n v="3"/>
    <n v="6"/>
    <n v="22.04"/>
    <x v="80"/>
    <x v="3"/>
    <n v="152"/>
    <n v="4.28"/>
    <n v="61.65"/>
    <n v="1.98"/>
    <n v="6"/>
    <n v="0.99"/>
    <n v="734"/>
    <n v="14.68"/>
    <n v="0.9"/>
    <d v="2024-04-25T00:00:00"/>
    <n v="170.96"/>
    <n v="0.65600000000000003"/>
    <n v="30701.7"/>
    <x v="0"/>
    <x v="0"/>
  </r>
  <r>
    <x v="1472"/>
    <x v="2"/>
    <n v="126"/>
    <n v="46"/>
    <n v="3"/>
    <n v="9"/>
    <n v="37.97"/>
    <x v="97"/>
    <x v="2"/>
    <n v="175"/>
    <n v="1.98"/>
    <n v="97.65"/>
    <n v="2"/>
    <n v="4"/>
    <n v="0.88"/>
    <n v="443"/>
    <n v="6.42"/>
    <n v="0.9"/>
    <d v="2024-05-17T00:00:00"/>
    <n v="109"/>
    <n v="0.56200000000000006"/>
    <n v="12303.900000000001"/>
    <x v="0"/>
    <x v="1"/>
  </r>
  <r>
    <x v="1473"/>
    <x v="1"/>
    <n v="115"/>
    <n v="86"/>
    <n v="10"/>
    <n v="6"/>
    <n v="29.57"/>
    <x v="43"/>
    <x v="1"/>
    <n v="59"/>
    <n v="3.87"/>
    <n v="11.82"/>
    <n v="1.79"/>
    <n v="2"/>
    <n v="0.72"/>
    <n v="170"/>
    <n v="14.5"/>
    <n v="0.52"/>
    <d v="2024-10-15T00:00:00"/>
    <n v="225.71"/>
    <n v="0.622"/>
    <n v="1359.3"/>
    <x v="0"/>
    <x v="1"/>
  </r>
  <r>
    <x v="1474"/>
    <x v="3"/>
    <n v="366"/>
    <n v="28"/>
    <n v="6"/>
    <n v="6"/>
    <n v="46.86"/>
    <x v="72"/>
    <x v="3"/>
    <n v="150"/>
    <n v="4.18"/>
    <n v="50.32"/>
    <n v="1.32"/>
    <n v="4"/>
    <n v="0.87"/>
    <n v="999"/>
    <n v="2.93"/>
    <n v="0.96"/>
    <d v="2024-02-01T00:00:00"/>
    <n v="209.03"/>
    <n v="0.59299999999999997"/>
    <n v="18417.12"/>
    <x v="0"/>
    <x v="0"/>
  </r>
  <r>
    <x v="1475"/>
    <x v="0"/>
    <n v="433"/>
    <n v="39"/>
    <n v="7"/>
    <n v="4"/>
    <n v="43.51"/>
    <x v="29"/>
    <x v="1"/>
    <n v="120"/>
    <n v="3.96"/>
    <n v="168.19"/>
    <n v="0.11"/>
    <n v="6"/>
    <n v="0.78"/>
    <n v="462"/>
    <n v="3.24"/>
    <n v="0.72"/>
    <d v="2024-03-18T00:00:00"/>
    <n v="177.85"/>
    <n v="0.61199999999999999"/>
    <n v="72826.27"/>
    <x v="0"/>
    <x v="0"/>
  </r>
  <r>
    <x v="1476"/>
    <x v="3"/>
    <n v="254"/>
    <n v="54"/>
    <n v="9"/>
    <n v="3"/>
    <n v="17.3"/>
    <x v="1"/>
    <x v="1"/>
    <n v="172"/>
    <n v="2.25"/>
    <n v="88.56"/>
    <n v="1.43"/>
    <n v="8"/>
    <n v="0.81"/>
    <n v="189"/>
    <n v="4.87"/>
    <n v="0.88"/>
    <d v="2024-12-22T00:00:00"/>
    <n v="194.86"/>
    <n v="0.5"/>
    <n v="22494.240000000002"/>
    <x v="0"/>
    <x v="0"/>
  </r>
  <r>
    <x v="1477"/>
    <x v="1"/>
    <n v="405"/>
    <n v="27"/>
    <n v="10"/>
    <n v="9"/>
    <n v="5.15"/>
    <x v="61"/>
    <x v="1"/>
    <n v="120"/>
    <n v="4.72"/>
    <n v="130.91999999999999"/>
    <n v="0.55000000000000004"/>
    <n v="8"/>
    <n v="0.84"/>
    <n v="217"/>
    <n v="7.55"/>
    <n v="0.94"/>
    <d v="2024-12-07T00:00:00"/>
    <n v="179.63"/>
    <n v="0.64200000000000002"/>
    <n v="53022.6"/>
    <x v="0"/>
    <x v="0"/>
  </r>
  <r>
    <x v="1478"/>
    <x v="1"/>
    <n v="81"/>
    <n v="87"/>
    <n v="12"/>
    <n v="7"/>
    <n v="47.27"/>
    <x v="59"/>
    <x v="3"/>
    <n v="161"/>
    <n v="3.47"/>
    <n v="54.13"/>
    <n v="0.21"/>
    <n v="7"/>
    <n v="0.93"/>
    <n v="133"/>
    <n v="3.53"/>
    <n v="0.39"/>
    <d v="2024-02-19T00:00:00"/>
    <n v="287.32"/>
    <n v="0.55000000000000004"/>
    <n v="4384.5300000000007"/>
    <x v="1"/>
    <x v="2"/>
  </r>
  <r>
    <x v="1479"/>
    <x v="0"/>
    <n v="275"/>
    <n v="71"/>
    <n v="9"/>
    <n v="7"/>
    <n v="26.35"/>
    <x v="71"/>
    <x v="3"/>
    <n v="129"/>
    <n v="3.09"/>
    <n v="133.47999999999999"/>
    <n v="1.42"/>
    <n v="4"/>
    <n v="0.85"/>
    <n v="470"/>
    <n v="5.76"/>
    <n v="0.6"/>
    <d v="2024-02-13T00:00:00"/>
    <n v="157.65"/>
    <n v="0.54500000000000004"/>
    <n v="36707"/>
    <x v="0"/>
    <x v="0"/>
  </r>
  <r>
    <x v="1480"/>
    <x v="3"/>
    <n v="68"/>
    <n v="45"/>
    <n v="4"/>
    <n v="7"/>
    <n v="4.6500000000000004"/>
    <x v="75"/>
    <x v="1"/>
    <n v="74"/>
    <n v="3.64"/>
    <n v="200"/>
    <n v="1.54"/>
    <n v="6"/>
    <n v="0.84"/>
    <n v="755"/>
    <n v="2.4500000000000002"/>
    <n v="0.67"/>
    <d v="2024-12-08T00:00:00"/>
    <n v="181.16"/>
    <n v="0.46100000000000002"/>
    <n v="13600"/>
    <x v="0"/>
    <x v="2"/>
  </r>
  <r>
    <x v="1481"/>
    <x v="1"/>
    <n v="412"/>
    <n v="93"/>
    <n v="6"/>
    <n v="6"/>
    <n v="41.01"/>
    <x v="6"/>
    <x v="3"/>
    <n v="115"/>
    <n v="0.7"/>
    <n v="123.1"/>
    <n v="1.35"/>
    <n v="3"/>
    <n v="0.79"/>
    <n v="837"/>
    <n v="7.02"/>
    <n v="0.84"/>
    <d v="2024-06-25T00:00:00"/>
    <n v="146.78"/>
    <n v="0.625"/>
    <n v="50717.2"/>
    <x v="0"/>
    <x v="0"/>
  </r>
  <r>
    <x v="1482"/>
    <x v="2"/>
    <n v="367"/>
    <n v="61"/>
    <n v="12"/>
    <n v="8"/>
    <n v="43.56"/>
    <x v="9"/>
    <x v="0"/>
    <n v="100"/>
    <n v="2.2599999999999998"/>
    <n v="129.38999999999999"/>
    <n v="0.79"/>
    <n v="9"/>
    <n v="0.86"/>
    <n v="317"/>
    <n v="12.58"/>
    <n v="0.52"/>
    <d v="2024-10-04T00:00:00"/>
    <n v="184.06"/>
    <n v="0.58499999999999996"/>
    <n v="47486.13"/>
    <x v="0"/>
    <x v="0"/>
  </r>
  <r>
    <x v="1483"/>
    <x v="4"/>
    <n v="178"/>
    <n v="28"/>
    <n v="14"/>
    <n v="6"/>
    <n v="32.33"/>
    <x v="82"/>
    <x v="3"/>
    <n v="155"/>
    <n v="4.47"/>
    <n v="31.19"/>
    <n v="1.07"/>
    <n v="4"/>
    <n v="0.77"/>
    <n v="87"/>
    <n v="9.33"/>
    <n v="0.37"/>
    <d v="2024-07-30T00:00:00"/>
    <n v="268.33999999999997"/>
    <n v="0.56499999999999995"/>
    <n v="5551.8200000000006"/>
    <x v="0"/>
    <x v="1"/>
  </r>
  <r>
    <x v="1484"/>
    <x v="4"/>
    <n v="143"/>
    <n v="53"/>
    <n v="3"/>
    <n v="9"/>
    <n v="22.93"/>
    <x v="9"/>
    <x v="1"/>
    <n v="35"/>
    <n v="1.22"/>
    <n v="86.64"/>
    <n v="1.88"/>
    <n v="3"/>
    <n v="0.78"/>
    <n v="975"/>
    <n v="12.34"/>
    <n v="0.79"/>
    <d v="2024-10-28T00:00:00"/>
    <n v="108.53"/>
    <n v="0.63100000000000001"/>
    <n v="12389.52"/>
    <x v="0"/>
    <x v="1"/>
  </r>
  <r>
    <x v="1485"/>
    <x v="4"/>
    <n v="336"/>
    <n v="16"/>
    <n v="12"/>
    <n v="8"/>
    <n v="33.450000000000003"/>
    <x v="70"/>
    <x v="1"/>
    <n v="166"/>
    <n v="2.36"/>
    <n v="173.54"/>
    <n v="1.49"/>
    <n v="2"/>
    <n v="0.93"/>
    <n v="352"/>
    <n v="2.9"/>
    <n v="0.67"/>
    <d v="2024-04-26T00:00:00"/>
    <n v="153.81"/>
    <n v="0.56999999999999995"/>
    <n v="58309.439999999995"/>
    <x v="0"/>
    <x v="0"/>
  </r>
  <r>
    <x v="1486"/>
    <x v="3"/>
    <n v="226"/>
    <n v="53"/>
    <n v="11"/>
    <n v="3"/>
    <n v="35.630000000000003"/>
    <x v="19"/>
    <x v="2"/>
    <n v="81"/>
    <n v="2.3199999999999998"/>
    <n v="168.51"/>
    <n v="1.06"/>
    <n v="0"/>
    <n v="0.8"/>
    <n v="387"/>
    <n v="6.59"/>
    <n v="0.92"/>
    <d v="2024-10-10T00:00:00"/>
    <n v="140.1"/>
    <n v="0.72599999999999998"/>
    <n v="38083.259999999995"/>
    <x v="0"/>
    <x v="1"/>
  </r>
  <r>
    <x v="1487"/>
    <x v="0"/>
    <n v="67"/>
    <n v="77"/>
    <n v="5"/>
    <n v="8"/>
    <n v="44.76"/>
    <x v="46"/>
    <x v="2"/>
    <n v="53"/>
    <n v="2.1"/>
    <n v="109.26"/>
    <n v="1.23"/>
    <n v="4"/>
    <n v="0.72"/>
    <n v="803"/>
    <n v="1.55"/>
    <n v="0.72"/>
    <d v="2024-02-01T00:00:00"/>
    <n v="125.41"/>
    <n v="0.50600000000000001"/>
    <n v="7320.42"/>
    <x v="1"/>
    <x v="2"/>
  </r>
  <r>
    <x v="1488"/>
    <x v="1"/>
    <n v="428"/>
    <n v="43"/>
    <n v="14"/>
    <n v="9"/>
    <n v="47.84"/>
    <x v="11"/>
    <x v="1"/>
    <n v="99"/>
    <n v="3.03"/>
    <n v="181.66"/>
    <n v="1.86"/>
    <n v="1"/>
    <n v="0.8"/>
    <n v="379"/>
    <n v="6.18"/>
    <n v="0.21"/>
    <d v="2024-07-17T00:00:00"/>
    <n v="248.1"/>
    <n v="0.47799999999999998"/>
    <n v="77750.48"/>
    <x v="0"/>
    <x v="0"/>
  </r>
  <r>
    <x v="1489"/>
    <x v="2"/>
    <n v="439"/>
    <n v="75"/>
    <n v="5"/>
    <n v="2"/>
    <n v="26.2"/>
    <x v="70"/>
    <x v="0"/>
    <n v="142"/>
    <n v="4.9800000000000004"/>
    <n v="37.159999999999997"/>
    <n v="0.85"/>
    <n v="5"/>
    <n v="0.89"/>
    <n v="248"/>
    <n v="9.6"/>
    <n v="0.97"/>
    <d v="2024-09-24T00:00:00"/>
    <n v="77.260000000000005"/>
    <n v="0.71499999999999997"/>
    <n v="16313.239999999998"/>
    <x v="0"/>
    <x v="0"/>
  </r>
  <r>
    <x v="1490"/>
    <x v="2"/>
    <n v="155"/>
    <n v="78"/>
    <n v="12"/>
    <n v="6"/>
    <n v="40.130000000000003"/>
    <x v="81"/>
    <x v="2"/>
    <n v="170"/>
    <n v="1.65"/>
    <n v="135.06"/>
    <n v="0.28999999999999998"/>
    <n v="4"/>
    <n v="0.94"/>
    <n v="859"/>
    <n v="8.9600000000000009"/>
    <n v="0.67"/>
    <d v="2024-08-02T00:00:00"/>
    <n v="154.97999999999999"/>
    <n v="0.73199999999999998"/>
    <n v="20934.3"/>
    <x v="0"/>
    <x v="1"/>
  </r>
  <r>
    <x v="1491"/>
    <x v="3"/>
    <n v="220"/>
    <n v="64"/>
    <n v="11"/>
    <n v="7"/>
    <n v="48.26"/>
    <x v="35"/>
    <x v="1"/>
    <n v="133"/>
    <n v="3.67"/>
    <n v="57.29"/>
    <n v="0.72"/>
    <n v="1"/>
    <n v="0.99"/>
    <n v="54"/>
    <n v="1.84"/>
    <n v="0.68"/>
    <d v="2024-10-01T00:00:00"/>
    <n v="278.14"/>
    <n v="0.66700000000000004"/>
    <n v="12603.8"/>
    <x v="0"/>
    <x v="1"/>
  </r>
  <r>
    <x v="1492"/>
    <x v="4"/>
    <n v="269"/>
    <n v="19"/>
    <n v="12"/>
    <n v="2"/>
    <n v="8.41"/>
    <x v="39"/>
    <x v="2"/>
    <n v="14"/>
    <n v="3.91"/>
    <n v="132.66"/>
    <n v="0.89"/>
    <n v="7"/>
    <n v="0.92"/>
    <n v="481"/>
    <n v="1.87"/>
    <n v="0.93"/>
    <d v="2024-12-17T00:00:00"/>
    <n v="56.76"/>
    <n v="0.56599999999999995"/>
    <n v="35685.54"/>
    <x v="0"/>
    <x v="0"/>
  </r>
  <r>
    <x v="1493"/>
    <x v="3"/>
    <n v="333"/>
    <n v="51"/>
    <n v="5"/>
    <n v="6"/>
    <n v="1.9"/>
    <x v="40"/>
    <x v="2"/>
    <n v="136"/>
    <n v="3.13"/>
    <n v="26.61"/>
    <n v="0.62"/>
    <n v="4"/>
    <n v="0.83"/>
    <n v="420"/>
    <n v="5.27"/>
    <n v="0.73"/>
    <d v="2024-08-31T00:00:00"/>
    <n v="11.35"/>
    <n v="0.64"/>
    <n v="8861.1299999999992"/>
    <x v="0"/>
    <x v="0"/>
  </r>
  <r>
    <x v="1494"/>
    <x v="0"/>
    <n v="376"/>
    <n v="50"/>
    <n v="10"/>
    <n v="5"/>
    <n v="43.58"/>
    <x v="38"/>
    <x v="1"/>
    <n v="122"/>
    <n v="0.94"/>
    <n v="189.29"/>
    <n v="1.1100000000000001"/>
    <n v="1"/>
    <n v="0.79"/>
    <n v="944"/>
    <n v="11.8"/>
    <n v="0.57999999999999996"/>
    <d v="2024-10-20T00:00:00"/>
    <n v="86.91"/>
    <n v="0.7"/>
    <n v="71173.039999999994"/>
    <x v="0"/>
    <x v="0"/>
  </r>
  <r>
    <x v="1495"/>
    <x v="0"/>
    <n v="387"/>
    <n v="86"/>
    <n v="4"/>
    <n v="4"/>
    <n v="10.57"/>
    <x v="53"/>
    <x v="3"/>
    <n v="120"/>
    <n v="3.08"/>
    <n v="159.4"/>
    <n v="0.68"/>
    <n v="0"/>
    <n v="0.74"/>
    <n v="916"/>
    <n v="1.29"/>
    <n v="0.28999999999999998"/>
    <d v="2024-04-30T00:00:00"/>
    <n v="277.47000000000003"/>
    <n v="0.55500000000000005"/>
    <n v="61687.8"/>
    <x v="0"/>
    <x v="0"/>
  </r>
  <r>
    <x v="1496"/>
    <x v="1"/>
    <n v="448"/>
    <n v="78"/>
    <n v="5"/>
    <n v="6"/>
    <n v="3.08"/>
    <x v="9"/>
    <x v="0"/>
    <n v="173"/>
    <n v="4.79"/>
    <n v="48.18"/>
    <n v="0.3"/>
    <n v="1"/>
    <n v="0.89"/>
    <n v="152"/>
    <n v="9.6199999999999992"/>
    <n v="0.97"/>
    <d v="2024-08-31T00:00:00"/>
    <n v="35.409999999999997"/>
    <n v="0.85"/>
    <n v="21584.639999999999"/>
    <x v="0"/>
    <x v="0"/>
  </r>
  <r>
    <x v="1497"/>
    <x v="1"/>
    <n v="337"/>
    <n v="19"/>
    <n v="4"/>
    <n v="5"/>
    <n v="8.84"/>
    <x v="72"/>
    <x v="3"/>
    <n v="86"/>
    <n v="2.04"/>
    <n v="131.08000000000001"/>
    <n v="0.46"/>
    <n v="0"/>
    <n v="0.85"/>
    <n v="484"/>
    <n v="3.57"/>
    <n v="0.26"/>
    <d v="2024-06-02T00:00:00"/>
    <n v="49.75"/>
    <n v="0.624"/>
    <n v="44173.960000000006"/>
    <x v="0"/>
    <x v="0"/>
  </r>
  <r>
    <x v="1498"/>
    <x v="0"/>
    <n v="314"/>
    <n v="19"/>
    <n v="3"/>
    <n v="9"/>
    <n v="19.82"/>
    <x v="9"/>
    <x v="1"/>
    <n v="22"/>
    <n v="3.38"/>
    <n v="154.24"/>
    <n v="1.84"/>
    <n v="9"/>
    <n v="0.9"/>
    <n v="957"/>
    <n v="14.22"/>
    <n v="0.34"/>
    <d v="2024-02-10T00:00:00"/>
    <n v="102.9"/>
    <n v="0.47399999999999998"/>
    <n v="48431.360000000001"/>
    <x v="0"/>
    <x v="0"/>
  </r>
  <r>
    <x v="1499"/>
    <x v="0"/>
    <n v="499"/>
    <n v="69"/>
    <n v="4"/>
    <n v="3"/>
    <n v="11.74"/>
    <x v="35"/>
    <x v="1"/>
    <n v="162"/>
    <n v="4.82"/>
    <n v="49.79"/>
    <n v="1.3"/>
    <n v="9"/>
    <n v="0.77"/>
    <n v="699"/>
    <n v="7.02"/>
    <n v="0.86"/>
    <d v="2024-07-21T00:00:00"/>
    <n v="233.21"/>
    <n v="0.51"/>
    <n v="24845.21"/>
    <x v="0"/>
    <x v="0"/>
  </r>
  <r>
    <x v="1500"/>
    <x v="0"/>
    <n v="333"/>
    <n v="60"/>
    <n v="10"/>
    <n v="5"/>
    <n v="15.96"/>
    <x v="73"/>
    <x v="0"/>
    <n v="67"/>
    <n v="4.09"/>
    <n v="27.73"/>
    <n v="0.7"/>
    <n v="2"/>
    <n v="0.8"/>
    <n v="854"/>
    <n v="1.67"/>
    <n v="0.59"/>
    <d v="2024-01-18T00:00:00"/>
    <n v="227.87"/>
    <n v="0.59"/>
    <n v="9234.09"/>
    <x v="0"/>
    <x v="0"/>
  </r>
  <r>
    <x v="1501"/>
    <x v="3"/>
    <n v="228"/>
    <n v="30"/>
    <n v="11"/>
    <n v="3"/>
    <n v="48.79"/>
    <x v="31"/>
    <x v="1"/>
    <n v="139"/>
    <n v="3.6"/>
    <n v="76.84"/>
    <n v="0.8"/>
    <n v="2"/>
    <n v="0.79"/>
    <n v="430"/>
    <n v="10.99"/>
    <n v="0.34"/>
    <d v="2024-09-14T00:00:00"/>
    <n v="35.25"/>
    <n v="0.65300000000000002"/>
    <n v="17519.52"/>
    <x v="0"/>
    <x v="1"/>
  </r>
  <r>
    <x v="1502"/>
    <x v="0"/>
    <n v="374"/>
    <n v="17"/>
    <n v="4"/>
    <n v="6"/>
    <n v="35.520000000000003"/>
    <x v="0"/>
    <x v="2"/>
    <n v="97"/>
    <n v="4.87"/>
    <n v="35.79"/>
    <n v="1.04"/>
    <n v="9"/>
    <n v="0.94"/>
    <n v="115"/>
    <n v="7.78"/>
    <n v="0.43"/>
    <d v="2024-10-19T00:00:00"/>
    <n v="280.81"/>
    <n v="0.49399999999999999"/>
    <n v="13385.46"/>
    <x v="0"/>
    <x v="0"/>
  </r>
  <r>
    <x v="1503"/>
    <x v="2"/>
    <n v="230"/>
    <n v="74"/>
    <n v="9"/>
    <n v="3"/>
    <n v="35.9"/>
    <x v="53"/>
    <x v="0"/>
    <n v="45"/>
    <n v="1.27"/>
    <n v="117.49"/>
    <n v="1.38"/>
    <n v="0"/>
    <n v="0.75"/>
    <n v="628"/>
    <n v="13.34"/>
    <n v="1"/>
    <d v="2024-09-21T00:00:00"/>
    <n v="79.260000000000005"/>
    <n v="0.79"/>
    <n v="27022.699999999997"/>
    <x v="0"/>
    <x v="1"/>
  </r>
  <r>
    <x v="1504"/>
    <x v="4"/>
    <n v="211"/>
    <n v="87"/>
    <n v="7"/>
    <n v="5"/>
    <n v="5.64"/>
    <x v="8"/>
    <x v="3"/>
    <n v="34"/>
    <n v="3.98"/>
    <n v="90.58"/>
    <n v="1.21"/>
    <n v="6"/>
    <n v="0.88"/>
    <n v="319"/>
    <n v="10.130000000000001"/>
    <n v="0.67"/>
    <d v="2024-10-19T00:00:00"/>
    <n v="91.38"/>
    <n v="0.60399999999999998"/>
    <n v="19112.38"/>
    <x v="0"/>
    <x v="1"/>
  </r>
  <r>
    <x v="1505"/>
    <x v="0"/>
    <n v="63"/>
    <n v="94"/>
    <n v="5"/>
    <n v="8"/>
    <n v="36.869999999999997"/>
    <x v="9"/>
    <x v="0"/>
    <n v="43"/>
    <n v="2.33"/>
    <n v="97.86"/>
    <n v="1.87"/>
    <n v="9"/>
    <n v="0.72"/>
    <n v="96"/>
    <n v="10.7"/>
    <n v="0.52"/>
    <d v="2024-12-12T00:00:00"/>
    <n v="122.06"/>
    <n v="0.42399999999999999"/>
    <n v="6165.18"/>
    <x v="1"/>
    <x v="2"/>
  </r>
  <r>
    <x v="1506"/>
    <x v="4"/>
    <n v="48"/>
    <n v="39"/>
    <n v="11"/>
    <n v="4"/>
    <n v="37.229999999999997"/>
    <x v="16"/>
    <x v="3"/>
    <n v="149"/>
    <n v="2.12"/>
    <n v="113.14"/>
    <n v="1.29"/>
    <n v="6"/>
    <n v="0.86"/>
    <n v="965"/>
    <n v="11.74"/>
    <n v="0.9"/>
    <d v="2024-11-13T00:00:00"/>
    <n v="194"/>
    <n v="0.66"/>
    <n v="5430.72"/>
    <x v="0"/>
    <x v="2"/>
  </r>
  <r>
    <x v="1507"/>
    <x v="3"/>
    <n v="78"/>
    <n v="94"/>
    <n v="8"/>
    <n v="2"/>
    <n v="33.33"/>
    <x v="91"/>
    <x v="1"/>
    <n v="28"/>
    <n v="2.84"/>
    <n v="196.59"/>
    <n v="1.83"/>
    <n v="8"/>
    <n v="0.72"/>
    <n v="414"/>
    <n v="6.88"/>
    <n v="0.57999999999999996"/>
    <d v="2024-03-16T00:00:00"/>
    <n v="161.18"/>
    <n v="0.40899999999999997"/>
    <n v="15334.02"/>
    <x v="1"/>
    <x v="2"/>
  </r>
  <r>
    <x v="1508"/>
    <x v="4"/>
    <n v="90"/>
    <n v="58"/>
    <n v="13"/>
    <n v="2"/>
    <n v="12.19"/>
    <x v="2"/>
    <x v="3"/>
    <n v="123"/>
    <n v="0.65"/>
    <n v="160.6"/>
    <n v="0.11"/>
    <n v="4"/>
    <n v="0.75"/>
    <n v="930"/>
    <n v="12.1"/>
    <n v="0.45"/>
    <d v="2024-03-02T00:00:00"/>
    <n v="279.3"/>
    <n v="0.71"/>
    <n v="14454"/>
    <x v="0"/>
    <x v="2"/>
  </r>
  <r>
    <x v="1509"/>
    <x v="3"/>
    <n v="111"/>
    <n v="18"/>
    <n v="3"/>
    <n v="4"/>
    <n v="21.73"/>
    <x v="45"/>
    <x v="3"/>
    <n v="115"/>
    <n v="1.91"/>
    <n v="129.6"/>
    <n v="1.79"/>
    <n v="3"/>
    <n v="0.73"/>
    <n v="229"/>
    <n v="1.71"/>
    <n v="0.33"/>
    <d v="2024-08-17T00:00:00"/>
    <n v="173.74"/>
    <n v="0.39600000000000002"/>
    <n v="14385.599999999999"/>
    <x v="0"/>
    <x v="1"/>
  </r>
  <r>
    <x v="1510"/>
    <x v="2"/>
    <n v="284"/>
    <n v="26"/>
    <n v="7"/>
    <n v="7"/>
    <n v="42.47"/>
    <x v="19"/>
    <x v="3"/>
    <n v="46"/>
    <n v="1.25"/>
    <n v="79.099999999999994"/>
    <n v="1.47"/>
    <n v="4"/>
    <n v="0.8"/>
    <n v="117"/>
    <n v="11.72"/>
    <n v="0.8"/>
    <d v="2024-03-29T00:00:00"/>
    <n v="258.54000000000002"/>
    <n v="0.64900000000000002"/>
    <n v="22464.399999999998"/>
    <x v="0"/>
    <x v="0"/>
  </r>
  <r>
    <x v="1511"/>
    <x v="3"/>
    <n v="402"/>
    <n v="78"/>
    <n v="9"/>
    <n v="2"/>
    <n v="33.840000000000003"/>
    <x v="63"/>
    <x v="0"/>
    <n v="116"/>
    <n v="1.1200000000000001"/>
    <n v="15.14"/>
    <n v="0.43"/>
    <n v="7"/>
    <n v="0.8"/>
    <n v="164"/>
    <n v="9.91"/>
    <n v="0.68"/>
    <d v="2024-03-26T00:00:00"/>
    <n v="32.68"/>
    <n v="0.64500000000000002"/>
    <n v="6086.2800000000007"/>
    <x v="0"/>
    <x v="0"/>
  </r>
  <r>
    <x v="1512"/>
    <x v="3"/>
    <n v="239"/>
    <n v="67"/>
    <n v="6"/>
    <n v="9"/>
    <n v="36.909999999999997"/>
    <x v="99"/>
    <x v="2"/>
    <n v="138"/>
    <n v="2.02"/>
    <n v="32.14"/>
    <n v="0.6"/>
    <n v="7"/>
    <n v="0.95"/>
    <n v="75"/>
    <n v="8.93"/>
    <n v="0.27"/>
    <d v="2024-04-18T00:00:00"/>
    <n v="258.20999999999998"/>
    <n v="0.56299999999999994"/>
    <n v="7681.46"/>
    <x v="0"/>
    <x v="1"/>
  </r>
  <r>
    <x v="1513"/>
    <x v="1"/>
    <n v="409"/>
    <n v="66"/>
    <n v="10"/>
    <n v="6"/>
    <n v="29.78"/>
    <x v="6"/>
    <x v="3"/>
    <n v="69"/>
    <n v="4.1100000000000003"/>
    <n v="148.86000000000001"/>
    <n v="1.1299999999999999"/>
    <n v="3"/>
    <n v="0.77"/>
    <n v="608"/>
    <n v="5.45"/>
    <n v="0.67"/>
    <d v="2024-04-08T00:00:00"/>
    <n v="67.34"/>
    <n v="0.58799999999999997"/>
    <n v="60883.740000000005"/>
    <x v="0"/>
    <x v="0"/>
  </r>
  <r>
    <x v="1514"/>
    <x v="0"/>
    <n v="432"/>
    <n v="71"/>
    <n v="12"/>
    <n v="7"/>
    <n v="23.03"/>
    <x v="58"/>
    <x v="0"/>
    <n v="76"/>
    <n v="1.4"/>
    <n v="80.150000000000006"/>
    <n v="0.34"/>
    <n v="7"/>
    <n v="0.73"/>
    <n v="256"/>
    <n v="2.6"/>
    <n v="0.33"/>
    <d v="2024-03-05T00:00:00"/>
    <n v="115.14"/>
    <n v="0.47299999999999998"/>
    <n v="34624.800000000003"/>
    <x v="0"/>
    <x v="0"/>
  </r>
  <r>
    <x v="1515"/>
    <x v="0"/>
    <n v="461"/>
    <n v="61"/>
    <n v="7"/>
    <n v="6"/>
    <n v="38.19"/>
    <x v="50"/>
    <x v="0"/>
    <n v="88"/>
    <n v="2.89"/>
    <n v="73.540000000000006"/>
    <n v="1.59"/>
    <n v="3"/>
    <n v="0.88"/>
    <n v="122"/>
    <n v="10.06"/>
    <n v="0.99"/>
    <d v="2024-01-22T00:00:00"/>
    <n v="102.77"/>
    <n v="0.68899999999999995"/>
    <n v="33901.94"/>
    <x v="0"/>
    <x v="0"/>
  </r>
  <r>
    <x v="1516"/>
    <x v="2"/>
    <n v="420"/>
    <n v="70"/>
    <n v="11"/>
    <n v="5"/>
    <n v="4.33"/>
    <x v="0"/>
    <x v="2"/>
    <n v="120"/>
    <n v="3.87"/>
    <n v="178.91"/>
    <n v="1.6"/>
    <n v="3"/>
    <n v="0.91"/>
    <n v="308"/>
    <n v="7.6"/>
    <n v="0.41"/>
    <d v="2024-08-04T00:00:00"/>
    <n v="107.81"/>
    <n v="0.54500000000000004"/>
    <n v="75142.2"/>
    <x v="0"/>
    <x v="0"/>
  </r>
  <r>
    <x v="1517"/>
    <x v="2"/>
    <n v="419"/>
    <n v="49"/>
    <n v="11"/>
    <n v="9"/>
    <n v="33.979999999999997"/>
    <x v="61"/>
    <x v="0"/>
    <n v="57"/>
    <n v="1.58"/>
    <n v="102.06"/>
    <n v="0.67"/>
    <n v="7"/>
    <n v="0.79"/>
    <n v="435"/>
    <n v="4.05"/>
    <n v="0.76"/>
    <d v="2024-02-10T00:00:00"/>
    <n v="276.42"/>
    <n v="0.55700000000000005"/>
    <n v="42763.14"/>
    <x v="0"/>
    <x v="0"/>
  </r>
  <r>
    <x v="1518"/>
    <x v="0"/>
    <n v="234"/>
    <n v="47"/>
    <n v="11"/>
    <n v="5"/>
    <n v="49.86"/>
    <x v="23"/>
    <x v="1"/>
    <n v="156"/>
    <n v="4.66"/>
    <n v="180.92"/>
    <n v="0.23"/>
    <n v="1"/>
    <n v="0.88"/>
    <n v="986"/>
    <n v="1.61"/>
    <n v="0.72"/>
    <d v="2024-12-15T00:00:00"/>
    <n v="138.06"/>
    <n v="0.69799999999999995"/>
    <n v="42335.28"/>
    <x v="0"/>
    <x v="1"/>
  </r>
  <r>
    <x v="1519"/>
    <x v="1"/>
    <n v="498"/>
    <n v="52"/>
    <n v="3"/>
    <n v="7"/>
    <n v="39.229999999999997"/>
    <x v="85"/>
    <x v="1"/>
    <n v="97"/>
    <n v="4.4000000000000004"/>
    <n v="178.46"/>
    <n v="1.98"/>
    <n v="3"/>
    <n v="0.93"/>
    <n v="79"/>
    <n v="8.5399999999999991"/>
    <n v="0.75"/>
    <d v="2024-08-10T00:00:00"/>
    <n v="87.71"/>
    <n v="0.59199999999999997"/>
    <n v="88873.08"/>
    <x v="0"/>
    <x v="0"/>
  </r>
  <r>
    <x v="1520"/>
    <x v="0"/>
    <n v="406"/>
    <n v="72"/>
    <n v="4"/>
    <n v="7"/>
    <n v="15.24"/>
    <x v="22"/>
    <x v="1"/>
    <n v="49"/>
    <n v="1.63"/>
    <n v="25.23"/>
    <n v="0.57999999999999996"/>
    <n v="0"/>
    <n v="0.8"/>
    <n v="470"/>
    <n v="2.77"/>
    <n v="0.54"/>
    <d v="2024-04-13T00:00:00"/>
    <n v="95.38"/>
    <n v="0.64700000000000002"/>
    <n v="10243.380000000001"/>
    <x v="0"/>
    <x v="0"/>
  </r>
  <r>
    <x v="1521"/>
    <x v="1"/>
    <n v="296"/>
    <n v="28"/>
    <n v="5"/>
    <n v="9"/>
    <n v="14.61"/>
    <x v="95"/>
    <x v="2"/>
    <n v="143"/>
    <n v="4.95"/>
    <n v="189.62"/>
    <n v="0.23"/>
    <n v="0"/>
    <n v="0.86"/>
    <n v="52"/>
    <n v="14.01"/>
    <n v="0.26"/>
    <d v="2024-11-17T00:00:00"/>
    <n v="242.97"/>
    <n v="0.78800000000000003"/>
    <n v="56127.520000000004"/>
    <x v="0"/>
    <x v="0"/>
  </r>
  <r>
    <x v="1522"/>
    <x v="2"/>
    <n v="83"/>
    <n v="59"/>
    <n v="6"/>
    <n v="9"/>
    <n v="33.69"/>
    <x v="1"/>
    <x v="0"/>
    <n v="105"/>
    <n v="3.51"/>
    <n v="24.62"/>
    <n v="0.73"/>
    <n v="7"/>
    <n v="0.74"/>
    <n v="570"/>
    <n v="3.11"/>
    <n v="0.98"/>
    <d v="2024-03-16T00:00:00"/>
    <n v="166.34"/>
    <n v="0.57199999999999995"/>
    <n v="2043.46"/>
    <x v="0"/>
    <x v="2"/>
  </r>
  <r>
    <x v="1523"/>
    <x v="4"/>
    <n v="365"/>
    <n v="42"/>
    <n v="12"/>
    <n v="7"/>
    <n v="44.9"/>
    <x v="7"/>
    <x v="1"/>
    <n v="172"/>
    <n v="1.79"/>
    <n v="193.07"/>
    <n v="1.94"/>
    <n v="3"/>
    <n v="0.71"/>
    <n v="569"/>
    <n v="1.45"/>
    <n v="0.35"/>
    <d v="2024-10-31T00:00:00"/>
    <n v="140.35"/>
    <n v="0.377"/>
    <n v="70470.55"/>
    <x v="0"/>
    <x v="0"/>
  </r>
  <r>
    <x v="1524"/>
    <x v="2"/>
    <n v="311"/>
    <n v="22"/>
    <n v="11"/>
    <n v="7"/>
    <n v="29.32"/>
    <x v="36"/>
    <x v="3"/>
    <n v="70"/>
    <n v="3.56"/>
    <n v="96"/>
    <n v="1.61"/>
    <n v="5"/>
    <n v="0.99"/>
    <n v="570"/>
    <n v="4.67"/>
    <n v="0.82"/>
    <d v="2024-05-12T00:00:00"/>
    <n v="278.77999999999997"/>
    <n v="0.56299999999999994"/>
    <n v="29856"/>
    <x v="0"/>
    <x v="0"/>
  </r>
  <r>
    <x v="1525"/>
    <x v="2"/>
    <n v="264"/>
    <n v="87"/>
    <n v="12"/>
    <n v="3"/>
    <n v="26.84"/>
    <x v="14"/>
    <x v="0"/>
    <n v="14"/>
    <n v="3.5"/>
    <n v="154.56"/>
    <n v="1.01"/>
    <n v="4"/>
    <n v="0.79"/>
    <n v="937"/>
    <n v="3.45"/>
    <n v="0.31"/>
    <d v="2024-06-12T00:00:00"/>
    <n v="279.7"/>
    <n v="0.48499999999999999"/>
    <n v="40803.840000000004"/>
    <x v="0"/>
    <x v="0"/>
  </r>
  <r>
    <x v="1526"/>
    <x v="3"/>
    <n v="489"/>
    <n v="71"/>
    <n v="8"/>
    <n v="8"/>
    <n v="8.86"/>
    <x v="85"/>
    <x v="1"/>
    <n v="46"/>
    <n v="3.23"/>
    <n v="144.16999999999999"/>
    <n v="0.68"/>
    <n v="9"/>
    <n v="0.78"/>
    <n v="450"/>
    <n v="12.08"/>
    <n v="0.42"/>
    <d v="2024-02-04T00:00:00"/>
    <n v="229.27"/>
    <n v="0.55300000000000005"/>
    <n v="70499.12999999999"/>
    <x v="0"/>
    <x v="0"/>
  </r>
  <r>
    <x v="1527"/>
    <x v="3"/>
    <n v="81"/>
    <n v="52"/>
    <n v="3"/>
    <n v="7"/>
    <n v="36.06"/>
    <x v="69"/>
    <x v="0"/>
    <n v="148"/>
    <n v="3.7"/>
    <n v="108.51"/>
    <n v="0.9"/>
    <n v="5"/>
    <n v="0.99"/>
    <n v="713"/>
    <n v="5.05"/>
    <n v="0.65"/>
    <d v="2024-02-14T00:00:00"/>
    <n v="160.22"/>
    <n v="0.60499999999999998"/>
    <n v="8789.3100000000013"/>
    <x v="0"/>
    <x v="2"/>
  </r>
  <r>
    <x v="1528"/>
    <x v="3"/>
    <n v="445"/>
    <n v="58"/>
    <n v="14"/>
    <n v="9"/>
    <n v="35.409999999999997"/>
    <x v="1"/>
    <x v="1"/>
    <n v="115"/>
    <n v="1.71"/>
    <n v="127.7"/>
    <n v="0.13"/>
    <n v="3"/>
    <n v="0.92"/>
    <n v="703"/>
    <n v="4.43"/>
    <n v="0.53"/>
    <d v="2024-07-17T00:00:00"/>
    <n v="43.82"/>
    <n v="0.67600000000000005"/>
    <n v="56826.5"/>
    <x v="0"/>
    <x v="0"/>
  </r>
  <r>
    <x v="1529"/>
    <x v="3"/>
    <n v="351"/>
    <n v="45"/>
    <n v="11"/>
    <n v="8"/>
    <n v="48.38"/>
    <x v="32"/>
    <x v="3"/>
    <n v="108"/>
    <n v="4.91"/>
    <n v="190.48"/>
    <n v="1.46"/>
    <n v="3"/>
    <n v="0.88"/>
    <n v="999"/>
    <n v="14.93"/>
    <n v="0.97"/>
    <d v="2024-10-11T00:00:00"/>
    <n v="215.31"/>
    <n v="0.76300000000000001"/>
    <n v="66858.48"/>
    <x v="0"/>
    <x v="0"/>
  </r>
  <r>
    <x v="1530"/>
    <x v="1"/>
    <n v="189"/>
    <n v="19"/>
    <n v="8"/>
    <n v="7"/>
    <n v="15.71"/>
    <x v="89"/>
    <x v="0"/>
    <n v="177"/>
    <n v="4.3600000000000003"/>
    <n v="186.2"/>
    <n v="0.28999999999999998"/>
    <n v="6"/>
    <n v="0.91"/>
    <n v="897"/>
    <n v="3.1"/>
    <n v="0.88"/>
    <d v="2024-07-22T00:00:00"/>
    <n v="246.38"/>
    <n v="0.65"/>
    <n v="35191.799999999996"/>
    <x v="0"/>
    <x v="1"/>
  </r>
  <r>
    <x v="1531"/>
    <x v="0"/>
    <n v="464"/>
    <n v="15"/>
    <n v="6"/>
    <n v="5"/>
    <n v="38.07"/>
    <x v="39"/>
    <x v="1"/>
    <n v="17"/>
    <n v="3.86"/>
    <n v="134.32"/>
    <n v="1.0900000000000001"/>
    <n v="0"/>
    <n v="0.91"/>
    <n v="323"/>
    <n v="2.19"/>
    <n v="0.94"/>
    <d v="2024-10-09T00:00:00"/>
    <n v="257.08999999999997"/>
    <n v="0.69"/>
    <n v="62324.479999999996"/>
    <x v="0"/>
    <x v="0"/>
  </r>
  <r>
    <x v="1532"/>
    <x v="4"/>
    <n v="288"/>
    <n v="66"/>
    <n v="6"/>
    <n v="6"/>
    <n v="22.27"/>
    <x v="7"/>
    <x v="1"/>
    <n v="96"/>
    <n v="0.62"/>
    <n v="134.97"/>
    <n v="1.18"/>
    <n v="8"/>
    <n v="0.93"/>
    <n v="521"/>
    <n v="5.28"/>
    <n v="0.71"/>
    <d v="2024-06-15T00:00:00"/>
    <n v="178.74"/>
    <n v="0.52"/>
    <n v="38871.360000000001"/>
    <x v="0"/>
    <x v="0"/>
  </r>
  <r>
    <x v="1533"/>
    <x v="2"/>
    <n v="286"/>
    <n v="10"/>
    <n v="5"/>
    <n v="8"/>
    <n v="28.37"/>
    <x v="78"/>
    <x v="3"/>
    <n v="93"/>
    <n v="3.16"/>
    <n v="56.92"/>
    <n v="0.1"/>
    <n v="9"/>
    <n v="0.72"/>
    <n v="984"/>
    <n v="6.67"/>
    <n v="0.38"/>
    <d v="2024-05-21T00:00:00"/>
    <n v="188.88"/>
    <n v="0.51900000000000002"/>
    <n v="16279.12"/>
    <x v="0"/>
    <x v="0"/>
  </r>
  <r>
    <x v="1534"/>
    <x v="1"/>
    <n v="73"/>
    <n v="80"/>
    <n v="9"/>
    <n v="5"/>
    <n v="41.01"/>
    <x v="38"/>
    <x v="3"/>
    <n v="20"/>
    <n v="3.68"/>
    <n v="167.44"/>
    <n v="1.96"/>
    <n v="2"/>
    <n v="0.82"/>
    <n v="421"/>
    <n v="11.65"/>
    <n v="0.61"/>
    <d v="2024-09-23T00:00:00"/>
    <n v="215.69"/>
    <n v="0.60499999999999998"/>
    <n v="12223.119999999999"/>
    <x v="1"/>
    <x v="2"/>
  </r>
  <r>
    <x v="1535"/>
    <x v="4"/>
    <n v="35"/>
    <n v="67"/>
    <n v="5"/>
    <n v="2"/>
    <n v="11.88"/>
    <x v="53"/>
    <x v="1"/>
    <n v="80"/>
    <n v="4.34"/>
    <n v="130.19"/>
    <n v="0.67"/>
    <n v="3"/>
    <n v="0.79"/>
    <n v="480"/>
    <n v="14.38"/>
    <n v="0.81"/>
    <d v="2024-08-22T00:00:00"/>
    <n v="263.44"/>
    <n v="0.78500000000000003"/>
    <n v="4556.6499999999996"/>
    <x v="1"/>
    <x v="2"/>
  </r>
  <r>
    <x v="1536"/>
    <x v="1"/>
    <n v="27"/>
    <n v="30"/>
    <n v="4"/>
    <n v="9"/>
    <n v="17.8"/>
    <x v="55"/>
    <x v="1"/>
    <n v="103"/>
    <n v="4.76"/>
    <n v="166.99"/>
    <n v="0.25"/>
    <n v="8"/>
    <n v="0.72"/>
    <n v="588"/>
    <n v="11.69"/>
    <n v="0.25"/>
    <d v="2024-01-07T00:00:00"/>
    <n v="23.17"/>
    <n v="0.56499999999999995"/>
    <n v="4508.7300000000005"/>
    <x v="1"/>
    <x v="2"/>
  </r>
  <r>
    <x v="1537"/>
    <x v="1"/>
    <n v="123"/>
    <n v="89"/>
    <n v="12"/>
    <n v="3"/>
    <n v="38.89"/>
    <x v="72"/>
    <x v="2"/>
    <n v="132"/>
    <n v="4.62"/>
    <n v="134.99"/>
    <n v="1.72"/>
    <n v="4"/>
    <n v="0.82"/>
    <n v="397"/>
    <n v="11.17"/>
    <n v="0.89"/>
    <d v="2024-12-24T00:00:00"/>
    <n v="173.33"/>
    <n v="0.63900000000000001"/>
    <n v="16603.77"/>
    <x v="0"/>
    <x v="1"/>
  </r>
  <r>
    <x v="1538"/>
    <x v="2"/>
    <n v="78"/>
    <n v="65"/>
    <n v="10"/>
    <n v="3"/>
    <n v="28.95"/>
    <x v="23"/>
    <x v="2"/>
    <n v="150"/>
    <n v="2.33"/>
    <n v="66.87"/>
    <n v="0.39"/>
    <n v="3"/>
    <n v="0.88"/>
    <n v="120"/>
    <n v="14.88"/>
    <n v="0.71"/>
    <d v="2024-11-15T00:00:00"/>
    <n v="117.04"/>
    <n v="0.81699999999999995"/>
    <n v="5215.8600000000006"/>
    <x v="0"/>
    <x v="2"/>
  </r>
  <r>
    <x v="1539"/>
    <x v="0"/>
    <n v="332"/>
    <n v="96"/>
    <n v="6"/>
    <n v="6"/>
    <n v="5.53"/>
    <x v="10"/>
    <x v="0"/>
    <n v="115"/>
    <n v="4.53"/>
    <n v="46"/>
    <n v="0.15"/>
    <n v="5"/>
    <n v="0.75"/>
    <n v="531"/>
    <n v="11.72"/>
    <n v="0.78"/>
    <d v="2024-10-27T00:00:00"/>
    <n v="251.62"/>
    <n v="0.747"/>
    <n v="15272"/>
    <x v="0"/>
    <x v="0"/>
  </r>
  <r>
    <x v="1540"/>
    <x v="3"/>
    <n v="59"/>
    <n v="29"/>
    <n v="10"/>
    <n v="7"/>
    <n v="22.08"/>
    <x v="24"/>
    <x v="0"/>
    <n v="58"/>
    <n v="0.5"/>
    <n v="24.62"/>
    <n v="1.04"/>
    <n v="0"/>
    <n v="0.79"/>
    <n v="780"/>
    <n v="2.95"/>
    <n v="0.76"/>
    <d v="2024-09-24T00:00:00"/>
    <n v="48.81"/>
    <n v="0.64500000000000002"/>
    <n v="1452.5800000000002"/>
    <x v="0"/>
    <x v="2"/>
  </r>
  <r>
    <x v="1541"/>
    <x v="0"/>
    <n v="256"/>
    <n v="63"/>
    <n v="3"/>
    <n v="5"/>
    <n v="29.75"/>
    <x v="12"/>
    <x v="2"/>
    <n v="16"/>
    <n v="2.08"/>
    <n v="121.34"/>
    <n v="0.35"/>
    <n v="9"/>
    <n v="0.89"/>
    <n v="851"/>
    <n v="7.46"/>
    <n v="0.88"/>
    <d v="2024-08-02T00:00:00"/>
    <n v="273.81"/>
    <n v="0.63800000000000001"/>
    <n v="31063.040000000001"/>
    <x v="0"/>
    <x v="0"/>
  </r>
  <r>
    <x v="1542"/>
    <x v="2"/>
    <n v="462"/>
    <n v="34"/>
    <n v="7"/>
    <n v="2"/>
    <n v="45.57"/>
    <x v="72"/>
    <x v="1"/>
    <n v="110"/>
    <n v="1.01"/>
    <n v="63.97"/>
    <n v="1.97"/>
    <n v="0"/>
    <n v="0.87"/>
    <n v="305"/>
    <n v="8.0500000000000007"/>
    <n v="0.27"/>
    <d v="2024-02-27T00:00:00"/>
    <n v="45.96"/>
    <n v="0.53800000000000003"/>
    <n v="29554.14"/>
    <x v="0"/>
    <x v="0"/>
  </r>
  <r>
    <x v="1543"/>
    <x v="2"/>
    <n v="405"/>
    <n v="37"/>
    <n v="11"/>
    <n v="5"/>
    <n v="10.24"/>
    <x v="37"/>
    <x v="3"/>
    <n v="162"/>
    <n v="4.47"/>
    <n v="129.80000000000001"/>
    <n v="0.12"/>
    <n v="4"/>
    <n v="0.96"/>
    <n v="152"/>
    <n v="5.27"/>
    <n v="0.5"/>
    <d v="2024-07-31T00:00:00"/>
    <n v="35.9"/>
    <n v="0.67"/>
    <n v="52569.000000000007"/>
    <x v="0"/>
    <x v="0"/>
  </r>
  <r>
    <x v="1544"/>
    <x v="2"/>
    <n v="113"/>
    <n v="14"/>
    <n v="3"/>
    <n v="9"/>
    <n v="40.49"/>
    <x v="30"/>
    <x v="0"/>
    <n v="160"/>
    <n v="4.68"/>
    <n v="21.14"/>
    <n v="0.2"/>
    <n v="4"/>
    <n v="0.94"/>
    <n v="196"/>
    <n v="3.3"/>
    <n v="0.6"/>
    <d v="2024-03-17T00:00:00"/>
    <n v="110.48"/>
    <n v="0.65200000000000002"/>
    <n v="2388.8200000000002"/>
    <x v="0"/>
    <x v="1"/>
  </r>
  <r>
    <x v="1545"/>
    <x v="4"/>
    <n v="241"/>
    <n v="30"/>
    <n v="13"/>
    <n v="9"/>
    <n v="7.4"/>
    <x v="24"/>
    <x v="1"/>
    <n v="60"/>
    <n v="1.65"/>
    <n v="81.38"/>
    <n v="1.68"/>
    <n v="8"/>
    <n v="0.99"/>
    <n v="951"/>
    <n v="10.96"/>
    <n v="0.64"/>
    <d v="2024-03-16T00:00:00"/>
    <n v="298.47000000000003"/>
    <n v="0.54400000000000004"/>
    <n v="19612.579999999998"/>
    <x v="0"/>
    <x v="1"/>
  </r>
  <r>
    <x v="1546"/>
    <x v="0"/>
    <n v="223"/>
    <n v="27"/>
    <n v="6"/>
    <n v="7"/>
    <n v="12.87"/>
    <x v="22"/>
    <x v="3"/>
    <n v="14"/>
    <n v="2.15"/>
    <n v="59.51"/>
    <n v="0.56000000000000005"/>
    <n v="0"/>
    <n v="0.88"/>
    <n v="719"/>
    <n v="4.88"/>
    <n v="0.95"/>
    <d v="2024-10-17T00:00:00"/>
    <n v="193.8"/>
    <n v="0.77500000000000002"/>
    <n v="13270.73"/>
    <x v="0"/>
    <x v="1"/>
  </r>
  <r>
    <x v="1547"/>
    <x v="0"/>
    <n v="157"/>
    <n v="56"/>
    <n v="8"/>
    <n v="7"/>
    <n v="12.92"/>
    <x v="32"/>
    <x v="3"/>
    <n v="22"/>
    <n v="4.93"/>
    <n v="80.36"/>
    <n v="1.83"/>
    <n v="2"/>
    <n v="0.91"/>
    <n v="909"/>
    <n v="9.75"/>
    <n v="0.23"/>
    <d v="2024-10-28T00:00:00"/>
    <n v="17.670000000000002"/>
    <n v="0.53500000000000003"/>
    <n v="12616.52"/>
    <x v="0"/>
    <x v="1"/>
  </r>
  <r>
    <x v="1548"/>
    <x v="1"/>
    <n v="319"/>
    <n v="79"/>
    <n v="12"/>
    <n v="9"/>
    <n v="44"/>
    <x v="86"/>
    <x v="1"/>
    <n v="51"/>
    <n v="3.05"/>
    <n v="20.309999999999999"/>
    <n v="0.69"/>
    <n v="2"/>
    <n v="0.96"/>
    <n v="189"/>
    <n v="5.52"/>
    <n v="0.89"/>
    <d v="2024-10-25T00:00:00"/>
    <n v="82.29"/>
    <n v="0.73499999999999999"/>
    <n v="6478.8899999999994"/>
    <x v="0"/>
    <x v="0"/>
  </r>
  <r>
    <x v="1549"/>
    <x v="1"/>
    <n v="414"/>
    <n v="66"/>
    <n v="10"/>
    <n v="4"/>
    <n v="10.75"/>
    <x v="99"/>
    <x v="1"/>
    <n v="134"/>
    <n v="2.74"/>
    <n v="147.59"/>
    <n v="0.23"/>
    <n v="3"/>
    <n v="0.95"/>
    <n v="704"/>
    <n v="8.09"/>
    <n v="0.64"/>
    <d v="2024-02-21T00:00:00"/>
    <n v="53.26"/>
    <n v="0.74299999999999999"/>
    <n v="61102.26"/>
    <x v="0"/>
    <x v="0"/>
  </r>
  <r>
    <x v="1550"/>
    <x v="1"/>
    <n v="226"/>
    <n v="28"/>
    <n v="5"/>
    <n v="9"/>
    <n v="39.56"/>
    <x v="95"/>
    <x v="0"/>
    <n v="142"/>
    <n v="2.75"/>
    <n v="32.17"/>
    <n v="0.12"/>
    <n v="6"/>
    <n v="0.92"/>
    <n v="670"/>
    <n v="5.72"/>
    <n v="0.64"/>
    <d v="2024-02-24T00:00:00"/>
    <n v="10.29"/>
    <n v="0.65600000000000003"/>
    <n v="7270.42"/>
    <x v="0"/>
    <x v="1"/>
  </r>
  <r>
    <x v="1551"/>
    <x v="2"/>
    <n v="355"/>
    <n v="74"/>
    <n v="7"/>
    <n v="5"/>
    <n v="23.63"/>
    <x v="4"/>
    <x v="2"/>
    <n v="160"/>
    <n v="3.63"/>
    <n v="12.74"/>
    <n v="0.64"/>
    <n v="6"/>
    <n v="0.85"/>
    <n v="472"/>
    <n v="6.76"/>
    <n v="0.46"/>
    <d v="2024-10-15T00:00:00"/>
    <n v="159.33000000000001"/>
    <n v="0.56799999999999995"/>
    <n v="4522.7"/>
    <x v="0"/>
    <x v="0"/>
  </r>
  <r>
    <x v="1552"/>
    <x v="0"/>
    <n v="100"/>
    <n v="12"/>
    <n v="9"/>
    <n v="6"/>
    <n v="49.96"/>
    <x v="14"/>
    <x v="1"/>
    <n v="71"/>
    <n v="4.8"/>
    <n v="189.79"/>
    <n v="1"/>
    <n v="9"/>
    <n v="0.78"/>
    <n v="920"/>
    <n v="11.25"/>
    <n v="0.71"/>
    <d v="2024-02-21T00:00:00"/>
    <n v="120.52"/>
    <n v="0.56799999999999995"/>
    <n v="18979"/>
    <x v="0"/>
    <x v="1"/>
  </r>
  <r>
    <x v="1553"/>
    <x v="2"/>
    <n v="237"/>
    <n v="51"/>
    <n v="3"/>
    <n v="5"/>
    <n v="42.12"/>
    <x v="62"/>
    <x v="2"/>
    <n v="138"/>
    <n v="2.15"/>
    <n v="46.65"/>
    <n v="0.1"/>
    <n v="4"/>
    <n v="0.96"/>
    <n v="881"/>
    <n v="13.37"/>
    <n v="0.72"/>
    <d v="2024-05-26T00:00:00"/>
    <n v="187.85"/>
    <n v="0.82399999999999995"/>
    <n v="11056.05"/>
    <x v="0"/>
    <x v="1"/>
  </r>
  <r>
    <x v="1554"/>
    <x v="4"/>
    <n v="21"/>
    <n v="30"/>
    <n v="9"/>
    <n v="3"/>
    <n v="37.25"/>
    <x v="53"/>
    <x v="0"/>
    <n v="83"/>
    <n v="1.28"/>
    <n v="167.33"/>
    <n v="1.2"/>
    <n v="8"/>
    <n v="0.93"/>
    <n v="113"/>
    <n v="8.1199999999999992"/>
    <n v="0.35"/>
    <d v="2024-10-01T00:00:00"/>
    <n v="72.75"/>
    <n v="0.48399999999999999"/>
    <n v="3513.9300000000003"/>
    <x v="1"/>
    <x v="2"/>
  </r>
  <r>
    <x v="1555"/>
    <x v="1"/>
    <n v="197"/>
    <n v="49"/>
    <n v="14"/>
    <n v="2"/>
    <n v="43.67"/>
    <x v="15"/>
    <x v="2"/>
    <n v="123"/>
    <n v="1.33"/>
    <n v="193.25"/>
    <n v="0.73"/>
    <n v="6"/>
    <n v="0.95"/>
    <n v="320"/>
    <n v="9.5399999999999991"/>
    <n v="0.74"/>
    <d v="2024-06-25T00:00:00"/>
    <n v="251.01"/>
    <n v="0.67200000000000004"/>
    <n v="38070.25"/>
    <x v="0"/>
    <x v="1"/>
  </r>
  <r>
    <x v="1556"/>
    <x v="2"/>
    <n v="415"/>
    <n v="76"/>
    <n v="13"/>
    <n v="8"/>
    <n v="32.07"/>
    <x v="92"/>
    <x v="2"/>
    <n v="63"/>
    <n v="0.59"/>
    <n v="111.48"/>
    <n v="0.84"/>
    <n v="1"/>
    <n v="0.74"/>
    <n v="747"/>
    <n v="13.1"/>
    <n v="0.41"/>
    <d v="2024-07-29T00:00:00"/>
    <n v="121.12"/>
    <n v="0.70099999999999996"/>
    <n v="46264.200000000004"/>
    <x v="0"/>
    <x v="0"/>
  </r>
  <r>
    <x v="1557"/>
    <x v="2"/>
    <n v="390"/>
    <n v="34"/>
    <n v="10"/>
    <n v="6"/>
    <n v="42.34"/>
    <x v="92"/>
    <x v="3"/>
    <n v="125"/>
    <n v="3"/>
    <n v="109.96"/>
    <n v="0.6"/>
    <n v="2"/>
    <n v="0.79"/>
    <n v="917"/>
    <n v="3.01"/>
    <n v="0.75"/>
    <d v="2024-05-15T00:00:00"/>
    <n v="150.04"/>
    <n v="0.64800000000000002"/>
    <n v="42884.399999999994"/>
    <x v="0"/>
    <x v="0"/>
  </r>
  <r>
    <x v="1558"/>
    <x v="4"/>
    <n v="365"/>
    <n v="64"/>
    <n v="10"/>
    <n v="4"/>
    <n v="13.8"/>
    <x v="89"/>
    <x v="0"/>
    <n v="140"/>
    <n v="4.68"/>
    <n v="79.81"/>
    <n v="1.1100000000000001"/>
    <n v="6"/>
    <n v="0.83"/>
    <n v="884"/>
    <n v="3.27"/>
    <n v="0.69"/>
    <d v="2024-07-15T00:00:00"/>
    <n v="222.42"/>
    <n v="0.51700000000000002"/>
    <n v="29130.65"/>
    <x v="0"/>
    <x v="0"/>
  </r>
  <r>
    <x v="1559"/>
    <x v="3"/>
    <n v="298"/>
    <n v="93"/>
    <n v="11"/>
    <n v="2"/>
    <n v="5.79"/>
    <x v="46"/>
    <x v="1"/>
    <n v="92"/>
    <n v="3.71"/>
    <n v="90.86"/>
    <n v="0.54"/>
    <n v="4"/>
    <n v="0.95"/>
    <n v="562"/>
    <n v="6.03"/>
    <n v="0.77"/>
    <d v="2024-12-01T00:00:00"/>
    <n v="58.19"/>
    <n v="0.69"/>
    <n v="27076.28"/>
    <x v="0"/>
    <x v="0"/>
  </r>
  <r>
    <x v="1560"/>
    <x v="0"/>
    <n v="165"/>
    <n v="61"/>
    <n v="8"/>
    <n v="2"/>
    <n v="31.18"/>
    <x v="32"/>
    <x v="2"/>
    <n v="139"/>
    <n v="4.97"/>
    <n v="101.59"/>
    <n v="0.36"/>
    <n v="6"/>
    <n v="0.97"/>
    <n v="56"/>
    <n v="5.33"/>
    <n v="0.22"/>
    <d v="2024-09-05T00:00:00"/>
    <n v="86.08"/>
    <n v="0.55300000000000005"/>
    <n v="16762.350000000002"/>
    <x v="0"/>
    <x v="1"/>
  </r>
  <r>
    <x v="1561"/>
    <x v="3"/>
    <n v="337"/>
    <n v="53"/>
    <n v="14"/>
    <n v="8"/>
    <n v="22.3"/>
    <x v="57"/>
    <x v="0"/>
    <n v="58"/>
    <n v="4.59"/>
    <n v="38.9"/>
    <n v="1.79"/>
    <n v="8"/>
    <n v="0.79"/>
    <n v="442"/>
    <n v="14.81"/>
    <n v="0.3"/>
    <d v="2024-10-19T00:00:00"/>
    <n v="54.88"/>
    <n v="0.47599999999999998"/>
    <n v="13109.3"/>
    <x v="0"/>
    <x v="0"/>
  </r>
  <r>
    <x v="1562"/>
    <x v="1"/>
    <n v="243"/>
    <n v="94"/>
    <n v="8"/>
    <n v="3"/>
    <n v="21.9"/>
    <x v="53"/>
    <x v="3"/>
    <n v="40"/>
    <n v="2.71"/>
    <n v="79.3"/>
    <n v="0.84"/>
    <n v="8"/>
    <n v="0.91"/>
    <n v="50"/>
    <n v="8.9"/>
    <n v="0.87"/>
    <d v="2024-11-07T00:00:00"/>
    <n v="232.74"/>
    <n v="0.63100000000000001"/>
    <n v="19269.899999999998"/>
    <x v="0"/>
    <x v="1"/>
  </r>
  <r>
    <x v="1563"/>
    <x v="2"/>
    <n v="388"/>
    <n v="65"/>
    <n v="4"/>
    <n v="3"/>
    <n v="26.81"/>
    <x v="10"/>
    <x v="3"/>
    <n v="83"/>
    <n v="2.69"/>
    <n v="165.06"/>
    <n v="0.25"/>
    <n v="2"/>
    <n v="0.72"/>
    <n v="310"/>
    <n v="8.33"/>
    <n v="0.5"/>
    <d v="2024-08-30T00:00:00"/>
    <n v="38.28"/>
    <n v="0.69"/>
    <n v="64043.28"/>
    <x v="0"/>
    <x v="0"/>
  </r>
  <r>
    <x v="1564"/>
    <x v="4"/>
    <n v="403"/>
    <n v="64"/>
    <n v="5"/>
    <n v="3"/>
    <n v="18.71"/>
    <x v="58"/>
    <x v="2"/>
    <n v="126"/>
    <n v="3.33"/>
    <n v="44.66"/>
    <n v="0.54"/>
    <n v="7"/>
    <n v="0.82"/>
    <n v="96"/>
    <n v="9.1"/>
    <n v="0.87"/>
    <d v="2024-01-20T00:00:00"/>
    <n v="151.81"/>
    <n v="0.66500000000000004"/>
    <n v="17997.98"/>
    <x v="0"/>
    <x v="0"/>
  </r>
  <r>
    <x v="1565"/>
    <x v="4"/>
    <n v="81"/>
    <n v="96"/>
    <n v="6"/>
    <n v="6"/>
    <n v="31.68"/>
    <x v="33"/>
    <x v="2"/>
    <n v="12"/>
    <n v="1"/>
    <n v="148.66999999999999"/>
    <n v="0.69"/>
    <n v="5"/>
    <n v="0.85"/>
    <n v="917"/>
    <n v="13.25"/>
    <n v="0.25"/>
    <d v="2024-03-29T00:00:00"/>
    <n v="227.47"/>
    <n v="0.628"/>
    <n v="12042.269999999999"/>
    <x v="1"/>
    <x v="2"/>
  </r>
  <r>
    <x v="1566"/>
    <x v="0"/>
    <n v="313"/>
    <n v="79"/>
    <n v="6"/>
    <n v="5"/>
    <n v="2.5"/>
    <x v="65"/>
    <x v="1"/>
    <n v="133"/>
    <n v="3.23"/>
    <n v="133.80000000000001"/>
    <n v="1.56"/>
    <n v="3"/>
    <n v="0.93"/>
    <n v="827"/>
    <n v="4.41"/>
    <n v="0.82"/>
    <d v="2024-05-21T00:00:00"/>
    <n v="157.25"/>
    <n v="0.59299999999999997"/>
    <n v="41879.4"/>
    <x v="0"/>
    <x v="0"/>
  </r>
  <r>
    <x v="1567"/>
    <x v="3"/>
    <n v="258"/>
    <n v="86"/>
    <n v="10"/>
    <n v="2"/>
    <n v="48.52"/>
    <x v="70"/>
    <x v="0"/>
    <n v="172"/>
    <n v="2.59"/>
    <n v="20.89"/>
    <n v="0.14000000000000001"/>
    <n v="3"/>
    <n v="0.97"/>
    <n v="51"/>
    <n v="8.15"/>
    <n v="0.27"/>
    <d v="2024-07-25T00:00:00"/>
    <n v="157.52000000000001"/>
    <n v="0.68300000000000005"/>
    <n v="5389.62"/>
    <x v="0"/>
    <x v="0"/>
  </r>
  <r>
    <x v="1568"/>
    <x v="0"/>
    <n v="214"/>
    <n v="96"/>
    <n v="3"/>
    <n v="5"/>
    <n v="46.31"/>
    <x v="4"/>
    <x v="1"/>
    <n v="94"/>
    <n v="3.39"/>
    <n v="14.26"/>
    <n v="1.01"/>
    <n v="3"/>
    <n v="0.8"/>
    <n v="584"/>
    <n v="4.79"/>
    <n v="0.56999999999999995"/>
    <d v="2024-03-14T00:00:00"/>
    <n v="28.47"/>
    <n v="0.57699999999999996"/>
    <n v="3051.64"/>
    <x v="0"/>
    <x v="1"/>
  </r>
  <r>
    <x v="1569"/>
    <x v="2"/>
    <n v="185"/>
    <n v="82"/>
    <n v="12"/>
    <n v="5"/>
    <n v="46.83"/>
    <x v="48"/>
    <x v="1"/>
    <n v="173"/>
    <n v="3.04"/>
    <n v="76.98"/>
    <n v="0.87"/>
    <n v="6"/>
    <n v="0.86"/>
    <n v="408"/>
    <n v="11.93"/>
    <n v="0.95"/>
    <d v="2024-11-12T00:00:00"/>
    <n v="237.03"/>
    <n v="0.71399999999999997"/>
    <n v="14241.300000000001"/>
    <x v="0"/>
    <x v="1"/>
  </r>
  <r>
    <x v="1570"/>
    <x v="0"/>
    <n v="470"/>
    <n v="90"/>
    <n v="6"/>
    <n v="3"/>
    <n v="18.89"/>
    <x v="40"/>
    <x v="3"/>
    <n v="73"/>
    <n v="1.9"/>
    <n v="141.51"/>
    <n v="1.94"/>
    <n v="5"/>
    <n v="0.89"/>
    <n v="526"/>
    <n v="11.88"/>
    <n v="0.26"/>
    <d v="2024-11-07T00:00:00"/>
    <n v="185.16"/>
    <n v="0.49399999999999999"/>
    <n v="66509.7"/>
    <x v="0"/>
    <x v="0"/>
  </r>
  <r>
    <x v="1571"/>
    <x v="4"/>
    <n v="241"/>
    <n v="75"/>
    <n v="13"/>
    <n v="5"/>
    <n v="27.06"/>
    <x v="38"/>
    <x v="0"/>
    <n v="169"/>
    <n v="3.23"/>
    <n v="72.78"/>
    <n v="0.44"/>
    <n v="1"/>
    <n v="0.8"/>
    <n v="964"/>
    <n v="14.4"/>
    <n v="0.48"/>
    <d v="2024-12-14T00:00:00"/>
    <n v="203.58"/>
    <n v="0.78400000000000003"/>
    <n v="17539.98"/>
    <x v="0"/>
    <x v="1"/>
  </r>
  <r>
    <x v="1572"/>
    <x v="4"/>
    <n v="80"/>
    <n v="28"/>
    <n v="14"/>
    <n v="2"/>
    <n v="47.75"/>
    <x v="11"/>
    <x v="1"/>
    <n v="27"/>
    <n v="2.15"/>
    <n v="136.87"/>
    <n v="1.29"/>
    <n v="4"/>
    <n v="1"/>
    <n v="471"/>
    <n v="7.26"/>
    <n v="0.61"/>
    <d v="2024-12-21T00:00:00"/>
    <n v="232.08"/>
    <n v="0.61"/>
    <n v="10949.6"/>
    <x v="0"/>
    <x v="2"/>
  </r>
  <r>
    <x v="1573"/>
    <x v="1"/>
    <n v="148"/>
    <n v="92"/>
    <n v="13"/>
    <n v="2"/>
    <n v="45.21"/>
    <x v="51"/>
    <x v="3"/>
    <n v="43"/>
    <n v="1.38"/>
    <n v="136.44"/>
    <n v="0.48"/>
    <n v="4"/>
    <n v="0.96"/>
    <n v="864"/>
    <n v="3.22"/>
    <n v="0.92"/>
    <d v="2024-07-24T00:00:00"/>
    <n v="172.58"/>
    <n v="0.69099999999999995"/>
    <n v="20193.12"/>
    <x v="0"/>
    <x v="1"/>
  </r>
  <r>
    <x v="1574"/>
    <x v="1"/>
    <n v="497"/>
    <n v="16"/>
    <n v="13"/>
    <n v="7"/>
    <n v="39.72"/>
    <x v="15"/>
    <x v="2"/>
    <n v="65"/>
    <n v="3.54"/>
    <n v="163.25"/>
    <n v="1.1399999999999999"/>
    <n v="5"/>
    <n v="0.79"/>
    <n v="645"/>
    <n v="13.55"/>
    <n v="0.47"/>
    <d v="2024-01-20T00:00:00"/>
    <n v="157.5"/>
    <n v="0.61899999999999999"/>
    <n v="81135.25"/>
    <x v="0"/>
    <x v="0"/>
  </r>
  <r>
    <x v="1575"/>
    <x v="2"/>
    <n v="192"/>
    <n v="72"/>
    <n v="6"/>
    <n v="4"/>
    <n v="20.96"/>
    <x v="58"/>
    <x v="1"/>
    <n v="76"/>
    <n v="1.88"/>
    <n v="28.9"/>
    <n v="1.1499999999999999"/>
    <n v="6"/>
    <n v="0.85"/>
    <n v="253"/>
    <n v="13.47"/>
    <n v="0.85"/>
    <d v="2024-07-21T00:00:00"/>
    <n v="202.32"/>
    <n v="0.68500000000000005"/>
    <n v="5548.7999999999993"/>
    <x v="0"/>
    <x v="1"/>
  </r>
  <r>
    <x v="1576"/>
    <x v="3"/>
    <n v="499"/>
    <n v="51"/>
    <n v="3"/>
    <n v="6"/>
    <n v="28.65"/>
    <x v="0"/>
    <x v="2"/>
    <n v="100"/>
    <n v="4.5"/>
    <n v="119.65"/>
    <n v="0.24"/>
    <n v="7"/>
    <n v="0.77"/>
    <n v="276"/>
    <n v="4.29"/>
    <n v="0.77"/>
    <d v="2024-06-18T00:00:00"/>
    <n v="271"/>
    <n v="0.60099999999999998"/>
    <n v="59705.350000000006"/>
    <x v="0"/>
    <x v="0"/>
  </r>
  <r>
    <x v="1577"/>
    <x v="0"/>
    <n v="175"/>
    <n v="51"/>
    <n v="5"/>
    <n v="5"/>
    <n v="39.85"/>
    <x v="77"/>
    <x v="0"/>
    <n v="76"/>
    <n v="1.4"/>
    <n v="21.87"/>
    <n v="0.97"/>
    <n v="9"/>
    <n v="0.85"/>
    <n v="997"/>
    <n v="4.87"/>
    <n v="0.45"/>
    <d v="2024-12-19T00:00:00"/>
    <n v="195.16"/>
    <n v="0.44800000000000001"/>
    <n v="3827.25"/>
    <x v="0"/>
    <x v="1"/>
  </r>
  <r>
    <x v="1578"/>
    <x v="2"/>
    <n v="424"/>
    <n v="68"/>
    <n v="7"/>
    <n v="6"/>
    <n v="14.38"/>
    <x v="87"/>
    <x v="1"/>
    <n v="119"/>
    <n v="3.2"/>
    <n v="43.43"/>
    <n v="0.98"/>
    <n v="7"/>
    <n v="0.9"/>
    <n v="813"/>
    <n v="5.39"/>
    <n v="0.47"/>
    <d v="2024-05-01T00:00:00"/>
    <n v="238.61"/>
    <n v="0.50800000000000001"/>
    <n v="18414.32"/>
    <x v="0"/>
    <x v="0"/>
  </r>
  <r>
    <x v="1579"/>
    <x v="1"/>
    <n v="397"/>
    <n v="29"/>
    <n v="8"/>
    <n v="6"/>
    <n v="31.7"/>
    <x v="76"/>
    <x v="2"/>
    <n v="176"/>
    <n v="3.07"/>
    <n v="71.849999999999994"/>
    <n v="0.71"/>
    <n v="4"/>
    <n v="0.73"/>
    <n v="866"/>
    <n v="7.32"/>
    <n v="0.35"/>
    <d v="2024-01-26T00:00:00"/>
    <n v="149.28"/>
    <n v="0.56299999999999994"/>
    <n v="28524.449999999997"/>
    <x v="0"/>
    <x v="0"/>
  </r>
  <r>
    <x v="1580"/>
    <x v="0"/>
    <n v="129"/>
    <n v="82"/>
    <n v="11"/>
    <n v="6"/>
    <n v="41.57"/>
    <x v="94"/>
    <x v="2"/>
    <n v="175"/>
    <n v="1.39"/>
    <n v="144.4"/>
    <n v="0.63"/>
    <n v="1"/>
    <n v="0.96"/>
    <n v="200"/>
    <n v="12.61"/>
    <n v="0.75"/>
    <d v="2024-08-31T00:00:00"/>
    <n v="180.98"/>
    <n v="0.82699999999999996"/>
    <n v="18627.600000000002"/>
    <x v="0"/>
    <x v="1"/>
  </r>
  <r>
    <x v="1581"/>
    <x v="1"/>
    <n v="288"/>
    <n v="26"/>
    <n v="11"/>
    <n v="8"/>
    <n v="35.67"/>
    <x v="5"/>
    <x v="0"/>
    <n v="49"/>
    <n v="2.48"/>
    <n v="195.04"/>
    <n v="0.53"/>
    <n v="9"/>
    <n v="0.88"/>
    <n v="296"/>
    <n v="3.02"/>
    <n v="0.65"/>
    <d v="2024-05-17T00:00:00"/>
    <n v="62.24"/>
    <n v="0.51300000000000001"/>
    <n v="56171.519999999997"/>
    <x v="0"/>
    <x v="0"/>
  </r>
  <r>
    <x v="1582"/>
    <x v="0"/>
    <n v="430"/>
    <n v="36"/>
    <n v="11"/>
    <n v="9"/>
    <n v="24.49"/>
    <x v="90"/>
    <x v="3"/>
    <n v="156"/>
    <n v="3.54"/>
    <n v="75.08"/>
    <n v="0.11"/>
    <n v="7"/>
    <n v="1"/>
    <n v="867"/>
    <n v="10.81"/>
    <n v="0.32"/>
    <d v="2024-07-09T00:00:00"/>
    <n v="151.66999999999999"/>
    <n v="0.65700000000000003"/>
    <n v="32284.399999999998"/>
    <x v="0"/>
    <x v="0"/>
  </r>
  <r>
    <x v="1583"/>
    <x v="3"/>
    <n v="375"/>
    <n v="56"/>
    <n v="13"/>
    <n v="7"/>
    <n v="29.65"/>
    <x v="68"/>
    <x v="3"/>
    <n v="142"/>
    <n v="1.93"/>
    <n v="109.02"/>
    <n v="0.1"/>
    <n v="5"/>
    <n v="0.71"/>
    <n v="66"/>
    <n v="5.94"/>
    <n v="0.7"/>
    <d v="2024-01-11T00:00:00"/>
    <n v="53.18"/>
    <n v="0.65100000000000002"/>
    <n v="40882.5"/>
    <x v="0"/>
    <x v="0"/>
  </r>
  <r>
    <x v="1584"/>
    <x v="2"/>
    <n v="410"/>
    <n v="11"/>
    <n v="3"/>
    <n v="6"/>
    <n v="49.45"/>
    <x v="54"/>
    <x v="1"/>
    <n v="151"/>
    <n v="1.01"/>
    <n v="59.22"/>
    <n v="1.22"/>
    <n v="2"/>
    <n v="0.95"/>
    <n v="353"/>
    <n v="3.74"/>
    <n v="0.6"/>
    <d v="2024-06-21T00:00:00"/>
    <n v="145.44"/>
    <n v="0.59799999999999998"/>
    <n v="24280.2"/>
    <x v="0"/>
    <x v="0"/>
  </r>
  <r>
    <x v="1585"/>
    <x v="0"/>
    <n v="297"/>
    <n v="72"/>
    <n v="14"/>
    <n v="9"/>
    <n v="30.5"/>
    <x v="50"/>
    <x v="2"/>
    <n v="100"/>
    <n v="3.27"/>
    <n v="138.34"/>
    <n v="0.65"/>
    <n v="3"/>
    <n v="0.94"/>
    <n v="938"/>
    <n v="5.74"/>
    <n v="0.27"/>
    <d v="2024-06-04T00:00:00"/>
    <n v="28.84"/>
    <n v="0.59399999999999997"/>
    <n v="41086.980000000003"/>
    <x v="0"/>
    <x v="0"/>
  </r>
  <r>
    <x v="1586"/>
    <x v="4"/>
    <n v="93"/>
    <n v="71"/>
    <n v="11"/>
    <n v="9"/>
    <n v="39.5"/>
    <x v="27"/>
    <x v="3"/>
    <n v="58"/>
    <n v="1.51"/>
    <n v="79.650000000000006"/>
    <n v="0.42"/>
    <n v="0"/>
    <n v="0.74"/>
    <n v="563"/>
    <n v="8.4700000000000006"/>
    <n v="0.96"/>
    <d v="2024-06-08T00:00:00"/>
    <n v="177.1"/>
    <n v="0.81100000000000005"/>
    <n v="7407.4500000000007"/>
    <x v="0"/>
    <x v="2"/>
  </r>
  <r>
    <x v="1587"/>
    <x v="4"/>
    <n v="456"/>
    <n v="28"/>
    <n v="10"/>
    <n v="7"/>
    <n v="36.6"/>
    <x v="42"/>
    <x v="1"/>
    <n v="73"/>
    <n v="3.57"/>
    <n v="101.5"/>
    <n v="1.4"/>
    <n v="2"/>
    <n v="0.8"/>
    <n v="246"/>
    <n v="13.9"/>
    <n v="0.87"/>
    <d v="2024-05-23T00:00:00"/>
    <n v="93.15"/>
    <n v="0.73899999999999999"/>
    <n v="46284"/>
    <x v="0"/>
    <x v="0"/>
  </r>
  <r>
    <x v="1588"/>
    <x v="0"/>
    <n v="482"/>
    <n v="26"/>
    <n v="4"/>
    <n v="2"/>
    <n v="35.369999999999997"/>
    <x v="54"/>
    <x v="2"/>
    <n v="121"/>
    <n v="4.28"/>
    <n v="117.88"/>
    <n v="1.1000000000000001"/>
    <n v="3"/>
    <n v="0.97"/>
    <n v="495"/>
    <n v="9.8000000000000007"/>
    <n v="0.26"/>
    <d v="2024-09-08T00:00:00"/>
    <n v="254.08"/>
    <n v="0.60699999999999998"/>
    <n v="56818.159999999996"/>
    <x v="0"/>
    <x v="0"/>
  </r>
  <r>
    <x v="1589"/>
    <x v="0"/>
    <n v="226"/>
    <n v="78"/>
    <n v="13"/>
    <n v="8"/>
    <n v="36.1"/>
    <x v="12"/>
    <x v="1"/>
    <n v="109"/>
    <n v="1.06"/>
    <n v="140.38999999999999"/>
    <n v="1.84"/>
    <n v="1"/>
    <n v="0.86"/>
    <n v="390"/>
    <n v="9.5"/>
    <n v="0.95"/>
    <d v="2024-12-22T00:00:00"/>
    <n v="119.12"/>
    <n v="0.68500000000000005"/>
    <n v="31728.139999999996"/>
    <x v="0"/>
    <x v="1"/>
  </r>
  <r>
    <x v="1590"/>
    <x v="0"/>
    <n v="407"/>
    <n v="48"/>
    <n v="3"/>
    <n v="5"/>
    <n v="23.27"/>
    <x v="15"/>
    <x v="0"/>
    <n v="113"/>
    <n v="2.4700000000000002"/>
    <n v="21.41"/>
    <n v="1.68"/>
    <n v="5"/>
    <n v="0.82"/>
    <n v="830"/>
    <n v="2.52"/>
    <n v="0.93"/>
    <d v="2024-12-16T00:00:00"/>
    <n v="276.14999999999998"/>
    <n v="0.51600000000000001"/>
    <n v="8713.8700000000008"/>
    <x v="0"/>
    <x v="0"/>
  </r>
  <r>
    <x v="1591"/>
    <x v="4"/>
    <n v="499"/>
    <n v="91"/>
    <n v="3"/>
    <n v="7"/>
    <n v="24.23"/>
    <x v="16"/>
    <x v="1"/>
    <n v="172"/>
    <n v="2.5"/>
    <n v="115.43"/>
    <n v="1.48"/>
    <n v="7"/>
    <n v="0.97"/>
    <n v="110"/>
    <n v="2.12"/>
    <n v="0.23"/>
    <d v="2024-02-20T00:00:00"/>
    <n v="147.13999999999999"/>
    <n v="0.38"/>
    <n v="57599.570000000007"/>
    <x v="0"/>
    <x v="0"/>
  </r>
  <r>
    <x v="1592"/>
    <x v="4"/>
    <n v="298"/>
    <n v="80"/>
    <n v="14"/>
    <n v="4"/>
    <n v="23.93"/>
    <x v="94"/>
    <x v="0"/>
    <n v="14"/>
    <n v="3.35"/>
    <n v="91.92"/>
    <n v="0.34"/>
    <n v="5"/>
    <n v="0.73"/>
    <n v="316"/>
    <n v="2.81"/>
    <n v="0.36"/>
    <d v="2024-04-26T00:00:00"/>
    <n v="256.17"/>
    <n v="0.52100000000000002"/>
    <n v="27392.16"/>
    <x v="0"/>
    <x v="0"/>
  </r>
  <r>
    <x v="1593"/>
    <x v="0"/>
    <n v="394"/>
    <n v="90"/>
    <n v="8"/>
    <n v="9"/>
    <n v="2.63"/>
    <x v="64"/>
    <x v="2"/>
    <n v="128"/>
    <n v="2"/>
    <n v="35.42"/>
    <n v="1.37"/>
    <n v="9"/>
    <n v="0.84"/>
    <n v="146"/>
    <n v="2.34"/>
    <n v="0.76"/>
    <d v="2024-03-09T00:00:00"/>
    <n v="96.21"/>
    <n v="0.434"/>
    <n v="13955.480000000001"/>
    <x v="0"/>
    <x v="0"/>
  </r>
  <r>
    <x v="1594"/>
    <x v="1"/>
    <n v="345"/>
    <n v="48"/>
    <n v="11"/>
    <n v="6"/>
    <n v="12.81"/>
    <x v="71"/>
    <x v="2"/>
    <n v="97"/>
    <n v="2.38"/>
    <n v="49.53"/>
    <n v="1.42"/>
    <n v="2"/>
    <n v="0.9"/>
    <n v="332"/>
    <n v="9.07"/>
    <n v="0.95"/>
    <d v="2024-06-02T00:00:00"/>
    <n v="140.96"/>
    <n v="0.70899999999999996"/>
    <n v="17087.850000000002"/>
    <x v="0"/>
    <x v="0"/>
  </r>
  <r>
    <x v="1595"/>
    <x v="1"/>
    <n v="491"/>
    <n v="45"/>
    <n v="9"/>
    <n v="9"/>
    <n v="8.57"/>
    <x v="77"/>
    <x v="2"/>
    <n v="176"/>
    <n v="0.55000000000000004"/>
    <n v="177.94"/>
    <n v="1.55"/>
    <n v="8"/>
    <n v="0.88"/>
    <n v="296"/>
    <n v="7.34"/>
    <n v="0.86"/>
    <d v="2024-08-14T00:00:00"/>
    <n v="193.76"/>
    <n v="0.53100000000000003"/>
    <n v="87368.54"/>
    <x v="0"/>
    <x v="0"/>
  </r>
  <r>
    <x v="1596"/>
    <x v="3"/>
    <n v="359"/>
    <n v="49"/>
    <n v="7"/>
    <n v="8"/>
    <n v="44.44"/>
    <x v="26"/>
    <x v="1"/>
    <n v="136"/>
    <n v="1.05"/>
    <n v="175.64"/>
    <n v="0.6"/>
    <n v="3"/>
    <n v="0.78"/>
    <n v="84"/>
    <n v="1.07"/>
    <n v="0.43"/>
    <d v="2024-06-13T00:00:00"/>
    <n v="85.01"/>
    <n v="0.53600000000000003"/>
    <n v="63054.759999999995"/>
    <x v="0"/>
    <x v="0"/>
  </r>
  <r>
    <x v="1597"/>
    <x v="2"/>
    <n v="376"/>
    <n v="54"/>
    <n v="13"/>
    <n v="4"/>
    <n v="14.47"/>
    <x v="4"/>
    <x v="2"/>
    <n v="33"/>
    <n v="3.06"/>
    <n v="16.329999999999998"/>
    <n v="1.32"/>
    <n v="5"/>
    <n v="0.87"/>
    <n v="835"/>
    <n v="5.91"/>
    <n v="0.23"/>
    <d v="2024-05-17T00:00:00"/>
    <n v="200.63"/>
    <n v="0.46700000000000003"/>
    <n v="6140.079999999999"/>
    <x v="0"/>
    <x v="0"/>
  </r>
  <r>
    <x v="1598"/>
    <x v="1"/>
    <n v="359"/>
    <n v="13"/>
    <n v="4"/>
    <n v="2"/>
    <n v="7.78"/>
    <x v="71"/>
    <x v="2"/>
    <n v="177"/>
    <n v="1.47"/>
    <n v="140.99"/>
    <n v="1.27"/>
    <n v="3"/>
    <n v="0.91"/>
    <n v="518"/>
    <n v="2.78"/>
    <n v="0.57999999999999996"/>
    <d v="2024-08-01T00:00:00"/>
    <n v="93.69"/>
    <n v="0.54800000000000004"/>
    <n v="50615.41"/>
    <x v="0"/>
    <x v="0"/>
  </r>
  <r>
    <x v="1599"/>
    <x v="4"/>
    <n v="223"/>
    <n v="34"/>
    <n v="3"/>
    <n v="2"/>
    <n v="6.87"/>
    <x v="90"/>
    <x v="0"/>
    <n v="116"/>
    <n v="1.1499999999999999"/>
    <n v="115.3"/>
    <n v="0.83"/>
    <n v="3"/>
    <n v="0.88"/>
    <n v="117"/>
    <n v="14.83"/>
    <n v="0.27"/>
    <d v="2024-11-05T00:00:00"/>
    <n v="150.44"/>
    <n v="0.68500000000000005"/>
    <n v="25711.899999999998"/>
    <x v="0"/>
    <x v="1"/>
  </r>
  <r>
    <x v="1600"/>
    <x v="1"/>
    <n v="180"/>
    <n v="78"/>
    <n v="4"/>
    <n v="3"/>
    <n v="35.299999999999997"/>
    <x v="10"/>
    <x v="2"/>
    <n v="59"/>
    <n v="1.96"/>
    <n v="188.57"/>
    <n v="1.36"/>
    <n v="1"/>
    <n v="0.91"/>
    <n v="238"/>
    <n v="7.44"/>
    <n v="0.4"/>
    <d v="2024-11-26T00:00:00"/>
    <n v="16.78"/>
    <n v="0.60499999999999998"/>
    <n v="33942.6"/>
    <x v="0"/>
    <x v="1"/>
  </r>
  <r>
    <x v="1601"/>
    <x v="3"/>
    <n v="47"/>
    <n v="39"/>
    <n v="3"/>
    <n v="6"/>
    <n v="1.3"/>
    <x v="80"/>
    <x v="2"/>
    <n v="67"/>
    <n v="1.24"/>
    <n v="182.52"/>
    <n v="0.26"/>
    <n v="9"/>
    <n v="0.78"/>
    <n v="90"/>
    <n v="6.97"/>
    <n v="0.71"/>
    <d v="2024-02-15T00:00:00"/>
    <n v="32.67"/>
    <n v="0.58499999999999996"/>
    <n v="8578.44"/>
    <x v="0"/>
    <x v="2"/>
  </r>
  <r>
    <x v="1602"/>
    <x v="3"/>
    <n v="411"/>
    <n v="85"/>
    <n v="5"/>
    <n v="3"/>
    <n v="24.09"/>
    <x v="84"/>
    <x v="2"/>
    <n v="10"/>
    <n v="0.77"/>
    <n v="120.12"/>
    <n v="1.32"/>
    <n v="1"/>
    <n v="0.95"/>
    <n v="657"/>
    <n v="10.02"/>
    <n v="0.6"/>
    <d v="2024-04-06T00:00:00"/>
    <n v="75.86"/>
    <n v="0.69199999999999995"/>
    <n v="49369.32"/>
    <x v="0"/>
    <x v="0"/>
  </r>
  <r>
    <x v="1603"/>
    <x v="2"/>
    <n v="276"/>
    <n v="77"/>
    <n v="8"/>
    <n v="8"/>
    <n v="6.82"/>
    <x v="1"/>
    <x v="3"/>
    <n v="176"/>
    <n v="1.78"/>
    <n v="36.4"/>
    <n v="1.25"/>
    <n v="1"/>
    <n v="0.83"/>
    <n v="732"/>
    <n v="6"/>
    <n v="0.5"/>
    <d v="2024-08-14T00:00:00"/>
    <n v="243.88"/>
    <n v="0.60099999999999998"/>
    <n v="10046.4"/>
    <x v="0"/>
    <x v="0"/>
  </r>
  <r>
    <x v="1604"/>
    <x v="1"/>
    <n v="184"/>
    <n v="97"/>
    <n v="10"/>
    <n v="4"/>
    <n v="42.63"/>
    <x v="51"/>
    <x v="2"/>
    <n v="147"/>
    <n v="1.24"/>
    <n v="97.36"/>
    <n v="0.5"/>
    <n v="1"/>
    <n v="1"/>
    <n v="994"/>
    <n v="11.02"/>
    <n v="0.94"/>
    <d v="2024-04-18T00:00:00"/>
    <n v="201.51"/>
    <n v="0.86499999999999999"/>
    <n v="17914.240000000002"/>
    <x v="0"/>
    <x v="1"/>
  </r>
  <r>
    <x v="1605"/>
    <x v="4"/>
    <n v="82"/>
    <n v="38"/>
    <n v="5"/>
    <n v="9"/>
    <n v="47.96"/>
    <x v="2"/>
    <x v="1"/>
    <n v="11"/>
    <n v="4.0999999999999996"/>
    <n v="147.78"/>
    <n v="1.65"/>
    <n v="7"/>
    <n v="0.71"/>
    <n v="956"/>
    <n v="13.67"/>
    <n v="0.35"/>
    <d v="2024-07-27T00:00:00"/>
    <n v="269.10000000000002"/>
    <n v="0.48899999999999999"/>
    <n v="12117.960000000001"/>
    <x v="0"/>
    <x v="2"/>
  </r>
  <r>
    <x v="1606"/>
    <x v="4"/>
    <n v="41"/>
    <n v="82"/>
    <n v="12"/>
    <n v="5"/>
    <n v="47.98"/>
    <x v="90"/>
    <x v="0"/>
    <n v="72"/>
    <n v="0.78"/>
    <n v="190.83"/>
    <n v="1.76"/>
    <n v="9"/>
    <n v="0.81"/>
    <n v="116"/>
    <n v="7.98"/>
    <n v="0.59"/>
    <d v="2024-09-05T00:00:00"/>
    <n v="272.37"/>
    <n v="0.43"/>
    <n v="7824.0300000000007"/>
    <x v="1"/>
    <x v="2"/>
  </r>
  <r>
    <x v="1607"/>
    <x v="0"/>
    <n v="89"/>
    <n v="77"/>
    <n v="11"/>
    <n v="3"/>
    <n v="22.66"/>
    <x v="81"/>
    <x v="2"/>
    <n v="25"/>
    <n v="3.86"/>
    <n v="79.13"/>
    <n v="0.5"/>
    <n v="3"/>
    <n v="0.75"/>
    <n v="996"/>
    <n v="6.36"/>
    <n v="0.66"/>
    <d v="2024-09-21T00:00:00"/>
    <n v="118.65"/>
    <n v="0.65700000000000003"/>
    <n v="7042.57"/>
    <x v="0"/>
    <x v="2"/>
  </r>
  <r>
    <x v="1608"/>
    <x v="4"/>
    <n v="400"/>
    <n v="60"/>
    <n v="12"/>
    <n v="2"/>
    <n v="32.58"/>
    <x v="33"/>
    <x v="1"/>
    <n v="46"/>
    <n v="2.2200000000000002"/>
    <n v="159.09"/>
    <n v="0.24"/>
    <n v="3"/>
    <n v="0.87"/>
    <n v="357"/>
    <n v="8.31"/>
    <n v="0.46"/>
    <d v="2024-07-10T00:00:00"/>
    <n v="116.58"/>
    <n v="0.69299999999999995"/>
    <n v="63636"/>
    <x v="0"/>
    <x v="0"/>
  </r>
  <r>
    <x v="1609"/>
    <x v="2"/>
    <n v="424"/>
    <n v="33"/>
    <n v="7"/>
    <n v="6"/>
    <n v="30.39"/>
    <x v="89"/>
    <x v="0"/>
    <n v="25"/>
    <n v="3.54"/>
    <n v="139.83000000000001"/>
    <n v="1.25"/>
    <n v="9"/>
    <n v="0.77"/>
    <n v="168"/>
    <n v="9.4499999999999993"/>
    <n v="0.76"/>
    <d v="2024-01-29T00:00:00"/>
    <n v="252.37"/>
    <n v="0.52700000000000002"/>
    <n v="59287.920000000006"/>
    <x v="0"/>
    <x v="0"/>
  </r>
  <r>
    <x v="1610"/>
    <x v="2"/>
    <n v="115"/>
    <n v="23"/>
    <n v="9"/>
    <n v="9"/>
    <n v="18.149999999999999"/>
    <x v="12"/>
    <x v="0"/>
    <n v="96"/>
    <n v="0.74"/>
    <n v="24.88"/>
    <n v="1.01"/>
    <n v="9"/>
    <n v="0.92"/>
    <n v="902"/>
    <n v="12.87"/>
    <n v="0.89"/>
    <d v="2024-09-20T00:00:00"/>
    <n v="133.66999999999999"/>
    <n v="0.65300000000000002"/>
    <n v="2861.2"/>
    <x v="0"/>
    <x v="1"/>
  </r>
  <r>
    <x v="1611"/>
    <x v="4"/>
    <n v="182"/>
    <n v="78"/>
    <n v="10"/>
    <n v="4"/>
    <n v="22.76"/>
    <x v="63"/>
    <x v="1"/>
    <n v="99"/>
    <n v="4.6399999999999997"/>
    <n v="116.02"/>
    <n v="0.91"/>
    <n v="2"/>
    <n v="0.96"/>
    <n v="732"/>
    <n v="6.52"/>
    <n v="0.63"/>
    <d v="2024-03-22T00:00:00"/>
    <n v="258.58999999999997"/>
    <n v="0.67400000000000004"/>
    <n v="21115.64"/>
    <x v="0"/>
    <x v="1"/>
  </r>
  <r>
    <x v="1612"/>
    <x v="4"/>
    <n v="98"/>
    <n v="27"/>
    <n v="5"/>
    <n v="7"/>
    <n v="4.1500000000000004"/>
    <x v="87"/>
    <x v="1"/>
    <n v="89"/>
    <n v="3.95"/>
    <n v="44.87"/>
    <n v="1.55"/>
    <n v="4"/>
    <n v="0.76"/>
    <n v="235"/>
    <n v="1.72"/>
    <n v="0.83"/>
    <d v="2024-02-03T00:00:00"/>
    <n v="156.72"/>
    <n v="0.50600000000000001"/>
    <n v="4397.2599999999993"/>
    <x v="0"/>
    <x v="2"/>
  </r>
  <r>
    <x v="1613"/>
    <x v="0"/>
    <n v="24"/>
    <n v="51"/>
    <n v="4"/>
    <n v="8"/>
    <n v="39.99"/>
    <x v="84"/>
    <x v="3"/>
    <n v="36"/>
    <n v="1.1299999999999999"/>
    <n v="139.87"/>
    <n v="1.94"/>
    <n v="3"/>
    <n v="0.75"/>
    <n v="119"/>
    <n v="9.83"/>
    <n v="0.25"/>
    <d v="2024-06-08T00:00:00"/>
    <n v="133.16999999999999"/>
    <n v="0.47699999999999998"/>
    <n v="3356.88"/>
    <x v="1"/>
    <x v="2"/>
  </r>
  <r>
    <x v="1614"/>
    <x v="4"/>
    <n v="335"/>
    <n v="66"/>
    <n v="4"/>
    <n v="8"/>
    <n v="12.8"/>
    <x v="35"/>
    <x v="3"/>
    <n v="120"/>
    <n v="1.48"/>
    <n v="125.92"/>
    <n v="1.01"/>
    <n v="6"/>
    <n v="0.96"/>
    <n v="806"/>
    <n v="14.82"/>
    <n v="0.32"/>
    <d v="2024-12-29T00:00:00"/>
    <n v="90.93"/>
    <n v="0.63300000000000001"/>
    <n v="42183.199999999997"/>
    <x v="0"/>
    <x v="0"/>
  </r>
  <r>
    <x v="1615"/>
    <x v="0"/>
    <n v="139"/>
    <n v="92"/>
    <n v="7"/>
    <n v="2"/>
    <n v="23.57"/>
    <x v="76"/>
    <x v="2"/>
    <n v="73"/>
    <n v="3.4"/>
    <n v="194.88"/>
    <n v="0.11"/>
    <n v="9"/>
    <n v="0.81"/>
    <n v="974"/>
    <n v="12.96"/>
    <n v="0.56999999999999995"/>
    <d v="2024-09-16T00:00:00"/>
    <n v="46.68"/>
    <n v="0.65800000000000003"/>
    <n v="27088.32"/>
    <x v="0"/>
    <x v="1"/>
  </r>
  <r>
    <x v="1616"/>
    <x v="0"/>
    <n v="321"/>
    <n v="21"/>
    <n v="3"/>
    <n v="7"/>
    <n v="24.55"/>
    <x v="90"/>
    <x v="3"/>
    <n v="106"/>
    <n v="4.6500000000000004"/>
    <n v="187.72"/>
    <n v="1.23"/>
    <n v="6"/>
    <n v="0.83"/>
    <n v="720"/>
    <n v="11.62"/>
    <n v="0.94"/>
    <d v="2024-07-25T00:00:00"/>
    <n v="162.51"/>
    <n v="0.66600000000000004"/>
    <n v="60258.12"/>
    <x v="0"/>
    <x v="0"/>
  </r>
  <r>
    <x v="1617"/>
    <x v="4"/>
    <n v="197"/>
    <n v="91"/>
    <n v="4"/>
    <n v="8"/>
    <n v="28.47"/>
    <x v="3"/>
    <x v="1"/>
    <n v="169"/>
    <n v="2.5099999999999998"/>
    <n v="11.78"/>
    <n v="1.34"/>
    <n v="5"/>
    <n v="0.77"/>
    <n v="333"/>
    <n v="3.47"/>
    <n v="0.63"/>
    <d v="2024-03-10T00:00:00"/>
    <n v="104.32"/>
    <n v="0.49199999999999999"/>
    <n v="2320.66"/>
    <x v="0"/>
    <x v="1"/>
  </r>
  <r>
    <x v="1618"/>
    <x v="3"/>
    <n v="195"/>
    <n v="26"/>
    <n v="11"/>
    <n v="5"/>
    <n v="41.08"/>
    <x v="24"/>
    <x v="3"/>
    <n v="146"/>
    <n v="2.69"/>
    <n v="25.21"/>
    <n v="1.67"/>
    <n v="6"/>
    <n v="0.83"/>
    <n v="668"/>
    <n v="11.48"/>
    <n v="0.55000000000000004"/>
    <d v="2024-09-25T00:00:00"/>
    <n v="82.34"/>
    <n v="0.54200000000000004"/>
    <n v="4915.95"/>
    <x v="0"/>
    <x v="1"/>
  </r>
  <r>
    <x v="1619"/>
    <x v="3"/>
    <n v="409"/>
    <n v="39"/>
    <n v="9"/>
    <n v="9"/>
    <n v="34.9"/>
    <x v="79"/>
    <x v="0"/>
    <n v="20"/>
    <n v="1.57"/>
    <n v="156.13999999999999"/>
    <n v="0.48"/>
    <n v="6"/>
    <n v="0.77"/>
    <n v="995"/>
    <n v="2.14"/>
    <n v="0.68"/>
    <d v="2024-10-18T00:00:00"/>
    <n v="59.2"/>
    <n v="0.55100000000000005"/>
    <n v="63861.259999999995"/>
    <x v="0"/>
    <x v="0"/>
  </r>
  <r>
    <x v="1620"/>
    <x v="0"/>
    <n v="236"/>
    <n v="97"/>
    <n v="8"/>
    <n v="6"/>
    <n v="33.49"/>
    <x v="1"/>
    <x v="1"/>
    <n v="79"/>
    <n v="2.2200000000000002"/>
    <n v="140.27000000000001"/>
    <n v="1.1000000000000001"/>
    <n v="7"/>
    <n v="0.9"/>
    <n v="597"/>
    <n v="7.91"/>
    <n v="0.3"/>
    <d v="2024-01-15T00:00:00"/>
    <n v="122.7"/>
    <n v="0.495"/>
    <n v="33103.72"/>
    <x v="0"/>
    <x v="1"/>
  </r>
  <r>
    <x v="1621"/>
    <x v="4"/>
    <n v="75"/>
    <n v="84"/>
    <n v="11"/>
    <n v="9"/>
    <n v="26.81"/>
    <x v="72"/>
    <x v="2"/>
    <n v="167"/>
    <n v="1.79"/>
    <n v="162.18"/>
    <n v="0.95"/>
    <n v="0"/>
    <n v="0.85"/>
    <n v="397"/>
    <n v="6.19"/>
    <n v="0.72"/>
    <d v="2024-03-29T00:00:00"/>
    <n v="171.2"/>
    <n v="0.70199999999999996"/>
    <n v="12163.5"/>
    <x v="1"/>
    <x v="2"/>
  </r>
  <r>
    <x v="1622"/>
    <x v="3"/>
    <n v="385"/>
    <n v="32"/>
    <n v="9"/>
    <n v="5"/>
    <n v="5.7"/>
    <x v="50"/>
    <x v="0"/>
    <n v="152"/>
    <n v="2.08"/>
    <n v="60.69"/>
    <n v="1.36"/>
    <n v="2"/>
    <n v="0.94"/>
    <n v="964"/>
    <n v="13.67"/>
    <n v="0.28000000000000003"/>
    <d v="2024-04-08T00:00:00"/>
    <n v="252.74"/>
    <n v="0.65"/>
    <n v="23365.649999999998"/>
    <x v="0"/>
    <x v="0"/>
  </r>
  <r>
    <x v="1623"/>
    <x v="4"/>
    <n v="206"/>
    <n v="90"/>
    <n v="13"/>
    <n v="8"/>
    <n v="20.7"/>
    <x v="91"/>
    <x v="0"/>
    <n v="57"/>
    <n v="0.59"/>
    <n v="171.37"/>
    <n v="0.22"/>
    <n v="2"/>
    <n v="0.79"/>
    <n v="244"/>
    <n v="3.24"/>
    <n v="0.66"/>
    <d v="2024-04-12T00:00:00"/>
    <n v="247.86"/>
    <n v="0.67100000000000004"/>
    <n v="35302.22"/>
    <x v="0"/>
    <x v="1"/>
  </r>
  <r>
    <x v="1624"/>
    <x v="4"/>
    <n v="251"/>
    <n v="10"/>
    <n v="7"/>
    <n v="5"/>
    <n v="47.91"/>
    <x v="25"/>
    <x v="0"/>
    <n v="103"/>
    <n v="0.68"/>
    <n v="94.06"/>
    <n v="1.78"/>
    <n v="4"/>
    <n v="0.85"/>
    <n v="829"/>
    <n v="12.04"/>
    <n v="0.77"/>
    <d v="2024-01-30T00:00:00"/>
    <n v="257.97000000000003"/>
    <n v="0.627"/>
    <n v="23609.06"/>
    <x v="0"/>
    <x v="0"/>
  </r>
  <r>
    <x v="1625"/>
    <x v="4"/>
    <n v="274"/>
    <n v="88"/>
    <n v="11"/>
    <n v="9"/>
    <n v="49.78"/>
    <x v="64"/>
    <x v="1"/>
    <n v="85"/>
    <n v="3.56"/>
    <n v="59.76"/>
    <n v="1.07"/>
    <n v="9"/>
    <n v="0.78"/>
    <n v="533"/>
    <n v="1.68"/>
    <n v="0.53"/>
    <d v="2024-05-07T00:00:00"/>
    <n v="177.11"/>
    <n v="0.39700000000000002"/>
    <n v="16374.24"/>
    <x v="0"/>
    <x v="0"/>
  </r>
  <r>
    <x v="1626"/>
    <x v="1"/>
    <n v="432"/>
    <n v="41"/>
    <n v="8"/>
    <n v="8"/>
    <n v="36.79"/>
    <x v="46"/>
    <x v="1"/>
    <n v="69"/>
    <n v="3.57"/>
    <n v="12.02"/>
    <n v="1.77"/>
    <n v="6"/>
    <n v="0.98"/>
    <n v="637"/>
    <n v="10.82"/>
    <n v="0.93"/>
    <d v="2024-01-17T00:00:00"/>
    <n v="172.27"/>
    <n v="0.629"/>
    <n v="5192.6399999999994"/>
    <x v="0"/>
    <x v="0"/>
  </r>
  <r>
    <x v="1627"/>
    <x v="4"/>
    <n v="474"/>
    <n v="18"/>
    <n v="8"/>
    <n v="6"/>
    <n v="12.15"/>
    <x v="74"/>
    <x v="2"/>
    <n v="77"/>
    <n v="1.99"/>
    <n v="175.56"/>
    <n v="0.75"/>
    <n v="9"/>
    <n v="0.86"/>
    <n v="329"/>
    <n v="5.1100000000000003"/>
    <n v="0.32"/>
    <d v="2024-08-21T00:00:00"/>
    <n v="272.49"/>
    <n v="0.44900000000000001"/>
    <n v="83215.44"/>
    <x v="0"/>
    <x v="0"/>
  </r>
  <r>
    <x v="1628"/>
    <x v="1"/>
    <n v="123"/>
    <n v="24"/>
    <n v="13"/>
    <n v="6"/>
    <n v="5.99"/>
    <x v="12"/>
    <x v="3"/>
    <n v="66"/>
    <n v="4.4800000000000004"/>
    <n v="111.72"/>
    <n v="1.34"/>
    <n v="5"/>
    <n v="0.75"/>
    <n v="882"/>
    <n v="14.66"/>
    <n v="0.34"/>
    <d v="2024-01-26T00:00:00"/>
    <n v="93.68"/>
    <n v="0.57899999999999996"/>
    <n v="13741.56"/>
    <x v="0"/>
    <x v="1"/>
  </r>
  <r>
    <x v="1629"/>
    <x v="0"/>
    <n v="96"/>
    <n v="37"/>
    <n v="6"/>
    <n v="7"/>
    <n v="21.32"/>
    <x v="8"/>
    <x v="3"/>
    <n v="73"/>
    <n v="1.7"/>
    <n v="195.32"/>
    <n v="1.92"/>
    <n v="3"/>
    <n v="0.78"/>
    <n v="397"/>
    <n v="10.4"/>
    <n v="0.61"/>
    <d v="2024-07-03T00:00:00"/>
    <n v="52.18"/>
    <n v="0.56499999999999995"/>
    <n v="18750.72"/>
    <x v="0"/>
    <x v="2"/>
  </r>
  <r>
    <x v="1630"/>
    <x v="3"/>
    <n v="249"/>
    <n v="33"/>
    <n v="14"/>
    <n v="5"/>
    <n v="42.97"/>
    <x v="25"/>
    <x v="3"/>
    <n v="89"/>
    <n v="2.2799999999999998"/>
    <n v="145.79"/>
    <n v="1.89"/>
    <n v="5"/>
    <n v="0.72"/>
    <n v="641"/>
    <n v="5.32"/>
    <n v="0.95"/>
    <d v="2024-12-26T00:00:00"/>
    <n v="34"/>
    <n v="0.51600000000000001"/>
    <n v="36301.71"/>
    <x v="0"/>
    <x v="1"/>
  </r>
  <r>
    <x v="1631"/>
    <x v="3"/>
    <n v="421"/>
    <n v="69"/>
    <n v="3"/>
    <n v="4"/>
    <n v="36.369999999999997"/>
    <x v="17"/>
    <x v="3"/>
    <n v="96"/>
    <n v="3.79"/>
    <n v="25.28"/>
    <n v="1.89"/>
    <n v="6"/>
    <n v="0.71"/>
    <n v="966"/>
    <n v="4.3"/>
    <n v="0.51"/>
    <d v="2024-04-11T00:00:00"/>
    <n v="265.5"/>
    <n v="0.39200000000000002"/>
    <n v="10642.880000000001"/>
    <x v="0"/>
    <x v="0"/>
  </r>
  <r>
    <x v="1632"/>
    <x v="3"/>
    <n v="277"/>
    <n v="44"/>
    <n v="7"/>
    <n v="7"/>
    <n v="44.31"/>
    <x v="6"/>
    <x v="0"/>
    <n v="176"/>
    <n v="3.85"/>
    <n v="121.76"/>
    <n v="0.18"/>
    <n v="3"/>
    <n v="0.86"/>
    <n v="527"/>
    <n v="9.9499999999999993"/>
    <n v="0.94"/>
    <d v="2024-05-20T00:00:00"/>
    <n v="117.81"/>
    <n v="0.81499999999999995"/>
    <n v="33727.520000000004"/>
    <x v="0"/>
    <x v="0"/>
  </r>
  <r>
    <x v="1633"/>
    <x v="3"/>
    <n v="283"/>
    <n v="95"/>
    <n v="13"/>
    <n v="6"/>
    <n v="31.17"/>
    <x v="99"/>
    <x v="1"/>
    <n v="129"/>
    <n v="4.38"/>
    <n v="13.25"/>
    <n v="0.87"/>
    <n v="7"/>
    <n v="0.8"/>
    <n v="147"/>
    <n v="4.82"/>
    <n v="0.75"/>
    <d v="2024-07-07T00:00:00"/>
    <n v="154.63"/>
    <n v="0.54700000000000004"/>
    <n v="3749.75"/>
    <x v="0"/>
    <x v="0"/>
  </r>
  <r>
    <x v="1634"/>
    <x v="3"/>
    <n v="350"/>
    <n v="36"/>
    <n v="11"/>
    <n v="2"/>
    <n v="7.39"/>
    <x v="36"/>
    <x v="3"/>
    <n v="152"/>
    <n v="0.63"/>
    <n v="115.98"/>
    <n v="0.22"/>
    <n v="4"/>
    <n v="0.99"/>
    <n v="331"/>
    <n v="3.62"/>
    <n v="0.83"/>
    <d v="2024-08-25T00:00:00"/>
    <n v="242.89"/>
    <n v="0.71"/>
    <n v="40593"/>
    <x v="0"/>
    <x v="0"/>
  </r>
  <r>
    <x v="1635"/>
    <x v="3"/>
    <n v="201"/>
    <n v="92"/>
    <n v="10"/>
    <n v="8"/>
    <n v="6.63"/>
    <x v="37"/>
    <x v="0"/>
    <n v="88"/>
    <n v="1.33"/>
    <n v="76.540000000000006"/>
    <n v="0.69"/>
    <n v="2"/>
    <n v="0.75"/>
    <n v="679"/>
    <n v="10.07"/>
    <n v="0.95"/>
    <d v="2024-09-15T00:00:00"/>
    <n v="118.22"/>
    <n v="0.76500000000000001"/>
    <n v="15384.54"/>
    <x v="0"/>
    <x v="1"/>
  </r>
  <r>
    <x v="1636"/>
    <x v="3"/>
    <n v="400"/>
    <n v="85"/>
    <n v="10"/>
    <n v="7"/>
    <n v="3.35"/>
    <x v="51"/>
    <x v="1"/>
    <n v="165"/>
    <n v="3.38"/>
    <n v="132.22999999999999"/>
    <n v="0.43"/>
    <n v="1"/>
    <n v="0.94"/>
    <n v="468"/>
    <n v="11.14"/>
    <n v="0.66"/>
    <d v="2024-07-22T00:00:00"/>
    <n v="261.70999999999998"/>
    <n v="0.80600000000000005"/>
    <n v="52891.999999999993"/>
    <x v="0"/>
    <x v="0"/>
  </r>
  <r>
    <x v="1637"/>
    <x v="0"/>
    <n v="275"/>
    <n v="29"/>
    <n v="7"/>
    <n v="3"/>
    <n v="28.79"/>
    <x v="93"/>
    <x v="1"/>
    <n v="45"/>
    <n v="2.02"/>
    <n v="112.9"/>
    <n v="1.28"/>
    <n v="0"/>
    <n v="0.79"/>
    <n v="272"/>
    <n v="4.33"/>
    <n v="0.71"/>
    <d v="2024-11-21T00:00:00"/>
    <n v="103.29"/>
    <n v="0.63"/>
    <n v="31047.5"/>
    <x v="0"/>
    <x v="0"/>
  </r>
  <r>
    <x v="1638"/>
    <x v="4"/>
    <n v="57"/>
    <n v="74"/>
    <n v="14"/>
    <n v="4"/>
    <n v="12.9"/>
    <x v="85"/>
    <x v="1"/>
    <n v="63"/>
    <n v="0.7"/>
    <n v="59.66"/>
    <n v="1.58"/>
    <n v="3"/>
    <n v="0.77"/>
    <n v="301"/>
    <n v="8.5"/>
    <n v="0.66"/>
    <d v="2024-03-04T00:00:00"/>
    <n v="222.39"/>
    <n v="0.58099999999999996"/>
    <n v="3400.62"/>
    <x v="1"/>
    <x v="2"/>
  </r>
  <r>
    <x v="1639"/>
    <x v="2"/>
    <n v="195"/>
    <n v="94"/>
    <n v="11"/>
    <n v="8"/>
    <n v="36.979999999999997"/>
    <x v="38"/>
    <x v="0"/>
    <n v="154"/>
    <n v="3.14"/>
    <n v="40.85"/>
    <n v="1.08"/>
    <n v="1"/>
    <n v="0.99"/>
    <n v="129"/>
    <n v="10.29"/>
    <n v="0.83"/>
    <d v="2024-12-14T00:00:00"/>
    <n v="203.54"/>
    <n v="0.77300000000000002"/>
    <n v="7965.75"/>
    <x v="0"/>
    <x v="1"/>
  </r>
  <r>
    <x v="1640"/>
    <x v="1"/>
    <n v="46"/>
    <n v="58"/>
    <n v="5"/>
    <n v="7"/>
    <n v="34.630000000000003"/>
    <x v="58"/>
    <x v="3"/>
    <n v="109"/>
    <n v="2.27"/>
    <n v="86.9"/>
    <n v="1.61"/>
    <n v="2"/>
    <n v="0.94"/>
    <n v="875"/>
    <n v="14.19"/>
    <n v="0.42"/>
    <d v="2024-01-16T00:00:00"/>
    <n v="68.39"/>
    <n v="0.66"/>
    <n v="3997.4"/>
    <x v="1"/>
    <x v="2"/>
  </r>
  <r>
    <x v="1641"/>
    <x v="2"/>
    <n v="295"/>
    <n v="10"/>
    <n v="5"/>
    <n v="6"/>
    <n v="16.59"/>
    <x v="2"/>
    <x v="1"/>
    <n v="95"/>
    <n v="2.14"/>
    <n v="197.5"/>
    <n v="0.12"/>
    <n v="0"/>
    <n v="0.89"/>
    <n v="731"/>
    <n v="12.25"/>
    <n v="0.83"/>
    <d v="2024-05-03T00:00:00"/>
    <n v="46.1"/>
    <n v="0.89500000000000002"/>
    <n v="58262.5"/>
    <x v="0"/>
    <x v="0"/>
  </r>
  <r>
    <x v="1642"/>
    <x v="2"/>
    <n v="159"/>
    <n v="19"/>
    <n v="3"/>
    <n v="9"/>
    <n v="9.66"/>
    <x v="65"/>
    <x v="0"/>
    <n v="31"/>
    <n v="1.69"/>
    <n v="92.78"/>
    <n v="1.66"/>
    <n v="5"/>
    <n v="0.91"/>
    <n v="462"/>
    <n v="6.89"/>
    <n v="0.77"/>
    <d v="2024-07-09T00:00:00"/>
    <n v="42.35"/>
    <n v="0.56200000000000006"/>
    <n v="14752.02"/>
    <x v="0"/>
    <x v="1"/>
  </r>
  <r>
    <x v="1643"/>
    <x v="4"/>
    <n v="318"/>
    <n v="56"/>
    <n v="11"/>
    <n v="6"/>
    <n v="6.02"/>
    <x v="97"/>
    <x v="1"/>
    <n v="84"/>
    <n v="0.53"/>
    <n v="152.27000000000001"/>
    <n v="0.44"/>
    <n v="3"/>
    <n v="1"/>
    <n v="718"/>
    <n v="12.82"/>
    <n v="0.68"/>
    <d v="2024-09-07T00:00:00"/>
    <n v="198.77"/>
    <n v="0.80300000000000005"/>
    <n v="48421.86"/>
    <x v="0"/>
    <x v="0"/>
  </r>
  <r>
    <x v="1644"/>
    <x v="4"/>
    <n v="464"/>
    <n v="68"/>
    <n v="8"/>
    <n v="4"/>
    <n v="37.130000000000003"/>
    <x v="67"/>
    <x v="2"/>
    <n v="45"/>
    <n v="1.32"/>
    <n v="20.82"/>
    <n v="0.98"/>
    <n v="4"/>
    <n v="0.88"/>
    <n v="442"/>
    <n v="7.18"/>
    <n v="0.23"/>
    <d v="2024-10-31T00:00:00"/>
    <n v="13.75"/>
    <n v="0.54"/>
    <n v="9660.48"/>
    <x v="0"/>
    <x v="0"/>
  </r>
  <r>
    <x v="1645"/>
    <x v="4"/>
    <n v="306"/>
    <n v="71"/>
    <n v="4"/>
    <n v="3"/>
    <n v="23.07"/>
    <x v="13"/>
    <x v="2"/>
    <n v="38"/>
    <n v="2.63"/>
    <n v="81.98"/>
    <n v="0.94"/>
    <n v="7"/>
    <n v="0.73"/>
    <n v="383"/>
    <n v="2.82"/>
    <n v="0.82"/>
    <d v="2024-08-16T00:00:00"/>
    <n v="201.6"/>
    <n v="0.51400000000000001"/>
    <n v="25085.88"/>
    <x v="0"/>
    <x v="0"/>
  </r>
  <r>
    <x v="1646"/>
    <x v="3"/>
    <n v="110"/>
    <n v="95"/>
    <n v="10"/>
    <n v="7"/>
    <n v="16.850000000000001"/>
    <x v="57"/>
    <x v="0"/>
    <n v="179"/>
    <n v="1.74"/>
    <n v="120.26"/>
    <n v="1.76"/>
    <n v="3"/>
    <n v="0.72"/>
    <n v="938"/>
    <n v="5.78"/>
    <n v="0.31"/>
    <d v="2024-03-31T00:00:00"/>
    <n v="236.77"/>
    <n v="0.44700000000000001"/>
    <n v="13228.6"/>
    <x v="0"/>
    <x v="1"/>
  </r>
  <r>
    <x v="1647"/>
    <x v="0"/>
    <n v="499"/>
    <n v="27"/>
    <n v="14"/>
    <n v="9"/>
    <n v="42.98"/>
    <x v="8"/>
    <x v="3"/>
    <n v="169"/>
    <n v="4.43"/>
    <n v="152.72999999999999"/>
    <n v="1.94"/>
    <n v="5"/>
    <n v="0.9"/>
    <n v="377"/>
    <n v="12.27"/>
    <n v="0.97"/>
    <d v="2024-08-30T00:00:00"/>
    <n v="97.73"/>
    <n v="0.64400000000000002"/>
    <n v="76212.26999999999"/>
    <x v="0"/>
    <x v="0"/>
  </r>
  <r>
    <x v="1648"/>
    <x v="3"/>
    <n v="80"/>
    <n v="55"/>
    <n v="11"/>
    <n v="7"/>
    <n v="30.09"/>
    <x v="86"/>
    <x v="3"/>
    <n v="151"/>
    <n v="1.1399999999999999"/>
    <n v="110.39"/>
    <n v="0.57999999999999996"/>
    <n v="2"/>
    <n v="0.9"/>
    <n v="51"/>
    <n v="14.38"/>
    <n v="0.27"/>
    <d v="2024-10-27T00:00:00"/>
    <n v="226.25"/>
    <n v="0.72799999999999998"/>
    <n v="8831.2000000000007"/>
    <x v="0"/>
    <x v="2"/>
  </r>
  <r>
    <x v="1649"/>
    <x v="0"/>
    <n v="477"/>
    <n v="41"/>
    <n v="11"/>
    <n v="5"/>
    <n v="26.38"/>
    <x v="21"/>
    <x v="1"/>
    <n v="27"/>
    <n v="4.4400000000000004"/>
    <n v="107.91"/>
    <n v="0.23"/>
    <n v="7"/>
    <n v="0.92"/>
    <n v="252"/>
    <n v="14.77"/>
    <n v="0.78"/>
    <d v="2024-10-09T00:00:00"/>
    <n v="57.96"/>
    <n v="0.77400000000000002"/>
    <n v="51473.07"/>
    <x v="0"/>
    <x v="0"/>
  </r>
  <r>
    <x v="1650"/>
    <x v="0"/>
    <n v="470"/>
    <n v="36"/>
    <n v="4"/>
    <n v="2"/>
    <n v="37.43"/>
    <x v="92"/>
    <x v="3"/>
    <n v="47"/>
    <n v="2.3199999999999998"/>
    <n v="155.13999999999999"/>
    <n v="1.34"/>
    <n v="2"/>
    <n v="0.73"/>
    <n v="307"/>
    <n v="9.9499999999999993"/>
    <n v="0.49"/>
    <d v="2024-06-28T00:00:00"/>
    <n v="288.54000000000002"/>
    <n v="0.60299999999999998"/>
    <n v="72915.799999999988"/>
    <x v="0"/>
    <x v="0"/>
  </r>
  <r>
    <x v="1651"/>
    <x v="2"/>
    <n v="384"/>
    <n v="27"/>
    <n v="4"/>
    <n v="6"/>
    <n v="40.96"/>
    <x v="59"/>
    <x v="3"/>
    <n v="110"/>
    <n v="1.74"/>
    <n v="69.52"/>
    <n v="1.06"/>
    <n v="6"/>
    <n v="0.98"/>
    <n v="812"/>
    <n v="7.7"/>
    <n v="0.79"/>
    <d v="2024-06-25T00:00:00"/>
    <n v="77.3"/>
    <n v="0.63100000000000001"/>
    <n v="26695.68"/>
    <x v="0"/>
    <x v="0"/>
  </r>
  <r>
    <x v="1652"/>
    <x v="2"/>
    <n v="366"/>
    <n v="48"/>
    <n v="9"/>
    <n v="7"/>
    <n v="34.619999999999997"/>
    <x v="41"/>
    <x v="2"/>
    <n v="43"/>
    <n v="1.87"/>
    <n v="27.22"/>
    <n v="1.17"/>
    <n v="6"/>
    <n v="0.87"/>
    <n v="416"/>
    <n v="3.27"/>
    <n v="0.62"/>
    <d v="2024-03-24T00:00:00"/>
    <n v="151.63"/>
    <n v="0.505"/>
    <n v="9962.52"/>
    <x v="0"/>
    <x v="0"/>
  </r>
  <r>
    <x v="1653"/>
    <x v="0"/>
    <n v="182"/>
    <n v="58"/>
    <n v="13"/>
    <n v="7"/>
    <n v="22.56"/>
    <x v="63"/>
    <x v="0"/>
    <n v="130"/>
    <n v="1.99"/>
    <n v="75.959999999999994"/>
    <n v="0.19"/>
    <n v="2"/>
    <n v="0.89"/>
    <n v="195"/>
    <n v="2.44"/>
    <n v="0.7"/>
    <d v="2024-05-12T00:00:00"/>
    <n v="294.33999999999997"/>
    <n v="0.69199999999999995"/>
    <n v="13824.72"/>
    <x v="0"/>
    <x v="1"/>
  </r>
  <r>
    <x v="1654"/>
    <x v="0"/>
    <n v="370"/>
    <n v="91"/>
    <n v="6"/>
    <n v="8"/>
    <n v="19.59"/>
    <x v="18"/>
    <x v="2"/>
    <n v="96"/>
    <n v="2.78"/>
    <n v="40.21"/>
    <n v="1.57"/>
    <n v="2"/>
    <n v="0.71"/>
    <n v="886"/>
    <n v="8.26"/>
    <n v="0.26"/>
    <d v="2024-12-18T00:00:00"/>
    <n v="273.07"/>
    <n v="0.50700000000000001"/>
    <n v="14877.7"/>
    <x v="0"/>
    <x v="0"/>
  </r>
  <r>
    <x v="1655"/>
    <x v="3"/>
    <n v="162"/>
    <n v="53"/>
    <n v="3"/>
    <n v="8"/>
    <n v="38.81"/>
    <x v="71"/>
    <x v="0"/>
    <n v="169"/>
    <n v="2.09"/>
    <n v="193.53"/>
    <n v="0.54"/>
    <n v="9"/>
    <n v="0.99"/>
    <n v="427"/>
    <n v="11.19"/>
    <n v="0.97"/>
    <d v="2024-02-16T00:00:00"/>
    <n v="201.24"/>
    <n v="0.70699999999999996"/>
    <n v="31351.86"/>
    <x v="0"/>
    <x v="1"/>
  </r>
  <r>
    <x v="1656"/>
    <x v="3"/>
    <n v="419"/>
    <n v="81"/>
    <n v="10"/>
    <n v="7"/>
    <n v="26.38"/>
    <x v="50"/>
    <x v="1"/>
    <n v="119"/>
    <n v="3.41"/>
    <n v="119.73"/>
    <n v="0.74"/>
    <n v="9"/>
    <n v="0.87"/>
    <n v="490"/>
    <n v="5.53"/>
    <n v="0.2"/>
    <d v="2024-05-25T00:00:00"/>
    <n v="117.07"/>
    <n v="0.434"/>
    <n v="50166.87"/>
    <x v="0"/>
    <x v="0"/>
  </r>
  <r>
    <x v="1657"/>
    <x v="2"/>
    <n v="272"/>
    <n v="63"/>
    <n v="4"/>
    <n v="3"/>
    <n v="35.51"/>
    <x v="90"/>
    <x v="2"/>
    <n v="76"/>
    <n v="2.41"/>
    <n v="94.85"/>
    <n v="0.53"/>
    <n v="7"/>
    <n v="0.87"/>
    <n v="504"/>
    <n v="10.45"/>
    <n v="0.95"/>
    <d v="2024-01-15T00:00:00"/>
    <n v="213.03"/>
    <n v="0.71"/>
    <n v="25799.199999999997"/>
    <x v="0"/>
    <x v="0"/>
  </r>
  <r>
    <x v="1658"/>
    <x v="4"/>
    <n v="288"/>
    <n v="43"/>
    <n v="5"/>
    <n v="2"/>
    <n v="44.63"/>
    <x v="4"/>
    <x v="0"/>
    <n v="52"/>
    <n v="3.52"/>
    <n v="183.29"/>
    <n v="1.9"/>
    <n v="2"/>
    <n v="0.98"/>
    <n v="456"/>
    <n v="8.99"/>
    <n v="0.65"/>
    <d v="2024-07-16T00:00:00"/>
    <n v="143.47999999999999"/>
    <n v="0.61599999999999999"/>
    <n v="52787.519999999997"/>
    <x v="0"/>
    <x v="0"/>
  </r>
  <r>
    <x v="1659"/>
    <x v="0"/>
    <n v="388"/>
    <n v="80"/>
    <n v="7"/>
    <n v="7"/>
    <n v="45.88"/>
    <x v="45"/>
    <x v="3"/>
    <n v="132"/>
    <n v="3.22"/>
    <n v="181.07"/>
    <n v="0.42"/>
    <n v="1"/>
    <n v="0.98"/>
    <n v="836"/>
    <n v="14.17"/>
    <n v="0.41"/>
    <d v="2024-01-26T00:00:00"/>
    <n v="41.56"/>
    <n v="0.80500000000000005"/>
    <n v="70255.16"/>
    <x v="0"/>
    <x v="0"/>
  </r>
  <r>
    <x v="1660"/>
    <x v="3"/>
    <n v="310"/>
    <n v="45"/>
    <n v="5"/>
    <n v="4"/>
    <n v="14.61"/>
    <x v="0"/>
    <x v="0"/>
    <n v="31"/>
    <n v="1.6"/>
    <n v="88.98"/>
    <n v="1.49"/>
    <n v="4"/>
    <n v="0.77"/>
    <n v="68"/>
    <n v="3.93"/>
    <n v="0.71"/>
    <d v="2024-03-24T00:00:00"/>
    <n v="240.83"/>
    <n v="0.51900000000000002"/>
    <n v="27583.800000000003"/>
    <x v="0"/>
    <x v="0"/>
  </r>
  <r>
    <x v="1661"/>
    <x v="2"/>
    <n v="478"/>
    <n v="27"/>
    <n v="9"/>
    <n v="6"/>
    <n v="10.210000000000001"/>
    <x v="73"/>
    <x v="3"/>
    <n v="96"/>
    <n v="4.16"/>
    <n v="176.2"/>
    <n v="0.56999999999999995"/>
    <n v="6"/>
    <n v="0.98"/>
    <n v="929"/>
    <n v="9.27"/>
    <n v="0.74"/>
    <d v="2024-10-19T00:00:00"/>
    <n v="262.77"/>
    <n v="0.69099999999999995"/>
    <n v="84223.599999999991"/>
    <x v="0"/>
    <x v="0"/>
  </r>
  <r>
    <x v="1662"/>
    <x v="3"/>
    <n v="206"/>
    <n v="47"/>
    <n v="9"/>
    <n v="5"/>
    <n v="13.8"/>
    <x v="42"/>
    <x v="1"/>
    <n v="86"/>
    <n v="4.0999999999999996"/>
    <n v="22.16"/>
    <n v="0.91"/>
    <n v="7"/>
    <n v="0.92"/>
    <n v="482"/>
    <n v="6.79"/>
    <n v="0.78"/>
    <d v="2024-04-19T00:00:00"/>
    <n v="128.21"/>
    <n v="0.6"/>
    <n v="4564.96"/>
    <x v="0"/>
    <x v="1"/>
  </r>
  <r>
    <x v="1663"/>
    <x v="0"/>
    <n v="424"/>
    <n v="68"/>
    <n v="4"/>
    <n v="8"/>
    <n v="37.82"/>
    <x v="21"/>
    <x v="3"/>
    <n v="134"/>
    <n v="4.95"/>
    <n v="178.29"/>
    <n v="1.99"/>
    <n v="0"/>
    <n v="0.71"/>
    <n v="478"/>
    <n v="4.66"/>
    <n v="0.21"/>
    <d v="2024-04-23T00:00:00"/>
    <n v="203.06"/>
    <n v="0.44700000000000001"/>
    <n v="75594.959999999992"/>
    <x v="0"/>
    <x v="0"/>
  </r>
  <r>
    <x v="1664"/>
    <x v="0"/>
    <n v="457"/>
    <n v="18"/>
    <n v="9"/>
    <n v="4"/>
    <n v="19.13"/>
    <x v="63"/>
    <x v="0"/>
    <n v="105"/>
    <n v="1.29"/>
    <n v="69.010000000000005"/>
    <n v="0.28999999999999998"/>
    <n v="1"/>
    <n v="0.77"/>
    <n v="301"/>
    <n v="6"/>
    <n v="0.99"/>
    <d v="2024-11-27T00:00:00"/>
    <n v="18.809999999999999"/>
    <n v="0.78300000000000003"/>
    <n v="31537.570000000003"/>
    <x v="0"/>
    <x v="0"/>
  </r>
  <r>
    <x v="1665"/>
    <x v="1"/>
    <n v="478"/>
    <n v="82"/>
    <n v="13"/>
    <n v="6"/>
    <n v="9.5"/>
    <x v="31"/>
    <x v="2"/>
    <n v="131"/>
    <n v="4.32"/>
    <n v="117.37"/>
    <n v="1.77"/>
    <n v="6"/>
    <n v="0.82"/>
    <n v="845"/>
    <n v="5.12"/>
    <n v="0.69"/>
    <d v="2024-04-25T00:00:00"/>
    <n v="67.2"/>
    <n v="0.47299999999999998"/>
    <n v="56102.86"/>
    <x v="0"/>
    <x v="0"/>
  </r>
  <r>
    <x v="1666"/>
    <x v="4"/>
    <n v="433"/>
    <n v="81"/>
    <n v="8"/>
    <n v="9"/>
    <n v="5.82"/>
    <x v="77"/>
    <x v="0"/>
    <n v="166"/>
    <n v="4.42"/>
    <n v="61.24"/>
    <n v="1.9"/>
    <n v="8"/>
    <n v="0.87"/>
    <n v="892"/>
    <n v="8.39"/>
    <n v="0.5"/>
    <d v="2024-12-12T00:00:00"/>
    <n v="175.38"/>
    <n v="0.436"/>
    <n v="26516.920000000002"/>
    <x v="0"/>
    <x v="0"/>
  </r>
  <r>
    <x v="1667"/>
    <x v="1"/>
    <n v="323"/>
    <n v="60"/>
    <n v="12"/>
    <n v="8"/>
    <n v="17.04"/>
    <x v="79"/>
    <x v="2"/>
    <n v="49"/>
    <n v="3.39"/>
    <n v="197.11"/>
    <n v="1.43"/>
    <n v="2"/>
    <n v="0.91"/>
    <n v="611"/>
    <n v="8.81"/>
    <n v="0.66"/>
    <d v="2024-04-15T00:00:00"/>
    <n v="89.48"/>
    <n v="0.64800000000000002"/>
    <n v="63666.530000000006"/>
    <x v="0"/>
    <x v="0"/>
  </r>
  <r>
    <x v="1668"/>
    <x v="2"/>
    <n v="310"/>
    <n v="44"/>
    <n v="11"/>
    <n v="3"/>
    <n v="7.67"/>
    <x v="43"/>
    <x v="0"/>
    <n v="113"/>
    <n v="2.78"/>
    <n v="23.64"/>
    <n v="0.12"/>
    <n v="7"/>
    <n v="0.76"/>
    <n v="956"/>
    <n v="13.12"/>
    <n v="0.34"/>
    <d v="2024-05-17T00:00:00"/>
    <n v="283.87"/>
    <n v="0.64300000000000002"/>
    <n v="7328.4000000000005"/>
    <x v="0"/>
    <x v="0"/>
  </r>
  <r>
    <x v="1669"/>
    <x v="3"/>
    <n v="105"/>
    <n v="91"/>
    <n v="11"/>
    <n v="8"/>
    <n v="8.66"/>
    <x v="38"/>
    <x v="0"/>
    <n v="128"/>
    <n v="4.8099999999999996"/>
    <n v="94.92"/>
    <n v="1.66"/>
    <n v="9"/>
    <n v="0.95"/>
    <n v="872"/>
    <n v="11.94"/>
    <n v="0.4"/>
    <d v="2024-11-29T00:00:00"/>
    <n v="252.74"/>
    <n v="0.48299999999999998"/>
    <n v="9966.6"/>
    <x v="0"/>
    <x v="1"/>
  </r>
  <r>
    <x v="1670"/>
    <x v="2"/>
    <n v="185"/>
    <n v="14"/>
    <n v="4"/>
    <n v="2"/>
    <n v="34.51"/>
    <x v="17"/>
    <x v="1"/>
    <n v="147"/>
    <n v="4.88"/>
    <n v="127.99"/>
    <n v="1.78"/>
    <n v="2"/>
    <n v="0.95"/>
    <n v="698"/>
    <n v="5.24"/>
    <n v="0.27"/>
    <d v="2024-07-28T00:00:00"/>
    <n v="199.95"/>
    <n v="0.496"/>
    <n v="23678.149999999998"/>
    <x v="0"/>
    <x v="1"/>
  </r>
  <r>
    <x v="1671"/>
    <x v="0"/>
    <n v="434"/>
    <n v="23"/>
    <n v="9"/>
    <n v="2"/>
    <n v="1.97"/>
    <x v="18"/>
    <x v="3"/>
    <n v="129"/>
    <n v="3.39"/>
    <n v="126.97"/>
    <n v="1.96"/>
    <n v="3"/>
    <n v="0.89"/>
    <n v="959"/>
    <n v="14.04"/>
    <n v="0.9"/>
    <d v="2024-09-19T00:00:00"/>
    <n v="299.66000000000003"/>
    <n v="0.68899999999999995"/>
    <n v="55104.979999999996"/>
    <x v="0"/>
    <x v="0"/>
  </r>
  <r>
    <x v="1672"/>
    <x v="1"/>
    <n v="481"/>
    <n v="39"/>
    <n v="7"/>
    <n v="6"/>
    <n v="6.76"/>
    <x v="83"/>
    <x v="0"/>
    <n v="26"/>
    <n v="2.12"/>
    <n v="150.36000000000001"/>
    <n v="1.69"/>
    <n v="1"/>
    <n v="0.98"/>
    <n v="787"/>
    <n v="13.16"/>
    <n v="0.4"/>
    <d v="2024-01-11T00:00:00"/>
    <n v="80.540000000000006"/>
    <n v="0.66200000000000003"/>
    <n v="72323.16"/>
    <x v="0"/>
    <x v="0"/>
  </r>
  <r>
    <x v="1673"/>
    <x v="1"/>
    <n v="427"/>
    <n v="13"/>
    <n v="8"/>
    <n v="4"/>
    <n v="42.37"/>
    <x v="32"/>
    <x v="2"/>
    <n v="111"/>
    <n v="4.18"/>
    <n v="147.63999999999999"/>
    <n v="0.95"/>
    <n v="8"/>
    <n v="0.94"/>
    <n v="270"/>
    <n v="9.76"/>
    <n v="0.79"/>
    <d v="2024-12-15T00:00:00"/>
    <n v="276.55"/>
    <n v="0.621"/>
    <n v="63042.279999999992"/>
    <x v="0"/>
    <x v="0"/>
  </r>
  <r>
    <x v="1674"/>
    <x v="1"/>
    <n v="133"/>
    <n v="48"/>
    <n v="3"/>
    <n v="5"/>
    <n v="42.4"/>
    <x v="23"/>
    <x v="3"/>
    <n v="139"/>
    <n v="0.9"/>
    <n v="160.69999999999999"/>
    <n v="1.41"/>
    <n v="4"/>
    <n v="0.77"/>
    <n v="162"/>
    <n v="1.26"/>
    <n v="0.42"/>
    <d v="2024-01-05T00:00:00"/>
    <n v="98.33"/>
    <n v="0.434"/>
    <n v="21373.1"/>
    <x v="0"/>
    <x v="1"/>
  </r>
  <r>
    <x v="1675"/>
    <x v="2"/>
    <n v="452"/>
    <n v="93"/>
    <n v="9"/>
    <n v="3"/>
    <n v="17.13"/>
    <x v="1"/>
    <x v="1"/>
    <n v="154"/>
    <n v="1.81"/>
    <n v="54.51"/>
    <n v="1.02"/>
    <n v="4"/>
    <n v="0.94"/>
    <n v="198"/>
    <n v="3.93"/>
    <n v="0.32"/>
    <d v="2024-08-30T00:00:00"/>
    <n v="183.01"/>
    <n v="0.52200000000000002"/>
    <n v="24638.52"/>
    <x v="0"/>
    <x v="0"/>
  </r>
  <r>
    <x v="1676"/>
    <x v="0"/>
    <n v="499"/>
    <n v="73"/>
    <n v="8"/>
    <n v="6"/>
    <n v="5.31"/>
    <x v="22"/>
    <x v="3"/>
    <n v="117"/>
    <n v="4.93"/>
    <n v="80.400000000000006"/>
    <n v="0.77"/>
    <n v="3"/>
    <n v="0.99"/>
    <n v="609"/>
    <n v="12.05"/>
    <n v="0.28999999999999998"/>
    <d v="2024-03-08T00:00:00"/>
    <n v="135.97"/>
    <n v="0.68"/>
    <n v="40119.600000000006"/>
    <x v="0"/>
    <x v="0"/>
  </r>
  <r>
    <x v="1677"/>
    <x v="3"/>
    <n v="375"/>
    <n v="34"/>
    <n v="6"/>
    <n v="9"/>
    <n v="35.54"/>
    <x v="22"/>
    <x v="0"/>
    <n v="99"/>
    <n v="4.16"/>
    <n v="82.59"/>
    <n v="1.29"/>
    <n v="4"/>
    <n v="0.74"/>
    <n v="107"/>
    <n v="7.35"/>
    <n v="0.89"/>
    <d v="2024-11-27T00:00:00"/>
    <n v="138.53"/>
    <n v="0.61499999999999999"/>
    <n v="30971.25"/>
    <x v="0"/>
    <x v="0"/>
  </r>
  <r>
    <x v="1678"/>
    <x v="3"/>
    <n v="435"/>
    <n v="37"/>
    <n v="3"/>
    <n v="3"/>
    <n v="18.649999999999999"/>
    <x v="52"/>
    <x v="2"/>
    <n v="128"/>
    <n v="4.7300000000000004"/>
    <n v="191.61"/>
    <n v="1.56"/>
    <n v="0"/>
    <n v="0.99"/>
    <n v="246"/>
    <n v="2.76"/>
    <n v="0.3"/>
    <d v="2024-03-29T00:00:00"/>
    <n v="231.13"/>
    <n v="0.53900000000000003"/>
    <n v="83350.350000000006"/>
    <x v="0"/>
    <x v="0"/>
  </r>
  <r>
    <x v="1679"/>
    <x v="2"/>
    <n v="202"/>
    <n v="85"/>
    <n v="11"/>
    <n v="2"/>
    <n v="3.23"/>
    <x v="42"/>
    <x v="2"/>
    <n v="175"/>
    <n v="3.18"/>
    <n v="87.77"/>
    <n v="1.31"/>
    <n v="9"/>
    <n v="0.71"/>
    <n v="786"/>
    <n v="6.72"/>
    <n v="0.27"/>
    <d v="2024-11-03T00:00:00"/>
    <n v="110.79"/>
    <n v="0.375"/>
    <n v="17729.54"/>
    <x v="0"/>
    <x v="1"/>
  </r>
  <r>
    <x v="1680"/>
    <x v="1"/>
    <n v="226"/>
    <n v="75"/>
    <n v="6"/>
    <n v="7"/>
    <n v="8.73"/>
    <x v="82"/>
    <x v="3"/>
    <n v="174"/>
    <n v="2.33"/>
    <n v="52.16"/>
    <n v="1.67"/>
    <n v="9"/>
    <n v="0.86"/>
    <n v="698"/>
    <n v="3.97"/>
    <n v="0.21"/>
    <d v="2024-01-05T00:00:00"/>
    <n v="157.18"/>
    <n v="0.32"/>
    <n v="11788.16"/>
    <x v="0"/>
    <x v="1"/>
  </r>
  <r>
    <x v="1681"/>
    <x v="4"/>
    <n v="275"/>
    <n v="87"/>
    <n v="4"/>
    <n v="7"/>
    <n v="7.72"/>
    <x v="15"/>
    <x v="2"/>
    <n v="72"/>
    <n v="4.91"/>
    <n v="130.15"/>
    <n v="0.44"/>
    <n v="5"/>
    <n v="0.93"/>
    <n v="756"/>
    <n v="13.5"/>
    <n v="0.49"/>
    <d v="2024-04-24T00:00:00"/>
    <n v="71.400000000000006"/>
    <n v="0.72"/>
    <n v="35791.25"/>
    <x v="0"/>
    <x v="0"/>
  </r>
  <r>
    <x v="1682"/>
    <x v="2"/>
    <n v="254"/>
    <n v="31"/>
    <n v="10"/>
    <n v="5"/>
    <n v="29.87"/>
    <x v="83"/>
    <x v="0"/>
    <n v="14"/>
    <n v="1.89"/>
    <n v="91.18"/>
    <n v="0.81"/>
    <n v="3"/>
    <n v="0.94"/>
    <n v="767"/>
    <n v="13.45"/>
    <n v="0.95"/>
    <d v="2024-05-09T00:00:00"/>
    <n v="231.41"/>
    <n v="0.81599999999999995"/>
    <n v="23159.72"/>
    <x v="0"/>
    <x v="0"/>
  </r>
  <r>
    <x v="1683"/>
    <x v="2"/>
    <n v="461"/>
    <n v="40"/>
    <n v="4"/>
    <n v="3"/>
    <n v="45.01"/>
    <x v="25"/>
    <x v="2"/>
    <n v="34"/>
    <n v="3.91"/>
    <n v="57.52"/>
    <n v="0.69"/>
    <n v="3"/>
    <n v="0.92"/>
    <n v="67"/>
    <n v="6.42"/>
    <n v="0.93"/>
    <d v="2024-11-07T00:00:00"/>
    <n v="170.06"/>
    <n v="0.72699999999999998"/>
    <n v="26516.720000000001"/>
    <x v="0"/>
    <x v="0"/>
  </r>
  <r>
    <x v="1684"/>
    <x v="0"/>
    <n v="374"/>
    <n v="32"/>
    <n v="7"/>
    <n v="6"/>
    <n v="39.86"/>
    <x v="16"/>
    <x v="2"/>
    <n v="82"/>
    <n v="3.01"/>
    <n v="145.88"/>
    <n v="0.47"/>
    <n v="4"/>
    <n v="0.86"/>
    <n v="829"/>
    <n v="2.92"/>
    <n v="0.28999999999999998"/>
    <d v="2024-06-05T00:00:00"/>
    <n v="83.97"/>
    <n v="0.54200000000000004"/>
    <n v="54559.119999999995"/>
    <x v="0"/>
    <x v="0"/>
  </r>
  <r>
    <x v="1685"/>
    <x v="3"/>
    <n v="22"/>
    <n v="57"/>
    <n v="13"/>
    <n v="5"/>
    <n v="27.78"/>
    <x v="95"/>
    <x v="2"/>
    <n v="133"/>
    <n v="1.53"/>
    <n v="46.47"/>
    <n v="0.94"/>
    <n v="0"/>
    <n v="0.9"/>
    <n v="264"/>
    <n v="6.02"/>
    <n v="0.21"/>
    <d v="2024-12-30T00:00:00"/>
    <n v="87.12"/>
    <n v="0.60799999999999998"/>
    <n v="1022.3399999999999"/>
    <x v="1"/>
    <x v="2"/>
  </r>
  <r>
    <x v="1686"/>
    <x v="2"/>
    <n v="227"/>
    <n v="29"/>
    <n v="8"/>
    <n v="8"/>
    <n v="21.69"/>
    <x v="29"/>
    <x v="0"/>
    <n v="31"/>
    <n v="0.57999999999999996"/>
    <n v="130.34"/>
    <n v="1.9"/>
    <n v="3"/>
    <n v="0.91"/>
    <n v="767"/>
    <n v="2.8"/>
    <n v="0.8"/>
    <d v="2024-12-29T00:00:00"/>
    <n v="95.13"/>
    <n v="0.52900000000000003"/>
    <n v="29587.18"/>
    <x v="0"/>
    <x v="1"/>
  </r>
  <r>
    <x v="1687"/>
    <x v="2"/>
    <n v="216"/>
    <n v="47"/>
    <n v="13"/>
    <n v="8"/>
    <n v="31.32"/>
    <x v="38"/>
    <x v="1"/>
    <n v="102"/>
    <n v="2.23"/>
    <n v="91.8"/>
    <n v="1.1200000000000001"/>
    <n v="9"/>
    <n v="0.85"/>
    <n v="685"/>
    <n v="5.26"/>
    <n v="0.45"/>
    <d v="2024-11-25T00:00:00"/>
    <n v="212.79"/>
    <n v="0.438"/>
    <n v="19828.8"/>
    <x v="0"/>
    <x v="1"/>
  </r>
  <r>
    <x v="1688"/>
    <x v="1"/>
    <n v="360"/>
    <n v="64"/>
    <n v="10"/>
    <n v="9"/>
    <n v="22.75"/>
    <x v="67"/>
    <x v="2"/>
    <n v="44"/>
    <n v="2.96"/>
    <n v="70.64"/>
    <n v="0.64"/>
    <n v="2"/>
    <n v="0.88"/>
    <n v="65"/>
    <n v="11.8"/>
    <n v="0.87"/>
    <d v="2024-05-20T00:00:00"/>
    <n v="182.58"/>
    <n v="0.80300000000000005"/>
    <n v="25430.400000000001"/>
    <x v="0"/>
    <x v="0"/>
  </r>
  <r>
    <x v="1689"/>
    <x v="1"/>
    <n v="144"/>
    <n v="77"/>
    <n v="13"/>
    <n v="4"/>
    <n v="13.06"/>
    <x v="24"/>
    <x v="1"/>
    <n v="64"/>
    <n v="1.32"/>
    <n v="189.74"/>
    <n v="0.77"/>
    <n v="4"/>
    <n v="0.95"/>
    <n v="726"/>
    <n v="5.09"/>
    <n v="0.37"/>
    <d v="2024-08-04T00:00:00"/>
    <n v="248.45"/>
    <n v="0.57499999999999996"/>
    <n v="27322.560000000001"/>
    <x v="0"/>
    <x v="1"/>
  </r>
  <r>
    <x v="1690"/>
    <x v="4"/>
    <n v="157"/>
    <n v="88"/>
    <n v="3"/>
    <n v="7"/>
    <n v="34.28"/>
    <x v="37"/>
    <x v="3"/>
    <n v="137"/>
    <n v="2.37"/>
    <n v="71.64"/>
    <n v="1.26"/>
    <n v="9"/>
    <n v="0.79"/>
    <n v="709"/>
    <n v="8.6199999999999992"/>
    <n v="0.59"/>
    <d v="2024-07-11T00:00:00"/>
    <n v="175.74"/>
    <n v="0.48499999999999999"/>
    <n v="11247.48"/>
    <x v="0"/>
    <x v="1"/>
  </r>
  <r>
    <x v="1691"/>
    <x v="0"/>
    <n v="358"/>
    <n v="97"/>
    <n v="3"/>
    <n v="6"/>
    <n v="43.79"/>
    <x v="32"/>
    <x v="3"/>
    <n v="29"/>
    <n v="3.27"/>
    <n v="76.03"/>
    <n v="0.77"/>
    <n v="4"/>
    <n v="0.86"/>
    <n v="837"/>
    <n v="2.66"/>
    <n v="0.23"/>
    <d v="2024-06-27T00:00:00"/>
    <n v="98.93"/>
    <n v="0.496"/>
    <n v="27218.74"/>
    <x v="0"/>
    <x v="0"/>
  </r>
  <r>
    <x v="1692"/>
    <x v="4"/>
    <n v="44"/>
    <n v="98"/>
    <n v="14"/>
    <n v="3"/>
    <n v="19.27"/>
    <x v="66"/>
    <x v="0"/>
    <n v="14"/>
    <n v="3.72"/>
    <n v="175.42"/>
    <n v="1.1200000000000001"/>
    <n v="7"/>
    <n v="0.7"/>
    <n v="448"/>
    <n v="5.87"/>
    <n v="0.92"/>
    <d v="2024-08-23T00:00:00"/>
    <n v="289.23"/>
    <n v="0.55000000000000004"/>
    <n v="7718.48"/>
    <x v="1"/>
    <x v="2"/>
  </r>
  <r>
    <x v="1693"/>
    <x v="1"/>
    <n v="87"/>
    <n v="10"/>
    <n v="6"/>
    <n v="5"/>
    <n v="42.24"/>
    <x v="13"/>
    <x v="0"/>
    <n v="176"/>
    <n v="0.74"/>
    <n v="34.520000000000003"/>
    <n v="0.62"/>
    <n v="0"/>
    <n v="0.91"/>
    <n v="282"/>
    <n v="1.55"/>
    <n v="0.34"/>
    <d v="2024-05-09T00:00:00"/>
    <n v="266.97000000000003"/>
    <n v="0.60899999999999999"/>
    <n v="3003.2400000000002"/>
    <x v="0"/>
    <x v="2"/>
  </r>
  <r>
    <x v="1694"/>
    <x v="3"/>
    <n v="80"/>
    <n v="16"/>
    <n v="7"/>
    <n v="6"/>
    <n v="22.12"/>
    <x v="66"/>
    <x v="0"/>
    <n v="72"/>
    <n v="3.49"/>
    <n v="30.53"/>
    <n v="0.76"/>
    <n v="2"/>
    <n v="0.76"/>
    <n v="74"/>
    <n v="8.67"/>
    <n v="0.44"/>
    <d v="2024-04-21T00:00:00"/>
    <n v="90.86"/>
    <n v="0.64"/>
    <n v="2442.4"/>
    <x v="0"/>
    <x v="2"/>
  </r>
  <r>
    <x v="1695"/>
    <x v="1"/>
    <n v="48"/>
    <n v="66"/>
    <n v="11"/>
    <n v="5"/>
    <n v="20.67"/>
    <x v="55"/>
    <x v="0"/>
    <n v="41"/>
    <n v="0.76"/>
    <n v="63.71"/>
    <n v="1.44"/>
    <n v="4"/>
    <n v="0.84"/>
    <n v="450"/>
    <n v="5.87"/>
    <n v="0.57999999999999996"/>
    <d v="2024-08-26T00:00:00"/>
    <n v="274.68"/>
    <n v="0.53800000000000003"/>
    <n v="3058.08"/>
    <x v="1"/>
    <x v="2"/>
  </r>
  <r>
    <x v="1696"/>
    <x v="0"/>
    <n v="402"/>
    <n v="21"/>
    <n v="13"/>
    <n v="5"/>
    <n v="2.39"/>
    <x v="80"/>
    <x v="1"/>
    <n v="83"/>
    <n v="0.63"/>
    <n v="122.41"/>
    <n v="1.21"/>
    <n v="2"/>
    <n v="0.76"/>
    <n v="829"/>
    <n v="13.21"/>
    <n v="0.42"/>
    <d v="2024-06-03T00:00:00"/>
    <n v="218.84"/>
    <n v="0.65100000000000002"/>
    <n v="49208.82"/>
    <x v="0"/>
    <x v="0"/>
  </r>
  <r>
    <x v="1697"/>
    <x v="1"/>
    <n v="38"/>
    <n v="14"/>
    <n v="9"/>
    <n v="5"/>
    <n v="35.07"/>
    <x v="53"/>
    <x v="0"/>
    <n v="177"/>
    <n v="1.19"/>
    <n v="83.02"/>
    <n v="0.28000000000000003"/>
    <n v="5"/>
    <n v="0.71"/>
    <n v="414"/>
    <n v="6.5"/>
    <n v="0.23"/>
    <d v="2024-12-12T00:00:00"/>
    <n v="130.26"/>
    <n v="0.54700000000000004"/>
    <n v="3154.7599999999998"/>
    <x v="0"/>
    <x v="2"/>
  </r>
  <r>
    <x v="1698"/>
    <x v="0"/>
    <n v="190"/>
    <n v="59"/>
    <n v="9"/>
    <n v="3"/>
    <n v="40.57"/>
    <x v="30"/>
    <x v="1"/>
    <n v="154"/>
    <n v="3.44"/>
    <n v="125.63"/>
    <n v="1.95"/>
    <n v="9"/>
    <n v="0.84"/>
    <n v="987"/>
    <n v="8.81"/>
    <n v="0.22"/>
    <d v="2024-09-23T00:00:00"/>
    <n v="145.38999999999999"/>
    <n v="0.35399999999999998"/>
    <n v="23869.7"/>
    <x v="0"/>
    <x v="1"/>
  </r>
  <r>
    <x v="1699"/>
    <x v="0"/>
    <n v="469"/>
    <n v="51"/>
    <n v="10"/>
    <n v="6"/>
    <n v="33.51"/>
    <x v="57"/>
    <x v="2"/>
    <n v="110"/>
    <n v="0.74"/>
    <n v="40.35"/>
    <n v="0.19"/>
    <n v="2"/>
    <n v="0.83"/>
    <n v="344"/>
    <n v="14.67"/>
    <n v="0.96"/>
    <d v="2024-11-15T00:00:00"/>
    <n v="139.44999999999999"/>
    <n v="0.89500000000000002"/>
    <n v="18924.150000000001"/>
    <x v="0"/>
    <x v="0"/>
  </r>
  <r>
    <x v="1700"/>
    <x v="0"/>
    <n v="93"/>
    <n v="21"/>
    <n v="7"/>
    <n v="2"/>
    <n v="8.42"/>
    <x v="91"/>
    <x v="2"/>
    <n v="88"/>
    <n v="0.59"/>
    <n v="59.68"/>
    <n v="0.26"/>
    <n v="5"/>
    <n v="0.83"/>
    <n v="486"/>
    <n v="10"/>
    <n v="0.46"/>
    <d v="2024-07-22T00:00:00"/>
    <n v="241.09"/>
    <n v="0.66500000000000004"/>
    <n v="5550.24"/>
    <x v="0"/>
    <x v="2"/>
  </r>
  <r>
    <x v="1701"/>
    <x v="0"/>
    <n v="80"/>
    <n v="27"/>
    <n v="7"/>
    <n v="2"/>
    <n v="6.06"/>
    <x v="50"/>
    <x v="3"/>
    <n v="169"/>
    <n v="1.03"/>
    <n v="117.38"/>
    <n v="1.43"/>
    <n v="7"/>
    <n v="0.76"/>
    <n v="120"/>
    <n v="8.01"/>
    <n v="0.47"/>
    <d v="2024-10-26T00:00:00"/>
    <n v="60.9"/>
    <n v="0.47"/>
    <n v="9390.4"/>
    <x v="0"/>
    <x v="2"/>
  </r>
  <r>
    <x v="1702"/>
    <x v="0"/>
    <n v="446"/>
    <n v="75"/>
    <n v="3"/>
    <n v="3"/>
    <n v="29.07"/>
    <x v="11"/>
    <x v="3"/>
    <n v="32"/>
    <n v="4.7699999999999996"/>
    <n v="51.26"/>
    <n v="1.45"/>
    <n v="3"/>
    <n v="0.98"/>
    <n v="761"/>
    <n v="2.37"/>
    <n v="0.94"/>
    <d v="2024-02-22T00:00:00"/>
    <n v="27.01"/>
    <n v="0.61099999999999999"/>
    <n v="22861.96"/>
    <x v="0"/>
    <x v="0"/>
  </r>
  <r>
    <x v="1703"/>
    <x v="3"/>
    <n v="172"/>
    <n v="83"/>
    <n v="11"/>
    <n v="8"/>
    <n v="20.67"/>
    <x v="41"/>
    <x v="1"/>
    <n v="65"/>
    <n v="4.58"/>
    <n v="90.33"/>
    <n v="0.14000000000000001"/>
    <n v="7"/>
    <n v="0.7"/>
    <n v="608"/>
    <n v="12.49"/>
    <n v="0.87"/>
    <d v="2024-01-04T00:00:00"/>
    <n v="154.55000000000001"/>
    <n v="0.72699999999999998"/>
    <n v="15536.76"/>
    <x v="0"/>
    <x v="1"/>
  </r>
  <r>
    <x v="1704"/>
    <x v="4"/>
    <n v="295"/>
    <n v="88"/>
    <n v="8"/>
    <n v="3"/>
    <n v="22.03"/>
    <x v="11"/>
    <x v="0"/>
    <n v="146"/>
    <n v="0.89"/>
    <n v="118.8"/>
    <n v="1.32"/>
    <n v="6"/>
    <n v="0.97"/>
    <n v="74"/>
    <n v="9.99"/>
    <n v="0.75"/>
    <d v="2024-09-18T00:00:00"/>
    <n v="94.22"/>
    <n v="0.625"/>
    <n v="35046"/>
    <x v="0"/>
    <x v="0"/>
  </r>
  <r>
    <x v="1705"/>
    <x v="2"/>
    <n v="67"/>
    <n v="26"/>
    <n v="11"/>
    <n v="7"/>
    <n v="48.42"/>
    <x v="83"/>
    <x v="3"/>
    <n v="115"/>
    <n v="1.87"/>
    <n v="194.99"/>
    <n v="0.16"/>
    <n v="3"/>
    <n v="0.92"/>
    <n v="774"/>
    <n v="2.52"/>
    <n v="0.73"/>
    <d v="2024-12-05T00:00:00"/>
    <n v="173.54"/>
    <n v="0.68799999999999994"/>
    <n v="13064.33"/>
    <x v="0"/>
    <x v="2"/>
  </r>
  <r>
    <x v="1706"/>
    <x v="4"/>
    <n v="230"/>
    <n v="77"/>
    <n v="5"/>
    <n v="5"/>
    <n v="36.47"/>
    <x v="32"/>
    <x v="1"/>
    <n v="78"/>
    <n v="4.76"/>
    <n v="25.18"/>
    <n v="1.93"/>
    <n v="2"/>
    <n v="0.75"/>
    <n v="995"/>
    <n v="4.4400000000000004"/>
    <n v="0.84"/>
    <d v="2024-07-10T00:00:00"/>
    <n v="293.68"/>
    <n v="0.54400000000000004"/>
    <n v="5791.4"/>
    <x v="0"/>
    <x v="1"/>
  </r>
  <r>
    <x v="1707"/>
    <x v="0"/>
    <n v="362"/>
    <n v="80"/>
    <n v="7"/>
    <n v="6"/>
    <n v="21.18"/>
    <x v="72"/>
    <x v="3"/>
    <n v="31"/>
    <n v="0.94"/>
    <n v="97.48"/>
    <n v="1.42"/>
    <n v="4"/>
    <n v="0.84"/>
    <n v="423"/>
    <n v="8.5299999999999994"/>
    <n v="0.34"/>
    <d v="2024-10-14T00:00:00"/>
    <n v="204.72"/>
    <n v="0.52800000000000002"/>
    <n v="35287.760000000002"/>
    <x v="0"/>
    <x v="0"/>
  </r>
  <r>
    <x v="1708"/>
    <x v="3"/>
    <n v="427"/>
    <n v="71"/>
    <n v="4"/>
    <n v="6"/>
    <n v="1.94"/>
    <x v="3"/>
    <x v="0"/>
    <n v="41"/>
    <n v="0.93"/>
    <n v="85.29"/>
    <n v="0.45"/>
    <n v="4"/>
    <n v="1"/>
    <n v="594"/>
    <n v="1.63"/>
    <n v="0.73"/>
    <d v="2024-11-27T00:00:00"/>
    <n v="288.17"/>
    <n v="0.64300000000000002"/>
    <n v="36418.83"/>
    <x v="0"/>
    <x v="0"/>
  </r>
  <r>
    <x v="1709"/>
    <x v="1"/>
    <n v="158"/>
    <n v="50"/>
    <n v="12"/>
    <n v="4"/>
    <n v="2.67"/>
    <x v="53"/>
    <x v="1"/>
    <n v="11"/>
    <n v="0.89"/>
    <n v="166.61"/>
    <n v="0.4"/>
    <n v="6"/>
    <n v="0.89"/>
    <n v="507"/>
    <n v="11.06"/>
    <n v="0.28000000000000003"/>
    <d v="2024-10-31T00:00:00"/>
    <n v="222.3"/>
    <n v="0.621"/>
    <n v="26324.38"/>
    <x v="0"/>
    <x v="1"/>
  </r>
  <r>
    <x v="1710"/>
    <x v="3"/>
    <n v="129"/>
    <n v="43"/>
    <n v="7"/>
    <n v="4"/>
    <n v="34.56"/>
    <x v="90"/>
    <x v="3"/>
    <n v="132"/>
    <n v="4.8899999999999997"/>
    <n v="181.06"/>
    <n v="1.18"/>
    <n v="0"/>
    <n v="0.74"/>
    <n v="263"/>
    <n v="4.1900000000000004"/>
    <n v="0.3"/>
    <d v="2024-11-07T00:00:00"/>
    <n v="32.020000000000003"/>
    <n v="0.54600000000000004"/>
    <n v="23356.74"/>
    <x v="0"/>
    <x v="1"/>
  </r>
  <r>
    <x v="1711"/>
    <x v="0"/>
    <n v="202"/>
    <n v="79"/>
    <n v="10"/>
    <n v="9"/>
    <n v="42.05"/>
    <x v="19"/>
    <x v="0"/>
    <n v="94"/>
    <n v="3.84"/>
    <n v="182.33"/>
    <n v="1.3"/>
    <n v="8"/>
    <n v="0.84"/>
    <n v="260"/>
    <n v="7.86"/>
    <n v="0.39"/>
    <d v="2024-05-24T00:00:00"/>
    <n v="267.89999999999998"/>
    <n v="0.46100000000000002"/>
    <n v="36830.660000000003"/>
    <x v="0"/>
    <x v="1"/>
  </r>
  <r>
    <x v="1712"/>
    <x v="3"/>
    <n v="47"/>
    <n v="54"/>
    <n v="13"/>
    <n v="2"/>
    <n v="35.68"/>
    <x v="65"/>
    <x v="1"/>
    <n v="23"/>
    <n v="1.47"/>
    <n v="81.28"/>
    <n v="1.68"/>
    <n v="1"/>
    <n v="0.84"/>
    <n v="590"/>
    <n v="4.38"/>
    <n v="0.77"/>
    <d v="2024-06-01T00:00:00"/>
    <n v="67.69"/>
    <n v="0.59199999999999997"/>
    <n v="3820.16"/>
    <x v="1"/>
    <x v="2"/>
  </r>
  <r>
    <x v="1713"/>
    <x v="3"/>
    <n v="216"/>
    <n v="67"/>
    <n v="4"/>
    <n v="4"/>
    <n v="20.89"/>
    <x v="12"/>
    <x v="1"/>
    <n v="46"/>
    <n v="0.71"/>
    <n v="67.88"/>
    <n v="1.82"/>
    <n v="8"/>
    <n v="0.94"/>
    <n v="820"/>
    <n v="7.85"/>
    <n v="0.91"/>
    <d v="2024-12-16T00:00:00"/>
    <n v="260.79000000000002"/>
    <n v="0.53300000000000003"/>
    <n v="14662.079999999998"/>
    <x v="0"/>
    <x v="1"/>
  </r>
  <r>
    <x v="1714"/>
    <x v="0"/>
    <n v="210"/>
    <n v="60"/>
    <n v="10"/>
    <n v="4"/>
    <n v="2.5299999999999998"/>
    <x v="19"/>
    <x v="1"/>
    <n v="36"/>
    <n v="4.84"/>
    <n v="95.34"/>
    <n v="0.85"/>
    <n v="8"/>
    <n v="0.97"/>
    <n v="88"/>
    <n v="3.66"/>
    <n v="0.75"/>
    <d v="2024-02-25T00:00:00"/>
    <n v="227.23"/>
    <n v="0.54800000000000004"/>
    <n v="20021.400000000001"/>
    <x v="0"/>
    <x v="1"/>
  </r>
  <r>
    <x v="1715"/>
    <x v="3"/>
    <n v="334"/>
    <n v="43"/>
    <n v="6"/>
    <n v="2"/>
    <n v="48.4"/>
    <x v="19"/>
    <x v="2"/>
    <n v="161"/>
    <n v="2.41"/>
    <n v="75.36"/>
    <n v="1.7"/>
    <n v="2"/>
    <n v="0.72"/>
    <n v="309"/>
    <n v="9.31"/>
    <n v="0.53"/>
    <d v="2024-09-03T00:00:00"/>
    <n v="253.2"/>
    <n v="0.56399999999999995"/>
    <n v="25170.240000000002"/>
    <x v="0"/>
    <x v="0"/>
  </r>
  <r>
    <x v="1716"/>
    <x v="2"/>
    <n v="408"/>
    <n v="53"/>
    <n v="12"/>
    <n v="7"/>
    <n v="49.33"/>
    <x v="94"/>
    <x v="1"/>
    <n v="73"/>
    <n v="3.19"/>
    <n v="146.58000000000001"/>
    <n v="1.1299999999999999"/>
    <n v="6"/>
    <n v="0.79"/>
    <n v="726"/>
    <n v="13.75"/>
    <n v="0.61"/>
    <d v="2024-02-02T00:00:00"/>
    <n v="83.54"/>
    <n v="0.63"/>
    <n v="59804.640000000007"/>
    <x v="0"/>
    <x v="0"/>
  </r>
  <r>
    <x v="1717"/>
    <x v="2"/>
    <n v="70"/>
    <n v="24"/>
    <n v="12"/>
    <n v="8"/>
    <n v="27.92"/>
    <x v="55"/>
    <x v="3"/>
    <n v="79"/>
    <n v="1.76"/>
    <n v="50.58"/>
    <n v="0.99"/>
    <n v="2"/>
    <n v="0.79"/>
    <n v="144"/>
    <n v="12.3"/>
    <n v="0.77"/>
    <d v="2024-06-21T00:00:00"/>
    <n v="244.15"/>
    <n v="0.73699999999999999"/>
    <n v="3540.6"/>
    <x v="0"/>
    <x v="2"/>
  </r>
  <r>
    <x v="1718"/>
    <x v="3"/>
    <n v="168"/>
    <n v="87"/>
    <n v="3"/>
    <n v="2"/>
    <n v="4.46"/>
    <x v="40"/>
    <x v="1"/>
    <n v="163"/>
    <n v="3.91"/>
    <n v="135.15"/>
    <n v="1.43"/>
    <n v="7"/>
    <n v="1"/>
    <n v="439"/>
    <n v="4.38"/>
    <n v="0.69"/>
    <d v="2024-05-21T00:00:00"/>
    <n v="187"/>
    <n v="0.51300000000000001"/>
    <n v="22705.200000000001"/>
    <x v="0"/>
    <x v="1"/>
  </r>
  <r>
    <x v="1719"/>
    <x v="1"/>
    <n v="287"/>
    <n v="79"/>
    <n v="7"/>
    <n v="8"/>
    <n v="27.51"/>
    <x v="95"/>
    <x v="1"/>
    <n v="24"/>
    <n v="1.39"/>
    <n v="186.13"/>
    <n v="0.3"/>
    <n v="7"/>
    <n v="0.87"/>
    <n v="269"/>
    <n v="7.97"/>
    <n v="0.62"/>
    <d v="2024-11-23T00:00:00"/>
    <n v="33.74"/>
    <n v="0.63400000000000001"/>
    <n v="53419.31"/>
    <x v="0"/>
    <x v="0"/>
  </r>
  <r>
    <x v="1720"/>
    <x v="0"/>
    <n v="69"/>
    <n v="59"/>
    <n v="3"/>
    <n v="9"/>
    <n v="44.72"/>
    <x v="33"/>
    <x v="1"/>
    <n v="38"/>
    <n v="4.04"/>
    <n v="63.18"/>
    <n v="0.6"/>
    <n v="2"/>
    <n v="0.96"/>
    <n v="955"/>
    <n v="6.92"/>
    <n v="0.39"/>
    <d v="2024-06-15T00:00:00"/>
    <n v="267.85000000000002"/>
    <n v="0.66200000000000003"/>
    <n v="4359.42"/>
    <x v="0"/>
    <x v="2"/>
  </r>
  <r>
    <x v="1721"/>
    <x v="2"/>
    <n v="407"/>
    <n v="41"/>
    <n v="9"/>
    <n v="4"/>
    <n v="34.32"/>
    <x v="55"/>
    <x v="1"/>
    <n v="83"/>
    <n v="1.54"/>
    <n v="138.61000000000001"/>
    <n v="1.65"/>
    <n v="4"/>
    <n v="0.83"/>
    <n v="317"/>
    <n v="14.52"/>
    <n v="0.69"/>
    <d v="2024-05-21T00:00:00"/>
    <n v="264.27999999999997"/>
    <n v="0.65300000000000002"/>
    <n v="56414.270000000004"/>
    <x v="0"/>
    <x v="0"/>
  </r>
  <r>
    <x v="1722"/>
    <x v="1"/>
    <n v="265"/>
    <n v="76"/>
    <n v="10"/>
    <n v="6"/>
    <n v="36.28"/>
    <x v="75"/>
    <x v="1"/>
    <n v="37"/>
    <n v="0.94"/>
    <n v="37.28"/>
    <n v="1.06"/>
    <n v="6"/>
    <n v="0.92"/>
    <n v="543"/>
    <n v="12.18"/>
    <n v="0.21"/>
    <d v="2024-05-13T00:00:00"/>
    <n v="175.88"/>
    <n v="0.56200000000000006"/>
    <n v="9879.2000000000007"/>
    <x v="0"/>
    <x v="0"/>
  </r>
  <r>
    <x v="1723"/>
    <x v="3"/>
    <n v="132"/>
    <n v="12"/>
    <n v="5"/>
    <n v="4"/>
    <n v="5.16"/>
    <x v="13"/>
    <x v="2"/>
    <n v="68"/>
    <n v="2.65"/>
    <n v="33.06"/>
    <n v="1.83"/>
    <n v="0"/>
    <n v="0.79"/>
    <n v="679"/>
    <n v="2.5"/>
    <n v="0.65"/>
    <d v="2024-12-01T00:00:00"/>
    <n v="141.26"/>
    <n v="0.53800000000000003"/>
    <n v="4363.92"/>
    <x v="0"/>
    <x v="1"/>
  </r>
  <r>
    <x v="1724"/>
    <x v="1"/>
    <n v="189"/>
    <n v="95"/>
    <n v="5"/>
    <n v="5"/>
    <n v="6.22"/>
    <x v="82"/>
    <x v="0"/>
    <n v="82"/>
    <n v="4.16"/>
    <n v="31.97"/>
    <n v="0.27"/>
    <n v="2"/>
    <n v="0.97"/>
    <n v="115"/>
    <n v="3.36"/>
    <n v="0.86"/>
    <d v="2024-12-30T00:00:00"/>
    <n v="126.16"/>
    <n v="0.74399999999999999"/>
    <n v="6042.33"/>
    <x v="0"/>
    <x v="1"/>
  </r>
  <r>
    <x v="1725"/>
    <x v="4"/>
    <n v="487"/>
    <n v="95"/>
    <n v="9"/>
    <n v="9"/>
    <n v="7.24"/>
    <x v="76"/>
    <x v="2"/>
    <n v="158"/>
    <n v="2.23"/>
    <n v="36.32"/>
    <n v="0.7"/>
    <n v="0"/>
    <n v="0.84"/>
    <n v="436"/>
    <n v="10.83"/>
    <n v="0.34"/>
    <d v="2024-11-29T00:00:00"/>
    <n v="184.79"/>
    <n v="0.71"/>
    <n v="17687.84"/>
    <x v="0"/>
    <x v="0"/>
  </r>
  <r>
    <x v="1726"/>
    <x v="2"/>
    <n v="185"/>
    <n v="83"/>
    <n v="6"/>
    <n v="8"/>
    <n v="45.31"/>
    <x v="98"/>
    <x v="3"/>
    <n v="19"/>
    <n v="0.63"/>
    <n v="51.07"/>
    <n v="0.78"/>
    <n v="1"/>
    <n v="0.94"/>
    <n v="242"/>
    <n v="3.24"/>
    <n v="0.28999999999999998"/>
    <d v="2024-06-01T00:00:00"/>
    <n v="254.09"/>
    <n v="0.59099999999999997"/>
    <n v="9447.9500000000007"/>
    <x v="0"/>
    <x v="1"/>
  </r>
  <r>
    <x v="1727"/>
    <x v="3"/>
    <n v="428"/>
    <n v="60"/>
    <n v="5"/>
    <n v="8"/>
    <n v="26.77"/>
    <x v="77"/>
    <x v="0"/>
    <n v="141"/>
    <n v="2.99"/>
    <n v="116.94"/>
    <n v="0.9"/>
    <n v="6"/>
    <n v="0.78"/>
    <n v="369"/>
    <n v="14.31"/>
    <n v="0.98"/>
    <d v="2024-04-06T00:00:00"/>
    <n v="174.12"/>
    <n v="0.73299999999999998"/>
    <n v="50050.32"/>
    <x v="0"/>
    <x v="0"/>
  </r>
  <r>
    <x v="1728"/>
    <x v="0"/>
    <n v="33"/>
    <n v="76"/>
    <n v="10"/>
    <n v="5"/>
    <n v="39.79"/>
    <x v="88"/>
    <x v="3"/>
    <n v="71"/>
    <n v="3.56"/>
    <n v="155.72999999999999"/>
    <n v="1.97"/>
    <n v="6"/>
    <n v="0.91"/>
    <n v="596"/>
    <n v="14.9"/>
    <n v="0.87"/>
    <d v="2024-03-17T00:00:00"/>
    <n v="47.6"/>
    <n v="0.63800000000000001"/>
    <n v="5139.0899999999992"/>
    <x v="1"/>
    <x v="2"/>
  </r>
  <r>
    <x v="1729"/>
    <x v="3"/>
    <n v="222"/>
    <n v="85"/>
    <n v="5"/>
    <n v="5"/>
    <n v="6.65"/>
    <x v="33"/>
    <x v="1"/>
    <n v="141"/>
    <n v="3.83"/>
    <n v="34.1"/>
    <n v="0.69"/>
    <n v="2"/>
    <n v="0.82"/>
    <n v="969"/>
    <n v="11.9"/>
    <n v="0.44"/>
    <d v="2024-09-21T00:00:00"/>
    <n v="98.79"/>
    <n v="0.70199999999999996"/>
    <n v="7570.2000000000007"/>
    <x v="0"/>
    <x v="1"/>
  </r>
  <r>
    <x v="1730"/>
    <x v="0"/>
    <n v="307"/>
    <n v="57"/>
    <n v="9"/>
    <n v="7"/>
    <n v="46.45"/>
    <x v="8"/>
    <x v="3"/>
    <n v="136"/>
    <n v="2.31"/>
    <n v="175.3"/>
    <n v="1.0900000000000001"/>
    <n v="5"/>
    <n v="0.71"/>
    <n v="224"/>
    <n v="1.38"/>
    <n v="0.37"/>
    <d v="2024-05-03T00:00:00"/>
    <n v="203.79"/>
    <n v="0.42499999999999999"/>
    <n v="53817.100000000006"/>
    <x v="0"/>
    <x v="0"/>
  </r>
  <r>
    <x v="1731"/>
    <x v="3"/>
    <n v="414"/>
    <n v="26"/>
    <n v="4"/>
    <n v="3"/>
    <n v="41.24"/>
    <x v="47"/>
    <x v="2"/>
    <n v="15"/>
    <n v="0.94"/>
    <n v="170.12"/>
    <n v="1.1200000000000001"/>
    <n v="5"/>
    <n v="0.82"/>
    <n v="161"/>
    <n v="7.76"/>
    <n v="0.47"/>
    <d v="2024-01-30T00:00:00"/>
    <n v="197.58"/>
    <n v="0.54900000000000004"/>
    <n v="70429.680000000008"/>
    <x v="0"/>
    <x v="0"/>
  </r>
  <r>
    <x v="1732"/>
    <x v="1"/>
    <n v="208"/>
    <n v="16"/>
    <n v="13"/>
    <n v="5"/>
    <n v="12.01"/>
    <x v="17"/>
    <x v="2"/>
    <n v="89"/>
    <n v="3.13"/>
    <n v="148.19999999999999"/>
    <n v="1.56"/>
    <n v="1"/>
    <n v="0.87"/>
    <n v="357"/>
    <n v="6.69"/>
    <n v="0.54"/>
    <d v="2024-11-03T00:00:00"/>
    <n v="160.47999999999999"/>
    <n v="0.59499999999999997"/>
    <n v="30825.599999999999"/>
    <x v="0"/>
    <x v="1"/>
  </r>
  <r>
    <x v="1733"/>
    <x v="1"/>
    <n v="421"/>
    <n v="22"/>
    <n v="13"/>
    <n v="8"/>
    <n v="43.83"/>
    <x v="15"/>
    <x v="1"/>
    <n v="81"/>
    <n v="1.98"/>
    <n v="90.93"/>
    <n v="1.08"/>
    <n v="8"/>
    <n v="0.75"/>
    <n v="851"/>
    <n v="12.19"/>
    <n v="0.86"/>
    <d v="2024-07-25T00:00:00"/>
    <n v="79.739999999999995"/>
    <n v="0.61699999999999999"/>
    <n v="38281.530000000006"/>
    <x v="0"/>
    <x v="0"/>
  </r>
  <r>
    <x v="1734"/>
    <x v="1"/>
    <n v="174"/>
    <n v="75"/>
    <n v="3"/>
    <n v="6"/>
    <n v="13.91"/>
    <x v="30"/>
    <x v="1"/>
    <n v="25"/>
    <n v="4.76"/>
    <n v="10.3"/>
    <n v="1.25"/>
    <n v="7"/>
    <n v="0.76"/>
    <n v="389"/>
    <n v="5.0199999999999996"/>
    <n v="0.39"/>
    <d v="2024-12-04T00:00:00"/>
    <n v="88.47"/>
    <n v="0.432"/>
    <n v="1792.2"/>
    <x v="0"/>
    <x v="1"/>
  </r>
  <r>
    <x v="1735"/>
    <x v="4"/>
    <n v="74"/>
    <n v="13"/>
    <n v="14"/>
    <n v="8"/>
    <n v="11.06"/>
    <x v="51"/>
    <x v="0"/>
    <n v="47"/>
    <n v="2.76"/>
    <n v="149.61000000000001"/>
    <n v="1.53"/>
    <n v="1"/>
    <n v="0.84"/>
    <n v="129"/>
    <n v="6.41"/>
    <n v="0.78"/>
    <d v="2024-06-12T00:00:00"/>
    <n v="150.43"/>
    <n v="0.63600000000000001"/>
    <n v="11071.140000000001"/>
    <x v="0"/>
    <x v="2"/>
  </r>
  <r>
    <x v="1736"/>
    <x v="0"/>
    <n v="201"/>
    <n v="19"/>
    <n v="8"/>
    <n v="8"/>
    <n v="13.95"/>
    <x v="97"/>
    <x v="2"/>
    <n v="74"/>
    <n v="2.63"/>
    <n v="177.01"/>
    <n v="0.28999999999999998"/>
    <n v="3"/>
    <n v="0.8"/>
    <n v="527"/>
    <n v="2.31"/>
    <n v="0.94"/>
    <d v="2024-12-14T00:00:00"/>
    <n v="124.4"/>
    <n v="0.69"/>
    <n v="35579.009999999995"/>
    <x v="0"/>
    <x v="1"/>
  </r>
  <r>
    <x v="1737"/>
    <x v="1"/>
    <n v="229"/>
    <n v="97"/>
    <n v="10"/>
    <n v="7"/>
    <n v="45.59"/>
    <x v="6"/>
    <x v="2"/>
    <n v="135"/>
    <n v="1.89"/>
    <n v="73.7"/>
    <n v="1.93"/>
    <n v="8"/>
    <n v="0.83"/>
    <n v="160"/>
    <n v="5.8"/>
    <n v="0.5"/>
    <d v="2024-03-12T00:00:00"/>
    <n v="101.62"/>
    <n v="0.39"/>
    <n v="16877.3"/>
    <x v="0"/>
    <x v="1"/>
  </r>
  <r>
    <x v="1738"/>
    <x v="4"/>
    <n v="395"/>
    <n v="26"/>
    <n v="3"/>
    <n v="3"/>
    <n v="45.86"/>
    <x v="8"/>
    <x v="0"/>
    <n v="92"/>
    <n v="2.02"/>
    <n v="146.41999999999999"/>
    <n v="1.71"/>
    <n v="3"/>
    <n v="0.84"/>
    <n v="536"/>
    <n v="14.63"/>
    <n v="0.22"/>
    <d v="2024-01-14T00:00:00"/>
    <n v="250.54"/>
    <n v="0.57599999999999996"/>
    <n v="57835.899999999994"/>
    <x v="0"/>
    <x v="0"/>
  </r>
  <r>
    <x v="1739"/>
    <x v="0"/>
    <n v="490"/>
    <n v="61"/>
    <n v="12"/>
    <n v="3"/>
    <n v="17.12"/>
    <x v="34"/>
    <x v="2"/>
    <n v="26"/>
    <n v="2.81"/>
    <n v="21.79"/>
    <n v="0.84"/>
    <n v="6"/>
    <n v="0.74"/>
    <n v="970"/>
    <n v="14.19"/>
    <n v="0.86"/>
    <d v="2024-12-01T00:00:00"/>
    <n v="156.16999999999999"/>
    <n v="0.70499999999999996"/>
    <n v="10677.1"/>
    <x v="0"/>
    <x v="0"/>
  </r>
  <r>
    <x v="1740"/>
    <x v="3"/>
    <n v="94"/>
    <n v="15"/>
    <n v="14"/>
    <n v="5"/>
    <n v="35.57"/>
    <x v="19"/>
    <x v="0"/>
    <n v="122"/>
    <n v="1.88"/>
    <n v="144.80000000000001"/>
    <n v="1.48"/>
    <n v="4"/>
    <n v="0.75"/>
    <n v="502"/>
    <n v="11.5"/>
    <n v="0.77"/>
    <d v="2024-09-11T00:00:00"/>
    <n v="155.88999999999999"/>
    <n v="0.629"/>
    <n v="13611.2"/>
    <x v="0"/>
    <x v="2"/>
  </r>
  <r>
    <x v="1741"/>
    <x v="4"/>
    <n v="296"/>
    <n v="92"/>
    <n v="11"/>
    <n v="9"/>
    <n v="34.11"/>
    <x v="53"/>
    <x v="2"/>
    <n v="165"/>
    <n v="4.5199999999999996"/>
    <n v="22.98"/>
    <n v="1.55"/>
    <n v="9"/>
    <n v="0.95"/>
    <n v="462"/>
    <n v="13.7"/>
    <n v="0.32"/>
    <d v="2024-05-31T00:00:00"/>
    <n v="134.13999999999999"/>
    <n v="0.502"/>
    <n v="6802.08"/>
    <x v="0"/>
    <x v="0"/>
  </r>
  <r>
    <x v="1742"/>
    <x v="2"/>
    <n v="447"/>
    <n v="78"/>
    <n v="5"/>
    <n v="4"/>
    <n v="40.520000000000003"/>
    <x v="1"/>
    <x v="3"/>
    <n v="149"/>
    <n v="2.48"/>
    <n v="121.57"/>
    <n v="1.72"/>
    <n v="5"/>
    <n v="0.75"/>
    <n v="653"/>
    <n v="3.96"/>
    <n v="0.68"/>
    <d v="2024-05-12T00:00:00"/>
    <n v="207.46"/>
    <n v="0.46700000000000003"/>
    <n v="54341.789999999994"/>
    <x v="0"/>
    <x v="0"/>
  </r>
  <r>
    <x v="1743"/>
    <x v="4"/>
    <n v="152"/>
    <n v="83"/>
    <n v="5"/>
    <n v="8"/>
    <n v="15.53"/>
    <x v="27"/>
    <x v="3"/>
    <n v="79"/>
    <n v="1.81"/>
    <n v="123.54"/>
    <n v="0.46"/>
    <n v="0"/>
    <n v="0.9"/>
    <n v="998"/>
    <n v="9.7100000000000009"/>
    <n v="0.86"/>
    <d v="2024-08-02T00:00:00"/>
    <n v="60.94"/>
    <n v="0.83499999999999996"/>
    <n v="18778.080000000002"/>
    <x v="0"/>
    <x v="1"/>
  </r>
  <r>
    <x v="1744"/>
    <x v="4"/>
    <n v="362"/>
    <n v="18"/>
    <n v="6"/>
    <n v="2"/>
    <n v="26"/>
    <x v="4"/>
    <x v="0"/>
    <n v="80"/>
    <n v="1.2"/>
    <n v="67.41"/>
    <n v="1.44"/>
    <n v="3"/>
    <n v="0.83"/>
    <n v="235"/>
    <n v="8"/>
    <n v="0.34"/>
    <d v="2024-07-26T00:00:00"/>
    <n v="283.64"/>
    <n v="0.53700000000000003"/>
    <n v="24402.42"/>
    <x v="0"/>
    <x v="0"/>
  </r>
  <r>
    <x v="1745"/>
    <x v="0"/>
    <n v="444"/>
    <n v="86"/>
    <n v="13"/>
    <n v="4"/>
    <n v="33.72"/>
    <x v="47"/>
    <x v="0"/>
    <n v="140"/>
    <n v="3.53"/>
    <n v="25.03"/>
    <n v="0.16"/>
    <n v="4"/>
    <n v="0.99"/>
    <n v="602"/>
    <n v="6.92"/>
    <n v="0.38"/>
    <d v="2024-07-17T00:00:00"/>
    <n v="40.340000000000003"/>
    <n v="0.67"/>
    <n v="11113.32"/>
    <x v="0"/>
    <x v="0"/>
  </r>
  <r>
    <x v="1746"/>
    <x v="3"/>
    <n v="78"/>
    <n v="92"/>
    <n v="3"/>
    <n v="4"/>
    <n v="2.29"/>
    <x v="6"/>
    <x v="1"/>
    <n v="58"/>
    <n v="0.62"/>
    <n v="190.37"/>
    <n v="0.32"/>
    <n v="5"/>
    <n v="0.72"/>
    <n v="136"/>
    <n v="5.55"/>
    <n v="0.36"/>
    <d v="2024-01-19T00:00:00"/>
    <n v="215.99"/>
    <n v="0.55800000000000005"/>
    <n v="14848.86"/>
    <x v="1"/>
    <x v="2"/>
  </r>
  <r>
    <x v="1747"/>
    <x v="2"/>
    <n v="364"/>
    <n v="30"/>
    <n v="11"/>
    <n v="3"/>
    <n v="19.46"/>
    <x v="13"/>
    <x v="2"/>
    <n v="30"/>
    <n v="2.52"/>
    <n v="111.76"/>
    <n v="1.57"/>
    <n v="5"/>
    <n v="0.95"/>
    <n v="273"/>
    <n v="13.13"/>
    <n v="1"/>
    <d v="2024-10-25T00:00:00"/>
    <n v="214.25"/>
    <n v="0.70799999999999996"/>
    <n v="40680.639999999999"/>
    <x v="0"/>
    <x v="0"/>
  </r>
  <r>
    <x v="1748"/>
    <x v="1"/>
    <n v="201"/>
    <n v="33"/>
    <n v="13"/>
    <n v="3"/>
    <n v="35.1"/>
    <x v="19"/>
    <x v="3"/>
    <n v="145"/>
    <n v="2.98"/>
    <n v="120.15"/>
    <n v="1.64"/>
    <n v="4"/>
    <n v="0.85"/>
    <n v="100"/>
    <n v="7.78"/>
    <n v="0.38"/>
    <d v="2024-12-28T00:00:00"/>
    <n v="43.04"/>
    <n v="0.50600000000000001"/>
    <n v="24150.15"/>
    <x v="0"/>
    <x v="1"/>
  </r>
  <r>
    <x v="1749"/>
    <x v="1"/>
    <n v="477"/>
    <n v="13"/>
    <n v="5"/>
    <n v="7"/>
    <n v="13.38"/>
    <x v="52"/>
    <x v="1"/>
    <n v="73"/>
    <n v="2.0299999999999998"/>
    <n v="126.85"/>
    <n v="1.23"/>
    <n v="2"/>
    <n v="0.7"/>
    <n v="175"/>
    <n v="11.14"/>
    <n v="0.41"/>
    <d v="2024-10-19T00:00:00"/>
    <n v="297.98"/>
    <n v="0.60799999999999998"/>
    <n v="60507.45"/>
    <x v="0"/>
    <x v="0"/>
  </r>
  <r>
    <x v="1750"/>
    <x v="4"/>
    <n v="425"/>
    <n v="33"/>
    <n v="12"/>
    <n v="7"/>
    <n v="47.93"/>
    <x v="45"/>
    <x v="2"/>
    <n v="167"/>
    <n v="3.87"/>
    <n v="179.3"/>
    <n v="1.21"/>
    <n v="1"/>
    <n v="0.78"/>
    <n v="195"/>
    <n v="10.88"/>
    <n v="0.24"/>
    <d v="2024-04-07T00:00:00"/>
    <n v="19.95"/>
    <n v="0.60799999999999998"/>
    <n v="76202.5"/>
    <x v="0"/>
    <x v="0"/>
  </r>
  <r>
    <x v="1751"/>
    <x v="0"/>
    <n v="358"/>
    <n v="68"/>
    <n v="6"/>
    <n v="3"/>
    <n v="2.48"/>
    <x v="99"/>
    <x v="3"/>
    <n v="41"/>
    <n v="3.54"/>
    <n v="21.45"/>
    <n v="1.52"/>
    <n v="6"/>
    <n v="0.82"/>
    <n v="90"/>
    <n v="2.9"/>
    <n v="0.99"/>
    <d v="2024-06-24T00:00:00"/>
    <n v="115.76"/>
    <n v="0.52900000000000003"/>
    <n v="7679.0999999999995"/>
    <x v="0"/>
    <x v="0"/>
  </r>
  <r>
    <x v="1752"/>
    <x v="0"/>
    <n v="340"/>
    <n v="12"/>
    <n v="3"/>
    <n v="6"/>
    <n v="47.95"/>
    <x v="9"/>
    <x v="2"/>
    <n v="29"/>
    <n v="4.87"/>
    <n v="179.72"/>
    <n v="1.82"/>
    <n v="0"/>
    <n v="0.79"/>
    <n v="404"/>
    <n v="1.69"/>
    <n v="0.4"/>
    <d v="2024-04-23T00:00:00"/>
    <n v="133.18"/>
    <n v="0.47899999999999998"/>
    <n v="61104.800000000003"/>
    <x v="0"/>
    <x v="0"/>
  </r>
  <r>
    <x v="1753"/>
    <x v="1"/>
    <n v="83"/>
    <n v="77"/>
    <n v="6"/>
    <n v="6"/>
    <n v="11.62"/>
    <x v="58"/>
    <x v="0"/>
    <n v="25"/>
    <n v="2.79"/>
    <n v="55.54"/>
    <n v="0.9"/>
    <n v="4"/>
    <n v="0.81"/>
    <n v="494"/>
    <n v="12.76"/>
    <n v="0.78"/>
    <d v="2024-12-17T00:00:00"/>
    <n v="242.81"/>
    <n v="0.71799999999999997"/>
    <n v="4609.82"/>
    <x v="0"/>
    <x v="2"/>
  </r>
  <r>
    <x v="1754"/>
    <x v="2"/>
    <n v="346"/>
    <n v="49"/>
    <n v="3"/>
    <n v="2"/>
    <n v="3.39"/>
    <x v="19"/>
    <x v="3"/>
    <n v="162"/>
    <n v="2.92"/>
    <n v="24.81"/>
    <n v="0.32"/>
    <n v="3"/>
    <n v="0.98"/>
    <n v="412"/>
    <n v="7.86"/>
    <n v="0.22"/>
    <d v="2024-09-30T00:00:00"/>
    <n v="18.649999999999999"/>
    <n v="0.65300000000000002"/>
    <n v="8584.26"/>
    <x v="0"/>
    <x v="0"/>
  </r>
  <r>
    <x v="1755"/>
    <x v="3"/>
    <n v="279"/>
    <n v="57"/>
    <n v="7"/>
    <n v="3"/>
    <n v="15.33"/>
    <x v="2"/>
    <x v="3"/>
    <n v="69"/>
    <n v="1.61"/>
    <n v="134.88"/>
    <n v="1.69"/>
    <n v="6"/>
    <n v="0.81"/>
    <n v="585"/>
    <n v="12.34"/>
    <n v="0.83"/>
    <d v="2024-11-22T00:00:00"/>
    <n v="171.54"/>
    <n v="0.60399999999999998"/>
    <n v="37631.519999999997"/>
    <x v="0"/>
    <x v="0"/>
  </r>
  <r>
    <x v="1756"/>
    <x v="2"/>
    <n v="212"/>
    <n v="63"/>
    <n v="7"/>
    <n v="5"/>
    <n v="39.53"/>
    <x v="18"/>
    <x v="1"/>
    <n v="146"/>
    <n v="2.23"/>
    <n v="195.63"/>
    <n v="0.75"/>
    <n v="1"/>
    <n v="0.83"/>
    <n v="864"/>
    <n v="5.16"/>
    <n v="0.8"/>
    <d v="2024-08-31T00:00:00"/>
    <n v="69.16"/>
    <n v="0.7"/>
    <n v="41473.56"/>
    <x v="0"/>
    <x v="1"/>
  </r>
  <r>
    <x v="1757"/>
    <x v="3"/>
    <n v="162"/>
    <n v="44"/>
    <n v="13"/>
    <n v="7"/>
    <n v="37.869999999999997"/>
    <x v="51"/>
    <x v="2"/>
    <n v="112"/>
    <n v="0.62"/>
    <n v="20.88"/>
    <n v="0.35"/>
    <n v="7"/>
    <n v="0.93"/>
    <n v="333"/>
    <n v="13.07"/>
    <n v="0.27"/>
    <d v="2024-12-09T00:00:00"/>
    <n v="176.05"/>
    <n v="0.63900000000000001"/>
    <n v="3382.56"/>
    <x v="0"/>
    <x v="1"/>
  </r>
  <r>
    <x v="1758"/>
    <x v="1"/>
    <n v="123"/>
    <n v="65"/>
    <n v="9"/>
    <n v="3"/>
    <n v="11.23"/>
    <x v="62"/>
    <x v="0"/>
    <n v="70"/>
    <n v="3.6"/>
    <n v="90.96"/>
    <n v="1.27"/>
    <n v="8"/>
    <n v="0.94"/>
    <n v="85"/>
    <n v="12.63"/>
    <n v="0.3"/>
    <d v="2024-07-02T00:00:00"/>
    <n v="197.44"/>
    <n v="0.52900000000000003"/>
    <n v="11188.08"/>
    <x v="0"/>
    <x v="1"/>
  </r>
  <r>
    <x v="1759"/>
    <x v="3"/>
    <n v="479"/>
    <n v="98"/>
    <n v="10"/>
    <n v="6"/>
    <n v="10.64"/>
    <x v="56"/>
    <x v="0"/>
    <n v="177"/>
    <n v="1.9"/>
    <n v="110.66"/>
    <n v="1.2"/>
    <n v="9"/>
    <n v="0.73"/>
    <n v="326"/>
    <n v="6.34"/>
    <n v="0.44"/>
    <d v="2024-09-16T00:00:00"/>
    <n v="19.899999999999999"/>
    <n v="0.41899999999999998"/>
    <n v="53006.14"/>
    <x v="0"/>
    <x v="0"/>
  </r>
  <r>
    <x v="1760"/>
    <x v="0"/>
    <n v="425"/>
    <n v="49"/>
    <n v="6"/>
    <n v="3"/>
    <n v="32.49"/>
    <x v="2"/>
    <x v="2"/>
    <n v="113"/>
    <n v="2.93"/>
    <n v="57.9"/>
    <n v="1"/>
    <n v="0"/>
    <n v="0.91"/>
    <n v="745"/>
    <n v="6.76"/>
    <n v="0.48"/>
    <d v="2024-06-02T00:00:00"/>
    <n v="29.56"/>
    <n v="0.66800000000000004"/>
    <n v="24607.5"/>
    <x v="0"/>
    <x v="0"/>
  </r>
  <r>
    <x v="1761"/>
    <x v="4"/>
    <n v="233"/>
    <n v="86"/>
    <n v="9"/>
    <n v="6"/>
    <n v="23.45"/>
    <x v="96"/>
    <x v="2"/>
    <n v="70"/>
    <n v="1.65"/>
    <n v="196.75"/>
    <n v="1.73"/>
    <n v="4"/>
    <n v="0.84"/>
    <n v="374"/>
    <n v="5.91"/>
    <n v="0.83"/>
    <d v="2024-03-28T00:00:00"/>
    <n v="34.72"/>
    <n v="0.56000000000000005"/>
    <n v="45842.75"/>
    <x v="0"/>
    <x v="1"/>
  </r>
  <r>
    <x v="1762"/>
    <x v="4"/>
    <n v="261"/>
    <n v="77"/>
    <n v="6"/>
    <n v="3"/>
    <n v="39.82"/>
    <x v="56"/>
    <x v="0"/>
    <n v="85"/>
    <n v="3.29"/>
    <n v="131.78"/>
    <n v="0.62"/>
    <n v="3"/>
    <n v="0.74"/>
    <n v="715"/>
    <n v="1.49"/>
    <n v="0.25"/>
    <d v="2024-12-02T00:00:00"/>
    <n v="257.16000000000003"/>
    <n v="0.496"/>
    <n v="34394.58"/>
    <x v="0"/>
    <x v="0"/>
  </r>
  <r>
    <x v="1763"/>
    <x v="1"/>
    <n v="450"/>
    <n v="55"/>
    <n v="5"/>
    <n v="8"/>
    <n v="2.1800000000000002"/>
    <x v="23"/>
    <x v="2"/>
    <n v="24"/>
    <n v="2.5099999999999998"/>
    <n v="170.43"/>
    <n v="0.13"/>
    <n v="4"/>
    <n v="0.78"/>
    <n v="231"/>
    <n v="10.63"/>
    <n v="0.72"/>
    <d v="2024-10-12T00:00:00"/>
    <n v="278.73"/>
    <n v="0.749"/>
    <n v="76693.5"/>
    <x v="0"/>
    <x v="0"/>
  </r>
  <r>
    <x v="1764"/>
    <x v="0"/>
    <n v="228"/>
    <n v="87"/>
    <n v="8"/>
    <n v="5"/>
    <n v="30.91"/>
    <x v="27"/>
    <x v="1"/>
    <n v="141"/>
    <n v="2.67"/>
    <n v="89"/>
    <n v="0.71"/>
    <n v="8"/>
    <n v="0.71"/>
    <n v="520"/>
    <n v="4.82"/>
    <n v="0.38"/>
    <d v="2024-04-02T00:00:00"/>
    <n v="136.94"/>
    <n v="0.45100000000000001"/>
    <n v="20292"/>
    <x v="0"/>
    <x v="1"/>
  </r>
  <r>
    <x v="1765"/>
    <x v="2"/>
    <n v="112"/>
    <n v="22"/>
    <n v="6"/>
    <n v="9"/>
    <n v="36.799999999999997"/>
    <x v="88"/>
    <x v="2"/>
    <n v="160"/>
    <n v="4.74"/>
    <n v="77.25"/>
    <n v="0.12"/>
    <n v="2"/>
    <n v="0.81"/>
    <n v="861"/>
    <n v="13.38"/>
    <n v="0.51"/>
    <d v="2024-05-30T00:00:00"/>
    <n v="263.69"/>
    <n v="0.79"/>
    <n v="8652"/>
    <x v="0"/>
    <x v="1"/>
  </r>
  <r>
    <x v="1766"/>
    <x v="0"/>
    <n v="449"/>
    <n v="36"/>
    <n v="5"/>
    <n v="2"/>
    <n v="49.68"/>
    <x v="29"/>
    <x v="1"/>
    <n v="164"/>
    <n v="3.68"/>
    <n v="115.1"/>
    <n v="1.1299999999999999"/>
    <n v="0"/>
    <n v="0.78"/>
    <n v="466"/>
    <n v="13.56"/>
    <n v="0.2"/>
    <d v="2024-02-19T00:00:00"/>
    <n v="148.1"/>
    <n v="0.66400000000000003"/>
    <n v="51679.899999999994"/>
    <x v="0"/>
    <x v="0"/>
  </r>
  <r>
    <x v="1767"/>
    <x v="4"/>
    <n v="161"/>
    <n v="15"/>
    <n v="11"/>
    <n v="8"/>
    <n v="34.26"/>
    <x v="34"/>
    <x v="1"/>
    <n v="112"/>
    <n v="1.68"/>
    <n v="92.7"/>
    <n v="0.82"/>
    <n v="2"/>
    <n v="0.81"/>
    <n v="715"/>
    <n v="11.12"/>
    <n v="0.43"/>
    <d v="2024-08-29T00:00:00"/>
    <n v="126.33"/>
    <n v="0.67400000000000004"/>
    <n v="14924.7"/>
    <x v="0"/>
    <x v="1"/>
  </r>
  <r>
    <x v="1768"/>
    <x v="4"/>
    <n v="453"/>
    <n v="26"/>
    <n v="7"/>
    <n v="5"/>
    <n v="12.36"/>
    <x v="26"/>
    <x v="2"/>
    <n v="174"/>
    <n v="2.77"/>
    <n v="145.84"/>
    <n v="1.65"/>
    <n v="3"/>
    <n v="0.87"/>
    <n v="938"/>
    <n v="3.54"/>
    <n v="0.34"/>
    <d v="2024-03-06T00:00:00"/>
    <n v="164.06"/>
    <n v="0.46400000000000002"/>
    <n v="66065.52"/>
    <x v="0"/>
    <x v="0"/>
  </r>
  <r>
    <x v="1769"/>
    <x v="0"/>
    <n v="423"/>
    <n v="45"/>
    <n v="9"/>
    <n v="6"/>
    <n v="6.3"/>
    <x v="96"/>
    <x v="3"/>
    <n v="174"/>
    <n v="2.6"/>
    <n v="60.51"/>
    <n v="1.62"/>
    <n v="1"/>
    <n v="0.92"/>
    <n v="199"/>
    <n v="2.25"/>
    <n v="0.6"/>
    <d v="2024-05-12T00:00:00"/>
    <n v="239.15"/>
    <n v="0.55200000000000005"/>
    <n v="25595.73"/>
    <x v="0"/>
    <x v="0"/>
  </r>
  <r>
    <x v="1770"/>
    <x v="0"/>
    <n v="453"/>
    <n v="90"/>
    <n v="14"/>
    <n v="7"/>
    <n v="32.4"/>
    <x v="71"/>
    <x v="3"/>
    <n v="166"/>
    <n v="4.08"/>
    <n v="95.42"/>
    <n v="0.93"/>
    <n v="0"/>
    <n v="0.88"/>
    <n v="453"/>
    <n v="12.43"/>
    <n v="0.33"/>
    <d v="2024-10-13T00:00:00"/>
    <n v="74.89"/>
    <n v="0.71499999999999997"/>
    <n v="43225.26"/>
    <x v="0"/>
    <x v="0"/>
  </r>
  <r>
    <x v="1771"/>
    <x v="4"/>
    <n v="131"/>
    <n v="11"/>
    <n v="8"/>
    <n v="7"/>
    <n v="26.64"/>
    <x v="68"/>
    <x v="1"/>
    <n v="166"/>
    <n v="4.25"/>
    <n v="180.08"/>
    <n v="0.51"/>
    <n v="0"/>
    <n v="0.9"/>
    <n v="563"/>
    <n v="13.5"/>
    <n v="0.87"/>
    <d v="2024-04-03T00:00:00"/>
    <n v="97.5"/>
    <n v="0.88300000000000001"/>
    <n v="23590.480000000003"/>
    <x v="0"/>
    <x v="1"/>
  </r>
  <r>
    <x v="1772"/>
    <x v="2"/>
    <n v="436"/>
    <n v="86"/>
    <n v="12"/>
    <n v="4"/>
    <n v="45.06"/>
    <x v="51"/>
    <x v="2"/>
    <n v="84"/>
    <n v="1.78"/>
    <n v="153.66"/>
    <n v="0.9"/>
    <n v="7"/>
    <n v="0.96"/>
    <n v="858"/>
    <n v="5.93"/>
    <n v="0.91"/>
    <d v="2024-12-14T00:00:00"/>
    <n v="256.17"/>
    <n v="0.623"/>
    <n v="66995.759999999995"/>
    <x v="0"/>
    <x v="0"/>
  </r>
  <r>
    <x v="1773"/>
    <x v="1"/>
    <n v="394"/>
    <n v="61"/>
    <n v="7"/>
    <n v="5"/>
    <n v="36.6"/>
    <x v="67"/>
    <x v="1"/>
    <n v="37"/>
    <n v="4.2"/>
    <n v="41.93"/>
    <n v="1.32"/>
    <n v="3"/>
    <n v="0.96"/>
    <n v="615"/>
    <n v="5.94"/>
    <n v="0.88"/>
    <d v="2024-06-20T00:00:00"/>
    <n v="275.63"/>
    <n v="0.65500000000000003"/>
    <n v="16520.419999999998"/>
    <x v="0"/>
    <x v="0"/>
  </r>
  <r>
    <x v="1774"/>
    <x v="1"/>
    <n v="78"/>
    <n v="75"/>
    <n v="9"/>
    <n v="3"/>
    <n v="25.98"/>
    <x v="50"/>
    <x v="2"/>
    <n v="83"/>
    <n v="1.31"/>
    <n v="178.5"/>
    <n v="0.46"/>
    <n v="1"/>
    <n v="0.96"/>
    <n v="490"/>
    <n v="6.46"/>
    <n v="0.99"/>
    <d v="2024-12-01T00:00:00"/>
    <n v="45.67"/>
    <n v="0.81"/>
    <n v="13923"/>
    <x v="0"/>
    <x v="2"/>
  </r>
  <r>
    <x v="1775"/>
    <x v="0"/>
    <n v="62"/>
    <n v="61"/>
    <n v="13"/>
    <n v="2"/>
    <n v="20.78"/>
    <x v="71"/>
    <x v="2"/>
    <n v="142"/>
    <n v="3.93"/>
    <n v="121.91"/>
    <n v="1.57"/>
    <n v="9"/>
    <n v="0.75"/>
    <n v="963"/>
    <n v="12.59"/>
    <n v="0.93"/>
    <d v="2024-02-15T00:00:00"/>
    <n v="214.43"/>
    <n v="0.56699999999999995"/>
    <n v="7558.42"/>
    <x v="0"/>
    <x v="2"/>
  </r>
  <r>
    <x v="1776"/>
    <x v="1"/>
    <n v="226"/>
    <n v="52"/>
    <n v="8"/>
    <n v="3"/>
    <n v="20.81"/>
    <x v="3"/>
    <x v="0"/>
    <n v="134"/>
    <n v="1.62"/>
    <n v="139.06"/>
    <n v="0.73"/>
    <n v="2"/>
    <n v="0.78"/>
    <n v="950"/>
    <n v="10.9"/>
    <n v="0.42"/>
    <d v="2024-04-23T00:00:00"/>
    <n v="12.79"/>
    <n v="0.67200000000000004"/>
    <n v="31427.56"/>
    <x v="0"/>
    <x v="1"/>
  </r>
  <r>
    <x v="1777"/>
    <x v="4"/>
    <n v="287"/>
    <n v="99"/>
    <n v="12"/>
    <n v="3"/>
    <n v="12.09"/>
    <x v="0"/>
    <x v="3"/>
    <n v="65"/>
    <n v="1.84"/>
    <n v="65.91"/>
    <n v="1.87"/>
    <n v="7"/>
    <n v="0.85"/>
    <n v="295"/>
    <n v="2.71"/>
    <n v="0.45"/>
    <d v="2024-06-30T00:00:00"/>
    <n v="81.39"/>
    <n v="0.36899999999999999"/>
    <n v="18916.169999999998"/>
    <x v="0"/>
    <x v="0"/>
  </r>
  <r>
    <x v="1778"/>
    <x v="4"/>
    <n v="315"/>
    <n v="31"/>
    <n v="4"/>
    <n v="5"/>
    <n v="1.85"/>
    <x v="2"/>
    <x v="3"/>
    <n v="73"/>
    <n v="4.34"/>
    <n v="93.89"/>
    <n v="1.07"/>
    <n v="5"/>
    <n v="0.81"/>
    <n v="95"/>
    <n v="9.89"/>
    <n v="0.63"/>
    <d v="2024-04-24T00:00:00"/>
    <n v="29.9"/>
    <n v="0.61299999999999999"/>
    <n v="29575.35"/>
    <x v="0"/>
    <x v="0"/>
  </r>
  <r>
    <x v="1779"/>
    <x v="0"/>
    <n v="137"/>
    <n v="64"/>
    <n v="5"/>
    <n v="9"/>
    <n v="29.17"/>
    <x v="11"/>
    <x v="0"/>
    <n v="136"/>
    <n v="2.39"/>
    <n v="163.29"/>
    <n v="1.71"/>
    <n v="7"/>
    <n v="0.74"/>
    <n v="124"/>
    <n v="1.1399999999999999"/>
    <n v="0.51"/>
    <d v="2024-06-06T00:00:00"/>
    <n v="159.46"/>
    <n v="0.35399999999999998"/>
    <n v="22370.73"/>
    <x v="0"/>
    <x v="1"/>
  </r>
  <r>
    <x v="1780"/>
    <x v="0"/>
    <n v="39"/>
    <n v="76"/>
    <n v="4"/>
    <n v="2"/>
    <n v="11.41"/>
    <x v="72"/>
    <x v="0"/>
    <n v="130"/>
    <n v="4.96"/>
    <n v="72.83"/>
    <n v="1.27"/>
    <n v="9"/>
    <n v="0.79"/>
    <n v="198"/>
    <n v="10.95"/>
    <n v="0.98"/>
    <d v="2024-08-03T00:00:00"/>
    <n v="109.58"/>
    <n v="0.59299999999999997"/>
    <n v="2840.37"/>
    <x v="1"/>
    <x v="2"/>
  </r>
  <r>
    <x v="1781"/>
    <x v="0"/>
    <n v="241"/>
    <n v="69"/>
    <n v="14"/>
    <n v="4"/>
    <n v="11.21"/>
    <x v="79"/>
    <x v="0"/>
    <n v="98"/>
    <n v="1.18"/>
    <n v="41.36"/>
    <n v="1.1499999999999999"/>
    <n v="4"/>
    <n v="0.99"/>
    <n v="455"/>
    <n v="11.7"/>
    <n v="0.47"/>
    <d v="2024-06-18T00:00:00"/>
    <n v="49.9"/>
    <n v="0.65300000000000002"/>
    <n v="9967.76"/>
    <x v="0"/>
    <x v="1"/>
  </r>
  <r>
    <x v="1782"/>
    <x v="2"/>
    <n v="185"/>
    <n v="67"/>
    <n v="5"/>
    <n v="8"/>
    <n v="7.14"/>
    <x v="15"/>
    <x v="1"/>
    <n v="26"/>
    <n v="2.59"/>
    <n v="81.88"/>
    <n v="1.4"/>
    <n v="2"/>
    <n v="0.8"/>
    <n v="52"/>
    <n v="12.41"/>
    <n v="0.79"/>
    <d v="2024-07-09T00:00:00"/>
    <n v="10.09"/>
    <n v="0.70299999999999996"/>
    <n v="15147.8"/>
    <x v="0"/>
    <x v="1"/>
  </r>
  <r>
    <x v="1783"/>
    <x v="1"/>
    <n v="150"/>
    <n v="21"/>
    <n v="3"/>
    <n v="3"/>
    <n v="10.29"/>
    <x v="31"/>
    <x v="1"/>
    <n v="106"/>
    <n v="3.8"/>
    <n v="23.15"/>
    <n v="1.64"/>
    <n v="5"/>
    <n v="0.83"/>
    <n v="58"/>
    <n v="9.76"/>
    <n v="0.66"/>
    <d v="2024-05-13T00:00:00"/>
    <n v="122.63"/>
    <n v="0.56399999999999995"/>
    <n v="3472.5"/>
    <x v="0"/>
    <x v="1"/>
  </r>
  <r>
    <x v="1784"/>
    <x v="0"/>
    <n v="175"/>
    <n v="97"/>
    <n v="10"/>
    <n v="2"/>
    <n v="2.56"/>
    <x v="24"/>
    <x v="1"/>
    <n v="64"/>
    <n v="0.52"/>
    <n v="146.38999999999999"/>
    <n v="1.32"/>
    <n v="9"/>
    <n v="0.7"/>
    <n v="563"/>
    <n v="3.53"/>
    <n v="0.97"/>
    <d v="2024-10-26T00:00:00"/>
    <n v="95.4"/>
    <n v="0.46899999999999997"/>
    <n v="25618.249999999996"/>
    <x v="0"/>
    <x v="1"/>
  </r>
  <r>
    <x v="1785"/>
    <x v="3"/>
    <n v="203"/>
    <n v="78"/>
    <n v="8"/>
    <n v="4"/>
    <n v="34.04"/>
    <x v="38"/>
    <x v="1"/>
    <n v="146"/>
    <n v="1.18"/>
    <n v="38.07"/>
    <n v="1.61"/>
    <n v="7"/>
    <n v="0.92"/>
    <n v="287"/>
    <n v="12.11"/>
    <n v="0.8"/>
    <d v="2024-05-30T00:00:00"/>
    <n v="23.54"/>
    <n v="0.60399999999999998"/>
    <n v="7728.21"/>
    <x v="0"/>
    <x v="1"/>
  </r>
  <r>
    <x v="1786"/>
    <x v="3"/>
    <n v="109"/>
    <n v="93"/>
    <n v="4"/>
    <n v="8"/>
    <n v="20.67"/>
    <x v="29"/>
    <x v="1"/>
    <n v="119"/>
    <n v="0.59"/>
    <n v="64.17"/>
    <n v="0.46"/>
    <n v="4"/>
    <n v="0.82"/>
    <n v="589"/>
    <n v="13.6"/>
    <n v="0.44"/>
    <d v="2024-08-25T00:00:00"/>
    <n v="257.01"/>
    <n v="0.70699999999999996"/>
    <n v="6994.53"/>
    <x v="0"/>
    <x v="1"/>
  </r>
  <r>
    <x v="1787"/>
    <x v="4"/>
    <n v="113"/>
    <n v="48"/>
    <n v="10"/>
    <n v="3"/>
    <n v="28.51"/>
    <x v="28"/>
    <x v="3"/>
    <n v="25"/>
    <n v="4.97"/>
    <n v="177.41"/>
    <n v="0.63"/>
    <n v="4"/>
    <n v="0.73"/>
    <n v="339"/>
    <n v="9.8699999999999992"/>
    <n v="0.36"/>
    <d v="2024-03-01T00:00:00"/>
    <n v="129.13"/>
    <n v="0.60699999999999998"/>
    <n v="20047.329999999998"/>
    <x v="0"/>
    <x v="1"/>
  </r>
  <r>
    <x v="1788"/>
    <x v="1"/>
    <n v="32"/>
    <n v="22"/>
    <n v="8"/>
    <n v="2"/>
    <n v="32.21"/>
    <x v="53"/>
    <x v="3"/>
    <n v="153"/>
    <n v="3.92"/>
    <n v="112.69"/>
    <n v="0.54"/>
    <n v="2"/>
    <n v="0.99"/>
    <n v="230"/>
    <n v="4.8499999999999996"/>
    <n v="0.88"/>
    <d v="2024-08-28T00:00:00"/>
    <n v="234.69"/>
    <n v="0.745"/>
    <n v="3606.08"/>
    <x v="0"/>
    <x v="2"/>
  </r>
  <r>
    <x v="1789"/>
    <x v="0"/>
    <n v="480"/>
    <n v="50"/>
    <n v="9"/>
    <n v="8"/>
    <n v="48.65"/>
    <x v="88"/>
    <x v="2"/>
    <n v="22"/>
    <n v="2.1800000000000002"/>
    <n v="71.05"/>
    <n v="1.62"/>
    <n v="2"/>
    <n v="0.93"/>
    <n v="364"/>
    <n v="3.51"/>
    <n v="0.93"/>
    <d v="2024-01-28T00:00:00"/>
    <n v="132.38999999999999"/>
    <n v="0.61699999999999999"/>
    <n v="34104"/>
    <x v="0"/>
    <x v="0"/>
  </r>
  <r>
    <x v="1790"/>
    <x v="3"/>
    <n v="341"/>
    <n v="66"/>
    <n v="13"/>
    <n v="5"/>
    <n v="4.3499999999999996"/>
    <x v="82"/>
    <x v="3"/>
    <n v="87"/>
    <n v="1.2"/>
    <n v="114.06"/>
    <n v="0.26"/>
    <n v="7"/>
    <n v="0.92"/>
    <n v="315"/>
    <n v="4.24"/>
    <n v="0.86"/>
    <d v="2024-11-20T00:00:00"/>
    <n v="29.58"/>
    <n v="0.64700000000000002"/>
    <n v="38894.46"/>
    <x v="0"/>
    <x v="0"/>
  </r>
  <r>
    <x v="1791"/>
    <x v="1"/>
    <n v="312"/>
    <n v="62"/>
    <n v="3"/>
    <n v="9"/>
    <n v="21.48"/>
    <x v="63"/>
    <x v="0"/>
    <n v="94"/>
    <n v="0.91"/>
    <n v="51.47"/>
    <n v="1.61"/>
    <n v="0"/>
    <n v="0.99"/>
    <n v="132"/>
    <n v="1.24"/>
    <n v="0.79"/>
    <d v="2024-10-25T00:00:00"/>
    <n v="124.34"/>
    <n v="0.61199999999999999"/>
    <n v="16058.64"/>
    <x v="0"/>
    <x v="0"/>
  </r>
  <r>
    <x v="1792"/>
    <x v="4"/>
    <n v="452"/>
    <n v="21"/>
    <n v="9"/>
    <n v="7"/>
    <n v="13.05"/>
    <x v="64"/>
    <x v="3"/>
    <n v="82"/>
    <n v="2.89"/>
    <n v="14.78"/>
    <n v="0.84"/>
    <n v="3"/>
    <n v="0.82"/>
    <n v="910"/>
    <n v="1.1399999999999999"/>
    <n v="0.46"/>
    <d v="2024-10-24T00:00:00"/>
    <n v="266.98"/>
    <n v="0.52700000000000002"/>
    <n v="6680.5599999999995"/>
    <x v="0"/>
    <x v="0"/>
  </r>
  <r>
    <x v="1793"/>
    <x v="2"/>
    <n v="249"/>
    <n v="22"/>
    <n v="5"/>
    <n v="7"/>
    <n v="24.36"/>
    <x v="68"/>
    <x v="0"/>
    <n v="128"/>
    <n v="4.8899999999999997"/>
    <n v="124.71"/>
    <n v="0.25"/>
    <n v="8"/>
    <n v="0.92"/>
    <n v="814"/>
    <n v="5.16"/>
    <n v="0.6"/>
    <d v="2024-11-13T00:00:00"/>
    <n v="12.25"/>
    <n v="0.58799999999999997"/>
    <n v="31052.789999999997"/>
    <x v="0"/>
    <x v="1"/>
  </r>
  <r>
    <x v="1794"/>
    <x v="1"/>
    <n v="341"/>
    <n v="83"/>
    <n v="13"/>
    <n v="3"/>
    <n v="46.1"/>
    <x v="77"/>
    <x v="3"/>
    <n v="178"/>
    <n v="3.54"/>
    <n v="145.68"/>
    <n v="0.91"/>
    <n v="5"/>
    <n v="0.76"/>
    <n v="307"/>
    <n v="13.92"/>
    <n v="0.93"/>
    <d v="2024-02-06T00:00:00"/>
    <n v="269.64"/>
    <n v="0.73299999999999998"/>
    <n v="49676.880000000005"/>
    <x v="0"/>
    <x v="0"/>
  </r>
  <r>
    <x v="1795"/>
    <x v="1"/>
    <n v="311"/>
    <n v="66"/>
    <n v="14"/>
    <n v="3"/>
    <n v="36.479999999999997"/>
    <x v="41"/>
    <x v="1"/>
    <n v="77"/>
    <n v="2.14"/>
    <n v="177.16"/>
    <n v="0.67"/>
    <n v="5"/>
    <n v="0.91"/>
    <n v="609"/>
    <n v="9.6999999999999993"/>
    <n v="0.31"/>
    <d v="2024-08-29T00:00:00"/>
    <n v="200.45"/>
    <n v="0.60599999999999998"/>
    <n v="55096.76"/>
    <x v="0"/>
    <x v="0"/>
  </r>
  <r>
    <x v="1796"/>
    <x v="2"/>
    <n v="457"/>
    <n v="49"/>
    <n v="10"/>
    <n v="8"/>
    <n v="33.44"/>
    <x v="76"/>
    <x v="3"/>
    <n v="83"/>
    <n v="2.75"/>
    <n v="156.66"/>
    <n v="1.22"/>
    <n v="9"/>
    <n v="0.7"/>
    <n v="695"/>
    <n v="6.41"/>
    <n v="0.6"/>
    <d v="2024-04-09T00:00:00"/>
    <n v="298.73"/>
    <n v="0.443"/>
    <n v="71593.62"/>
    <x v="0"/>
    <x v="0"/>
  </r>
  <r>
    <x v="1797"/>
    <x v="1"/>
    <n v="45"/>
    <n v="89"/>
    <n v="8"/>
    <n v="2"/>
    <n v="22.62"/>
    <x v="30"/>
    <x v="2"/>
    <n v="108"/>
    <n v="5"/>
    <n v="186.07"/>
    <n v="1"/>
    <n v="6"/>
    <n v="0.74"/>
    <n v="861"/>
    <n v="1.1499999999999999"/>
    <n v="0.48"/>
    <d v="2024-09-13T00:00:00"/>
    <n v="275.67"/>
    <n v="0.439"/>
    <n v="8373.15"/>
    <x v="1"/>
    <x v="2"/>
  </r>
  <r>
    <x v="1798"/>
    <x v="4"/>
    <n v="94"/>
    <n v="54"/>
    <n v="6"/>
    <n v="7"/>
    <n v="33.880000000000003"/>
    <x v="28"/>
    <x v="1"/>
    <n v="126"/>
    <n v="2.83"/>
    <n v="197.33"/>
    <n v="0.66"/>
    <n v="6"/>
    <n v="0.83"/>
    <n v="999"/>
    <n v="14.86"/>
    <n v="0.74"/>
    <d v="2024-03-02T00:00:00"/>
    <n v="262"/>
    <n v="0.72599999999999998"/>
    <n v="18549.02"/>
    <x v="0"/>
    <x v="2"/>
  </r>
  <r>
    <x v="1799"/>
    <x v="4"/>
    <n v="475"/>
    <n v="44"/>
    <n v="13"/>
    <n v="3"/>
    <n v="2.59"/>
    <x v="75"/>
    <x v="1"/>
    <n v="146"/>
    <n v="4.84"/>
    <n v="151.54"/>
    <n v="1.74"/>
    <n v="5"/>
    <n v="0.7"/>
    <n v="248"/>
    <n v="7.38"/>
    <n v="0.71"/>
    <d v="2024-12-14T00:00:00"/>
    <n v="20.88"/>
    <n v="0.50600000000000001"/>
    <n v="71981.5"/>
    <x v="0"/>
    <x v="0"/>
  </r>
  <r>
    <x v="1800"/>
    <x v="2"/>
    <n v="383"/>
    <n v="12"/>
    <n v="10"/>
    <n v="4"/>
    <n v="29.73"/>
    <x v="45"/>
    <x v="2"/>
    <n v="155"/>
    <n v="0.56999999999999995"/>
    <n v="174.91"/>
    <n v="0.87"/>
    <n v="8"/>
    <n v="0.84"/>
    <n v="341"/>
    <n v="14.88"/>
    <n v="0.65"/>
    <d v="2024-07-14T00:00:00"/>
    <n v="91.27"/>
    <n v="0.64900000000000002"/>
    <n v="66990.53"/>
    <x v="0"/>
    <x v="0"/>
  </r>
  <r>
    <x v="1801"/>
    <x v="0"/>
    <n v="443"/>
    <n v="14"/>
    <n v="11"/>
    <n v="3"/>
    <n v="28.14"/>
    <x v="76"/>
    <x v="3"/>
    <n v="147"/>
    <n v="3.74"/>
    <n v="138.01"/>
    <n v="0.99"/>
    <n v="7"/>
    <n v="0.86"/>
    <n v="697"/>
    <n v="11.08"/>
    <n v="0.42"/>
    <d v="2024-09-28T00:00:00"/>
    <n v="118.68"/>
    <n v="0.56499999999999995"/>
    <n v="61138.429999999993"/>
    <x v="0"/>
    <x v="0"/>
  </r>
  <r>
    <x v="1802"/>
    <x v="3"/>
    <n v="318"/>
    <n v="99"/>
    <n v="12"/>
    <n v="7"/>
    <n v="17.989999999999998"/>
    <x v="9"/>
    <x v="3"/>
    <n v="124"/>
    <n v="3.32"/>
    <n v="42.48"/>
    <n v="1.71"/>
    <n v="7"/>
    <n v="0.89"/>
    <n v="132"/>
    <n v="1.72"/>
    <n v="0.33"/>
    <d v="2024-06-01T00:00:00"/>
    <n v="212.95"/>
    <n v="0.35599999999999998"/>
    <n v="13508.64"/>
    <x v="0"/>
    <x v="0"/>
  </r>
  <r>
    <x v="1803"/>
    <x v="0"/>
    <n v="169"/>
    <n v="20"/>
    <n v="4"/>
    <n v="6"/>
    <n v="10.87"/>
    <x v="41"/>
    <x v="2"/>
    <n v="63"/>
    <n v="3.58"/>
    <n v="44.52"/>
    <n v="0.27"/>
    <n v="1"/>
    <n v="0.73"/>
    <n v="315"/>
    <n v="13.03"/>
    <n v="0.83"/>
    <d v="2024-07-30T00:00:00"/>
    <n v="198.11"/>
    <n v="0.83899999999999997"/>
    <n v="7523.88"/>
    <x v="0"/>
    <x v="1"/>
  </r>
  <r>
    <x v="1804"/>
    <x v="1"/>
    <n v="167"/>
    <n v="80"/>
    <n v="8"/>
    <n v="9"/>
    <n v="40.57"/>
    <x v="56"/>
    <x v="1"/>
    <n v="88"/>
    <n v="3.07"/>
    <n v="30.95"/>
    <n v="0.84"/>
    <n v="6"/>
    <n v="0.75"/>
    <n v="466"/>
    <n v="8.43"/>
    <n v="0.99"/>
    <d v="2024-01-28T00:00:00"/>
    <n v="59.79"/>
    <n v="0.65600000000000003"/>
    <n v="5168.6499999999996"/>
    <x v="0"/>
    <x v="1"/>
  </r>
  <r>
    <x v="1805"/>
    <x v="3"/>
    <n v="27"/>
    <n v="65"/>
    <n v="7"/>
    <n v="7"/>
    <n v="3.64"/>
    <x v="92"/>
    <x v="2"/>
    <n v="24"/>
    <n v="0.7"/>
    <n v="189.17"/>
    <n v="0.87"/>
    <n v="0"/>
    <n v="0.88"/>
    <n v="919"/>
    <n v="7.34"/>
    <n v="0.34"/>
    <d v="2024-03-18T00:00:00"/>
    <n v="223.68"/>
    <n v="0.65500000000000003"/>
    <n v="5107.5899999999992"/>
    <x v="1"/>
    <x v="2"/>
  </r>
  <r>
    <x v="1806"/>
    <x v="2"/>
    <n v="48"/>
    <n v="19"/>
    <n v="7"/>
    <n v="4"/>
    <n v="4.41"/>
    <x v="51"/>
    <x v="0"/>
    <n v="148"/>
    <n v="1.17"/>
    <n v="137.82"/>
    <n v="1.04"/>
    <n v="9"/>
    <n v="0.9"/>
    <n v="780"/>
    <n v="11.61"/>
    <n v="0.26"/>
    <d v="2024-03-11T00:00:00"/>
    <n v="55.13"/>
    <n v="0.503"/>
    <n v="6615.36"/>
    <x v="0"/>
    <x v="2"/>
  </r>
  <r>
    <x v="1807"/>
    <x v="2"/>
    <n v="315"/>
    <n v="43"/>
    <n v="12"/>
    <n v="2"/>
    <n v="22.59"/>
    <x v="13"/>
    <x v="0"/>
    <n v="177"/>
    <n v="4.6500000000000004"/>
    <n v="160.08000000000001"/>
    <n v="0.3"/>
    <n v="7"/>
    <n v="0.71"/>
    <n v="910"/>
    <n v="11.85"/>
    <n v="0.8"/>
    <d v="2024-04-12T00:00:00"/>
    <n v="142.37"/>
    <n v="0.69"/>
    <n v="50425.200000000004"/>
    <x v="0"/>
    <x v="0"/>
  </r>
  <r>
    <x v="1808"/>
    <x v="3"/>
    <n v="493"/>
    <n v="76"/>
    <n v="13"/>
    <n v="4"/>
    <n v="13.38"/>
    <x v="86"/>
    <x v="3"/>
    <n v="127"/>
    <n v="1.55"/>
    <n v="72.92"/>
    <n v="0.3"/>
    <n v="2"/>
    <n v="0.86"/>
    <n v="68"/>
    <n v="12.15"/>
    <n v="0.48"/>
    <d v="2024-06-24T00:00:00"/>
    <n v="177.83"/>
    <n v="0.76"/>
    <n v="35949.56"/>
    <x v="0"/>
    <x v="0"/>
  </r>
  <r>
    <x v="1809"/>
    <x v="4"/>
    <n v="433"/>
    <n v="81"/>
    <n v="5"/>
    <n v="6"/>
    <n v="37.53"/>
    <x v="18"/>
    <x v="1"/>
    <n v="121"/>
    <n v="4.97"/>
    <n v="97.48"/>
    <n v="0.89"/>
    <n v="8"/>
    <n v="0.94"/>
    <n v="579"/>
    <n v="11.65"/>
    <n v="0.37"/>
    <d v="2024-07-28T00:00:00"/>
    <n v="262.5"/>
    <n v="0.56799999999999995"/>
    <n v="42208.840000000004"/>
    <x v="0"/>
    <x v="0"/>
  </r>
  <r>
    <x v="1810"/>
    <x v="3"/>
    <n v="228"/>
    <n v="40"/>
    <n v="14"/>
    <n v="6"/>
    <n v="32.08"/>
    <x v="92"/>
    <x v="0"/>
    <n v="115"/>
    <n v="3.56"/>
    <n v="17.559999999999999"/>
    <n v="0.16"/>
    <n v="4"/>
    <n v="0.72"/>
    <n v="420"/>
    <n v="9.98"/>
    <n v="0.62"/>
    <d v="2024-10-18T00:00:00"/>
    <n v="193.08"/>
    <n v="0.70499999999999996"/>
    <n v="4003.68"/>
    <x v="0"/>
    <x v="1"/>
  </r>
  <r>
    <x v="1811"/>
    <x v="1"/>
    <n v="147"/>
    <n v="84"/>
    <n v="10"/>
    <n v="3"/>
    <n v="38.85"/>
    <x v="24"/>
    <x v="2"/>
    <n v="114"/>
    <n v="2.5"/>
    <n v="178.91"/>
    <n v="0.57999999999999996"/>
    <n v="6"/>
    <n v="0.82"/>
    <n v="740"/>
    <n v="10.46"/>
    <n v="0.74"/>
    <d v="2024-08-22T00:00:00"/>
    <n v="286.89999999999998"/>
    <n v="0.67300000000000004"/>
    <n v="26299.77"/>
    <x v="0"/>
    <x v="1"/>
  </r>
  <r>
    <x v="1812"/>
    <x v="4"/>
    <n v="359"/>
    <n v="80"/>
    <n v="10"/>
    <n v="3"/>
    <n v="16.91"/>
    <x v="56"/>
    <x v="3"/>
    <n v="56"/>
    <n v="4.6399999999999997"/>
    <n v="172.07"/>
    <n v="0.48"/>
    <n v="6"/>
    <n v="0.8"/>
    <n v="72"/>
    <n v="13.02"/>
    <n v="0.37"/>
    <d v="2024-03-14T00:00:00"/>
    <n v="298.39999999999998"/>
    <n v="0.64"/>
    <n v="61773.13"/>
    <x v="0"/>
    <x v="0"/>
  </r>
  <r>
    <x v="1813"/>
    <x v="2"/>
    <n v="135"/>
    <n v="75"/>
    <n v="14"/>
    <n v="7"/>
    <n v="37.29"/>
    <x v="15"/>
    <x v="3"/>
    <n v="127"/>
    <n v="4.08"/>
    <n v="159.11000000000001"/>
    <n v="1.03"/>
    <n v="8"/>
    <n v="0.97"/>
    <n v="434"/>
    <n v="10.67"/>
    <n v="1"/>
    <d v="2024-06-10T00:00:00"/>
    <n v="157.56"/>
    <n v="0.67300000000000004"/>
    <n v="21479.850000000002"/>
    <x v="0"/>
    <x v="1"/>
  </r>
  <r>
    <x v="1814"/>
    <x v="3"/>
    <n v="458"/>
    <n v="79"/>
    <n v="7"/>
    <n v="5"/>
    <n v="43.25"/>
    <x v="75"/>
    <x v="1"/>
    <n v="135"/>
    <n v="2.4300000000000002"/>
    <n v="21.08"/>
    <n v="0.12"/>
    <n v="1"/>
    <n v="0.76"/>
    <n v="876"/>
    <n v="2.42"/>
    <n v="0.46"/>
    <d v="2024-04-02T00:00:00"/>
    <n v="24.93"/>
    <n v="0.64400000000000002"/>
    <n v="9654.64"/>
    <x v="0"/>
    <x v="0"/>
  </r>
  <r>
    <x v="1815"/>
    <x v="0"/>
    <n v="163"/>
    <n v="50"/>
    <n v="10"/>
    <n v="9"/>
    <n v="17.920000000000002"/>
    <x v="74"/>
    <x v="0"/>
    <n v="157"/>
    <n v="0.81"/>
    <n v="43.11"/>
    <n v="1.38"/>
    <n v="3"/>
    <n v="0.8"/>
    <n v="805"/>
    <n v="10.039999999999999"/>
    <n v="0.45"/>
    <d v="2024-02-11T00:00:00"/>
    <n v="18.21"/>
    <n v="0.58599999999999997"/>
    <n v="7026.93"/>
    <x v="0"/>
    <x v="1"/>
  </r>
  <r>
    <x v="1816"/>
    <x v="0"/>
    <n v="449"/>
    <n v="72"/>
    <n v="12"/>
    <n v="4"/>
    <n v="17.649999999999999"/>
    <x v="1"/>
    <x v="3"/>
    <n v="107"/>
    <n v="4.41"/>
    <n v="73.489999999999995"/>
    <n v="1.73"/>
    <n v="7"/>
    <n v="0.97"/>
    <n v="668"/>
    <n v="3.38"/>
    <n v="0.54"/>
    <d v="2024-09-06T00:00:00"/>
    <n v="258.14"/>
    <n v="0.434"/>
    <n v="32997.009999999995"/>
    <x v="0"/>
    <x v="0"/>
  </r>
  <r>
    <x v="1817"/>
    <x v="1"/>
    <n v="337"/>
    <n v="41"/>
    <n v="10"/>
    <n v="7"/>
    <n v="45.1"/>
    <x v="34"/>
    <x v="2"/>
    <n v="159"/>
    <n v="3.94"/>
    <n v="59.98"/>
    <n v="1.44"/>
    <n v="4"/>
    <n v="0.8"/>
    <n v="692"/>
    <n v="1.2"/>
    <n v="0.8"/>
    <d v="2024-06-19T00:00:00"/>
    <n v="154.96"/>
    <n v="0.51200000000000001"/>
    <n v="20213.259999999998"/>
    <x v="0"/>
    <x v="0"/>
  </r>
  <r>
    <x v="1818"/>
    <x v="0"/>
    <n v="254"/>
    <n v="29"/>
    <n v="5"/>
    <n v="5"/>
    <n v="3.44"/>
    <x v="83"/>
    <x v="0"/>
    <n v="57"/>
    <n v="4.0599999999999996"/>
    <n v="169.31"/>
    <n v="1.65"/>
    <n v="4"/>
    <n v="0.86"/>
    <n v="571"/>
    <n v="4"/>
    <n v="0.9"/>
    <d v="2024-11-19T00:00:00"/>
    <n v="116.37"/>
    <n v="0.56000000000000005"/>
    <n v="43004.74"/>
    <x v="0"/>
    <x v="0"/>
  </r>
  <r>
    <x v="1819"/>
    <x v="3"/>
    <n v="26"/>
    <n v="66"/>
    <n v="4"/>
    <n v="7"/>
    <n v="18.16"/>
    <x v="1"/>
    <x v="3"/>
    <n v="91"/>
    <n v="3.85"/>
    <n v="47.02"/>
    <n v="1.32"/>
    <n v="2"/>
    <n v="0.71"/>
    <n v="428"/>
    <n v="3.16"/>
    <n v="0.46"/>
    <d v="2024-03-31T00:00:00"/>
    <n v="92.49"/>
    <n v="0.504"/>
    <n v="1222.52"/>
    <x v="1"/>
    <x v="2"/>
  </r>
  <r>
    <x v="1820"/>
    <x v="3"/>
    <n v="483"/>
    <n v="59"/>
    <n v="11"/>
    <n v="9"/>
    <n v="6.81"/>
    <x v="98"/>
    <x v="3"/>
    <n v="25"/>
    <n v="1.74"/>
    <n v="111.1"/>
    <n v="1.06"/>
    <n v="4"/>
    <n v="1"/>
    <n v="760"/>
    <n v="2.4300000000000002"/>
    <n v="0.28999999999999998"/>
    <d v="2024-06-09T00:00:00"/>
    <n v="91.72"/>
    <n v="0.504"/>
    <n v="53661.299999999996"/>
    <x v="0"/>
    <x v="0"/>
  </r>
  <r>
    <x v="1821"/>
    <x v="0"/>
    <n v="64"/>
    <n v="89"/>
    <n v="4"/>
    <n v="9"/>
    <n v="2.42"/>
    <x v="9"/>
    <x v="0"/>
    <n v="142"/>
    <n v="4.3600000000000003"/>
    <n v="118.56"/>
    <n v="0.52"/>
    <n v="6"/>
    <n v="0.95"/>
    <n v="866"/>
    <n v="4.01"/>
    <n v="0.4"/>
    <d v="2024-11-20T00:00:00"/>
    <n v="31.12"/>
    <n v="0.55100000000000005"/>
    <n v="7587.84"/>
    <x v="1"/>
    <x v="2"/>
  </r>
  <r>
    <x v="1822"/>
    <x v="3"/>
    <n v="462"/>
    <n v="34"/>
    <n v="11"/>
    <n v="6"/>
    <n v="6.53"/>
    <x v="9"/>
    <x v="0"/>
    <n v="83"/>
    <n v="0.51"/>
    <n v="90.75"/>
    <n v="0.63"/>
    <n v="3"/>
    <n v="0.89"/>
    <n v="873"/>
    <n v="8.89"/>
    <n v="0.27"/>
    <d v="2024-01-30T00:00:00"/>
    <n v="97.87"/>
    <n v="0.628"/>
    <n v="41926.5"/>
    <x v="0"/>
    <x v="0"/>
  </r>
  <r>
    <x v="1823"/>
    <x v="1"/>
    <n v="258"/>
    <n v="21"/>
    <n v="6"/>
    <n v="3"/>
    <n v="22.13"/>
    <x v="12"/>
    <x v="1"/>
    <n v="30"/>
    <n v="1.57"/>
    <n v="55.73"/>
    <n v="0.7"/>
    <n v="7"/>
    <n v="0.72"/>
    <n v="139"/>
    <n v="3.12"/>
    <n v="0.7"/>
    <d v="2024-01-03T00:00:00"/>
    <n v="196.99"/>
    <n v="0.51600000000000001"/>
    <n v="14378.339999999998"/>
    <x v="0"/>
    <x v="0"/>
  </r>
  <r>
    <x v="1824"/>
    <x v="4"/>
    <n v="459"/>
    <n v="80"/>
    <n v="14"/>
    <n v="3"/>
    <n v="34.659999999999997"/>
    <x v="86"/>
    <x v="2"/>
    <n v="70"/>
    <n v="0.71"/>
    <n v="192.46"/>
    <n v="0.17"/>
    <n v="5"/>
    <n v="0.72"/>
    <n v="193"/>
    <n v="4.91"/>
    <n v="0.79"/>
    <d v="2024-08-19T00:00:00"/>
    <n v="121.71"/>
    <n v="0.65"/>
    <n v="88339.14"/>
    <x v="0"/>
    <x v="0"/>
  </r>
  <r>
    <x v="1825"/>
    <x v="1"/>
    <n v="451"/>
    <n v="48"/>
    <n v="4"/>
    <n v="9"/>
    <n v="15.17"/>
    <x v="79"/>
    <x v="1"/>
    <n v="33"/>
    <n v="1"/>
    <n v="88.55"/>
    <n v="1.83"/>
    <n v="5"/>
    <n v="0.86"/>
    <n v="856"/>
    <n v="12.89"/>
    <n v="0.54"/>
    <d v="2024-05-20T00:00:00"/>
    <n v="284.87"/>
    <n v="0.56899999999999995"/>
    <n v="39936.049999999996"/>
    <x v="0"/>
    <x v="0"/>
  </r>
  <r>
    <x v="1826"/>
    <x v="1"/>
    <n v="174"/>
    <n v="26"/>
    <n v="12"/>
    <n v="7"/>
    <n v="42.63"/>
    <x v="55"/>
    <x v="1"/>
    <n v="32"/>
    <n v="2.9"/>
    <n v="148.19"/>
    <n v="1.81"/>
    <n v="5"/>
    <n v="0.79"/>
    <n v="670"/>
    <n v="13.43"/>
    <n v="0.96"/>
    <d v="2024-04-17T00:00:00"/>
    <n v="203.77"/>
    <n v="0.64800000000000002"/>
    <n v="25785.06"/>
    <x v="0"/>
    <x v="1"/>
  </r>
  <r>
    <x v="1827"/>
    <x v="3"/>
    <n v="200"/>
    <n v="54"/>
    <n v="3"/>
    <n v="9"/>
    <n v="22.44"/>
    <x v="88"/>
    <x v="2"/>
    <n v="96"/>
    <n v="0.67"/>
    <n v="44.97"/>
    <n v="0.3"/>
    <n v="3"/>
    <n v="0.89"/>
    <n v="913"/>
    <n v="5.66"/>
    <n v="0.78"/>
    <d v="2024-03-27T00:00:00"/>
    <n v="260.55"/>
    <n v="0.71899999999999997"/>
    <n v="8994"/>
    <x v="0"/>
    <x v="1"/>
  </r>
  <r>
    <x v="1828"/>
    <x v="4"/>
    <n v="234"/>
    <n v="20"/>
    <n v="6"/>
    <n v="3"/>
    <n v="48.44"/>
    <x v="36"/>
    <x v="2"/>
    <n v="148"/>
    <n v="1.32"/>
    <n v="166.33"/>
    <n v="1.1599999999999999"/>
    <n v="2"/>
    <n v="0.88"/>
    <n v="253"/>
    <n v="13.59"/>
    <n v="0.5"/>
    <d v="2024-10-22T00:00:00"/>
    <n v="43.11"/>
    <n v="0.70099999999999996"/>
    <n v="38921.22"/>
    <x v="0"/>
    <x v="1"/>
  </r>
  <r>
    <x v="1829"/>
    <x v="3"/>
    <n v="107"/>
    <n v="79"/>
    <n v="11"/>
    <n v="2"/>
    <n v="47.75"/>
    <x v="6"/>
    <x v="1"/>
    <n v="11"/>
    <n v="1.55"/>
    <n v="51.02"/>
    <n v="0.99"/>
    <n v="9"/>
    <n v="0.95"/>
    <n v="605"/>
    <n v="9.1999999999999993"/>
    <n v="0.28000000000000003"/>
    <d v="2024-03-22T00:00:00"/>
    <n v="140.65"/>
    <n v="0.49"/>
    <n v="5459.14"/>
    <x v="0"/>
    <x v="1"/>
  </r>
  <r>
    <x v="1830"/>
    <x v="2"/>
    <n v="275"/>
    <n v="32"/>
    <n v="14"/>
    <n v="7"/>
    <n v="38.89"/>
    <x v="70"/>
    <x v="0"/>
    <n v="62"/>
    <n v="3.45"/>
    <n v="138.31"/>
    <n v="1.4"/>
    <n v="5"/>
    <n v="0.78"/>
    <n v="569"/>
    <n v="4.17"/>
    <n v="0.59"/>
    <d v="2024-09-07T00:00:00"/>
    <n v="22.02"/>
    <n v="0.49"/>
    <n v="38035.25"/>
    <x v="0"/>
    <x v="0"/>
  </r>
  <r>
    <x v="1831"/>
    <x v="3"/>
    <n v="92"/>
    <n v="79"/>
    <n v="11"/>
    <n v="6"/>
    <n v="46.69"/>
    <x v="77"/>
    <x v="2"/>
    <n v="148"/>
    <n v="2.61"/>
    <n v="106.23"/>
    <n v="1.25"/>
    <n v="5"/>
    <n v="0.87"/>
    <n v="441"/>
    <n v="11.56"/>
    <n v="0.6"/>
    <d v="2024-02-15T00:00:00"/>
    <n v="269.55"/>
    <n v="0.623"/>
    <n v="9773.16"/>
    <x v="0"/>
    <x v="2"/>
  </r>
  <r>
    <x v="1832"/>
    <x v="3"/>
    <n v="438"/>
    <n v="47"/>
    <n v="6"/>
    <n v="8"/>
    <n v="35.65"/>
    <x v="65"/>
    <x v="1"/>
    <n v="24"/>
    <n v="2.56"/>
    <n v="37.85"/>
    <n v="0.34"/>
    <n v="1"/>
    <n v="0.93"/>
    <n v="350"/>
    <n v="13.91"/>
    <n v="0.64"/>
    <d v="2024-03-07T00:00:00"/>
    <n v="52.59"/>
    <n v="0.84499999999999997"/>
    <n v="16578.3"/>
    <x v="0"/>
    <x v="0"/>
  </r>
  <r>
    <x v="1833"/>
    <x v="3"/>
    <n v="198"/>
    <n v="11"/>
    <n v="11"/>
    <n v="7"/>
    <n v="44.88"/>
    <x v="26"/>
    <x v="0"/>
    <n v="149"/>
    <n v="3.96"/>
    <n v="14.74"/>
    <n v="1.35"/>
    <n v="9"/>
    <n v="0.85"/>
    <n v="956"/>
    <n v="10.23"/>
    <n v="0.75"/>
    <d v="2024-11-10T00:00:00"/>
    <n v="243.57"/>
    <n v="0.54100000000000004"/>
    <n v="2918.52"/>
    <x v="0"/>
    <x v="1"/>
  </r>
  <r>
    <x v="1834"/>
    <x v="4"/>
    <n v="231"/>
    <n v="95"/>
    <n v="14"/>
    <n v="7"/>
    <n v="12.59"/>
    <x v="54"/>
    <x v="3"/>
    <n v="131"/>
    <n v="2.56"/>
    <n v="186.84"/>
    <n v="1.26"/>
    <n v="8"/>
    <n v="0.95"/>
    <n v="554"/>
    <n v="3.82"/>
    <n v="0.41"/>
    <d v="2024-08-10T00:00:00"/>
    <n v="277.91000000000003"/>
    <n v="0.437"/>
    <n v="43160.04"/>
    <x v="0"/>
    <x v="1"/>
  </r>
  <r>
    <x v="1835"/>
    <x v="3"/>
    <n v="312"/>
    <n v="93"/>
    <n v="8"/>
    <n v="3"/>
    <n v="17.93"/>
    <x v="85"/>
    <x v="0"/>
    <n v="132"/>
    <n v="2.0699999999999998"/>
    <n v="33.880000000000003"/>
    <n v="1.1100000000000001"/>
    <n v="3"/>
    <n v="0.74"/>
    <n v="914"/>
    <n v="2.2000000000000002"/>
    <n v="0.2"/>
    <d v="2024-11-20T00:00:00"/>
    <n v="138.15"/>
    <n v="0.44600000000000001"/>
    <n v="10570.560000000001"/>
    <x v="0"/>
    <x v="0"/>
  </r>
  <r>
    <x v="1836"/>
    <x v="4"/>
    <n v="253"/>
    <n v="98"/>
    <n v="3"/>
    <n v="6"/>
    <n v="37.89"/>
    <x v="15"/>
    <x v="1"/>
    <n v="173"/>
    <n v="4.83"/>
    <n v="143.94"/>
    <n v="0.86"/>
    <n v="3"/>
    <n v="0.92"/>
    <n v="202"/>
    <n v="4.21"/>
    <n v="0.85"/>
    <d v="2024-08-07T00:00:00"/>
    <n v="122.91"/>
    <n v="0.66400000000000003"/>
    <n v="36416.82"/>
    <x v="0"/>
    <x v="0"/>
  </r>
  <r>
    <x v="1837"/>
    <x v="0"/>
    <n v="484"/>
    <n v="88"/>
    <n v="12"/>
    <n v="7"/>
    <n v="21.8"/>
    <x v="52"/>
    <x v="2"/>
    <n v="101"/>
    <n v="0.54"/>
    <n v="134.01"/>
    <n v="1.91"/>
    <n v="9"/>
    <n v="0.98"/>
    <n v="578"/>
    <n v="5.74"/>
    <n v="0.86"/>
    <d v="2024-07-25T00:00:00"/>
    <n v="184.03"/>
    <n v="0.47399999999999998"/>
    <n v="64860.84"/>
    <x v="0"/>
    <x v="0"/>
  </r>
  <r>
    <x v="1838"/>
    <x v="2"/>
    <n v="258"/>
    <n v="81"/>
    <n v="8"/>
    <n v="3"/>
    <n v="42.03"/>
    <x v="7"/>
    <x v="0"/>
    <n v="32"/>
    <n v="1.87"/>
    <n v="74.930000000000007"/>
    <n v="1.71"/>
    <n v="7"/>
    <n v="0.8"/>
    <n v="388"/>
    <n v="5.67"/>
    <n v="0.93"/>
    <d v="2024-08-07T00:00:00"/>
    <n v="224.7"/>
    <n v="0.51100000000000001"/>
    <n v="19331.940000000002"/>
    <x v="0"/>
    <x v="0"/>
  </r>
  <r>
    <x v="1839"/>
    <x v="4"/>
    <n v="242"/>
    <n v="46"/>
    <n v="11"/>
    <n v="9"/>
    <n v="44"/>
    <x v="27"/>
    <x v="0"/>
    <n v="164"/>
    <n v="3.24"/>
    <n v="45.22"/>
    <n v="1.21"/>
    <n v="2"/>
    <n v="0.81"/>
    <n v="798"/>
    <n v="7.98"/>
    <n v="0.98"/>
    <d v="2024-09-01T00:00:00"/>
    <n v="197.23"/>
    <n v="0.70299999999999996"/>
    <n v="10943.24"/>
    <x v="0"/>
    <x v="1"/>
  </r>
  <r>
    <x v="1840"/>
    <x v="0"/>
    <n v="138"/>
    <n v="58"/>
    <n v="4"/>
    <n v="4"/>
    <n v="15.69"/>
    <x v="80"/>
    <x v="0"/>
    <n v="97"/>
    <n v="4.0199999999999996"/>
    <n v="43.88"/>
    <n v="0.11"/>
    <n v="9"/>
    <n v="0.73"/>
    <n v="561"/>
    <n v="8.07"/>
    <n v="0.33"/>
    <d v="2024-07-15T00:00:00"/>
    <n v="10.33"/>
    <n v="0.52900000000000003"/>
    <n v="6055.4400000000005"/>
    <x v="0"/>
    <x v="1"/>
  </r>
  <r>
    <x v="1841"/>
    <x v="4"/>
    <n v="332"/>
    <n v="61"/>
    <n v="8"/>
    <n v="6"/>
    <n v="41.35"/>
    <x v="43"/>
    <x v="2"/>
    <n v="151"/>
    <n v="4.17"/>
    <n v="121.21"/>
    <n v="0.92"/>
    <n v="6"/>
    <n v="0.89"/>
    <n v="384"/>
    <n v="7.6"/>
    <n v="0.48"/>
    <d v="2024-01-03T00:00:00"/>
    <n v="237.92"/>
    <n v="0.56299999999999994"/>
    <n v="40241.72"/>
    <x v="0"/>
    <x v="0"/>
  </r>
  <r>
    <x v="1842"/>
    <x v="4"/>
    <n v="283"/>
    <n v="42"/>
    <n v="4"/>
    <n v="5"/>
    <n v="8.56"/>
    <x v="63"/>
    <x v="2"/>
    <n v="108"/>
    <n v="0.71"/>
    <n v="113.92"/>
    <n v="1.43"/>
    <n v="6"/>
    <n v="0.87"/>
    <n v="558"/>
    <n v="5.81"/>
    <n v="0.88"/>
    <d v="2024-01-20T00:00:00"/>
    <n v="52.74"/>
    <n v="0.56399999999999995"/>
    <n v="32239.360000000001"/>
    <x v="0"/>
    <x v="0"/>
  </r>
  <r>
    <x v="1843"/>
    <x v="2"/>
    <n v="226"/>
    <n v="31"/>
    <n v="6"/>
    <n v="2"/>
    <n v="17.38"/>
    <x v="40"/>
    <x v="0"/>
    <n v="36"/>
    <n v="3.69"/>
    <n v="176.43"/>
    <n v="0.32"/>
    <n v="1"/>
    <n v="0.71"/>
    <n v="105"/>
    <n v="2.5"/>
    <n v="0.95"/>
    <d v="2024-09-30T00:00:00"/>
    <n v="140.41"/>
    <n v="0.71299999999999997"/>
    <n v="39873.18"/>
    <x v="0"/>
    <x v="1"/>
  </r>
  <r>
    <x v="1844"/>
    <x v="1"/>
    <n v="114"/>
    <n v="14"/>
    <n v="10"/>
    <n v="5"/>
    <n v="26.38"/>
    <x v="26"/>
    <x v="0"/>
    <n v="30"/>
    <n v="3.74"/>
    <n v="131.6"/>
    <n v="0.87"/>
    <n v="2"/>
    <n v="0.93"/>
    <n v="605"/>
    <n v="6.86"/>
    <n v="0.21"/>
    <d v="2024-04-12T00:00:00"/>
    <n v="91.88"/>
    <n v="0.59199999999999997"/>
    <n v="15002.4"/>
    <x v="0"/>
    <x v="1"/>
  </r>
  <r>
    <x v="1845"/>
    <x v="1"/>
    <n v="392"/>
    <n v="27"/>
    <n v="9"/>
    <n v="8"/>
    <n v="12.1"/>
    <x v="69"/>
    <x v="1"/>
    <n v="58"/>
    <n v="1.46"/>
    <n v="165.66"/>
    <n v="0.46"/>
    <n v="3"/>
    <n v="0.95"/>
    <n v="870"/>
    <n v="14.8"/>
    <n v="0.51"/>
    <d v="2024-07-10T00:00:00"/>
    <n v="279.08999999999997"/>
    <n v="0.78300000000000003"/>
    <n v="64938.720000000001"/>
    <x v="0"/>
    <x v="0"/>
  </r>
  <r>
    <x v="1846"/>
    <x v="4"/>
    <n v="241"/>
    <n v="47"/>
    <n v="13"/>
    <n v="9"/>
    <n v="29.38"/>
    <x v="72"/>
    <x v="2"/>
    <n v="53"/>
    <n v="1.01"/>
    <n v="16.16"/>
    <n v="0.74"/>
    <n v="1"/>
    <n v="0.97"/>
    <n v="802"/>
    <n v="10.15"/>
    <n v="0.28999999999999998"/>
    <d v="2024-01-08T00:00:00"/>
    <n v="155.61000000000001"/>
    <n v="0.69299999999999995"/>
    <n v="3894.56"/>
    <x v="0"/>
    <x v="1"/>
  </r>
  <r>
    <x v="1847"/>
    <x v="3"/>
    <n v="385"/>
    <n v="46"/>
    <n v="14"/>
    <n v="6"/>
    <n v="29.36"/>
    <x v="83"/>
    <x v="0"/>
    <n v="53"/>
    <n v="3.87"/>
    <n v="137.49"/>
    <n v="0.15"/>
    <n v="8"/>
    <n v="0.86"/>
    <n v="980"/>
    <n v="7.16"/>
    <n v="0.83"/>
    <d v="2024-06-13T00:00:00"/>
    <n v="161.43"/>
    <n v="0.65800000000000003"/>
    <n v="52933.65"/>
    <x v="0"/>
    <x v="0"/>
  </r>
  <r>
    <x v="1848"/>
    <x v="0"/>
    <n v="295"/>
    <n v="73"/>
    <n v="11"/>
    <n v="7"/>
    <n v="11.14"/>
    <x v="84"/>
    <x v="2"/>
    <n v="137"/>
    <n v="1.62"/>
    <n v="54.4"/>
    <n v="0.34"/>
    <n v="9"/>
    <n v="0.84"/>
    <n v="600"/>
    <n v="2.17"/>
    <n v="0.8"/>
    <d v="2024-09-28T00:00:00"/>
    <n v="32.08"/>
    <n v="0.54300000000000004"/>
    <n v="16048"/>
    <x v="0"/>
    <x v="0"/>
  </r>
  <r>
    <x v="1849"/>
    <x v="3"/>
    <n v="399"/>
    <n v="19"/>
    <n v="9"/>
    <n v="3"/>
    <n v="39.99"/>
    <x v="90"/>
    <x v="2"/>
    <n v="179"/>
    <n v="0.51"/>
    <n v="58.04"/>
    <n v="0.96"/>
    <n v="5"/>
    <n v="0.96"/>
    <n v="179"/>
    <n v="3.99"/>
    <n v="0.8"/>
    <d v="2024-04-07T00:00:00"/>
    <n v="270.23"/>
    <n v="0.60899999999999999"/>
    <n v="23157.96"/>
    <x v="0"/>
    <x v="0"/>
  </r>
  <r>
    <x v="1850"/>
    <x v="3"/>
    <n v="250"/>
    <n v="88"/>
    <n v="3"/>
    <n v="8"/>
    <n v="31.95"/>
    <x v="31"/>
    <x v="2"/>
    <n v="32"/>
    <n v="1.51"/>
    <n v="146.91"/>
    <n v="1.81"/>
    <n v="0"/>
    <n v="0.82"/>
    <n v="147"/>
    <n v="9.0500000000000007"/>
    <n v="0.51"/>
    <d v="2024-01-10T00:00:00"/>
    <n v="79.319999999999993"/>
    <n v="0.60599999999999998"/>
    <n v="36727.5"/>
    <x v="0"/>
    <x v="0"/>
  </r>
  <r>
    <x v="1851"/>
    <x v="4"/>
    <n v="328"/>
    <n v="51"/>
    <n v="4"/>
    <n v="6"/>
    <n v="16.57"/>
    <x v="39"/>
    <x v="1"/>
    <n v="138"/>
    <n v="0.64"/>
    <n v="160.75"/>
    <n v="1.03"/>
    <n v="0"/>
    <n v="0.9"/>
    <n v="842"/>
    <n v="7.97"/>
    <n v="0.52"/>
    <d v="2024-12-12T00:00:00"/>
    <n v="130.05000000000001"/>
    <n v="0.68700000000000006"/>
    <n v="52726"/>
    <x v="0"/>
    <x v="0"/>
  </r>
  <r>
    <x v="1852"/>
    <x v="4"/>
    <n v="138"/>
    <n v="57"/>
    <n v="8"/>
    <n v="2"/>
    <n v="12.38"/>
    <x v="49"/>
    <x v="3"/>
    <n v="134"/>
    <n v="1.62"/>
    <n v="80.63"/>
    <n v="0.96"/>
    <n v="7"/>
    <n v="0.88"/>
    <n v="471"/>
    <n v="1.27"/>
    <n v="0.41"/>
    <d v="2024-01-03T00:00:00"/>
    <n v="295.74"/>
    <n v="0.439"/>
    <n v="11126.939999999999"/>
    <x v="0"/>
    <x v="1"/>
  </r>
  <r>
    <x v="1853"/>
    <x v="4"/>
    <n v="287"/>
    <n v="53"/>
    <n v="9"/>
    <n v="6"/>
    <n v="44.06"/>
    <x v="16"/>
    <x v="2"/>
    <n v="45"/>
    <n v="2.0099999999999998"/>
    <n v="160.11000000000001"/>
    <n v="1.6"/>
    <n v="5"/>
    <n v="0.81"/>
    <n v="129"/>
    <n v="2.21"/>
    <n v="0.49"/>
    <d v="2024-11-16T00:00:00"/>
    <n v="43.03"/>
    <n v="0.42899999999999999"/>
    <n v="45951.570000000007"/>
    <x v="0"/>
    <x v="0"/>
  </r>
  <r>
    <x v="1854"/>
    <x v="4"/>
    <n v="452"/>
    <n v="91"/>
    <n v="5"/>
    <n v="8"/>
    <n v="41.95"/>
    <x v="17"/>
    <x v="2"/>
    <n v="64"/>
    <n v="1.72"/>
    <n v="94.31"/>
    <n v="0.61"/>
    <n v="9"/>
    <n v="0.73"/>
    <n v="337"/>
    <n v="5.98"/>
    <n v="0.99"/>
    <d v="2024-05-07T00:00:00"/>
    <n v="218.37"/>
    <n v="0.58299999999999996"/>
    <n v="42628.12"/>
    <x v="0"/>
    <x v="0"/>
  </r>
  <r>
    <x v="1855"/>
    <x v="1"/>
    <n v="292"/>
    <n v="96"/>
    <n v="11"/>
    <n v="3"/>
    <n v="12.26"/>
    <x v="19"/>
    <x v="0"/>
    <n v="119"/>
    <n v="4.6399999999999997"/>
    <n v="172.95"/>
    <n v="0.28000000000000003"/>
    <n v="6"/>
    <n v="0.71"/>
    <n v="896"/>
    <n v="2.97"/>
    <n v="0.24"/>
    <d v="2024-04-25T00:00:00"/>
    <n v="85.44"/>
    <n v="0.48199999999999998"/>
    <n v="50501.399999999994"/>
    <x v="0"/>
    <x v="0"/>
  </r>
  <r>
    <x v="1856"/>
    <x v="4"/>
    <n v="83"/>
    <n v="25"/>
    <n v="9"/>
    <n v="5"/>
    <n v="2.74"/>
    <x v="55"/>
    <x v="2"/>
    <n v="25"/>
    <n v="1.55"/>
    <n v="14.73"/>
    <n v="0.5"/>
    <n v="5"/>
    <n v="0.83"/>
    <n v="795"/>
    <n v="14.41"/>
    <n v="0.46"/>
    <d v="2024-12-21T00:00:00"/>
    <n v="131.74"/>
    <n v="0.7"/>
    <n v="1222.5900000000001"/>
    <x v="0"/>
    <x v="2"/>
  </r>
  <r>
    <x v="1857"/>
    <x v="1"/>
    <n v="317"/>
    <n v="63"/>
    <n v="8"/>
    <n v="4"/>
    <n v="40.42"/>
    <x v="33"/>
    <x v="3"/>
    <n v="98"/>
    <n v="2.6"/>
    <n v="25.86"/>
    <n v="1.6"/>
    <n v="1"/>
    <n v="0.84"/>
    <n v="895"/>
    <n v="1.48"/>
    <n v="0.83"/>
    <d v="2024-06-25T00:00:00"/>
    <n v="131.28"/>
    <n v="0.57399999999999995"/>
    <n v="8197.619999999999"/>
    <x v="0"/>
    <x v="0"/>
  </r>
  <r>
    <x v="1858"/>
    <x v="1"/>
    <n v="369"/>
    <n v="44"/>
    <n v="8"/>
    <n v="5"/>
    <n v="31.16"/>
    <x v="59"/>
    <x v="2"/>
    <n v="27"/>
    <n v="4.8099999999999996"/>
    <n v="157.51"/>
    <n v="1.39"/>
    <n v="2"/>
    <n v="0.95"/>
    <n v="218"/>
    <n v="14.64"/>
    <n v="0.51"/>
    <d v="2024-06-08T00:00:00"/>
    <n v="280.35000000000002"/>
    <n v="0.70799999999999996"/>
    <n v="58121.189999999995"/>
    <x v="0"/>
    <x v="0"/>
  </r>
  <r>
    <x v="1859"/>
    <x v="4"/>
    <n v="432"/>
    <n v="37"/>
    <n v="3"/>
    <n v="3"/>
    <n v="5.94"/>
    <x v="70"/>
    <x v="1"/>
    <n v="47"/>
    <n v="4.46"/>
    <n v="128.58000000000001"/>
    <n v="0.27"/>
    <n v="7"/>
    <n v="0.82"/>
    <n v="128"/>
    <n v="10.19"/>
    <n v="0.96"/>
    <d v="2024-03-07T00:00:00"/>
    <n v="13.01"/>
    <n v="0.72499999999999998"/>
    <n v="55546.560000000005"/>
    <x v="0"/>
    <x v="0"/>
  </r>
  <r>
    <x v="1860"/>
    <x v="2"/>
    <n v="422"/>
    <n v="11"/>
    <n v="7"/>
    <n v="8"/>
    <n v="29.78"/>
    <x v="3"/>
    <x v="0"/>
    <n v="29"/>
    <n v="1.89"/>
    <n v="116.21"/>
    <n v="1.37"/>
    <n v="3"/>
    <n v="0.78"/>
    <n v="120"/>
    <n v="6.7"/>
    <n v="0.47"/>
    <d v="2024-02-22T00:00:00"/>
    <n v="116.49"/>
    <n v="0.54200000000000004"/>
    <n v="49040.619999999995"/>
    <x v="0"/>
    <x v="0"/>
  </r>
  <r>
    <x v="1861"/>
    <x v="0"/>
    <n v="30"/>
    <n v="22"/>
    <n v="12"/>
    <n v="3"/>
    <n v="23.16"/>
    <x v="36"/>
    <x v="3"/>
    <n v="28"/>
    <n v="1.97"/>
    <n v="126.66"/>
    <n v="1.87"/>
    <n v="7"/>
    <n v="0.84"/>
    <n v="312"/>
    <n v="8.5500000000000007"/>
    <n v="0.88"/>
    <d v="2024-07-15T00:00:00"/>
    <n v="257.2"/>
    <n v="0.53100000000000003"/>
    <n v="3799.7999999999997"/>
    <x v="0"/>
    <x v="2"/>
  </r>
  <r>
    <x v="1862"/>
    <x v="3"/>
    <n v="117"/>
    <n v="50"/>
    <n v="5"/>
    <n v="9"/>
    <n v="38.950000000000003"/>
    <x v="83"/>
    <x v="1"/>
    <n v="22"/>
    <n v="3.17"/>
    <n v="186.74"/>
    <n v="0.19"/>
    <n v="2"/>
    <n v="0.77"/>
    <n v="761"/>
    <n v="6.74"/>
    <n v="0.85"/>
    <d v="2024-09-14T00:00:00"/>
    <n v="274.05"/>
    <n v="0.755"/>
    <n v="21848.58"/>
    <x v="0"/>
    <x v="1"/>
  </r>
  <r>
    <x v="1863"/>
    <x v="1"/>
    <n v="453"/>
    <n v="89"/>
    <n v="9"/>
    <n v="2"/>
    <n v="11.25"/>
    <x v="87"/>
    <x v="3"/>
    <n v="26"/>
    <n v="4.63"/>
    <n v="134.55000000000001"/>
    <n v="1.27"/>
    <n v="1"/>
    <n v="0.73"/>
    <n v="772"/>
    <n v="9.02"/>
    <n v="0.21"/>
    <d v="2024-10-28T00:00:00"/>
    <n v="100.28"/>
    <n v="0.56100000000000005"/>
    <n v="60951.150000000009"/>
    <x v="0"/>
    <x v="0"/>
  </r>
  <r>
    <x v="1864"/>
    <x v="0"/>
    <n v="90"/>
    <n v="68"/>
    <n v="12"/>
    <n v="6"/>
    <n v="23.2"/>
    <x v="38"/>
    <x v="0"/>
    <n v="39"/>
    <n v="0.54"/>
    <n v="133.02000000000001"/>
    <n v="0.82"/>
    <n v="6"/>
    <n v="0.73"/>
    <n v="579"/>
    <n v="3.13"/>
    <n v="0.52"/>
    <d v="2024-06-05T00:00:00"/>
    <n v="80.17"/>
    <n v="0.49"/>
    <n v="11971.800000000001"/>
    <x v="0"/>
    <x v="2"/>
  </r>
  <r>
    <x v="1865"/>
    <x v="2"/>
    <n v="383"/>
    <n v="78"/>
    <n v="5"/>
    <n v="9"/>
    <n v="8.66"/>
    <x v="59"/>
    <x v="2"/>
    <n v="52"/>
    <n v="2.27"/>
    <n v="154.30000000000001"/>
    <n v="1.05"/>
    <n v="0"/>
    <n v="0.8"/>
    <n v="834"/>
    <n v="2.68"/>
    <n v="0.42"/>
    <d v="2024-03-26T00:00:00"/>
    <n v="143.77000000000001"/>
    <n v="0.57499999999999996"/>
    <n v="59096.9"/>
    <x v="0"/>
    <x v="0"/>
  </r>
  <r>
    <x v="1866"/>
    <x v="3"/>
    <n v="77"/>
    <n v="62"/>
    <n v="7"/>
    <n v="6"/>
    <n v="47.92"/>
    <x v="66"/>
    <x v="0"/>
    <n v="57"/>
    <n v="4.32"/>
    <n v="174.66"/>
    <n v="1.1000000000000001"/>
    <n v="2"/>
    <n v="0.7"/>
    <n v="259"/>
    <n v="8.4"/>
    <n v="0.57999999999999996"/>
    <d v="2024-02-03T00:00:00"/>
    <n v="226.29"/>
    <n v="0.61799999999999999"/>
    <n v="13448.82"/>
    <x v="0"/>
    <x v="2"/>
  </r>
  <r>
    <x v="1867"/>
    <x v="3"/>
    <n v="309"/>
    <n v="54"/>
    <n v="9"/>
    <n v="5"/>
    <n v="39.159999999999997"/>
    <x v="47"/>
    <x v="0"/>
    <n v="52"/>
    <n v="2.35"/>
    <n v="59.76"/>
    <n v="1.56"/>
    <n v="1"/>
    <n v="0.77"/>
    <n v="166"/>
    <n v="2"/>
    <n v="0.56999999999999995"/>
    <d v="2024-01-24T00:00:00"/>
    <n v="54.67"/>
    <n v="0.51900000000000002"/>
    <n v="18465.84"/>
    <x v="0"/>
    <x v="0"/>
  </r>
  <r>
    <x v="1868"/>
    <x v="1"/>
    <n v="270"/>
    <n v="29"/>
    <n v="5"/>
    <n v="8"/>
    <n v="37.1"/>
    <x v="13"/>
    <x v="2"/>
    <n v="102"/>
    <n v="3.74"/>
    <n v="127.18"/>
    <n v="1.1599999999999999"/>
    <n v="4"/>
    <n v="0.94"/>
    <n v="665"/>
    <n v="5.09"/>
    <n v="0.92"/>
    <d v="2024-06-01T00:00:00"/>
    <n v="237.5"/>
    <n v="0.64400000000000002"/>
    <n v="34338.6"/>
    <x v="0"/>
    <x v="0"/>
  </r>
  <r>
    <x v="1869"/>
    <x v="4"/>
    <n v="295"/>
    <n v="33"/>
    <n v="12"/>
    <n v="4"/>
    <n v="34.82"/>
    <x v="47"/>
    <x v="1"/>
    <n v="123"/>
    <n v="3.61"/>
    <n v="120.96"/>
    <n v="1.23"/>
    <n v="1"/>
    <n v="0.77"/>
    <n v="126"/>
    <n v="13.98"/>
    <n v="0.35"/>
    <d v="2024-05-28T00:00:00"/>
    <n v="158.68"/>
    <n v="0.66700000000000004"/>
    <n v="35683.199999999997"/>
    <x v="0"/>
    <x v="0"/>
  </r>
  <r>
    <x v="1870"/>
    <x v="2"/>
    <n v="69"/>
    <n v="70"/>
    <n v="4"/>
    <n v="4"/>
    <n v="21.74"/>
    <x v="67"/>
    <x v="3"/>
    <n v="75"/>
    <n v="1.42"/>
    <n v="35.619999999999997"/>
    <n v="0.73"/>
    <n v="9"/>
    <n v="0.73"/>
    <n v="364"/>
    <n v="13.27"/>
    <n v="0.35"/>
    <d v="2024-08-21T00:00:00"/>
    <n v="50.83"/>
    <n v="0.54"/>
    <n v="2457.7799999999997"/>
    <x v="1"/>
    <x v="2"/>
  </r>
  <r>
    <x v="1871"/>
    <x v="1"/>
    <n v="377"/>
    <n v="67"/>
    <n v="8"/>
    <n v="2"/>
    <n v="46.24"/>
    <x v="49"/>
    <x v="1"/>
    <n v="128"/>
    <n v="2.52"/>
    <n v="108.86"/>
    <n v="0.34"/>
    <n v="4"/>
    <n v="0.98"/>
    <n v="60"/>
    <n v="12.64"/>
    <n v="0.28999999999999998"/>
    <d v="2024-09-23T00:00:00"/>
    <n v="204.81"/>
    <n v="0.70899999999999996"/>
    <n v="41040.22"/>
    <x v="0"/>
    <x v="0"/>
  </r>
  <r>
    <x v="1872"/>
    <x v="2"/>
    <n v="235"/>
    <n v="36"/>
    <n v="10"/>
    <n v="3"/>
    <n v="4.57"/>
    <x v="0"/>
    <x v="2"/>
    <n v="62"/>
    <n v="3.05"/>
    <n v="23.21"/>
    <n v="1.4"/>
    <n v="2"/>
    <n v="0.89"/>
    <n v="942"/>
    <n v="8.1"/>
    <n v="0.79"/>
    <d v="2024-11-01T00:00:00"/>
    <n v="192.18"/>
    <n v="0.66400000000000003"/>
    <n v="5454.35"/>
    <x v="0"/>
    <x v="1"/>
  </r>
  <r>
    <x v="1873"/>
    <x v="4"/>
    <n v="413"/>
    <n v="35"/>
    <n v="6"/>
    <n v="2"/>
    <n v="40.36"/>
    <x v="24"/>
    <x v="3"/>
    <n v="81"/>
    <n v="3.72"/>
    <n v="45.14"/>
    <n v="0.1"/>
    <n v="8"/>
    <n v="0.72"/>
    <n v="100"/>
    <n v="1.39"/>
    <n v="0.93"/>
    <d v="2024-09-25T00:00:00"/>
    <n v="190.49"/>
    <n v="0.57899999999999996"/>
    <n v="18642.82"/>
    <x v="0"/>
    <x v="0"/>
  </r>
  <r>
    <x v="1874"/>
    <x v="4"/>
    <n v="435"/>
    <n v="16"/>
    <n v="11"/>
    <n v="6"/>
    <n v="11.55"/>
    <x v="43"/>
    <x v="2"/>
    <n v="87"/>
    <n v="4.2"/>
    <n v="183.46"/>
    <n v="0.72"/>
    <n v="9"/>
    <n v="0.72"/>
    <n v="56"/>
    <n v="2.7"/>
    <n v="0.49"/>
    <d v="2024-06-21T00:00:00"/>
    <n v="228.89"/>
    <n v="0.42599999999999999"/>
    <n v="79805.100000000006"/>
    <x v="0"/>
    <x v="0"/>
  </r>
  <r>
    <x v="1875"/>
    <x v="1"/>
    <n v="71"/>
    <n v="51"/>
    <n v="14"/>
    <n v="7"/>
    <n v="16.88"/>
    <x v="1"/>
    <x v="1"/>
    <n v="171"/>
    <n v="3.92"/>
    <n v="32.659999999999997"/>
    <n v="0.51"/>
    <n v="8"/>
    <n v="0.88"/>
    <n v="972"/>
    <n v="13.87"/>
    <n v="0.25"/>
    <d v="2024-08-10T00:00:00"/>
    <n v="62.55"/>
    <n v="0.6"/>
    <n v="2318.8599999999997"/>
    <x v="0"/>
    <x v="2"/>
  </r>
  <r>
    <x v="1876"/>
    <x v="4"/>
    <n v="290"/>
    <n v="56"/>
    <n v="14"/>
    <n v="7"/>
    <n v="26.45"/>
    <x v="67"/>
    <x v="0"/>
    <n v="83"/>
    <n v="0.63"/>
    <n v="119.99"/>
    <n v="0.84"/>
    <n v="7"/>
    <n v="0.86"/>
    <n v="598"/>
    <n v="12.71"/>
    <n v="0.32"/>
    <d v="2024-12-17T00:00:00"/>
    <n v="212.27"/>
    <n v="0.58099999999999996"/>
    <n v="34797.1"/>
    <x v="0"/>
    <x v="0"/>
  </r>
  <r>
    <x v="1877"/>
    <x v="0"/>
    <n v="103"/>
    <n v="62"/>
    <n v="10"/>
    <n v="7"/>
    <n v="39.35"/>
    <x v="87"/>
    <x v="3"/>
    <n v="81"/>
    <n v="3.52"/>
    <n v="71.459999999999994"/>
    <n v="0.69"/>
    <n v="4"/>
    <n v="0.72"/>
    <n v="310"/>
    <n v="6.27"/>
    <n v="0.28000000000000003"/>
    <d v="2024-03-09T00:00:00"/>
    <n v="267.32"/>
    <n v="0.53500000000000003"/>
    <n v="7360.3799999999992"/>
    <x v="0"/>
    <x v="1"/>
  </r>
  <r>
    <x v="1878"/>
    <x v="3"/>
    <n v="406"/>
    <n v="68"/>
    <n v="9"/>
    <n v="3"/>
    <n v="42.09"/>
    <x v="63"/>
    <x v="2"/>
    <n v="22"/>
    <n v="2.74"/>
    <n v="115.51"/>
    <n v="1.44"/>
    <n v="9"/>
    <n v="0.77"/>
    <n v="623"/>
    <n v="11.21"/>
    <n v="0.67"/>
    <d v="2024-06-24T00:00:00"/>
    <n v="163.79"/>
    <n v="0.51300000000000001"/>
    <n v="46897.060000000005"/>
    <x v="0"/>
    <x v="0"/>
  </r>
  <r>
    <x v="1879"/>
    <x v="1"/>
    <n v="312"/>
    <n v="47"/>
    <n v="9"/>
    <n v="2"/>
    <n v="29.6"/>
    <x v="60"/>
    <x v="3"/>
    <n v="68"/>
    <n v="3.08"/>
    <n v="54.64"/>
    <n v="0.59"/>
    <n v="6"/>
    <n v="0.98"/>
    <n v="561"/>
    <n v="12.96"/>
    <n v="0.43"/>
    <d v="2024-09-07T00:00:00"/>
    <n v="150.94999999999999"/>
    <n v="0.67600000000000005"/>
    <n v="17047.68"/>
    <x v="0"/>
    <x v="0"/>
  </r>
  <r>
    <x v="1880"/>
    <x v="2"/>
    <n v="145"/>
    <n v="78"/>
    <n v="5"/>
    <n v="9"/>
    <n v="20.75"/>
    <x v="45"/>
    <x v="3"/>
    <n v="41"/>
    <n v="2.1800000000000002"/>
    <n v="94.43"/>
    <n v="1.17"/>
    <n v="1"/>
    <n v="0.87"/>
    <n v="249"/>
    <n v="9.68"/>
    <n v="0.92"/>
    <d v="2024-07-02T00:00:00"/>
    <n v="241.36"/>
    <n v="0.75"/>
    <n v="13692.35"/>
    <x v="0"/>
    <x v="1"/>
  </r>
  <r>
    <x v="1881"/>
    <x v="0"/>
    <n v="315"/>
    <n v="96"/>
    <n v="8"/>
    <n v="8"/>
    <n v="47.38"/>
    <x v="38"/>
    <x v="1"/>
    <n v="92"/>
    <n v="3.71"/>
    <n v="174.79"/>
    <n v="0.97"/>
    <n v="2"/>
    <n v="0.83"/>
    <n v="379"/>
    <n v="12.95"/>
    <n v="0.33"/>
    <d v="2024-04-06T00:00:00"/>
    <n v="52.41"/>
    <n v="0.66800000000000004"/>
    <n v="55058.85"/>
    <x v="0"/>
    <x v="0"/>
  </r>
  <r>
    <x v="1882"/>
    <x v="1"/>
    <n v="91"/>
    <n v="62"/>
    <n v="7"/>
    <n v="5"/>
    <n v="13.08"/>
    <x v="62"/>
    <x v="0"/>
    <n v="129"/>
    <n v="3.53"/>
    <n v="81.48"/>
    <n v="1.62"/>
    <n v="1"/>
    <n v="0.78"/>
    <n v="139"/>
    <n v="4.43"/>
    <n v="0.94"/>
    <d v="2024-03-25T00:00:00"/>
    <n v="108.85"/>
    <n v="0.621"/>
    <n v="7414.68"/>
    <x v="0"/>
    <x v="2"/>
  </r>
  <r>
    <x v="1883"/>
    <x v="4"/>
    <n v="315"/>
    <n v="24"/>
    <n v="3"/>
    <n v="6"/>
    <n v="40.35"/>
    <x v="46"/>
    <x v="3"/>
    <n v="63"/>
    <n v="3.11"/>
    <n v="77.08"/>
    <n v="0.91"/>
    <n v="9"/>
    <n v="0.74"/>
    <n v="640"/>
    <n v="7.47"/>
    <n v="0.47"/>
    <d v="2024-07-25T00:00:00"/>
    <n v="257.60000000000002"/>
    <n v="0.47099999999999997"/>
    <n v="24280.2"/>
    <x v="0"/>
    <x v="0"/>
  </r>
  <r>
    <x v="1884"/>
    <x v="4"/>
    <n v="255"/>
    <n v="35"/>
    <n v="13"/>
    <n v="7"/>
    <n v="30.99"/>
    <x v="11"/>
    <x v="1"/>
    <n v="11"/>
    <n v="4.38"/>
    <n v="94.76"/>
    <n v="1.74"/>
    <n v="0"/>
    <n v="0.82"/>
    <n v="104"/>
    <n v="9.11"/>
    <n v="0.89"/>
    <d v="2024-01-10T00:00:00"/>
    <n v="154.93"/>
    <n v="0.68899999999999995"/>
    <n v="24163.800000000003"/>
    <x v="0"/>
    <x v="0"/>
  </r>
  <r>
    <x v="1885"/>
    <x v="4"/>
    <n v="75"/>
    <n v="57"/>
    <n v="5"/>
    <n v="8"/>
    <n v="19.47"/>
    <x v="83"/>
    <x v="3"/>
    <n v="127"/>
    <n v="0.96"/>
    <n v="29.09"/>
    <n v="0.1"/>
    <n v="2"/>
    <n v="0.98"/>
    <n v="961"/>
    <n v="9.84"/>
    <n v="0.96"/>
    <d v="2024-04-26T00:00:00"/>
    <n v="253.73"/>
    <n v="0.86899999999999999"/>
    <n v="2181.75"/>
    <x v="0"/>
    <x v="2"/>
  </r>
  <r>
    <x v="1886"/>
    <x v="4"/>
    <n v="426"/>
    <n v="28"/>
    <n v="14"/>
    <n v="4"/>
    <n v="1.07"/>
    <x v="8"/>
    <x v="0"/>
    <n v="46"/>
    <n v="1.85"/>
    <n v="83.6"/>
    <n v="1.25"/>
    <n v="3"/>
    <n v="0.71"/>
    <n v="270"/>
    <n v="14.82"/>
    <n v="0.99"/>
    <d v="2024-04-24T00:00:00"/>
    <n v="83.04"/>
    <n v="0.753"/>
    <n v="35613.599999999999"/>
    <x v="0"/>
    <x v="0"/>
  </r>
  <r>
    <x v="1887"/>
    <x v="2"/>
    <n v="379"/>
    <n v="18"/>
    <n v="3"/>
    <n v="9"/>
    <n v="22.88"/>
    <x v="5"/>
    <x v="3"/>
    <n v="106"/>
    <n v="2.73"/>
    <n v="11.31"/>
    <n v="0.12"/>
    <n v="8"/>
    <n v="1"/>
    <n v="141"/>
    <n v="12.84"/>
    <n v="0.84"/>
    <d v="2024-03-08T00:00:00"/>
    <n v="122.98"/>
    <n v="0.76700000000000002"/>
    <n v="4286.49"/>
    <x v="0"/>
    <x v="0"/>
  </r>
  <r>
    <x v="1888"/>
    <x v="0"/>
    <n v="414"/>
    <n v="73"/>
    <n v="6"/>
    <n v="2"/>
    <n v="14.56"/>
    <x v="83"/>
    <x v="0"/>
    <n v="112"/>
    <n v="4.8099999999999996"/>
    <n v="105.65"/>
    <n v="1.46"/>
    <n v="1"/>
    <n v="0.76"/>
    <n v="635"/>
    <n v="1.77"/>
    <n v="0.28000000000000003"/>
    <d v="2024-04-18T00:00:00"/>
    <n v="248.85"/>
    <n v="0.46600000000000003"/>
    <n v="43739.100000000006"/>
    <x v="0"/>
    <x v="0"/>
  </r>
  <r>
    <x v="1889"/>
    <x v="3"/>
    <n v="129"/>
    <n v="63"/>
    <n v="12"/>
    <n v="6"/>
    <n v="6.11"/>
    <x v="12"/>
    <x v="1"/>
    <n v="123"/>
    <n v="0.82"/>
    <n v="171.11"/>
    <n v="0.55000000000000004"/>
    <n v="8"/>
    <n v="0.82"/>
    <n v="105"/>
    <n v="3.37"/>
    <n v="0.24"/>
    <d v="2024-01-12T00:00:00"/>
    <n v="57.41"/>
    <n v="0.442"/>
    <n v="22073.190000000002"/>
    <x v="0"/>
    <x v="1"/>
  </r>
  <r>
    <x v="1890"/>
    <x v="2"/>
    <n v="211"/>
    <n v="60"/>
    <n v="5"/>
    <n v="6"/>
    <n v="4.68"/>
    <x v="67"/>
    <x v="1"/>
    <n v="170"/>
    <n v="2.02"/>
    <n v="114.89"/>
    <n v="0.82"/>
    <n v="0"/>
    <n v="0.71"/>
    <n v="793"/>
    <n v="10.199999999999999"/>
    <n v="0.79"/>
    <d v="2024-10-28T00:00:00"/>
    <n v="269.49"/>
    <n v="0.754"/>
    <n v="24241.79"/>
    <x v="0"/>
    <x v="1"/>
  </r>
  <r>
    <x v="1891"/>
    <x v="2"/>
    <n v="411"/>
    <n v="48"/>
    <n v="13"/>
    <n v="4"/>
    <n v="18.03"/>
    <x v="79"/>
    <x v="0"/>
    <n v="10"/>
    <n v="4.67"/>
    <n v="125.47"/>
    <n v="0.82"/>
    <n v="8"/>
    <n v="0.88"/>
    <n v="228"/>
    <n v="4.37"/>
    <n v="0.92"/>
    <d v="2024-09-15T00:00:00"/>
    <n v="99.86"/>
    <n v="0.57599999999999996"/>
    <n v="51568.17"/>
    <x v="0"/>
    <x v="0"/>
  </r>
  <r>
    <x v="1892"/>
    <x v="3"/>
    <n v="112"/>
    <n v="13"/>
    <n v="6"/>
    <n v="9"/>
    <n v="31.12"/>
    <x v="41"/>
    <x v="0"/>
    <n v="137"/>
    <n v="4.54"/>
    <n v="15.81"/>
    <n v="1.71"/>
    <n v="5"/>
    <n v="0.85"/>
    <n v="991"/>
    <n v="3.23"/>
    <n v="0.33"/>
    <d v="2024-03-27T00:00:00"/>
    <n v="292.08"/>
    <n v="0.40799999999999997"/>
    <n v="1770.72"/>
    <x v="0"/>
    <x v="1"/>
  </r>
  <r>
    <x v="1893"/>
    <x v="3"/>
    <n v="369"/>
    <n v="12"/>
    <n v="11"/>
    <n v="4"/>
    <n v="42.04"/>
    <x v="70"/>
    <x v="1"/>
    <n v="112"/>
    <n v="4.3899999999999997"/>
    <n v="173.31"/>
    <n v="0.28999999999999998"/>
    <n v="7"/>
    <n v="0.9"/>
    <n v="110"/>
    <n v="10.33"/>
    <n v="0.95"/>
    <d v="2024-03-04T00:00:00"/>
    <n v="250.04"/>
    <n v="0.73899999999999999"/>
    <n v="63951.39"/>
    <x v="0"/>
    <x v="0"/>
  </r>
  <r>
    <x v="1894"/>
    <x v="4"/>
    <n v="75"/>
    <n v="73"/>
    <n v="5"/>
    <n v="4"/>
    <n v="9.99"/>
    <x v="88"/>
    <x v="0"/>
    <n v="165"/>
    <n v="1.89"/>
    <n v="83.15"/>
    <n v="1.37"/>
    <n v="2"/>
    <n v="0.86"/>
    <n v="921"/>
    <n v="8.51"/>
    <n v="0.69"/>
    <d v="2024-07-06T00:00:00"/>
    <n v="142.12"/>
    <n v="0.64600000000000002"/>
    <n v="6236.25"/>
    <x v="0"/>
    <x v="2"/>
  </r>
  <r>
    <x v="1895"/>
    <x v="2"/>
    <n v="79"/>
    <n v="38"/>
    <n v="14"/>
    <n v="7"/>
    <n v="21.81"/>
    <x v="72"/>
    <x v="0"/>
    <n v="154"/>
    <n v="4.3099999999999996"/>
    <n v="195.22"/>
    <n v="1.96"/>
    <n v="7"/>
    <n v="0.82"/>
    <n v="166"/>
    <n v="12.27"/>
    <n v="0.3"/>
    <d v="2024-12-30T00:00:00"/>
    <n v="225.25"/>
    <n v="0.45200000000000001"/>
    <n v="15422.38"/>
    <x v="0"/>
    <x v="2"/>
  </r>
  <r>
    <x v="1896"/>
    <x v="1"/>
    <n v="157"/>
    <n v="20"/>
    <n v="8"/>
    <n v="9"/>
    <n v="20.21"/>
    <x v="29"/>
    <x v="2"/>
    <n v="66"/>
    <n v="2.77"/>
    <n v="32.89"/>
    <n v="0.14000000000000001"/>
    <n v="8"/>
    <n v="0.92"/>
    <n v="639"/>
    <n v="5.47"/>
    <n v="0.33"/>
    <d v="2024-11-29T00:00:00"/>
    <n v="171.03"/>
    <n v="0.54900000000000004"/>
    <n v="5163.7300000000005"/>
    <x v="0"/>
    <x v="1"/>
  </r>
  <r>
    <x v="1897"/>
    <x v="3"/>
    <n v="58"/>
    <n v="67"/>
    <n v="8"/>
    <n v="7"/>
    <n v="26.16"/>
    <x v="6"/>
    <x v="3"/>
    <n v="79"/>
    <n v="3.29"/>
    <n v="189.49"/>
    <n v="1.94"/>
    <n v="6"/>
    <n v="0.71"/>
    <n v="285"/>
    <n v="5.62"/>
    <n v="0.25"/>
    <d v="2024-01-20T00:00:00"/>
    <n v="257.44"/>
    <n v="0.35299999999999998"/>
    <n v="10990.42"/>
    <x v="1"/>
    <x v="2"/>
  </r>
  <r>
    <x v="1898"/>
    <x v="3"/>
    <n v="47"/>
    <n v="84"/>
    <n v="9"/>
    <n v="2"/>
    <n v="40.67"/>
    <x v="94"/>
    <x v="1"/>
    <n v="53"/>
    <n v="1.57"/>
    <n v="130.52000000000001"/>
    <n v="0.13"/>
    <n v="3"/>
    <n v="0.86"/>
    <n v="82"/>
    <n v="3.11"/>
    <n v="0.31"/>
    <d v="2024-07-11T00:00:00"/>
    <n v="160.25"/>
    <n v="0.60199999999999998"/>
    <n v="6134.4400000000005"/>
    <x v="1"/>
    <x v="2"/>
  </r>
  <r>
    <x v="1899"/>
    <x v="0"/>
    <n v="68"/>
    <n v="36"/>
    <n v="11"/>
    <n v="4"/>
    <n v="28.13"/>
    <x v="64"/>
    <x v="1"/>
    <n v="150"/>
    <n v="3.68"/>
    <n v="19.940000000000001"/>
    <n v="1.7"/>
    <n v="5"/>
    <n v="0.73"/>
    <n v="616"/>
    <n v="10.130000000000001"/>
    <n v="0.79"/>
    <d v="2024-11-23T00:00:00"/>
    <n v="296.52"/>
    <n v="0.56899999999999995"/>
    <n v="1355.92"/>
    <x v="0"/>
    <x v="2"/>
  </r>
  <r>
    <x v="1900"/>
    <x v="1"/>
    <n v="439"/>
    <n v="30"/>
    <n v="14"/>
    <n v="5"/>
    <n v="42.49"/>
    <x v="60"/>
    <x v="2"/>
    <n v="85"/>
    <n v="1.97"/>
    <n v="194.62"/>
    <n v="1.93"/>
    <n v="5"/>
    <n v="0.83"/>
    <n v="292"/>
    <n v="10.92"/>
    <n v="0.38"/>
    <d v="2024-05-10T00:00:00"/>
    <n v="48.72"/>
    <n v="0.495"/>
    <n v="85438.180000000008"/>
    <x v="0"/>
    <x v="0"/>
  </r>
  <r>
    <x v="1901"/>
    <x v="1"/>
    <n v="144"/>
    <n v="48"/>
    <n v="9"/>
    <n v="6"/>
    <n v="26.41"/>
    <x v="59"/>
    <x v="0"/>
    <n v="167"/>
    <n v="2.0499999999999998"/>
    <n v="12.64"/>
    <n v="1.99"/>
    <n v="1"/>
    <n v="0.94"/>
    <n v="835"/>
    <n v="2.94"/>
    <n v="0.65"/>
    <d v="2024-09-30T00:00:00"/>
    <n v="206.18"/>
    <n v="0.53800000000000003"/>
    <n v="1820.16"/>
    <x v="0"/>
    <x v="1"/>
  </r>
  <r>
    <x v="1902"/>
    <x v="3"/>
    <n v="32"/>
    <n v="55"/>
    <n v="3"/>
    <n v="9"/>
    <n v="30.59"/>
    <x v="74"/>
    <x v="0"/>
    <n v="94"/>
    <n v="3.37"/>
    <n v="148.83000000000001"/>
    <n v="0.97"/>
    <n v="1"/>
    <n v="0.74"/>
    <n v="957"/>
    <n v="4.5599999999999996"/>
    <n v="0.78"/>
    <d v="2024-11-15T00:00:00"/>
    <n v="81.239999999999995"/>
    <n v="0.64800000000000002"/>
    <n v="4762.5600000000004"/>
    <x v="1"/>
    <x v="2"/>
  </r>
  <r>
    <x v="1903"/>
    <x v="4"/>
    <n v="499"/>
    <n v="75"/>
    <n v="10"/>
    <n v="4"/>
    <n v="22.43"/>
    <x v="0"/>
    <x v="0"/>
    <n v="75"/>
    <n v="1.58"/>
    <n v="179.01"/>
    <n v="1.75"/>
    <n v="4"/>
    <n v="0.98"/>
    <n v="123"/>
    <n v="3.16"/>
    <n v="0.92"/>
    <d v="2024-01-25T00:00:00"/>
    <n v="65.459999999999994"/>
    <n v="0.56699999999999995"/>
    <n v="89325.989999999991"/>
    <x v="0"/>
    <x v="0"/>
  </r>
  <r>
    <x v="1904"/>
    <x v="0"/>
    <n v="55"/>
    <n v="45"/>
    <n v="7"/>
    <n v="9"/>
    <n v="41.33"/>
    <x v="1"/>
    <x v="1"/>
    <n v="62"/>
    <n v="1.51"/>
    <n v="43.4"/>
    <n v="0.33"/>
    <n v="0"/>
    <n v="0.97"/>
    <n v="70"/>
    <n v="11.47"/>
    <n v="0.67"/>
    <d v="2024-10-31T00:00:00"/>
    <n v="128.38999999999999"/>
    <n v="0.84799999999999998"/>
    <n v="2387"/>
    <x v="0"/>
    <x v="2"/>
  </r>
  <r>
    <x v="1905"/>
    <x v="1"/>
    <n v="120"/>
    <n v="84"/>
    <n v="11"/>
    <n v="6"/>
    <n v="46.27"/>
    <x v="79"/>
    <x v="2"/>
    <n v="27"/>
    <n v="2.16"/>
    <n v="75.239999999999995"/>
    <n v="0.91"/>
    <n v="4"/>
    <n v="0.82"/>
    <n v="914"/>
    <n v="3.93"/>
    <n v="0.66"/>
    <d v="2024-01-25T00:00:00"/>
    <n v="116.56"/>
    <n v="0.57699999999999996"/>
    <n v="9028.7999999999993"/>
    <x v="0"/>
    <x v="1"/>
  </r>
  <r>
    <x v="1906"/>
    <x v="3"/>
    <n v="301"/>
    <n v="91"/>
    <n v="12"/>
    <n v="3"/>
    <n v="32.32"/>
    <x v="74"/>
    <x v="3"/>
    <n v="37"/>
    <n v="4"/>
    <n v="116.63"/>
    <n v="0.69"/>
    <n v="9"/>
    <n v="0.7"/>
    <n v="762"/>
    <n v="3.13"/>
    <n v="0.93"/>
    <d v="2024-12-04T00:00:00"/>
    <n v="23.44"/>
    <n v="0.51900000000000002"/>
    <n v="35105.629999999997"/>
    <x v="0"/>
    <x v="0"/>
  </r>
  <r>
    <x v="1907"/>
    <x v="1"/>
    <n v="105"/>
    <n v="74"/>
    <n v="14"/>
    <n v="8"/>
    <n v="41.22"/>
    <x v="48"/>
    <x v="2"/>
    <n v="141"/>
    <n v="1.51"/>
    <n v="139.16"/>
    <n v="0.85"/>
    <n v="2"/>
    <n v="0.94"/>
    <n v="203"/>
    <n v="1.98"/>
    <n v="0.44"/>
    <d v="2024-02-25T00:00:00"/>
    <n v="134.04"/>
    <n v="0.57699999999999996"/>
    <n v="14611.8"/>
    <x v="0"/>
    <x v="1"/>
  </r>
  <r>
    <x v="1908"/>
    <x v="0"/>
    <n v="23"/>
    <n v="72"/>
    <n v="7"/>
    <n v="3"/>
    <n v="3.89"/>
    <x v="64"/>
    <x v="1"/>
    <n v="51"/>
    <n v="4.04"/>
    <n v="175.66"/>
    <n v="1.43"/>
    <n v="2"/>
    <n v="0.96"/>
    <n v="303"/>
    <n v="12.64"/>
    <n v="0.36"/>
    <d v="2024-11-30T00:00:00"/>
    <n v="286.06"/>
    <n v="0.65"/>
    <n v="4040.18"/>
    <x v="1"/>
    <x v="2"/>
  </r>
  <r>
    <x v="1909"/>
    <x v="0"/>
    <n v="242"/>
    <n v="44"/>
    <n v="7"/>
    <n v="4"/>
    <n v="45.4"/>
    <x v="34"/>
    <x v="3"/>
    <n v="135"/>
    <n v="3.63"/>
    <n v="154.6"/>
    <n v="0.27"/>
    <n v="7"/>
    <n v="0.75"/>
    <n v="256"/>
    <n v="2.74"/>
    <n v="0.9"/>
    <d v="2024-01-11T00:00:00"/>
    <n v="145.38999999999999"/>
    <n v="0.6"/>
    <n v="37413.199999999997"/>
    <x v="0"/>
    <x v="1"/>
  </r>
  <r>
    <x v="1910"/>
    <x v="2"/>
    <n v="357"/>
    <n v="40"/>
    <n v="14"/>
    <n v="6"/>
    <n v="10.26"/>
    <x v="34"/>
    <x v="0"/>
    <n v="126"/>
    <n v="3.56"/>
    <n v="79.03"/>
    <n v="2"/>
    <n v="2"/>
    <n v="0.97"/>
    <n v="198"/>
    <n v="1.42"/>
    <n v="0.26"/>
    <d v="2024-01-25T00:00:00"/>
    <n v="97.53"/>
    <n v="0.42499999999999999"/>
    <n v="28213.71"/>
    <x v="0"/>
    <x v="0"/>
  </r>
  <r>
    <x v="1911"/>
    <x v="3"/>
    <n v="467"/>
    <n v="37"/>
    <n v="14"/>
    <n v="8"/>
    <n v="13.57"/>
    <x v="37"/>
    <x v="2"/>
    <n v="143"/>
    <n v="2.64"/>
    <n v="166.13"/>
    <n v="1.31"/>
    <n v="2"/>
    <n v="0.97"/>
    <n v="967"/>
    <n v="1.9"/>
    <n v="0.35"/>
    <d v="2024-12-19T00:00:00"/>
    <n v="285.23"/>
    <n v="0.51800000000000002"/>
    <n v="77582.709999999992"/>
    <x v="0"/>
    <x v="0"/>
  </r>
  <r>
    <x v="1912"/>
    <x v="0"/>
    <n v="185"/>
    <n v="10"/>
    <n v="4"/>
    <n v="3"/>
    <n v="3.61"/>
    <x v="58"/>
    <x v="2"/>
    <n v="111"/>
    <n v="3.86"/>
    <n v="193.55"/>
    <n v="1.76"/>
    <n v="0"/>
    <n v="0.84"/>
    <n v="744"/>
    <n v="6.14"/>
    <n v="0.53"/>
    <d v="2024-02-29T00:00:00"/>
    <n v="156.66"/>
    <n v="0.57999999999999996"/>
    <n v="35806.75"/>
    <x v="0"/>
    <x v="1"/>
  </r>
  <r>
    <x v="1913"/>
    <x v="2"/>
    <n v="402"/>
    <n v="34"/>
    <n v="14"/>
    <n v="4"/>
    <n v="48.3"/>
    <x v="71"/>
    <x v="1"/>
    <n v="146"/>
    <n v="0.56000000000000005"/>
    <n v="53.13"/>
    <n v="1.68"/>
    <n v="7"/>
    <n v="0.94"/>
    <n v="351"/>
    <n v="9.35"/>
    <n v="0.49"/>
    <d v="2024-08-01T00:00:00"/>
    <n v="93.26"/>
    <n v="0.503"/>
    <n v="21358.260000000002"/>
    <x v="0"/>
    <x v="0"/>
  </r>
  <r>
    <x v="1914"/>
    <x v="2"/>
    <n v="363"/>
    <n v="52"/>
    <n v="13"/>
    <n v="6"/>
    <n v="42.75"/>
    <x v="89"/>
    <x v="2"/>
    <n v="157"/>
    <n v="1.88"/>
    <n v="24.08"/>
    <n v="1.56"/>
    <n v="9"/>
    <n v="0.83"/>
    <n v="346"/>
    <n v="6.57"/>
    <n v="0.76"/>
    <d v="2024-08-15T00:00:00"/>
    <n v="237.07"/>
    <n v="0.47"/>
    <n v="8741.0399999999991"/>
    <x v="0"/>
    <x v="0"/>
  </r>
  <r>
    <x v="1915"/>
    <x v="1"/>
    <n v="402"/>
    <n v="93"/>
    <n v="5"/>
    <n v="4"/>
    <n v="45.75"/>
    <x v="8"/>
    <x v="3"/>
    <n v="47"/>
    <n v="3.56"/>
    <n v="91.06"/>
    <n v="0.17"/>
    <n v="9"/>
    <n v="0.87"/>
    <n v="540"/>
    <n v="7.38"/>
    <n v="0.27"/>
    <d v="2024-07-13T00:00:00"/>
    <n v="74.849999999999994"/>
    <n v="0.52900000000000003"/>
    <n v="36606.120000000003"/>
    <x v="0"/>
    <x v="0"/>
  </r>
  <r>
    <x v="1916"/>
    <x v="1"/>
    <n v="395"/>
    <n v="76"/>
    <n v="12"/>
    <n v="7"/>
    <n v="42.51"/>
    <x v="71"/>
    <x v="2"/>
    <n v="59"/>
    <n v="4.9400000000000004"/>
    <n v="177.47"/>
    <n v="1.08"/>
    <n v="5"/>
    <n v="0.8"/>
    <n v="822"/>
    <n v="13.87"/>
    <n v="0.57999999999999996"/>
    <d v="2024-03-04T00:00:00"/>
    <n v="81.849999999999994"/>
    <n v="0.65300000000000002"/>
    <n v="70100.649999999994"/>
    <x v="0"/>
    <x v="0"/>
  </r>
  <r>
    <x v="1917"/>
    <x v="2"/>
    <n v="490"/>
    <n v="72"/>
    <n v="11"/>
    <n v="6"/>
    <n v="24.5"/>
    <x v="80"/>
    <x v="1"/>
    <n v="69"/>
    <n v="0.51"/>
    <n v="38.56"/>
    <n v="0.72"/>
    <n v="7"/>
    <n v="0.75"/>
    <n v="93"/>
    <n v="11.62"/>
    <n v="0.85"/>
    <d v="2024-10-07T00:00:00"/>
    <n v="104.06"/>
    <n v="0.66300000000000003"/>
    <n v="18894.400000000001"/>
    <x v="0"/>
    <x v="0"/>
  </r>
  <r>
    <x v="1918"/>
    <x v="1"/>
    <n v="297"/>
    <n v="60"/>
    <n v="9"/>
    <n v="3"/>
    <n v="46.28"/>
    <x v="20"/>
    <x v="2"/>
    <n v="150"/>
    <n v="2.79"/>
    <n v="178.3"/>
    <n v="0.31"/>
    <n v="2"/>
    <n v="0.92"/>
    <n v="193"/>
    <n v="5.77"/>
    <n v="0.75"/>
    <d v="2024-05-09T00:00:00"/>
    <n v="124.48"/>
    <n v="0.74"/>
    <n v="52955.100000000006"/>
    <x v="0"/>
    <x v="0"/>
  </r>
  <r>
    <x v="1919"/>
    <x v="0"/>
    <n v="149"/>
    <n v="11"/>
    <n v="3"/>
    <n v="4"/>
    <n v="48.5"/>
    <x v="84"/>
    <x v="3"/>
    <n v="128"/>
    <n v="4.66"/>
    <n v="198.52"/>
    <n v="0.75"/>
    <n v="5"/>
    <n v="0.7"/>
    <n v="293"/>
    <n v="3.16"/>
    <n v="0.71"/>
    <d v="2024-08-30T00:00:00"/>
    <n v="179.03"/>
    <n v="0.54900000000000004"/>
    <n v="29579.480000000003"/>
    <x v="0"/>
    <x v="1"/>
  </r>
  <r>
    <x v="1920"/>
    <x v="4"/>
    <n v="50"/>
    <n v="91"/>
    <n v="5"/>
    <n v="9"/>
    <n v="25.63"/>
    <x v="18"/>
    <x v="3"/>
    <n v="108"/>
    <n v="4.3899999999999997"/>
    <n v="20.260000000000002"/>
    <n v="1.33"/>
    <n v="1"/>
    <n v="0.87"/>
    <n v="468"/>
    <n v="11.49"/>
    <n v="0.39"/>
    <d v="2024-12-25T00:00:00"/>
    <n v="159.43"/>
    <n v="0.65200000000000002"/>
    <n v="1013.0000000000001"/>
    <x v="1"/>
    <x v="2"/>
  </r>
  <r>
    <x v="1921"/>
    <x v="0"/>
    <n v="394"/>
    <n v="73"/>
    <n v="14"/>
    <n v="3"/>
    <n v="9.61"/>
    <x v="30"/>
    <x v="1"/>
    <n v="103"/>
    <n v="0.6"/>
    <n v="104.1"/>
    <n v="0.54"/>
    <n v="2"/>
    <n v="0.96"/>
    <n v="566"/>
    <n v="9.0299999999999994"/>
    <n v="0.51"/>
    <d v="2024-03-19T00:00:00"/>
    <n v="225.68"/>
    <n v="0.72"/>
    <n v="41015.399999999994"/>
    <x v="0"/>
    <x v="0"/>
  </r>
  <r>
    <x v="1922"/>
    <x v="2"/>
    <n v="30"/>
    <n v="83"/>
    <n v="4"/>
    <n v="4"/>
    <n v="33.270000000000003"/>
    <x v="27"/>
    <x v="0"/>
    <n v="179"/>
    <n v="2.88"/>
    <n v="72.489999999999995"/>
    <n v="0.94"/>
    <n v="3"/>
    <n v="0.77"/>
    <n v="111"/>
    <n v="14.47"/>
    <n v="0.34"/>
    <d v="2024-04-15T00:00:00"/>
    <n v="217.98"/>
    <n v="0.66100000000000003"/>
    <n v="2174.6999999999998"/>
    <x v="1"/>
    <x v="2"/>
  </r>
  <r>
    <x v="1923"/>
    <x v="2"/>
    <n v="495"/>
    <n v="78"/>
    <n v="3"/>
    <n v="9"/>
    <n v="48.8"/>
    <x v="27"/>
    <x v="1"/>
    <n v="77"/>
    <n v="0.52"/>
    <n v="84.8"/>
    <n v="0.87"/>
    <n v="8"/>
    <n v="0.8"/>
    <n v="907"/>
    <n v="13.72"/>
    <n v="0.61"/>
    <d v="2024-12-21T00:00:00"/>
    <n v="23.21"/>
    <n v="0.61799999999999999"/>
    <n v="41976"/>
    <x v="0"/>
    <x v="0"/>
  </r>
  <r>
    <x v="1924"/>
    <x v="0"/>
    <n v="321"/>
    <n v="18"/>
    <n v="11"/>
    <n v="9"/>
    <n v="43.74"/>
    <x v="22"/>
    <x v="0"/>
    <n v="162"/>
    <n v="4.05"/>
    <n v="95.81"/>
    <n v="0.2"/>
    <n v="3"/>
    <n v="0.88"/>
    <n v="587"/>
    <n v="8.89"/>
    <n v="0.67"/>
    <d v="2024-12-17T00:00:00"/>
    <n v="48.83"/>
    <n v="0.749"/>
    <n v="30755.010000000002"/>
    <x v="0"/>
    <x v="0"/>
  </r>
  <r>
    <x v="1925"/>
    <x v="1"/>
    <n v="115"/>
    <n v="11"/>
    <n v="10"/>
    <n v="2"/>
    <n v="43.23"/>
    <x v="59"/>
    <x v="3"/>
    <n v="168"/>
    <n v="1.89"/>
    <n v="150.54"/>
    <n v="1.29"/>
    <n v="6"/>
    <n v="0.77"/>
    <n v="366"/>
    <n v="1.98"/>
    <n v="0.7"/>
    <d v="2024-11-18T00:00:00"/>
    <n v="72.41"/>
    <n v="0.47099999999999997"/>
    <n v="17312.099999999999"/>
    <x v="0"/>
    <x v="1"/>
  </r>
  <r>
    <x v="1926"/>
    <x v="1"/>
    <n v="209"/>
    <n v="43"/>
    <n v="7"/>
    <n v="9"/>
    <n v="46.76"/>
    <x v="84"/>
    <x v="2"/>
    <n v="149"/>
    <n v="3.95"/>
    <n v="122.35"/>
    <n v="1.28"/>
    <n v="7"/>
    <n v="0.95"/>
    <n v="484"/>
    <n v="1.43"/>
    <n v="0.9"/>
    <d v="2024-01-05T00:00:00"/>
    <n v="183.32"/>
    <n v="0.52100000000000002"/>
    <n v="25571.149999999998"/>
    <x v="0"/>
    <x v="1"/>
  </r>
  <r>
    <x v="1927"/>
    <x v="2"/>
    <n v="472"/>
    <n v="69"/>
    <n v="13"/>
    <n v="3"/>
    <n v="44.8"/>
    <x v="52"/>
    <x v="2"/>
    <n v="73"/>
    <n v="4.75"/>
    <n v="192.63"/>
    <n v="1.94"/>
    <n v="4"/>
    <n v="0.81"/>
    <n v="886"/>
    <n v="12.73"/>
    <n v="0.25"/>
    <d v="2024-06-03T00:00:00"/>
    <n v="269.63"/>
    <n v="0.50800000000000001"/>
    <n v="90921.36"/>
    <x v="0"/>
    <x v="0"/>
  </r>
  <r>
    <x v="1928"/>
    <x v="3"/>
    <n v="211"/>
    <n v="70"/>
    <n v="14"/>
    <n v="3"/>
    <n v="39.04"/>
    <x v="44"/>
    <x v="3"/>
    <n v="88"/>
    <n v="4.8899999999999997"/>
    <n v="73.23"/>
    <n v="0.67"/>
    <n v="1"/>
    <n v="0.87"/>
    <n v="745"/>
    <n v="10.77"/>
    <n v="0.51"/>
    <d v="2024-08-03T00:00:00"/>
    <n v="104.22"/>
    <n v="0.73299999999999998"/>
    <n v="15451.53"/>
    <x v="0"/>
    <x v="1"/>
  </r>
  <r>
    <x v="1929"/>
    <x v="1"/>
    <n v="285"/>
    <n v="40"/>
    <n v="4"/>
    <n v="5"/>
    <n v="36.200000000000003"/>
    <x v="69"/>
    <x v="1"/>
    <n v="62"/>
    <n v="4.5199999999999996"/>
    <n v="112.89"/>
    <n v="0.9"/>
    <n v="7"/>
    <n v="0.77"/>
    <n v="867"/>
    <n v="8.84"/>
    <n v="0.67"/>
    <d v="2024-12-04T00:00:00"/>
    <n v="289.49"/>
    <n v="0.57599999999999996"/>
    <n v="32173.65"/>
    <x v="0"/>
    <x v="0"/>
  </r>
  <r>
    <x v="1930"/>
    <x v="0"/>
    <n v="443"/>
    <n v="19"/>
    <n v="3"/>
    <n v="8"/>
    <n v="13.97"/>
    <x v="61"/>
    <x v="2"/>
    <n v="35"/>
    <n v="1.42"/>
    <n v="164.53"/>
    <n v="0.87"/>
    <n v="4"/>
    <n v="0.71"/>
    <n v="430"/>
    <n v="10.64"/>
    <n v="0.66"/>
    <d v="2024-02-21T00:00:00"/>
    <n v="60.13"/>
    <n v="0.64900000000000002"/>
    <n v="72886.789999999994"/>
    <x v="0"/>
    <x v="0"/>
  </r>
  <r>
    <x v="1931"/>
    <x v="1"/>
    <n v="147"/>
    <n v="85"/>
    <n v="9"/>
    <n v="7"/>
    <n v="31.45"/>
    <x v="75"/>
    <x v="1"/>
    <n v="147"/>
    <n v="1.38"/>
    <n v="80.88"/>
    <n v="1.85"/>
    <n v="4"/>
    <n v="0.75"/>
    <n v="85"/>
    <n v="8.56"/>
    <n v="0.22"/>
    <d v="2024-12-05T00:00:00"/>
    <n v="278.17"/>
    <n v="0.443"/>
    <n v="11889.359999999999"/>
    <x v="0"/>
    <x v="1"/>
  </r>
  <r>
    <x v="1932"/>
    <x v="0"/>
    <n v="257"/>
    <n v="45"/>
    <n v="13"/>
    <n v="3"/>
    <n v="26.55"/>
    <x v="68"/>
    <x v="2"/>
    <n v="149"/>
    <n v="3.32"/>
    <n v="98.41"/>
    <n v="0.88"/>
    <n v="6"/>
    <n v="0.71"/>
    <n v="969"/>
    <n v="9.1"/>
    <n v="0.35"/>
    <d v="2024-09-23T00:00:00"/>
    <n v="242.29"/>
    <n v="0.52500000000000002"/>
    <n v="25291.37"/>
    <x v="0"/>
    <x v="0"/>
  </r>
  <r>
    <x v="1933"/>
    <x v="2"/>
    <n v="427"/>
    <n v="94"/>
    <n v="13"/>
    <n v="6"/>
    <n v="43.24"/>
    <x v="27"/>
    <x v="0"/>
    <n v="159"/>
    <n v="2.95"/>
    <n v="140.15"/>
    <n v="0.94"/>
    <n v="5"/>
    <n v="0.84"/>
    <n v="591"/>
    <n v="4.16"/>
    <n v="0.88"/>
    <d v="2024-05-18T00:00:00"/>
    <n v="122.82"/>
    <n v="0.60499999999999998"/>
    <n v="59844.05"/>
    <x v="0"/>
    <x v="0"/>
  </r>
  <r>
    <x v="1934"/>
    <x v="1"/>
    <n v="374"/>
    <n v="58"/>
    <n v="4"/>
    <n v="8"/>
    <n v="25.09"/>
    <x v="73"/>
    <x v="2"/>
    <n v="30"/>
    <n v="0.54"/>
    <n v="173.54"/>
    <n v="0.57999999999999996"/>
    <n v="2"/>
    <n v="0.88"/>
    <n v="630"/>
    <n v="7.38"/>
    <n v="0.61"/>
    <d v="2024-11-14T00:00:00"/>
    <n v="69.83"/>
    <n v="0.69799999999999995"/>
    <n v="64903.96"/>
    <x v="0"/>
    <x v="0"/>
  </r>
  <r>
    <x v="1935"/>
    <x v="0"/>
    <n v="447"/>
    <n v="79"/>
    <n v="3"/>
    <n v="9"/>
    <n v="7.26"/>
    <x v="25"/>
    <x v="0"/>
    <n v="172"/>
    <n v="2.2599999999999998"/>
    <n v="88.98"/>
    <n v="0.1"/>
    <n v="6"/>
    <n v="0.71"/>
    <n v="281"/>
    <n v="1.1599999999999999"/>
    <n v="0.53"/>
    <d v="2024-11-06T00:00:00"/>
    <n v="123.47"/>
    <n v="0.53300000000000003"/>
    <n v="39774.060000000005"/>
    <x v="0"/>
    <x v="0"/>
  </r>
  <r>
    <x v="1936"/>
    <x v="2"/>
    <n v="131"/>
    <n v="58"/>
    <n v="4"/>
    <n v="4"/>
    <n v="1.24"/>
    <x v="57"/>
    <x v="2"/>
    <n v="80"/>
    <n v="4.58"/>
    <n v="111.07"/>
    <n v="0.31"/>
    <n v="0"/>
    <n v="0.73"/>
    <n v="737"/>
    <n v="10.36"/>
    <n v="0.92"/>
    <d v="2024-12-24T00:00:00"/>
    <n v="71.98"/>
    <n v="0.83699999999999997"/>
    <n v="14550.169999999998"/>
    <x v="0"/>
    <x v="1"/>
  </r>
  <r>
    <x v="1937"/>
    <x v="3"/>
    <n v="335"/>
    <n v="12"/>
    <n v="9"/>
    <n v="2"/>
    <n v="34.22"/>
    <x v="68"/>
    <x v="2"/>
    <n v="91"/>
    <n v="4.54"/>
    <n v="195.27"/>
    <n v="1.44"/>
    <n v="3"/>
    <n v="0.85"/>
    <n v="839"/>
    <n v="5.65"/>
    <n v="0.26"/>
    <d v="2024-03-11T00:00:00"/>
    <n v="172.73"/>
    <n v="0.49299999999999999"/>
    <n v="65415.450000000004"/>
    <x v="0"/>
    <x v="0"/>
  </r>
  <r>
    <x v="1938"/>
    <x v="0"/>
    <n v="465"/>
    <n v="83"/>
    <n v="9"/>
    <n v="6"/>
    <n v="27.95"/>
    <x v="58"/>
    <x v="2"/>
    <n v="164"/>
    <n v="1.42"/>
    <n v="18.07"/>
    <n v="1.4"/>
    <n v="3"/>
    <n v="0.94"/>
    <n v="82"/>
    <n v="10.19"/>
    <n v="0.94"/>
    <d v="2024-08-02T00:00:00"/>
    <n v="176.7"/>
    <n v="0.71199999999999997"/>
    <n v="8402.5499999999993"/>
    <x v="0"/>
    <x v="0"/>
  </r>
  <r>
    <x v="1939"/>
    <x v="3"/>
    <n v="362"/>
    <n v="14"/>
    <n v="12"/>
    <n v="8"/>
    <n v="17.22"/>
    <x v="0"/>
    <x v="2"/>
    <n v="69"/>
    <n v="2.2200000000000002"/>
    <n v="95.16"/>
    <n v="0.71"/>
    <n v="5"/>
    <n v="0.89"/>
    <n v="630"/>
    <n v="13.97"/>
    <n v="0.22"/>
    <d v="2024-02-23T00:00:00"/>
    <n v="232.77"/>
    <n v="0.63700000000000001"/>
    <n v="34447.919999999998"/>
    <x v="0"/>
    <x v="0"/>
  </r>
  <r>
    <x v="1940"/>
    <x v="3"/>
    <n v="164"/>
    <n v="99"/>
    <n v="8"/>
    <n v="6"/>
    <n v="9.2799999999999994"/>
    <x v="45"/>
    <x v="2"/>
    <n v="108"/>
    <n v="3.02"/>
    <n v="130.84"/>
    <n v="1"/>
    <n v="5"/>
    <n v="0.73"/>
    <n v="401"/>
    <n v="9.2799999999999994"/>
    <n v="0.65"/>
    <d v="2024-09-18T00:00:00"/>
    <n v="163.08000000000001"/>
    <n v="0.6"/>
    <n v="21457.760000000002"/>
    <x v="0"/>
    <x v="1"/>
  </r>
  <r>
    <x v="1941"/>
    <x v="4"/>
    <n v="84"/>
    <n v="70"/>
    <n v="7"/>
    <n v="6"/>
    <n v="23.87"/>
    <x v="63"/>
    <x v="1"/>
    <n v="56"/>
    <n v="4.34"/>
    <n v="11.6"/>
    <n v="0.67"/>
    <n v="9"/>
    <n v="0.97"/>
    <n v="304"/>
    <n v="5.59"/>
    <n v="0.64"/>
    <d v="2024-11-12T00:00:00"/>
    <n v="110.09"/>
    <n v="0.55000000000000004"/>
    <n v="974.4"/>
    <x v="0"/>
    <x v="2"/>
  </r>
  <r>
    <x v="1942"/>
    <x v="1"/>
    <n v="266"/>
    <n v="94"/>
    <n v="5"/>
    <n v="6"/>
    <n v="5.91"/>
    <x v="44"/>
    <x v="0"/>
    <n v="152"/>
    <n v="2.89"/>
    <n v="123.39"/>
    <n v="1.49"/>
    <n v="7"/>
    <n v="0.98"/>
    <n v="99"/>
    <n v="3.9"/>
    <n v="0.71"/>
    <d v="2024-03-01T00:00:00"/>
    <n v="274.36"/>
    <n v="0.501"/>
    <n v="32821.74"/>
    <x v="0"/>
    <x v="0"/>
  </r>
  <r>
    <x v="1943"/>
    <x v="0"/>
    <n v="242"/>
    <n v="99"/>
    <n v="14"/>
    <n v="8"/>
    <n v="17.47"/>
    <x v="66"/>
    <x v="0"/>
    <n v="33"/>
    <n v="4.8600000000000003"/>
    <n v="20.68"/>
    <n v="1.7"/>
    <n v="0"/>
    <n v="0.8"/>
    <n v="72"/>
    <n v="4.5199999999999996"/>
    <n v="0.22"/>
    <d v="2024-05-24T00:00:00"/>
    <n v="32.619999999999997"/>
    <n v="0.49399999999999999"/>
    <n v="5004.5599999999995"/>
    <x v="0"/>
    <x v="1"/>
  </r>
  <r>
    <x v="1944"/>
    <x v="3"/>
    <n v="498"/>
    <n v="35"/>
    <n v="5"/>
    <n v="2"/>
    <n v="19.579999999999998"/>
    <x v="30"/>
    <x v="2"/>
    <n v="19"/>
    <n v="4.0999999999999996"/>
    <n v="172.94"/>
    <n v="1.81"/>
    <n v="6"/>
    <n v="0.88"/>
    <n v="303"/>
    <n v="14.82"/>
    <n v="0.62"/>
    <d v="2024-02-28T00:00:00"/>
    <n v="244.55"/>
    <n v="0.59699999999999998"/>
    <n v="86124.12"/>
    <x v="0"/>
    <x v="0"/>
  </r>
  <r>
    <x v="1945"/>
    <x v="4"/>
    <n v="332"/>
    <n v="81"/>
    <n v="13"/>
    <n v="9"/>
    <n v="23.82"/>
    <x v="92"/>
    <x v="1"/>
    <n v="129"/>
    <n v="4.79"/>
    <n v="163.35"/>
    <n v="0.43"/>
    <n v="3"/>
    <n v="0.85"/>
    <n v="443"/>
    <n v="9.6199999999999992"/>
    <n v="0.28999999999999998"/>
    <d v="2024-02-24T00:00:00"/>
    <n v="128.78"/>
    <n v="0.65300000000000002"/>
    <n v="54232.2"/>
    <x v="0"/>
    <x v="0"/>
  </r>
  <r>
    <x v="1946"/>
    <x v="2"/>
    <n v="458"/>
    <n v="14"/>
    <n v="14"/>
    <n v="5"/>
    <n v="23.86"/>
    <x v="50"/>
    <x v="1"/>
    <n v="161"/>
    <n v="3.79"/>
    <n v="16.13"/>
    <n v="1.42"/>
    <n v="5"/>
    <n v="0.98"/>
    <n v="725"/>
    <n v="7.17"/>
    <n v="0.32"/>
    <d v="2024-09-11T00:00:00"/>
    <n v="62.52"/>
    <n v="0.51400000000000001"/>
    <n v="7387.54"/>
    <x v="0"/>
    <x v="0"/>
  </r>
  <r>
    <x v="1947"/>
    <x v="0"/>
    <n v="125"/>
    <n v="24"/>
    <n v="11"/>
    <n v="7"/>
    <n v="13.59"/>
    <x v="91"/>
    <x v="3"/>
    <n v="97"/>
    <n v="4.45"/>
    <n v="19.27"/>
    <n v="1.93"/>
    <n v="9"/>
    <n v="0.85"/>
    <n v="931"/>
    <n v="4.2300000000000004"/>
    <n v="0.37"/>
    <d v="2024-04-11T00:00:00"/>
    <n v="44.9"/>
    <n v="0.32700000000000001"/>
    <n v="2408.75"/>
    <x v="0"/>
    <x v="1"/>
  </r>
  <r>
    <x v="1948"/>
    <x v="3"/>
    <n v="200"/>
    <n v="25"/>
    <n v="6"/>
    <n v="9"/>
    <n v="42.66"/>
    <x v="92"/>
    <x v="3"/>
    <n v="113"/>
    <n v="4.24"/>
    <n v="153.19"/>
    <n v="1.34"/>
    <n v="8"/>
    <n v="0.99"/>
    <n v="322"/>
    <n v="11.82"/>
    <n v="0.69"/>
    <d v="2024-11-07T00:00:00"/>
    <n v="74.02"/>
    <n v="0.6"/>
    <n v="30638"/>
    <x v="0"/>
    <x v="1"/>
  </r>
  <r>
    <x v="1949"/>
    <x v="1"/>
    <n v="203"/>
    <n v="10"/>
    <n v="11"/>
    <n v="3"/>
    <n v="18.420000000000002"/>
    <x v="44"/>
    <x v="1"/>
    <n v="133"/>
    <n v="1.64"/>
    <n v="80.209999999999994"/>
    <n v="0.77"/>
    <n v="2"/>
    <n v="0.76"/>
    <n v="742"/>
    <n v="6.42"/>
    <n v="0.51"/>
    <d v="2024-04-12T00:00:00"/>
    <n v="45.37"/>
    <n v="0.623"/>
    <n v="16282.63"/>
    <x v="0"/>
    <x v="1"/>
  </r>
  <r>
    <x v="1950"/>
    <x v="4"/>
    <n v="245"/>
    <n v="25"/>
    <n v="6"/>
    <n v="8"/>
    <n v="12.25"/>
    <x v="85"/>
    <x v="3"/>
    <n v="43"/>
    <n v="1.53"/>
    <n v="119.25"/>
    <n v="1.31"/>
    <n v="7"/>
    <n v="0.8"/>
    <n v="908"/>
    <n v="5.22"/>
    <n v="0.27"/>
    <d v="2024-05-14T00:00:00"/>
    <n v="143.09"/>
    <n v="0.41299999999999998"/>
    <n v="29216.25"/>
    <x v="0"/>
    <x v="1"/>
  </r>
  <r>
    <x v="1951"/>
    <x v="3"/>
    <n v="284"/>
    <n v="46"/>
    <n v="4"/>
    <n v="6"/>
    <n v="9.61"/>
    <x v="4"/>
    <x v="0"/>
    <n v="50"/>
    <n v="4.3899999999999997"/>
    <n v="61.36"/>
    <n v="1.41"/>
    <n v="2"/>
    <n v="0.93"/>
    <n v="299"/>
    <n v="4.1100000000000003"/>
    <n v="0.43"/>
    <d v="2024-09-24T00:00:00"/>
    <n v="111.41"/>
    <n v="0.54600000000000004"/>
    <n v="17426.240000000002"/>
    <x v="0"/>
    <x v="0"/>
  </r>
  <r>
    <x v="1952"/>
    <x v="1"/>
    <n v="297"/>
    <n v="12"/>
    <n v="6"/>
    <n v="9"/>
    <n v="16.809999999999999"/>
    <x v="12"/>
    <x v="1"/>
    <n v="177"/>
    <n v="0.88"/>
    <n v="42.86"/>
    <n v="0.85"/>
    <n v="5"/>
    <n v="0.94"/>
    <n v="286"/>
    <n v="3.6"/>
    <n v="0.26"/>
    <d v="2024-04-13T00:00:00"/>
    <n v="113.41"/>
    <n v="0.503"/>
    <n v="12729.42"/>
    <x v="0"/>
    <x v="0"/>
  </r>
  <r>
    <x v="1953"/>
    <x v="3"/>
    <n v="416"/>
    <n v="61"/>
    <n v="8"/>
    <n v="3"/>
    <n v="4.3099999999999996"/>
    <x v="65"/>
    <x v="3"/>
    <n v="20"/>
    <n v="2.34"/>
    <n v="66.25"/>
    <n v="0.3"/>
    <n v="1"/>
    <n v="0.92"/>
    <n v="953"/>
    <n v="4.83"/>
    <n v="0.73"/>
    <d v="2024-07-02T00:00:00"/>
    <n v="55.49"/>
    <n v="0.74399999999999999"/>
    <n v="27560"/>
    <x v="0"/>
    <x v="0"/>
  </r>
  <r>
    <x v="1954"/>
    <x v="0"/>
    <n v="108"/>
    <n v="56"/>
    <n v="8"/>
    <n v="8"/>
    <n v="2.61"/>
    <x v="33"/>
    <x v="1"/>
    <n v="10"/>
    <n v="4.1900000000000004"/>
    <n v="56.88"/>
    <n v="1.25"/>
    <n v="8"/>
    <n v="0.96"/>
    <n v="281"/>
    <n v="9.7799999999999994"/>
    <n v="0.65"/>
    <d v="2024-12-26T00:00:00"/>
    <n v="201.33"/>
    <n v="0.56699999999999995"/>
    <n v="6143.04"/>
    <x v="0"/>
    <x v="1"/>
  </r>
  <r>
    <x v="1955"/>
    <x v="0"/>
    <n v="195"/>
    <n v="22"/>
    <n v="7"/>
    <n v="3"/>
    <n v="30.65"/>
    <x v="17"/>
    <x v="3"/>
    <n v="167"/>
    <n v="4.16"/>
    <n v="95.18"/>
    <n v="1.62"/>
    <n v="1"/>
    <n v="0.91"/>
    <n v="477"/>
    <n v="4.3600000000000003"/>
    <n v="0.53"/>
    <d v="2024-07-28T00:00:00"/>
    <n v="186.26"/>
    <n v="0.56399999999999995"/>
    <n v="18560.100000000002"/>
    <x v="0"/>
    <x v="1"/>
  </r>
  <r>
    <x v="1956"/>
    <x v="0"/>
    <n v="37"/>
    <n v="89"/>
    <n v="3"/>
    <n v="6"/>
    <n v="31.34"/>
    <x v="59"/>
    <x v="1"/>
    <n v="91"/>
    <n v="1.1200000000000001"/>
    <n v="151.87"/>
    <n v="2"/>
    <n v="4"/>
    <n v="0.89"/>
    <n v="683"/>
    <n v="1.85"/>
    <n v="0.94"/>
    <d v="2024-05-31T00:00:00"/>
    <n v="294.86"/>
    <n v="0.51100000000000001"/>
    <n v="5619.1900000000005"/>
    <x v="1"/>
    <x v="2"/>
  </r>
  <r>
    <x v="1957"/>
    <x v="4"/>
    <n v="390"/>
    <n v="64"/>
    <n v="5"/>
    <n v="5"/>
    <n v="26.95"/>
    <x v="88"/>
    <x v="2"/>
    <n v="35"/>
    <n v="2.69"/>
    <n v="115.28"/>
    <n v="0.52"/>
    <n v="5"/>
    <n v="0.84"/>
    <n v="291"/>
    <n v="6.03"/>
    <n v="0.61"/>
    <d v="2024-03-23T00:00:00"/>
    <n v="58.62"/>
    <n v="0.61799999999999999"/>
    <n v="44959.199999999997"/>
    <x v="0"/>
    <x v="0"/>
  </r>
  <r>
    <x v="1958"/>
    <x v="0"/>
    <n v="479"/>
    <n v="30"/>
    <n v="7"/>
    <n v="8"/>
    <n v="38.35"/>
    <x v="61"/>
    <x v="0"/>
    <n v="62"/>
    <n v="2.66"/>
    <n v="125.74"/>
    <n v="1.43"/>
    <n v="3"/>
    <n v="0.84"/>
    <n v="183"/>
    <n v="9.19"/>
    <n v="0.91"/>
    <d v="2024-01-21T00:00:00"/>
    <n v="251.86"/>
    <n v="0.67"/>
    <n v="60229.46"/>
    <x v="0"/>
    <x v="0"/>
  </r>
  <r>
    <x v="1959"/>
    <x v="1"/>
    <n v="443"/>
    <n v="75"/>
    <n v="8"/>
    <n v="3"/>
    <n v="2.92"/>
    <x v="25"/>
    <x v="3"/>
    <n v="134"/>
    <n v="1.96"/>
    <n v="99.31"/>
    <n v="0.15"/>
    <n v="6"/>
    <n v="0.82"/>
    <n v="120"/>
    <n v="1.84"/>
    <n v="0.66"/>
    <d v="2024-10-07T00:00:00"/>
    <n v="19.82"/>
    <n v="0.58599999999999997"/>
    <n v="43994.33"/>
    <x v="0"/>
    <x v="0"/>
  </r>
  <r>
    <x v="1960"/>
    <x v="3"/>
    <n v="420"/>
    <n v="63"/>
    <n v="3"/>
    <n v="4"/>
    <n v="46.86"/>
    <x v="14"/>
    <x v="2"/>
    <n v="18"/>
    <n v="4.63"/>
    <n v="71.7"/>
    <n v="1.94"/>
    <n v="6"/>
    <n v="0.89"/>
    <n v="907"/>
    <n v="7.34"/>
    <n v="0.5"/>
    <d v="2024-09-11T00:00:00"/>
    <n v="31.26"/>
    <n v="0.46200000000000002"/>
    <n v="30114"/>
    <x v="0"/>
    <x v="0"/>
  </r>
  <r>
    <x v="1961"/>
    <x v="2"/>
    <n v="418"/>
    <n v="36"/>
    <n v="11"/>
    <n v="3"/>
    <n v="5.66"/>
    <x v="65"/>
    <x v="1"/>
    <n v="18"/>
    <n v="3.44"/>
    <n v="37.270000000000003"/>
    <n v="0.12"/>
    <n v="6"/>
    <n v="0.82"/>
    <n v="514"/>
    <n v="1.73"/>
    <n v="0.63"/>
    <d v="2024-04-16T00:00:00"/>
    <n v="197.93"/>
    <n v="0.58099999999999996"/>
    <n v="15578.86"/>
    <x v="0"/>
    <x v="0"/>
  </r>
  <r>
    <x v="1962"/>
    <x v="1"/>
    <n v="125"/>
    <n v="47"/>
    <n v="5"/>
    <n v="7"/>
    <n v="34.03"/>
    <x v="53"/>
    <x v="2"/>
    <n v="138"/>
    <n v="4.91"/>
    <n v="77.37"/>
    <n v="0.78"/>
    <n v="6"/>
    <n v="0.74"/>
    <n v="470"/>
    <n v="11.75"/>
    <n v="0.32"/>
    <d v="2024-12-18T00:00:00"/>
    <n v="127.88"/>
    <n v="0.57099999999999995"/>
    <n v="9671.25"/>
    <x v="0"/>
    <x v="1"/>
  </r>
  <r>
    <x v="1963"/>
    <x v="1"/>
    <n v="290"/>
    <n v="99"/>
    <n v="12"/>
    <n v="6"/>
    <n v="7.54"/>
    <x v="98"/>
    <x v="0"/>
    <n v="68"/>
    <n v="0.8"/>
    <n v="136.38999999999999"/>
    <n v="0.25"/>
    <n v="9"/>
    <n v="0.73"/>
    <n v="359"/>
    <n v="13.21"/>
    <n v="0.74"/>
    <d v="2024-09-03T00:00:00"/>
    <n v="76.849999999999994"/>
    <n v="0.66500000000000004"/>
    <n v="39553.1"/>
    <x v="0"/>
    <x v="0"/>
  </r>
  <r>
    <x v="1964"/>
    <x v="0"/>
    <n v="482"/>
    <n v="67"/>
    <n v="5"/>
    <n v="2"/>
    <n v="44.12"/>
    <x v="59"/>
    <x v="3"/>
    <n v="115"/>
    <n v="2.27"/>
    <n v="149.41999999999999"/>
    <n v="1.28"/>
    <n v="9"/>
    <n v="0.98"/>
    <n v="328"/>
    <n v="14.49"/>
    <n v="0.99"/>
    <d v="2024-06-18T00:00:00"/>
    <n v="10.8"/>
    <n v="0.67900000000000005"/>
    <n v="72020.439999999988"/>
    <x v="0"/>
    <x v="0"/>
  </r>
  <r>
    <x v="1965"/>
    <x v="4"/>
    <n v="338"/>
    <n v="71"/>
    <n v="13"/>
    <n v="3"/>
    <n v="26.02"/>
    <x v="58"/>
    <x v="3"/>
    <n v="134"/>
    <n v="4.26"/>
    <n v="99.14"/>
    <n v="0.75"/>
    <n v="8"/>
    <n v="0.71"/>
    <n v="268"/>
    <n v="10.68"/>
    <n v="0.4"/>
    <d v="2024-04-30T00:00:00"/>
    <n v="202.31"/>
    <n v="0.52900000000000003"/>
    <n v="33509.32"/>
    <x v="0"/>
    <x v="0"/>
  </r>
  <r>
    <x v="1966"/>
    <x v="3"/>
    <n v="186"/>
    <n v="55"/>
    <n v="4"/>
    <n v="5"/>
    <n v="5.03"/>
    <x v="11"/>
    <x v="1"/>
    <n v="25"/>
    <n v="2.4"/>
    <n v="132.55000000000001"/>
    <n v="1.49"/>
    <n v="1"/>
    <n v="0.73"/>
    <n v="746"/>
    <n v="9.85"/>
    <n v="0.46"/>
    <d v="2024-01-02T00:00:00"/>
    <n v="137.85"/>
    <n v="0.6"/>
    <n v="24654.300000000003"/>
    <x v="0"/>
    <x v="1"/>
  </r>
  <r>
    <x v="1967"/>
    <x v="4"/>
    <n v="32"/>
    <n v="98"/>
    <n v="10"/>
    <n v="4"/>
    <n v="31.22"/>
    <x v="99"/>
    <x v="0"/>
    <n v="47"/>
    <n v="1.68"/>
    <n v="50"/>
    <n v="1.02"/>
    <n v="4"/>
    <n v="0.83"/>
    <n v="356"/>
    <n v="10.72"/>
    <n v="0.52"/>
    <d v="2024-01-07T00:00:00"/>
    <n v="59.53"/>
    <n v="0.63100000000000001"/>
    <n v="1600"/>
    <x v="1"/>
    <x v="2"/>
  </r>
  <r>
    <x v="1968"/>
    <x v="3"/>
    <n v="356"/>
    <n v="20"/>
    <n v="5"/>
    <n v="4"/>
    <n v="1.45"/>
    <x v="77"/>
    <x v="2"/>
    <n v="148"/>
    <n v="4.99"/>
    <n v="173.41"/>
    <n v="0.9"/>
    <n v="9"/>
    <n v="0.78"/>
    <n v="363"/>
    <n v="12.97"/>
    <n v="0.59"/>
    <d v="2024-12-09T00:00:00"/>
    <n v="291.94"/>
    <n v="0.57699999999999996"/>
    <n v="61733.96"/>
    <x v="0"/>
    <x v="0"/>
  </r>
  <r>
    <x v="1969"/>
    <x v="3"/>
    <n v="51"/>
    <n v="81"/>
    <n v="8"/>
    <n v="2"/>
    <n v="39.03"/>
    <x v="17"/>
    <x v="1"/>
    <n v="162"/>
    <n v="4.43"/>
    <n v="174.53"/>
    <n v="0.76"/>
    <n v="8"/>
    <n v="0.82"/>
    <n v="452"/>
    <n v="12.3"/>
    <n v="0.78"/>
    <d v="2024-02-15T00:00:00"/>
    <n v="111.74"/>
    <n v="0.64800000000000002"/>
    <n v="8901.0300000000007"/>
    <x v="1"/>
    <x v="2"/>
  </r>
  <r>
    <x v="1970"/>
    <x v="4"/>
    <n v="412"/>
    <n v="17"/>
    <n v="4"/>
    <n v="9"/>
    <n v="32.880000000000003"/>
    <x v="78"/>
    <x v="3"/>
    <n v="68"/>
    <n v="2.96"/>
    <n v="70.86"/>
    <n v="0.26"/>
    <n v="1"/>
    <n v="0.74"/>
    <n v="972"/>
    <n v="7.14"/>
    <n v="0.31"/>
    <d v="2024-02-26T00:00:00"/>
    <n v="97.89"/>
    <n v="0.65900000000000003"/>
    <n v="29194.32"/>
    <x v="0"/>
    <x v="0"/>
  </r>
  <r>
    <x v="1971"/>
    <x v="1"/>
    <n v="59"/>
    <n v="80"/>
    <n v="9"/>
    <n v="7"/>
    <n v="11.42"/>
    <x v="61"/>
    <x v="2"/>
    <n v="38"/>
    <n v="3.03"/>
    <n v="114.07"/>
    <n v="0.49"/>
    <n v="2"/>
    <n v="0.74"/>
    <n v="778"/>
    <n v="10.119999999999999"/>
    <n v="0.44"/>
    <d v="2024-10-20T00:00:00"/>
    <n v="157.99"/>
    <n v="0.68200000000000005"/>
    <n v="6730.1299999999992"/>
    <x v="1"/>
    <x v="2"/>
  </r>
  <r>
    <x v="1972"/>
    <x v="3"/>
    <n v="167"/>
    <n v="73"/>
    <n v="6"/>
    <n v="2"/>
    <n v="19.36"/>
    <x v="73"/>
    <x v="1"/>
    <n v="177"/>
    <n v="0.53"/>
    <n v="125.27"/>
    <n v="1.31"/>
    <n v="6"/>
    <n v="0.94"/>
    <n v="537"/>
    <n v="3.27"/>
    <n v="0.63"/>
    <d v="2024-12-08T00:00:00"/>
    <n v="90.39"/>
    <n v="0.50700000000000001"/>
    <n v="20920.09"/>
    <x v="0"/>
    <x v="1"/>
  </r>
  <r>
    <x v="1973"/>
    <x v="4"/>
    <n v="237"/>
    <n v="30"/>
    <n v="11"/>
    <n v="7"/>
    <n v="1.38"/>
    <x v="42"/>
    <x v="2"/>
    <n v="17"/>
    <n v="4.91"/>
    <n v="99.76"/>
    <n v="1.04"/>
    <n v="8"/>
    <n v="0.93"/>
    <n v="842"/>
    <n v="10.73"/>
    <n v="0.67"/>
    <d v="2024-09-09T00:00:00"/>
    <n v="89.1"/>
    <n v="0.59899999999999998"/>
    <n v="23643.120000000003"/>
    <x v="0"/>
    <x v="1"/>
  </r>
  <r>
    <x v="1974"/>
    <x v="3"/>
    <n v="238"/>
    <n v="81"/>
    <n v="12"/>
    <n v="3"/>
    <n v="34.99"/>
    <x v="3"/>
    <x v="2"/>
    <n v="107"/>
    <n v="4.13"/>
    <n v="183.12"/>
    <n v="0.23"/>
    <n v="2"/>
    <n v="0.73"/>
    <n v="454"/>
    <n v="11.23"/>
    <n v="0.63"/>
    <d v="2024-03-17T00:00:00"/>
    <n v="290.22000000000003"/>
    <n v="0.75900000000000001"/>
    <n v="43582.559999999998"/>
    <x v="0"/>
    <x v="1"/>
  </r>
  <r>
    <x v="1975"/>
    <x v="2"/>
    <n v="488"/>
    <n v="72"/>
    <n v="11"/>
    <n v="6"/>
    <n v="16.809999999999999"/>
    <x v="36"/>
    <x v="1"/>
    <n v="143"/>
    <n v="0.67"/>
    <n v="150.55000000000001"/>
    <n v="1.1299999999999999"/>
    <n v="9"/>
    <n v="0.9"/>
    <n v="428"/>
    <n v="12.22"/>
    <n v="0.55000000000000004"/>
    <d v="2024-02-16T00:00:00"/>
    <n v="85.73"/>
    <n v="0.56000000000000005"/>
    <n v="73468.400000000009"/>
    <x v="0"/>
    <x v="0"/>
  </r>
  <r>
    <x v="1976"/>
    <x v="1"/>
    <n v="101"/>
    <n v="94"/>
    <n v="9"/>
    <n v="5"/>
    <n v="29.01"/>
    <x v="25"/>
    <x v="2"/>
    <n v="118"/>
    <n v="1.29"/>
    <n v="137.78"/>
    <n v="0.2"/>
    <n v="7"/>
    <n v="0.88"/>
    <n v="330"/>
    <n v="12.45"/>
    <n v="0.77"/>
    <d v="2024-09-18T00:00:00"/>
    <n v="185.59"/>
    <n v="0.73599999999999999"/>
    <n v="13915.78"/>
    <x v="0"/>
    <x v="1"/>
  </r>
  <r>
    <x v="1977"/>
    <x v="0"/>
    <n v="352"/>
    <n v="73"/>
    <n v="14"/>
    <n v="4"/>
    <n v="47.88"/>
    <x v="47"/>
    <x v="2"/>
    <n v="117"/>
    <n v="4.1900000000000004"/>
    <n v="108.82"/>
    <n v="1.07"/>
    <n v="7"/>
    <n v="0.91"/>
    <n v="686"/>
    <n v="7.16"/>
    <n v="0.36"/>
    <d v="2024-02-08T00:00:00"/>
    <n v="20.86"/>
    <n v="0.502"/>
    <n v="38304.639999999999"/>
    <x v="0"/>
    <x v="0"/>
  </r>
  <r>
    <x v="1978"/>
    <x v="3"/>
    <n v="227"/>
    <n v="29"/>
    <n v="10"/>
    <n v="2"/>
    <n v="15.67"/>
    <x v="22"/>
    <x v="0"/>
    <n v="158"/>
    <n v="0.89"/>
    <n v="26.12"/>
    <n v="1.93"/>
    <n v="3"/>
    <n v="0.84"/>
    <n v="740"/>
    <n v="13.65"/>
    <n v="0.43"/>
    <d v="2024-02-21T00:00:00"/>
    <n v="54.76"/>
    <n v="0.58299999999999996"/>
    <n v="5929.24"/>
    <x v="0"/>
    <x v="1"/>
  </r>
  <r>
    <x v="1979"/>
    <x v="2"/>
    <n v="220"/>
    <n v="17"/>
    <n v="5"/>
    <n v="5"/>
    <n v="49.52"/>
    <x v="48"/>
    <x v="0"/>
    <n v="66"/>
    <n v="4.74"/>
    <n v="30.49"/>
    <n v="0.68"/>
    <n v="5"/>
    <n v="0.78"/>
    <n v="376"/>
    <n v="14.73"/>
    <n v="0.56000000000000005"/>
    <d v="2024-05-11T00:00:00"/>
    <n v="16.399999999999999"/>
    <n v="0.69599999999999995"/>
    <n v="6707.7999999999993"/>
    <x v="0"/>
    <x v="1"/>
  </r>
  <r>
    <x v="1980"/>
    <x v="0"/>
    <n v="466"/>
    <n v="67"/>
    <n v="13"/>
    <n v="7"/>
    <n v="32"/>
    <x v="63"/>
    <x v="3"/>
    <n v="85"/>
    <n v="5"/>
    <n v="66.81"/>
    <n v="1.47"/>
    <n v="7"/>
    <n v="0.9"/>
    <n v="84"/>
    <n v="14.69"/>
    <n v="0.76"/>
    <d v="2024-11-25T00:00:00"/>
    <n v="165"/>
    <n v="0.64100000000000001"/>
    <n v="31133.460000000003"/>
    <x v="0"/>
    <x v="0"/>
  </r>
  <r>
    <x v="1981"/>
    <x v="0"/>
    <n v="351"/>
    <n v="55"/>
    <n v="7"/>
    <n v="6"/>
    <n v="12.86"/>
    <x v="18"/>
    <x v="0"/>
    <n v="122"/>
    <n v="4.49"/>
    <n v="50.19"/>
    <n v="1.52"/>
    <n v="8"/>
    <n v="0.81"/>
    <n v="119"/>
    <n v="9.1999999999999993"/>
    <n v="0.27"/>
    <d v="2024-04-28T00:00:00"/>
    <n v="152.57"/>
    <n v="0.42699999999999999"/>
    <n v="17616.689999999999"/>
    <x v="0"/>
    <x v="0"/>
  </r>
  <r>
    <x v="1982"/>
    <x v="3"/>
    <n v="447"/>
    <n v="40"/>
    <n v="4"/>
    <n v="4"/>
    <n v="22.4"/>
    <x v="91"/>
    <x v="1"/>
    <n v="15"/>
    <n v="3.83"/>
    <n v="190.98"/>
    <n v="0.87"/>
    <n v="1"/>
    <n v="0.77"/>
    <n v="409"/>
    <n v="8.83"/>
    <n v="0.28999999999999998"/>
    <d v="2024-08-21T00:00:00"/>
    <n v="105.97"/>
    <n v="0.623"/>
    <n v="85368.06"/>
    <x v="0"/>
    <x v="0"/>
  </r>
  <r>
    <x v="1983"/>
    <x v="4"/>
    <n v="57"/>
    <n v="18"/>
    <n v="12"/>
    <n v="4"/>
    <n v="37.28"/>
    <x v="17"/>
    <x v="2"/>
    <n v="133"/>
    <n v="2.69"/>
    <n v="87.86"/>
    <n v="1.23"/>
    <n v="0"/>
    <n v="0.82"/>
    <n v="739"/>
    <n v="7.4"/>
    <n v="0.83"/>
    <d v="2024-05-31T00:00:00"/>
    <n v="213.08"/>
    <n v="0.70599999999999996"/>
    <n v="5008.0199999999995"/>
    <x v="0"/>
    <x v="2"/>
  </r>
  <r>
    <x v="1984"/>
    <x v="3"/>
    <n v="230"/>
    <n v="24"/>
    <n v="9"/>
    <n v="7"/>
    <n v="22.88"/>
    <x v="30"/>
    <x v="3"/>
    <n v="143"/>
    <n v="0.87"/>
    <n v="176.56"/>
    <n v="1"/>
    <n v="4"/>
    <n v="0.93"/>
    <n v="960"/>
    <n v="5.2"/>
    <n v="0.41"/>
    <d v="2024-05-15T00:00:00"/>
    <n v="191.48"/>
    <n v="0.55700000000000005"/>
    <n v="40608.800000000003"/>
    <x v="0"/>
    <x v="1"/>
  </r>
  <r>
    <x v="1985"/>
    <x v="2"/>
    <n v="463"/>
    <n v="35"/>
    <n v="10"/>
    <n v="6"/>
    <n v="4.3600000000000003"/>
    <x v="65"/>
    <x v="0"/>
    <n v="62"/>
    <n v="3.79"/>
    <n v="165.44"/>
    <n v="0.64"/>
    <n v="9"/>
    <n v="0.84"/>
    <n v="457"/>
    <n v="5.67"/>
    <n v="0.97"/>
    <d v="2024-08-25T00:00:00"/>
    <n v="184.1"/>
    <n v="0.59399999999999997"/>
    <n v="76598.720000000001"/>
    <x v="0"/>
    <x v="0"/>
  </r>
  <r>
    <x v="1986"/>
    <x v="0"/>
    <n v="346"/>
    <n v="19"/>
    <n v="11"/>
    <n v="4"/>
    <n v="9.26"/>
    <x v="25"/>
    <x v="2"/>
    <n v="141"/>
    <n v="2.29"/>
    <n v="164.39"/>
    <n v="1.53"/>
    <n v="2"/>
    <n v="0.79"/>
    <n v="610"/>
    <n v="4.0199999999999996"/>
    <n v="0.97"/>
    <d v="2024-01-26T00:00:00"/>
    <n v="107.51"/>
    <n v="0.61299999999999999"/>
    <n v="56878.939999999995"/>
    <x v="0"/>
    <x v="0"/>
  </r>
  <r>
    <x v="1987"/>
    <x v="3"/>
    <n v="268"/>
    <n v="38"/>
    <n v="13"/>
    <n v="6"/>
    <n v="39.770000000000003"/>
    <x v="8"/>
    <x v="1"/>
    <n v="18"/>
    <n v="3.07"/>
    <n v="50.98"/>
    <n v="1.44"/>
    <n v="5"/>
    <n v="0.95"/>
    <n v="629"/>
    <n v="14.38"/>
    <n v="0.75"/>
    <d v="2024-02-21T00:00:00"/>
    <n v="104.87"/>
    <n v="0.68799999999999994"/>
    <n v="13662.64"/>
    <x v="0"/>
    <x v="0"/>
  </r>
  <r>
    <x v="1988"/>
    <x v="4"/>
    <n v="246"/>
    <n v="89"/>
    <n v="13"/>
    <n v="4"/>
    <n v="32.770000000000003"/>
    <x v="29"/>
    <x v="2"/>
    <n v="78"/>
    <n v="1.82"/>
    <n v="94.99"/>
    <n v="1.81"/>
    <n v="0"/>
    <n v="0.96"/>
    <n v="568"/>
    <n v="9.68"/>
    <n v="0.77"/>
    <d v="2024-03-30T00:00:00"/>
    <n v="263.3"/>
    <n v="0.69399999999999995"/>
    <n v="23367.539999999997"/>
    <x v="0"/>
    <x v="1"/>
  </r>
  <r>
    <x v="1989"/>
    <x v="3"/>
    <n v="67"/>
    <n v="45"/>
    <n v="9"/>
    <n v="3"/>
    <n v="28.92"/>
    <x v="21"/>
    <x v="1"/>
    <n v="83"/>
    <n v="1.59"/>
    <n v="70.41"/>
    <n v="1.27"/>
    <n v="3"/>
    <n v="0.83"/>
    <n v="655"/>
    <n v="14.08"/>
    <n v="0.72"/>
    <d v="2024-01-21T00:00:00"/>
    <n v="167.75"/>
    <n v="0.71099999999999997"/>
    <n v="4717.4699999999993"/>
    <x v="0"/>
    <x v="2"/>
  </r>
  <r>
    <x v="1990"/>
    <x v="1"/>
    <n v="37"/>
    <n v="93"/>
    <n v="12"/>
    <n v="7"/>
    <n v="9.2100000000000009"/>
    <x v="41"/>
    <x v="2"/>
    <n v="120"/>
    <n v="1.96"/>
    <n v="194.38"/>
    <n v="0.84"/>
    <n v="5"/>
    <n v="0.81"/>
    <n v="433"/>
    <n v="6.42"/>
    <n v="0.34"/>
    <d v="2024-05-28T00:00:00"/>
    <n v="88.95"/>
    <n v="0.53200000000000003"/>
    <n v="7192.0599999999995"/>
    <x v="1"/>
    <x v="2"/>
  </r>
  <r>
    <x v="1991"/>
    <x v="4"/>
    <n v="419"/>
    <n v="46"/>
    <n v="12"/>
    <n v="6"/>
    <n v="42.05"/>
    <x v="17"/>
    <x v="3"/>
    <n v="96"/>
    <n v="4.16"/>
    <n v="176.58"/>
    <n v="1.46"/>
    <n v="1"/>
    <n v="0.88"/>
    <n v="130"/>
    <n v="5.17"/>
    <n v="0.6"/>
    <d v="2024-07-03T00:00:00"/>
    <n v="167.53"/>
    <n v="0.59899999999999998"/>
    <n v="73987.02"/>
    <x v="0"/>
    <x v="0"/>
  </r>
  <r>
    <x v="1992"/>
    <x v="2"/>
    <n v="458"/>
    <n v="95"/>
    <n v="10"/>
    <n v="5"/>
    <n v="48.08"/>
    <x v="58"/>
    <x v="3"/>
    <n v="13"/>
    <n v="2.42"/>
    <n v="57.49"/>
    <n v="1.28"/>
    <n v="7"/>
    <n v="0.72"/>
    <n v="487"/>
    <n v="2.86"/>
    <n v="0.83"/>
    <d v="2024-12-12T00:00:00"/>
    <n v="87.36"/>
    <n v="0.48"/>
    <n v="26330.420000000002"/>
    <x v="0"/>
    <x v="0"/>
  </r>
  <r>
    <x v="1993"/>
    <x v="0"/>
    <n v="314"/>
    <n v="80"/>
    <n v="14"/>
    <n v="9"/>
    <n v="3"/>
    <x v="84"/>
    <x v="0"/>
    <n v="46"/>
    <n v="1.9"/>
    <n v="69.569999999999993"/>
    <n v="1.27"/>
    <n v="3"/>
    <n v="0.91"/>
    <n v="299"/>
    <n v="5.2"/>
    <n v="0.82"/>
    <d v="2024-06-09T00:00:00"/>
    <n v="63.74"/>
    <n v="0.628"/>
    <n v="21844.98"/>
    <x v="0"/>
    <x v="0"/>
  </r>
  <r>
    <x v="1994"/>
    <x v="3"/>
    <n v="215"/>
    <n v="32"/>
    <n v="11"/>
    <n v="3"/>
    <n v="4.82"/>
    <x v="36"/>
    <x v="0"/>
    <n v="80"/>
    <n v="2.4500000000000002"/>
    <n v="110.49"/>
    <n v="1.71"/>
    <n v="1"/>
    <n v="0.93"/>
    <n v="87"/>
    <n v="13.46"/>
    <n v="0.92"/>
    <d v="2024-08-06T00:00:00"/>
    <n v="91.83"/>
    <n v="0.75800000000000001"/>
    <n v="23755.35"/>
    <x v="0"/>
    <x v="1"/>
  </r>
  <r>
    <x v="1995"/>
    <x v="4"/>
    <n v="206"/>
    <n v="50"/>
    <n v="8"/>
    <n v="8"/>
    <n v="44.35"/>
    <x v="5"/>
    <x v="2"/>
    <n v="15"/>
    <n v="0.65"/>
    <n v="62.94"/>
    <n v="1.83"/>
    <n v="0"/>
    <n v="0.82"/>
    <n v="911"/>
    <n v="9.15"/>
    <n v="0.92"/>
    <d v="2024-02-29T00:00:00"/>
    <n v="192.38"/>
    <n v="0.68700000000000006"/>
    <n v="12965.64"/>
    <x v="0"/>
    <x v="1"/>
  </r>
  <r>
    <x v="1996"/>
    <x v="1"/>
    <n v="364"/>
    <n v="89"/>
    <n v="14"/>
    <n v="5"/>
    <n v="40.96"/>
    <x v="49"/>
    <x v="2"/>
    <n v="60"/>
    <n v="4.51"/>
    <n v="166.66"/>
    <n v="0.44"/>
    <n v="7"/>
    <n v="0.75"/>
    <n v="94"/>
    <n v="7.33"/>
    <n v="0.41"/>
    <d v="2024-02-18T00:00:00"/>
    <n v="159.59"/>
    <n v="0.54600000000000004"/>
    <n v="60664.24"/>
    <x v="0"/>
    <x v="0"/>
  </r>
  <r>
    <x v="1997"/>
    <x v="4"/>
    <n v="243"/>
    <n v="37"/>
    <n v="14"/>
    <n v="7"/>
    <n v="31.28"/>
    <x v="92"/>
    <x v="0"/>
    <n v="108"/>
    <n v="2.98"/>
    <n v="165.65"/>
    <n v="0.7"/>
    <n v="9"/>
    <n v="0.71"/>
    <n v="408"/>
    <n v="8.9600000000000009"/>
    <n v="0.78"/>
    <d v="2024-01-24T00:00:00"/>
    <n v="57.71"/>
    <n v="0.56699999999999995"/>
    <n v="40252.950000000004"/>
    <x v="0"/>
    <x v="1"/>
  </r>
  <r>
    <x v="1998"/>
    <x v="1"/>
    <n v="337"/>
    <n v="57"/>
    <n v="12"/>
    <n v="4"/>
    <n v="47.3"/>
    <x v="92"/>
    <x v="0"/>
    <n v="105"/>
    <n v="0.97"/>
    <n v="147.62"/>
    <n v="1.34"/>
    <n v="0"/>
    <n v="0.89"/>
    <n v="186"/>
    <n v="13.5"/>
    <n v="0.72"/>
    <d v="2024-01-05T00:00:00"/>
    <n v="273.29000000000002"/>
    <n v="0.76800000000000002"/>
    <n v="49747.94"/>
    <x v="0"/>
    <x v="0"/>
  </r>
  <r>
    <x v="1999"/>
    <x v="2"/>
    <n v="416"/>
    <n v="47"/>
    <n v="4"/>
    <n v="8"/>
    <n v="32.68"/>
    <x v="79"/>
    <x v="2"/>
    <n v="151"/>
    <n v="1.8"/>
    <n v="140.97"/>
    <n v="1.1599999999999999"/>
    <n v="6"/>
    <n v="0.78"/>
    <n v="872"/>
    <n v="3.7"/>
    <n v="0.91"/>
    <d v="2024-03-11T00:00:00"/>
    <n v="154.51"/>
    <n v="0.55100000000000005"/>
    <n v="58643.519999999997"/>
    <x v="0"/>
    <x v="0"/>
  </r>
  <r>
    <x v="2000"/>
    <x v="0"/>
    <n v="384"/>
    <n v="40"/>
    <n v="4"/>
    <n v="5"/>
    <n v="11.58"/>
    <x v="93"/>
    <x v="2"/>
    <n v="20"/>
    <n v="4.93"/>
    <n v="113.99"/>
    <n v="1.34"/>
    <n v="6"/>
    <n v="0.84"/>
    <n v="869"/>
    <n v="14.52"/>
    <n v="0.35"/>
    <d v="2024-12-05T00:00:00"/>
    <n v="240.18"/>
    <n v="0.57799999999999996"/>
    <n v="43772.159999999996"/>
    <x v="0"/>
    <x v="0"/>
  </r>
  <r>
    <x v="2001"/>
    <x v="2"/>
    <n v="356"/>
    <n v="23"/>
    <n v="6"/>
    <n v="3"/>
    <n v="36.700000000000003"/>
    <x v="99"/>
    <x v="2"/>
    <n v="19"/>
    <n v="3.17"/>
    <n v="75.95"/>
    <n v="0.92"/>
    <n v="5"/>
    <n v="0.82"/>
    <n v="510"/>
    <n v="10.33"/>
    <n v="0.79"/>
    <d v="2024-11-27T00:00:00"/>
    <n v="105.9"/>
    <n v="0.66800000000000004"/>
    <n v="27038.2"/>
    <x v="0"/>
    <x v="0"/>
  </r>
  <r>
    <x v="2002"/>
    <x v="3"/>
    <n v="248"/>
    <n v="82"/>
    <n v="11"/>
    <n v="8"/>
    <n v="32.64"/>
    <x v="28"/>
    <x v="3"/>
    <n v="22"/>
    <n v="1.81"/>
    <n v="169.02"/>
    <n v="0.88"/>
    <n v="7"/>
    <n v="0.75"/>
    <n v="416"/>
    <n v="12.97"/>
    <n v="0.54"/>
    <d v="2024-03-28T00:00:00"/>
    <n v="287.69"/>
    <n v="0.60299999999999998"/>
    <n v="41916.959999999999"/>
    <x v="0"/>
    <x v="1"/>
  </r>
  <r>
    <x v="2003"/>
    <x v="4"/>
    <n v="409"/>
    <n v="97"/>
    <n v="9"/>
    <n v="8"/>
    <n v="49.3"/>
    <x v="46"/>
    <x v="1"/>
    <n v="130"/>
    <n v="2.42"/>
    <n v="173.18"/>
    <n v="0.32"/>
    <n v="9"/>
    <n v="0.85"/>
    <n v="354"/>
    <n v="8.36"/>
    <n v="0.52"/>
    <d v="2024-06-17T00:00:00"/>
    <n v="228.11"/>
    <n v="0.57299999999999995"/>
    <n v="70830.62000000001"/>
    <x v="0"/>
    <x v="0"/>
  </r>
  <r>
    <x v="2004"/>
    <x v="1"/>
    <n v="486"/>
    <n v="86"/>
    <n v="4"/>
    <n v="6"/>
    <n v="11.48"/>
    <x v="53"/>
    <x v="1"/>
    <n v="171"/>
    <n v="1.66"/>
    <n v="19.41"/>
    <n v="1.28"/>
    <n v="0"/>
    <n v="0.84"/>
    <n v="278"/>
    <n v="4.3099999999999996"/>
    <n v="0.23"/>
    <d v="2024-07-02T00:00:00"/>
    <n v="141.81"/>
    <n v="0.54300000000000004"/>
    <n v="9433.26"/>
    <x v="0"/>
    <x v="0"/>
  </r>
  <r>
    <x v="2005"/>
    <x v="1"/>
    <n v="96"/>
    <n v="99"/>
    <n v="10"/>
    <n v="2"/>
    <n v="30.3"/>
    <x v="98"/>
    <x v="0"/>
    <n v="69"/>
    <n v="0.64"/>
    <n v="85.74"/>
    <n v="0.43"/>
    <n v="0"/>
    <n v="0.89"/>
    <n v="232"/>
    <n v="8.94"/>
    <n v="0.97"/>
    <d v="2024-08-12T00:00:00"/>
    <n v="271.66000000000003"/>
    <n v="0.84799999999999998"/>
    <n v="8231.0399999999991"/>
    <x v="1"/>
    <x v="2"/>
  </r>
  <r>
    <x v="2006"/>
    <x v="4"/>
    <n v="207"/>
    <n v="38"/>
    <n v="13"/>
    <n v="5"/>
    <n v="39.229999999999997"/>
    <x v="78"/>
    <x v="3"/>
    <n v="14"/>
    <n v="4.29"/>
    <n v="15.06"/>
    <n v="1.37"/>
    <n v="0"/>
    <n v="0.78"/>
    <n v="516"/>
    <n v="1.95"/>
    <n v="0.74"/>
    <d v="2024-11-14T00:00:00"/>
    <n v="218.07"/>
    <n v="0.59299999999999997"/>
    <n v="3117.42"/>
    <x v="0"/>
    <x v="1"/>
  </r>
  <r>
    <x v="2007"/>
    <x v="4"/>
    <n v="365"/>
    <n v="60"/>
    <n v="9"/>
    <n v="2"/>
    <n v="17.61"/>
    <x v="95"/>
    <x v="2"/>
    <n v="169"/>
    <n v="1.82"/>
    <n v="169.5"/>
    <n v="1.94"/>
    <n v="5"/>
    <n v="0.76"/>
    <n v="887"/>
    <n v="12.93"/>
    <n v="0.67"/>
    <d v="2024-05-17T00:00:00"/>
    <n v="134.85"/>
    <n v="0.56399999999999995"/>
    <n v="61867.5"/>
    <x v="0"/>
    <x v="0"/>
  </r>
  <r>
    <x v="2008"/>
    <x v="3"/>
    <n v="289"/>
    <n v="58"/>
    <n v="11"/>
    <n v="7"/>
    <n v="19.600000000000001"/>
    <x v="64"/>
    <x v="2"/>
    <n v="21"/>
    <n v="4.2699999999999996"/>
    <n v="43.65"/>
    <n v="0.59"/>
    <n v="6"/>
    <n v="0.94"/>
    <n v="253"/>
    <n v="10.09"/>
    <n v="0.4"/>
    <d v="2024-02-17T00:00:00"/>
    <n v="292.5"/>
    <n v="0.624"/>
    <n v="12614.85"/>
    <x v="0"/>
    <x v="0"/>
  </r>
  <r>
    <x v="2009"/>
    <x v="2"/>
    <n v="114"/>
    <n v="52"/>
    <n v="10"/>
    <n v="5"/>
    <n v="44.51"/>
    <x v="29"/>
    <x v="0"/>
    <n v="150"/>
    <n v="2.65"/>
    <n v="138.03"/>
    <n v="0.37"/>
    <n v="9"/>
    <n v="0.91"/>
    <n v="672"/>
    <n v="4.96"/>
    <n v="0.73"/>
    <d v="2024-07-09T00:00:00"/>
    <n v="96.58"/>
    <n v="0.57699999999999996"/>
    <n v="15735.42"/>
    <x v="0"/>
    <x v="1"/>
  </r>
  <r>
    <x v="2010"/>
    <x v="1"/>
    <n v="329"/>
    <n v="81"/>
    <n v="5"/>
    <n v="5"/>
    <n v="20.81"/>
    <x v="9"/>
    <x v="0"/>
    <n v="94"/>
    <n v="1.32"/>
    <n v="77.900000000000006"/>
    <n v="0.15"/>
    <n v="8"/>
    <n v="0.93"/>
    <n v="948"/>
    <n v="4.84"/>
    <n v="0.96"/>
    <d v="2024-06-24T00:00:00"/>
    <n v="84.41"/>
    <n v="0.66800000000000004"/>
    <n v="25629.100000000002"/>
    <x v="0"/>
    <x v="0"/>
  </r>
  <r>
    <x v="2011"/>
    <x v="3"/>
    <n v="151"/>
    <n v="96"/>
    <n v="3"/>
    <n v="6"/>
    <n v="31.61"/>
    <x v="77"/>
    <x v="3"/>
    <n v="126"/>
    <n v="4.1100000000000003"/>
    <n v="165.05"/>
    <n v="0.82"/>
    <n v="9"/>
    <n v="0.74"/>
    <n v="117"/>
    <n v="13.64"/>
    <n v="0.33"/>
    <d v="2024-04-03T00:00:00"/>
    <n v="269.45"/>
    <n v="0.53400000000000003"/>
    <n v="24922.550000000003"/>
    <x v="0"/>
    <x v="1"/>
  </r>
  <r>
    <x v="2012"/>
    <x v="2"/>
    <n v="58"/>
    <n v="14"/>
    <n v="4"/>
    <n v="4"/>
    <n v="44.57"/>
    <x v="76"/>
    <x v="1"/>
    <n v="131"/>
    <n v="2.2000000000000002"/>
    <n v="106.84"/>
    <n v="0.51"/>
    <n v="4"/>
    <n v="0.77"/>
    <n v="918"/>
    <n v="12.77"/>
    <n v="0.99"/>
    <d v="2024-02-28T00:00:00"/>
    <n v="215.14"/>
    <n v="0.79100000000000004"/>
    <n v="6196.72"/>
    <x v="0"/>
    <x v="2"/>
  </r>
  <r>
    <x v="2013"/>
    <x v="3"/>
    <n v="91"/>
    <n v="51"/>
    <n v="4"/>
    <n v="3"/>
    <n v="11.28"/>
    <x v="44"/>
    <x v="1"/>
    <n v="50"/>
    <n v="3.68"/>
    <n v="71.64"/>
    <n v="1.03"/>
    <n v="0"/>
    <n v="0.87"/>
    <n v="599"/>
    <n v="11.68"/>
    <n v="0.54"/>
    <d v="2024-07-24T00:00:00"/>
    <n v="110.2"/>
    <n v="0.73499999999999999"/>
    <n v="6519.24"/>
    <x v="0"/>
    <x v="2"/>
  </r>
  <r>
    <x v="2014"/>
    <x v="1"/>
    <n v="300"/>
    <n v="16"/>
    <n v="6"/>
    <n v="3"/>
    <n v="49.11"/>
    <x v="58"/>
    <x v="2"/>
    <n v="57"/>
    <n v="4.2699999999999996"/>
    <n v="71.540000000000006"/>
    <n v="1.1000000000000001"/>
    <n v="8"/>
    <n v="0.96"/>
    <n v="759"/>
    <n v="6.81"/>
    <n v="0.98"/>
    <d v="2024-07-23T00:00:00"/>
    <n v="77.22"/>
    <n v="0.60899999999999999"/>
    <n v="21462.000000000004"/>
    <x v="0"/>
    <x v="0"/>
  </r>
  <r>
    <x v="2015"/>
    <x v="4"/>
    <n v="352"/>
    <n v="51"/>
    <n v="8"/>
    <n v="3"/>
    <n v="35.4"/>
    <x v="94"/>
    <x v="0"/>
    <n v="60"/>
    <n v="4.83"/>
    <n v="72.12"/>
    <n v="0.76"/>
    <n v="4"/>
    <n v="0.97"/>
    <n v="354"/>
    <n v="13.22"/>
    <n v="0.71"/>
    <d v="2024-08-21T00:00:00"/>
    <n v="61.63"/>
    <n v="0.75600000000000001"/>
    <n v="25386.240000000002"/>
    <x v="0"/>
    <x v="0"/>
  </r>
  <r>
    <x v="2016"/>
    <x v="4"/>
    <n v="179"/>
    <n v="45"/>
    <n v="6"/>
    <n v="9"/>
    <n v="25.31"/>
    <x v="50"/>
    <x v="3"/>
    <n v="127"/>
    <n v="0.89"/>
    <n v="159.83000000000001"/>
    <n v="1.52"/>
    <n v="5"/>
    <n v="0.95"/>
    <n v="653"/>
    <n v="4.46"/>
    <n v="0.46"/>
    <d v="2024-05-19T00:00:00"/>
    <n v="100.91"/>
    <n v="0.48899999999999999"/>
    <n v="28609.570000000003"/>
    <x v="0"/>
    <x v="1"/>
  </r>
  <r>
    <x v="2017"/>
    <x v="2"/>
    <n v="206"/>
    <n v="36"/>
    <n v="11"/>
    <n v="7"/>
    <n v="22.12"/>
    <x v="94"/>
    <x v="2"/>
    <n v="105"/>
    <n v="0.54"/>
    <n v="145.11000000000001"/>
    <n v="1.82"/>
    <n v="8"/>
    <n v="0.71"/>
    <n v="825"/>
    <n v="1.34"/>
    <n v="0.5"/>
    <d v="2024-07-16T00:00:00"/>
    <n v="46.41"/>
    <n v="0.318"/>
    <n v="29892.660000000003"/>
    <x v="0"/>
    <x v="1"/>
  </r>
  <r>
    <x v="2018"/>
    <x v="0"/>
    <n v="210"/>
    <n v="67"/>
    <n v="6"/>
    <n v="8"/>
    <n v="47.76"/>
    <x v="32"/>
    <x v="1"/>
    <n v="85"/>
    <n v="2.97"/>
    <n v="70.650000000000006"/>
    <n v="0.5"/>
    <n v="1"/>
    <n v="0.95"/>
    <n v="804"/>
    <n v="7.06"/>
    <n v="0.43"/>
    <d v="2024-12-19T00:00:00"/>
    <n v="52.15"/>
    <n v="0.7"/>
    <n v="14836.500000000002"/>
    <x v="0"/>
    <x v="1"/>
  </r>
  <r>
    <x v="2019"/>
    <x v="2"/>
    <n v="441"/>
    <n v="55"/>
    <n v="8"/>
    <n v="4"/>
    <n v="11.08"/>
    <x v="19"/>
    <x v="1"/>
    <n v="55"/>
    <n v="1.69"/>
    <n v="103.14"/>
    <n v="1.69"/>
    <n v="2"/>
    <n v="0.97"/>
    <n v="677"/>
    <n v="13.87"/>
    <n v="0.47"/>
    <d v="2024-09-01T00:00:00"/>
    <n v="235.22"/>
    <n v="0.66400000000000003"/>
    <n v="45484.74"/>
    <x v="0"/>
    <x v="0"/>
  </r>
  <r>
    <x v="2020"/>
    <x v="0"/>
    <n v="139"/>
    <n v="75"/>
    <n v="8"/>
    <n v="2"/>
    <n v="16.27"/>
    <x v="9"/>
    <x v="3"/>
    <n v="109"/>
    <n v="2.61"/>
    <n v="24.47"/>
    <n v="0.35"/>
    <n v="6"/>
    <n v="0.72"/>
    <n v="144"/>
    <n v="9"/>
    <n v="0.72"/>
    <d v="2024-08-03T00:00:00"/>
    <n v="28.49"/>
    <n v="0.65300000000000002"/>
    <n v="3401.33"/>
    <x v="0"/>
    <x v="1"/>
  </r>
  <r>
    <x v="2021"/>
    <x v="3"/>
    <n v="239"/>
    <n v="34"/>
    <n v="12"/>
    <n v="3"/>
    <n v="16.079999999999998"/>
    <x v="78"/>
    <x v="2"/>
    <n v="47"/>
    <n v="0.83"/>
    <n v="167.23"/>
    <n v="0.53"/>
    <n v="2"/>
    <n v="0.82"/>
    <n v="774"/>
    <n v="4.21"/>
    <n v="0.21"/>
    <d v="2024-11-28T00:00:00"/>
    <n v="137.38999999999999"/>
    <n v="0.56899999999999995"/>
    <n v="39967.97"/>
    <x v="0"/>
    <x v="1"/>
  </r>
  <r>
    <x v="2022"/>
    <x v="3"/>
    <n v="72"/>
    <n v="82"/>
    <n v="13"/>
    <n v="9"/>
    <n v="15.16"/>
    <x v="98"/>
    <x v="3"/>
    <n v="101"/>
    <n v="2.76"/>
    <n v="60.53"/>
    <n v="1.17"/>
    <n v="1"/>
    <n v="0.86"/>
    <n v="295"/>
    <n v="10.11"/>
    <n v="0.97"/>
    <d v="2024-03-26T00:00:00"/>
    <n v="127.45"/>
    <n v="0.76400000000000001"/>
    <n v="4358.16"/>
    <x v="1"/>
    <x v="2"/>
  </r>
  <r>
    <x v="2023"/>
    <x v="1"/>
    <n v="241"/>
    <n v="36"/>
    <n v="12"/>
    <n v="2"/>
    <n v="23.96"/>
    <x v="80"/>
    <x v="2"/>
    <n v="150"/>
    <n v="1.06"/>
    <n v="178.95"/>
    <n v="0.68"/>
    <n v="6"/>
    <n v="0.77"/>
    <n v="734"/>
    <n v="11.43"/>
    <n v="0.81"/>
    <d v="2024-02-27T00:00:00"/>
    <n v="288.45999999999998"/>
    <n v="0.68"/>
    <n v="43126.95"/>
    <x v="0"/>
    <x v="1"/>
  </r>
  <r>
    <x v="2024"/>
    <x v="0"/>
    <n v="470"/>
    <n v="10"/>
    <n v="3"/>
    <n v="4"/>
    <n v="49.47"/>
    <x v="82"/>
    <x v="1"/>
    <n v="159"/>
    <n v="4.2699999999999996"/>
    <n v="123.39"/>
    <n v="0.18"/>
    <n v="7"/>
    <n v="0.86"/>
    <n v="846"/>
    <n v="8.6999999999999993"/>
    <n v="0.95"/>
    <d v="2024-03-08T00:00:00"/>
    <n v="145.01"/>
    <n v="0.72"/>
    <n v="57993.3"/>
    <x v="0"/>
    <x v="0"/>
  </r>
  <r>
    <x v="2025"/>
    <x v="1"/>
    <n v="431"/>
    <n v="96"/>
    <n v="10"/>
    <n v="7"/>
    <n v="44.55"/>
    <x v="51"/>
    <x v="0"/>
    <n v="139"/>
    <n v="3.92"/>
    <n v="117.89"/>
    <n v="0.66"/>
    <n v="8"/>
    <n v="0.97"/>
    <n v="128"/>
    <n v="12.8"/>
    <n v="0.77"/>
    <d v="2024-12-22T00:00:00"/>
    <n v="56.65"/>
    <n v="0.69299999999999995"/>
    <n v="50810.590000000004"/>
    <x v="0"/>
    <x v="0"/>
  </r>
  <r>
    <x v="2026"/>
    <x v="4"/>
    <n v="150"/>
    <n v="83"/>
    <n v="14"/>
    <n v="4"/>
    <n v="17.07"/>
    <x v="18"/>
    <x v="0"/>
    <n v="102"/>
    <n v="0.83"/>
    <n v="40.92"/>
    <n v="1.82"/>
    <n v="1"/>
    <n v="0.96"/>
    <n v="482"/>
    <n v="9.2899999999999991"/>
    <n v="0.57999999999999996"/>
    <d v="2024-01-31T00:00:00"/>
    <n v="35.64"/>
    <n v="0.63"/>
    <n v="6138"/>
    <x v="0"/>
    <x v="1"/>
  </r>
  <r>
    <x v="2027"/>
    <x v="0"/>
    <n v="256"/>
    <n v="51"/>
    <n v="5"/>
    <n v="6"/>
    <n v="21.72"/>
    <x v="30"/>
    <x v="1"/>
    <n v="86"/>
    <n v="4.26"/>
    <n v="23.21"/>
    <n v="0.43"/>
    <n v="1"/>
    <n v="0.98"/>
    <n v="329"/>
    <n v="2.34"/>
    <n v="0.35"/>
    <d v="2024-03-22T00:00:00"/>
    <n v="222.41"/>
    <n v="0.63400000000000001"/>
    <n v="5941.76"/>
    <x v="0"/>
    <x v="0"/>
  </r>
  <r>
    <x v="2028"/>
    <x v="2"/>
    <n v="265"/>
    <n v="61"/>
    <n v="8"/>
    <n v="8"/>
    <n v="33.799999999999997"/>
    <x v="94"/>
    <x v="0"/>
    <n v="22"/>
    <n v="1.96"/>
    <n v="115"/>
    <n v="1.55"/>
    <n v="6"/>
    <n v="0.85"/>
    <n v="710"/>
    <n v="12.33"/>
    <n v="0.61"/>
    <d v="2024-02-23T00:00:00"/>
    <n v="52.84"/>
    <n v="0.58099999999999996"/>
    <n v="30475"/>
    <x v="0"/>
    <x v="0"/>
  </r>
  <r>
    <x v="2029"/>
    <x v="4"/>
    <n v="245"/>
    <n v="34"/>
    <n v="5"/>
    <n v="3"/>
    <n v="1.84"/>
    <x v="41"/>
    <x v="0"/>
    <n v="66"/>
    <n v="2.09"/>
    <n v="98.92"/>
    <n v="1.47"/>
    <n v="3"/>
    <n v="0.82"/>
    <n v="418"/>
    <n v="3.05"/>
    <n v="0.77"/>
    <d v="2024-08-01T00:00:00"/>
    <n v="282.02"/>
    <n v="0.55200000000000005"/>
    <n v="24235.4"/>
    <x v="0"/>
    <x v="1"/>
  </r>
  <r>
    <x v="2030"/>
    <x v="4"/>
    <n v="227"/>
    <n v="63"/>
    <n v="13"/>
    <n v="7"/>
    <n v="41.19"/>
    <x v="73"/>
    <x v="2"/>
    <n v="171"/>
    <n v="1.31"/>
    <n v="32.74"/>
    <n v="0.3"/>
    <n v="4"/>
    <n v="0.9"/>
    <n v="328"/>
    <n v="13.36"/>
    <n v="0.88"/>
    <d v="2024-10-29T00:00:00"/>
    <n v="172.17"/>
    <n v="0.82399999999999995"/>
    <n v="7431.9800000000005"/>
    <x v="0"/>
    <x v="1"/>
  </r>
  <r>
    <x v="2031"/>
    <x v="2"/>
    <n v="425"/>
    <n v="76"/>
    <n v="4"/>
    <n v="6"/>
    <n v="44.11"/>
    <x v="51"/>
    <x v="3"/>
    <n v="156"/>
    <n v="4.26"/>
    <n v="168.76"/>
    <n v="0.73"/>
    <n v="0"/>
    <n v="0.83"/>
    <n v="400"/>
    <n v="8.31"/>
    <n v="0.46"/>
    <d v="2024-09-04T00:00:00"/>
    <n v="126.49"/>
    <n v="0.69599999999999995"/>
    <n v="71723"/>
    <x v="0"/>
    <x v="0"/>
  </r>
  <r>
    <x v="2032"/>
    <x v="4"/>
    <n v="115"/>
    <n v="15"/>
    <n v="7"/>
    <n v="3"/>
    <n v="43"/>
    <x v="71"/>
    <x v="2"/>
    <n v="146"/>
    <n v="2.3199999999999998"/>
    <n v="89.28"/>
    <n v="0.46"/>
    <n v="5"/>
    <n v="0.71"/>
    <n v="275"/>
    <n v="11.25"/>
    <n v="0.61"/>
    <d v="2024-10-18T00:00:00"/>
    <n v="208.46"/>
    <n v="0.66800000000000004"/>
    <n v="10267.200000000001"/>
    <x v="0"/>
    <x v="1"/>
  </r>
  <r>
    <x v="2033"/>
    <x v="0"/>
    <n v="441"/>
    <n v="67"/>
    <n v="3"/>
    <n v="4"/>
    <n v="19.38"/>
    <x v="34"/>
    <x v="3"/>
    <n v="125"/>
    <n v="0.72"/>
    <n v="59.49"/>
    <n v="0.14000000000000001"/>
    <n v="9"/>
    <n v="0.92"/>
    <n v="973"/>
    <n v="14.61"/>
    <n v="0.7"/>
    <d v="2024-12-13T00:00:00"/>
    <n v="67.69"/>
    <n v="0.72499999999999998"/>
    <n v="26235.09"/>
    <x v="0"/>
    <x v="0"/>
  </r>
  <r>
    <x v="2034"/>
    <x v="1"/>
    <n v="219"/>
    <n v="79"/>
    <n v="11"/>
    <n v="4"/>
    <n v="23.64"/>
    <x v="88"/>
    <x v="3"/>
    <n v="104"/>
    <n v="4.8499999999999996"/>
    <n v="159.77000000000001"/>
    <n v="0.43"/>
    <n v="7"/>
    <n v="0.78"/>
    <n v="977"/>
    <n v="7.05"/>
    <n v="0.67"/>
    <d v="2024-08-12T00:00:00"/>
    <n v="120.85"/>
    <n v="0.60099999999999998"/>
    <n v="34989.630000000005"/>
    <x v="0"/>
    <x v="1"/>
  </r>
  <r>
    <x v="2035"/>
    <x v="4"/>
    <n v="266"/>
    <n v="62"/>
    <n v="13"/>
    <n v="9"/>
    <n v="1.61"/>
    <x v="22"/>
    <x v="0"/>
    <n v="170"/>
    <n v="1.65"/>
    <n v="183.48"/>
    <n v="0.48"/>
    <n v="0"/>
    <n v="0.71"/>
    <n v="455"/>
    <n v="7.44"/>
    <n v="0.24"/>
    <d v="2024-04-02T00:00:00"/>
    <n v="19.690000000000001"/>
    <n v="0.64100000000000001"/>
    <n v="48805.68"/>
    <x v="0"/>
    <x v="0"/>
  </r>
  <r>
    <x v="2036"/>
    <x v="0"/>
    <n v="91"/>
    <n v="75"/>
    <n v="9"/>
    <n v="5"/>
    <n v="20.57"/>
    <x v="23"/>
    <x v="3"/>
    <n v="164"/>
    <n v="4.71"/>
    <n v="68.13"/>
    <n v="0.42"/>
    <n v="1"/>
    <n v="0.71"/>
    <n v="495"/>
    <n v="12.56"/>
    <n v="0.59"/>
    <d v="2024-11-08T00:00:00"/>
    <n v="264.52999999999997"/>
    <n v="0.76500000000000001"/>
    <n v="6199.83"/>
    <x v="0"/>
    <x v="2"/>
  </r>
  <r>
    <x v="2037"/>
    <x v="3"/>
    <n v="337"/>
    <n v="67"/>
    <n v="5"/>
    <n v="5"/>
    <n v="23.56"/>
    <x v="51"/>
    <x v="3"/>
    <n v="139"/>
    <n v="1.86"/>
    <n v="157.43"/>
    <n v="0.27"/>
    <n v="6"/>
    <n v="0.98"/>
    <n v="372"/>
    <n v="2.54"/>
    <n v="0.85"/>
    <d v="2024-07-13T00:00:00"/>
    <n v="133.32"/>
    <n v="0.65300000000000002"/>
    <n v="53053.91"/>
    <x v="0"/>
    <x v="0"/>
  </r>
  <r>
    <x v="2038"/>
    <x v="0"/>
    <n v="204"/>
    <n v="91"/>
    <n v="6"/>
    <n v="4"/>
    <n v="45.44"/>
    <x v="70"/>
    <x v="1"/>
    <n v="88"/>
    <n v="4.24"/>
    <n v="133.97999999999999"/>
    <n v="1.1000000000000001"/>
    <n v="1"/>
    <n v="0.78"/>
    <n v="679"/>
    <n v="1.39"/>
    <n v="0.84"/>
    <d v="2024-07-02T00:00:00"/>
    <n v="230.06"/>
    <n v="0.61299999999999999"/>
    <n v="27331.919999999998"/>
    <x v="0"/>
    <x v="1"/>
  </r>
  <r>
    <x v="2039"/>
    <x v="1"/>
    <n v="25"/>
    <n v="96"/>
    <n v="8"/>
    <n v="4"/>
    <n v="44.81"/>
    <x v="90"/>
    <x v="3"/>
    <n v="66"/>
    <n v="3.49"/>
    <n v="198.05"/>
    <n v="0.71"/>
    <n v="8"/>
    <n v="0.83"/>
    <n v="122"/>
    <n v="9.4600000000000009"/>
    <n v="0.61"/>
    <d v="2024-11-09T00:00:00"/>
    <n v="275.89"/>
    <n v="0.58299999999999996"/>
    <n v="4951.25"/>
    <x v="1"/>
    <x v="2"/>
  </r>
  <r>
    <x v="2040"/>
    <x v="0"/>
    <n v="225"/>
    <n v="11"/>
    <n v="5"/>
    <n v="2"/>
    <n v="48.34"/>
    <x v="77"/>
    <x v="1"/>
    <n v="104"/>
    <n v="4.38"/>
    <n v="48.76"/>
    <n v="1.83"/>
    <n v="5"/>
    <n v="0.99"/>
    <n v="567"/>
    <n v="3.35"/>
    <n v="0.96"/>
    <d v="2024-01-15T00:00:00"/>
    <n v="199.31"/>
    <n v="0.55200000000000005"/>
    <n v="10971"/>
    <x v="0"/>
    <x v="1"/>
  </r>
  <r>
    <x v="2041"/>
    <x v="2"/>
    <n v="51"/>
    <n v="85"/>
    <n v="14"/>
    <n v="9"/>
    <n v="44.37"/>
    <x v="49"/>
    <x v="2"/>
    <n v="66"/>
    <n v="4.8899999999999997"/>
    <n v="192.53"/>
    <n v="0.46"/>
    <n v="4"/>
    <n v="0.84"/>
    <n v="370"/>
    <n v="4.58"/>
    <n v="0.86"/>
    <d v="2024-12-16T00:00:00"/>
    <n v="118.97"/>
    <n v="0.67500000000000004"/>
    <n v="9819.0300000000007"/>
    <x v="1"/>
    <x v="2"/>
  </r>
  <r>
    <x v="2042"/>
    <x v="1"/>
    <n v="118"/>
    <n v="31"/>
    <n v="9"/>
    <n v="8"/>
    <n v="1.4"/>
    <x v="41"/>
    <x v="0"/>
    <n v="153"/>
    <n v="4.42"/>
    <n v="69.900000000000006"/>
    <n v="1.25"/>
    <n v="6"/>
    <n v="0.72"/>
    <n v="71"/>
    <n v="14.67"/>
    <n v="0.79"/>
    <d v="2024-03-07T00:00:00"/>
    <n v="189.66"/>
    <n v="0.65300000000000002"/>
    <n v="8248.2000000000007"/>
    <x v="0"/>
    <x v="1"/>
  </r>
  <r>
    <x v="2043"/>
    <x v="3"/>
    <n v="413"/>
    <n v="46"/>
    <n v="8"/>
    <n v="2"/>
    <n v="32.43"/>
    <x v="88"/>
    <x v="3"/>
    <n v="116"/>
    <n v="2.3199999999999998"/>
    <n v="88.27"/>
    <n v="1.81"/>
    <n v="9"/>
    <n v="0.87"/>
    <n v="228"/>
    <n v="10.14"/>
    <n v="0.61"/>
    <d v="2024-09-04T00:00:00"/>
    <n v="114.5"/>
    <n v="0.47"/>
    <n v="36455.509999999995"/>
    <x v="0"/>
    <x v="0"/>
  </r>
  <r>
    <x v="2044"/>
    <x v="2"/>
    <n v="406"/>
    <n v="29"/>
    <n v="11"/>
    <n v="8"/>
    <n v="4.34"/>
    <x v="19"/>
    <x v="1"/>
    <n v="88"/>
    <n v="4.17"/>
    <n v="78.180000000000007"/>
    <n v="0.19"/>
    <n v="7"/>
    <n v="0.73"/>
    <n v="757"/>
    <n v="12.98"/>
    <n v="0.67"/>
    <d v="2024-09-06T00:00:00"/>
    <n v="174.52"/>
    <n v="0.69399999999999995"/>
    <n v="31741.08"/>
    <x v="0"/>
    <x v="0"/>
  </r>
  <r>
    <x v="2045"/>
    <x v="0"/>
    <n v="275"/>
    <n v="33"/>
    <n v="14"/>
    <n v="6"/>
    <n v="14.36"/>
    <x v="31"/>
    <x v="2"/>
    <n v="143"/>
    <n v="3.7"/>
    <n v="61.01"/>
    <n v="1.08"/>
    <n v="8"/>
    <n v="0.73"/>
    <n v="158"/>
    <n v="13.57"/>
    <n v="0.38"/>
    <d v="2024-02-27T00:00:00"/>
    <n v="135.33000000000001"/>
    <n v="0.53500000000000003"/>
    <n v="16777.75"/>
    <x v="0"/>
    <x v="0"/>
  </r>
  <r>
    <x v="2046"/>
    <x v="1"/>
    <n v="206"/>
    <n v="93"/>
    <n v="7"/>
    <n v="5"/>
    <n v="29.34"/>
    <x v="58"/>
    <x v="2"/>
    <n v="23"/>
    <n v="0.78"/>
    <n v="141.71"/>
    <n v="0.96"/>
    <n v="5"/>
    <n v="0.96"/>
    <n v="421"/>
    <n v="2.7"/>
    <n v="0.63"/>
    <d v="2024-07-29T00:00:00"/>
    <n v="53.46"/>
    <n v="0.55800000000000005"/>
    <n v="29192.260000000002"/>
    <x v="0"/>
    <x v="1"/>
  </r>
  <r>
    <x v="2047"/>
    <x v="3"/>
    <n v="95"/>
    <n v="74"/>
    <n v="6"/>
    <n v="5"/>
    <n v="35.33"/>
    <x v="94"/>
    <x v="2"/>
    <n v="36"/>
    <n v="4.68"/>
    <n v="121.94"/>
    <n v="1.86"/>
    <n v="4"/>
    <n v="0.79"/>
    <n v="746"/>
    <n v="13.99"/>
    <n v="0.62"/>
    <d v="2024-08-13T00:00:00"/>
    <n v="236.23"/>
    <n v="0.60299999999999998"/>
    <n v="11584.3"/>
    <x v="0"/>
    <x v="2"/>
  </r>
  <r>
    <x v="2048"/>
    <x v="2"/>
    <n v="196"/>
    <n v="74"/>
    <n v="5"/>
    <n v="9"/>
    <n v="33.08"/>
    <x v="90"/>
    <x v="1"/>
    <n v="47"/>
    <n v="2.6"/>
    <n v="68.08"/>
    <n v="1.36"/>
    <n v="6"/>
    <n v="0.9"/>
    <n v="505"/>
    <n v="13.13"/>
    <n v="0.36"/>
    <d v="2024-01-24T00:00:00"/>
    <n v="153.96"/>
    <n v="0.57099999999999995"/>
    <n v="13343.68"/>
    <x v="0"/>
    <x v="1"/>
  </r>
  <r>
    <x v="2049"/>
    <x v="3"/>
    <n v="334"/>
    <n v="90"/>
    <n v="12"/>
    <n v="4"/>
    <n v="3.4"/>
    <x v="55"/>
    <x v="1"/>
    <n v="156"/>
    <n v="1.1100000000000001"/>
    <n v="35.119999999999997"/>
    <n v="0.76"/>
    <n v="1"/>
    <n v="0.85"/>
    <n v="616"/>
    <n v="1.63"/>
    <n v="0.96"/>
    <d v="2024-02-02T00:00:00"/>
    <n v="65.14"/>
    <n v="0.68799999999999994"/>
    <n v="11730.08"/>
    <x v="0"/>
    <x v="0"/>
  </r>
  <r>
    <x v="2050"/>
    <x v="0"/>
    <n v="306"/>
    <n v="10"/>
    <n v="3"/>
    <n v="4"/>
    <n v="6.08"/>
    <x v="23"/>
    <x v="0"/>
    <n v="174"/>
    <n v="2.41"/>
    <n v="70.3"/>
    <n v="1.45"/>
    <n v="7"/>
    <n v="0.77"/>
    <n v="278"/>
    <n v="14.68"/>
    <n v="0.4"/>
    <d v="2024-05-13T00:00:00"/>
    <n v="268.63"/>
    <n v="0.54500000000000004"/>
    <n v="21511.8"/>
    <x v="0"/>
    <x v="0"/>
  </r>
  <r>
    <x v="2051"/>
    <x v="3"/>
    <n v="368"/>
    <n v="12"/>
    <n v="5"/>
    <n v="6"/>
    <n v="7.3"/>
    <x v="3"/>
    <x v="3"/>
    <n v="136"/>
    <n v="3.21"/>
    <n v="82.43"/>
    <n v="1.21"/>
    <n v="3"/>
    <n v="0.86"/>
    <n v="987"/>
    <n v="7.42"/>
    <n v="0.28000000000000003"/>
    <d v="2024-12-01T00:00:00"/>
    <n v="257.43"/>
    <n v="0.54600000000000004"/>
    <n v="30334.240000000002"/>
    <x v="0"/>
    <x v="0"/>
  </r>
  <r>
    <x v="2052"/>
    <x v="4"/>
    <n v="274"/>
    <n v="55"/>
    <n v="5"/>
    <n v="7"/>
    <n v="5.48"/>
    <x v="57"/>
    <x v="2"/>
    <n v="13"/>
    <n v="3.08"/>
    <n v="82.32"/>
    <n v="0.76"/>
    <n v="0"/>
    <n v="0.72"/>
    <n v="997"/>
    <n v="14.64"/>
    <n v="0.56999999999999995"/>
    <d v="2024-06-09T00:00:00"/>
    <n v="172.06"/>
    <n v="0.77700000000000002"/>
    <n v="22555.679999999997"/>
    <x v="0"/>
    <x v="0"/>
  </r>
  <r>
    <x v="2053"/>
    <x v="2"/>
    <n v="344"/>
    <n v="64"/>
    <n v="9"/>
    <n v="7"/>
    <n v="9.73"/>
    <x v="79"/>
    <x v="0"/>
    <n v="67"/>
    <n v="3.09"/>
    <n v="77.88"/>
    <n v="1.59"/>
    <n v="2"/>
    <n v="0.8"/>
    <n v="580"/>
    <n v="12.53"/>
    <n v="0.75"/>
    <d v="2024-01-07T00:00:00"/>
    <n v="291.39"/>
    <n v="0.67800000000000005"/>
    <n v="26790.719999999998"/>
    <x v="0"/>
    <x v="0"/>
  </r>
  <r>
    <x v="2054"/>
    <x v="3"/>
    <n v="209"/>
    <n v="84"/>
    <n v="9"/>
    <n v="9"/>
    <n v="34.74"/>
    <x v="11"/>
    <x v="1"/>
    <n v="146"/>
    <n v="1.65"/>
    <n v="19.260000000000002"/>
    <n v="1.37"/>
    <n v="8"/>
    <n v="0.86"/>
    <n v="413"/>
    <n v="7.16"/>
    <n v="0.36"/>
    <d v="2024-12-26T00:00:00"/>
    <n v="278.88"/>
    <n v="0.442"/>
    <n v="4025.34"/>
    <x v="0"/>
    <x v="1"/>
  </r>
  <r>
    <x v="2055"/>
    <x v="0"/>
    <n v="327"/>
    <n v="97"/>
    <n v="14"/>
    <n v="7"/>
    <n v="41.71"/>
    <x v="58"/>
    <x v="0"/>
    <n v="122"/>
    <n v="3.35"/>
    <n v="98.17"/>
    <n v="0.11"/>
    <n v="3"/>
    <n v="0.77"/>
    <n v="946"/>
    <n v="8.16"/>
    <n v="0.35"/>
    <d v="2024-12-13T00:00:00"/>
    <n v="270.13"/>
    <n v="0.66200000000000003"/>
    <n v="32101.59"/>
    <x v="0"/>
    <x v="0"/>
  </r>
  <r>
    <x v="2056"/>
    <x v="0"/>
    <n v="364"/>
    <n v="95"/>
    <n v="3"/>
    <n v="5"/>
    <n v="21.03"/>
    <x v="55"/>
    <x v="2"/>
    <n v="177"/>
    <n v="4.58"/>
    <n v="168.88"/>
    <n v="1.74"/>
    <n v="9"/>
    <n v="0.9"/>
    <n v="474"/>
    <n v="4.8499999999999996"/>
    <n v="0.41"/>
    <d v="2024-09-25T00:00:00"/>
    <n v="48.65"/>
    <n v="0.373"/>
    <n v="61472.32"/>
    <x v="0"/>
    <x v="0"/>
  </r>
  <r>
    <x v="2057"/>
    <x v="3"/>
    <n v="146"/>
    <n v="73"/>
    <n v="5"/>
    <n v="2"/>
    <n v="34.950000000000003"/>
    <x v="13"/>
    <x v="2"/>
    <n v="152"/>
    <n v="2.25"/>
    <n v="44.27"/>
    <n v="0.85"/>
    <n v="9"/>
    <n v="0.72"/>
    <n v="265"/>
    <n v="7.82"/>
    <n v="0.44"/>
    <d v="2024-10-22T00:00:00"/>
    <n v="95.44"/>
    <n v="0.47099999999999997"/>
    <n v="6463.42"/>
    <x v="0"/>
    <x v="1"/>
  </r>
  <r>
    <x v="2058"/>
    <x v="0"/>
    <n v="444"/>
    <n v="54"/>
    <n v="10"/>
    <n v="7"/>
    <n v="10.8"/>
    <x v="74"/>
    <x v="0"/>
    <n v="13"/>
    <n v="3.34"/>
    <n v="37.67"/>
    <n v="1.33"/>
    <n v="2"/>
    <n v="0.85"/>
    <n v="97"/>
    <n v="2.5"/>
    <n v="0.4"/>
    <d v="2024-10-16T00:00:00"/>
    <n v="128.96"/>
    <n v="0.51"/>
    <n v="16725.48"/>
    <x v="0"/>
    <x v="0"/>
  </r>
  <r>
    <x v="2059"/>
    <x v="1"/>
    <n v="306"/>
    <n v="35"/>
    <n v="11"/>
    <n v="3"/>
    <n v="48.69"/>
    <x v="46"/>
    <x v="2"/>
    <n v="61"/>
    <n v="1.6"/>
    <n v="99.65"/>
    <n v="0.85"/>
    <n v="3"/>
    <n v="0.91"/>
    <n v="514"/>
    <n v="13.72"/>
    <n v="0.57999999999999996"/>
    <d v="2024-04-24T00:00:00"/>
    <n v="251.25"/>
    <n v="0.73599999999999999"/>
    <n v="30492.9"/>
    <x v="0"/>
    <x v="0"/>
  </r>
  <r>
    <x v="2060"/>
    <x v="1"/>
    <n v="273"/>
    <n v="86"/>
    <n v="9"/>
    <n v="9"/>
    <n v="18.149999999999999"/>
    <x v="87"/>
    <x v="1"/>
    <n v="155"/>
    <n v="0.72"/>
    <n v="80.41"/>
    <n v="1.77"/>
    <n v="2"/>
    <n v="0.83"/>
    <n v="721"/>
    <n v="10.98"/>
    <n v="0.21"/>
    <d v="2024-12-08T00:00:00"/>
    <n v="262.66000000000003"/>
    <n v="0.53700000000000003"/>
    <n v="21951.93"/>
    <x v="0"/>
    <x v="0"/>
  </r>
  <r>
    <x v="2061"/>
    <x v="1"/>
    <n v="232"/>
    <n v="74"/>
    <n v="9"/>
    <n v="6"/>
    <n v="42.45"/>
    <x v="46"/>
    <x v="2"/>
    <n v="108"/>
    <n v="3.14"/>
    <n v="116.64"/>
    <n v="1.34"/>
    <n v="2"/>
    <n v="0.96"/>
    <n v="995"/>
    <n v="12.27"/>
    <n v="0.27"/>
    <d v="2024-06-22T00:00:00"/>
    <n v="227.93"/>
    <n v="0.63600000000000001"/>
    <n v="27060.48"/>
    <x v="0"/>
    <x v="1"/>
  </r>
  <r>
    <x v="2062"/>
    <x v="4"/>
    <n v="269"/>
    <n v="33"/>
    <n v="14"/>
    <n v="7"/>
    <n v="47.32"/>
    <x v="88"/>
    <x v="3"/>
    <n v="178"/>
    <n v="0.71"/>
    <n v="189.94"/>
    <n v="1.2"/>
    <n v="1"/>
    <n v="0.89"/>
    <n v="959"/>
    <n v="8.44"/>
    <n v="0.78"/>
    <d v="2024-09-22T00:00:00"/>
    <n v="147"/>
    <n v="0.70699999999999996"/>
    <n v="51093.86"/>
    <x v="0"/>
    <x v="0"/>
  </r>
  <r>
    <x v="2063"/>
    <x v="3"/>
    <n v="103"/>
    <n v="83"/>
    <n v="13"/>
    <n v="3"/>
    <n v="43.37"/>
    <x v="96"/>
    <x v="3"/>
    <n v="102"/>
    <n v="3.76"/>
    <n v="154.57"/>
    <n v="1.96"/>
    <n v="5"/>
    <n v="0.99"/>
    <n v="322"/>
    <n v="2.76"/>
    <n v="0.53"/>
    <d v="2024-09-24T00:00:00"/>
    <n v="56.95"/>
    <n v="0.44500000000000001"/>
    <n v="15920.71"/>
    <x v="0"/>
    <x v="1"/>
  </r>
  <r>
    <x v="2064"/>
    <x v="4"/>
    <n v="402"/>
    <n v="44"/>
    <n v="10"/>
    <n v="7"/>
    <n v="4.29"/>
    <x v="15"/>
    <x v="2"/>
    <n v="126"/>
    <n v="3.52"/>
    <n v="140.54"/>
    <n v="0.63"/>
    <n v="9"/>
    <n v="0.79"/>
    <n v="657"/>
    <n v="8.52"/>
    <n v="0.49"/>
    <d v="2024-12-18T00:00:00"/>
    <n v="20.21"/>
    <n v="0.52700000000000002"/>
    <n v="56497.079999999994"/>
    <x v="0"/>
    <x v="0"/>
  </r>
  <r>
    <x v="2065"/>
    <x v="0"/>
    <n v="425"/>
    <n v="33"/>
    <n v="8"/>
    <n v="2"/>
    <n v="32.869999999999997"/>
    <x v="29"/>
    <x v="0"/>
    <n v="13"/>
    <n v="2.16"/>
    <n v="89.03"/>
    <n v="0.22"/>
    <n v="5"/>
    <n v="0.98"/>
    <n v="79"/>
    <n v="5.61"/>
    <n v="0.21"/>
    <d v="2024-12-24T00:00:00"/>
    <n v="212.8"/>
    <n v="0.59099999999999997"/>
    <n v="37837.75"/>
    <x v="0"/>
    <x v="0"/>
  </r>
  <r>
    <x v="2066"/>
    <x v="4"/>
    <n v="407"/>
    <n v="37"/>
    <n v="13"/>
    <n v="2"/>
    <n v="6.88"/>
    <x v="52"/>
    <x v="2"/>
    <n v="94"/>
    <n v="2.35"/>
    <n v="64.599999999999994"/>
    <n v="1.08"/>
    <n v="9"/>
    <n v="0.88"/>
    <n v="682"/>
    <n v="1.1399999999999999"/>
    <n v="0.44"/>
    <d v="2024-11-12T00:00:00"/>
    <n v="298.3"/>
    <n v="0.39100000000000001"/>
    <n v="26292.199999999997"/>
    <x v="0"/>
    <x v="0"/>
  </r>
  <r>
    <x v="2067"/>
    <x v="0"/>
    <n v="32"/>
    <n v="89"/>
    <n v="5"/>
    <n v="7"/>
    <n v="1.28"/>
    <x v="86"/>
    <x v="3"/>
    <n v="176"/>
    <n v="4.63"/>
    <n v="112.65"/>
    <n v="0.91"/>
    <n v="3"/>
    <n v="0.92"/>
    <n v="928"/>
    <n v="9.61"/>
    <n v="0.86"/>
    <d v="2024-02-18T00:00:00"/>
    <n v="110.19"/>
    <n v="0.73299999999999998"/>
    <n v="3604.8"/>
    <x v="1"/>
    <x v="2"/>
  </r>
  <r>
    <x v="2068"/>
    <x v="0"/>
    <n v="64"/>
    <n v="25"/>
    <n v="3"/>
    <n v="9"/>
    <n v="3.54"/>
    <x v="48"/>
    <x v="1"/>
    <n v="16"/>
    <n v="0.56000000000000005"/>
    <n v="178.23"/>
    <n v="0.96"/>
    <n v="7"/>
    <n v="0.97"/>
    <n v="996"/>
    <n v="12.95"/>
    <n v="0.47"/>
    <d v="2024-08-09T00:00:00"/>
    <n v="174.93"/>
    <n v="0.625"/>
    <n v="11406.72"/>
    <x v="0"/>
    <x v="2"/>
  </r>
  <r>
    <x v="2069"/>
    <x v="2"/>
    <n v="146"/>
    <n v="68"/>
    <n v="9"/>
    <n v="9"/>
    <n v="45.89"/>
    <x v="6"/>
    <x v="3"/>
    <n v="134"/>
    <n v="3.03"/>
    <n v="176.58"/>
    <n v="1.28"/>
    <n v="5"/>
    <n v="0.87"/>
    <n v="915"/>
    <n v="10.95"/>
    <n v="0.97"/>
    <d v="2024-12-04T00:00:00"/>
    <n v="245.07"/>
    <n v="0.68600000000000005"/>
    <n v="25780.68"/>
    <x v="0"/>
    <x v="1"/>
  </r>
  <r>
    <x v="2070"/>
    <x v="1"/>
    <n v="445"/>
    <n v="90"/>
    <n v="3"/>
    <n v="3"/>
    <n v="45.51"/>
    <x v="7"/>
    <x v="2"/>
    <n v="160"/>
    <n v="4.66"/>
    <n v="94.65"/>
    <n v="1.27"/>
    <n v="7"/>
    <n v="0.96"/>
    <n v="239"/>
    <n v="4.13"/>
    <n v="0.51"/>
    <d v="2024-05-07T00:00:00"/>
    <n v="64.08"/>
    <n v="0.48199999999999998"/>
    <n v="42119.25"/>
    <x v="0"/>
    <x v="0"/>
  </r>
  <r>
    <x v="2071"/>
    <x v="0"/>
    <n v="133"/>
    <n v="63"/>
    <n v="3"/>
    <n v="6"/>
    <n v="12.07"/>
    <x v="30"/>
    <x v="2"/>
    <n v="94"/>
    <n v="4.6100000000000003"/>
    <n v="56.78"/>
    <n v="0.85"/>
    <n v="5"/>
    <n v="0.86"/>
    <n v="201"/>
    <n v="12.47"/>
    <n v="0.56999999999999995"/>
    <d v="2024-09-03T00:00:00"/>
    <n v="250.57"/>
    <n v="0.66700000000000004"/>
    <n v="7551.74"/>
    <x v="0"/>
    <x v="1"/>
  </r>
  <r>
    <x v="2072"/>
    <x v="2"/>
    <n v="452"/>
    <n v="88"/>
    <n v="11"/>
    <n v="3"/>
    <n v="27.81"/>
    <x v="59"/>
    <x v="0"/>
    <n v="72"/>
    <n v="3.13"/>
    <n v="52.82"/>
    <n v="1.74"/>
    <n v="8"/>
    <n v="0.88"/>
    <n v="425"/>
    <n v="5.33"/>
    <n v="0.84"/>
    <d v="2024-06-26T00:00:00"/>
    <n v="191.35"/>
    <n v="0.48099999999999998"/>
    <n v="23874.639999999999"/>
    <x v="0"/>
    <x v="0"/>
  </r>
  <r>
    <x v="2073"/>
    <x v="1"/>
    <n v="295"/>
    <n v="25"/>
    <n v="12"/>
    <n v="6"/>
    <n v="47.8"/>
    <x v="43"/>
    <x v="2"/>
    <n v="132"/>
    <n v="2.2200000000000002"/>
    <n v="16.46"/>
    <n v="1.34"/>
    <n v="2"/>
    <n v="0.83"/>
    <n v="304"/>
    <n v="4.0599999999999996"/>
    <n v="0.99"/>
    <d v="2024-12-05T00:00:00"/>
    <n v="175.26"/>
    <n v="0.64400000000000002"/>
    <n v="4855.7"/>
    <x v="0"/>
    <x v="0"/>
  </r>
  <r>
    <x v="2074"/>
    <x v="0"/>
    <n v="224"/>
    <n v="24"/>
    <n v="9"/>
    <n v="7"/>
    <n v="25.34"/>
    <x v="32"/>
    <x v="2"/>
    <n v="178"/>
    <n v="0.95"/>
    <n v="170.11"/>
    <n v="1.79"/>
    <n v="2"/>
    <n v="0.74"/>
    <n v="752"/>
    <n v="14.46"/>
    <n v="0.5"/>
    <d v="2024-12-12T00:00:00"/>
    <n v="231.06"/>
    <n v="0.622"/>
    <n v="38104.639999999999"/>
    <x v="0"/>
    <x v="1"/>
  </r>
  <r>
    <x v="2075"/>
    <x v="0"/>
    <n v="356"/>
    <n v="20"/>
    <n v="13"/>
    <n v="6"/>
    <n v="20.29"/>
    <x v="17"/>
    <x v="1"/>
    <n v="98"/>
    <n v="1.28"/>
    <n v="60.32"/>
    <n v="1.83"/>
    <n v="1"/>
    <n v="0.87"/>
    <n v="703"/>
    <n v="1.23"/>
    <n v="0.3"/>
    <d v="2024-11-24T00:00:00"/>
    <n v="79.88"/>
    <n v="0.44700000000000001"/>
    <n v="21473.920000000002"/>
    <x v="0"/>
    <x v="0"/>
  </r>
  <r>
    <x v="2076"/>
    <x v="4"/>
    <n v="457"/>
    <n v="74"/>
    <n v="6"/>
    <n v="4"/>
    <n v="24.68"/>
    <x v="52"/>
    <x v="1"/>
    <n v="104"/>
    <n v="3.56"/>
    <n v="78.209999999999994"/>
    <n v="0.42"/>
    <n v="9"/>
    <n v="0.99"/>
    <n v="807"/>
    <n v="3.35"/>
    <n v="0.62"/>
    <d v="2024-07-16T00:00:00"/>
    <n v="188.29"/>
    <n v="0.54500000000000004"/>
    <n v="35741.969999999994"/>
    <x v="0"/>
    <x v="0"/>
  </r>
  <r>
    <x v="2077"/>
    <x v="4"/>
    <n v="439"/>
    <n v="88"/>
    <n v="8"/>
    <n v="5"/>
    <n v="39.72"/>
    <x v="10"/>
    <x v="1"/>
    <n v="128"/>
    <n v="0.56999999999999995"/>
    <n v="163.75"/>
    <n v="1.39"/>
    <n v="5"/>
    <n v="0.94"/>
    <n v="83"/>
    <n v="7.54"/>
    <n v="0.67"/>
    <d v="2024-03-17T00:00:00"/>
    <n v="79.709999999999994"/>
    <n v="0.58399999999999996"/>
    <n v="71886.25"/>
    <x v="0"/>
    <x v="0"/>
  </r>
  <r>
    <x v="2078"/>
    <x v="1"/>
    <n v="404"/>
    <n v="99"/>
    <n v="3"/>
    <n v="8"/>
    <n v="24.39"/>
    <x v="3"/>
    <x v="0"/>
    <n v="53"/>
    <n v="4.4800000000000004"/>
    <n v="32.799999999999997"/>
    <n v="0.7"/>
    <n v="6"/>
    <n v="0.92"/>
    <n v="236"/>
    <n v="3.34"/>
    <n v="0.97"/>
    <d v="2024-10-12T00:00:00"/>
    <n v="62.07"/>
    <n v="0.63300000000000001"/>
    <n v="13251.199999999999"/>
    <x v="0"/>
    <x v="0"/>
  </r>
  <r>
    <x v="2079"/>
    <x v="0"/>
    <n v="418"/>
    <n v="77"/>
    <n v="9"/>
    <n v="5"/>
    <n v="39.380000000000003"/>
    <x v="79"/>
    <x v="0"/>
    <n v="111"/>
    <n v="3.15"/>
    <n v="97.63"/>
    <n v="1.69"/>
    <n v="6"/>
    <n v="0.89"/>
    <n v="928"/>
    <n v="3.34"/>
    <n v="0.53"/>
    <d v="2024-11-09T00:00:00"/>
    <n v="190.77"/>
    <n v="0.44"/>
    <n v="40809.339999999997"/>
    <x v="0"/>
    <x v="0"/>
  </r>
  <r>
    <x v="2080"/>
    <x v="3"/>
    <n v="480"/>
    <n v="52"/>
    <n v="14"/>
    <n v="2"/>
    <n v="22.15"/>
    <x v="14"/>
    <x v="3"/>
    <n v="54"/>
    <n v="0.7"/>
    <n v="33.24"/>
    <n v="1.49"/>
    <n v="4"/>
    <n v="0.8"/>
    <n v="498"/>
    <n v="9.8800000000000008"/>
    <n v="0.27"/>
    <d v="2024-01-28T00:00:00"/>
    <n v="88.09"/>
    <n v="0.51700000000000002"/>
    <n v="15955.2"/>
    <x v="0"/>
    <x v="0"/>
  </r>
  <r>
    <x v="2081"/>
    <x v="4"/>
    <n v="292"/>
    <n v="78"/>
    <n v="8"/>
    <n v="4"/>
    <n v="13.35"/>
    <x v="51"/>
    <x v="0"/>
    <n v="126"/>
    <n v="1.58"/>
    <n v="93.95"/>
    <n v="0.48"/>
    <n v="5"/>
    <n v="0.75"/>
    <n v="135"/>
    <n v="12.47"/>
    <n v="0.72"/>
    <d v="2024-01-06T00:00:00"/>
    <n v="217.17"/>
    <n v="0.71199999999999997"/>
    <n v="27433.4"/>
    <x v="0"/>
    <x v="0"/>
  </r>
  <r>
    <x v="2082"/>
    <x v="1"/>
    <n v="427"/>
    <n v="22"/>
    <n v="6"/>
    <n v="5"/>
    <n v="17"/>
    <x v="29"/>
    <x v="1"/>
    <n v="60"/>
    <n v="3.17"/>
    <n v="18.96"/>
    <n v="1.88"/>
    <n v="6"/>
    <n v="0.77"/>
    <n v="722"/>
    <n v="10.26"/>
    <n v="0.22"/>
    <d v="2024-11-25T00:00:00"/>
    <n v="159.19999999999999"/>
    <n v="0.42699999999999999"/>
    <n v="8095.92"/>
    <x v="0"/>
    <x v="0"/>
  </r>
  <r>
    <x v="2083"/>
    <x v="0"/>
    <n v="77"/>
    <n v="19"/>
    <n v="9"/>
    <n v="7"/>
    <n v="4.8099999999999996"/>
    <x v="52"/>
    <x v="0"/>
    <n v="74"/>
    <n v="0.66"/>
    <n v="108.35"/>
    <n v="1.4"/>
    <n v="1"/>
    <n v="0.7"/>
    <n v="925"/>
    <n v="2.42"/>
    <n v="0.54"/>
    <d v="2024-03-21T00:00:00"/>
    <n v="211.54"/>
    <n v="0.52"/>
    <n v="8342.9499999999989"/>
    <x v="0"/>
    <x v="2"/>
  </r>
  <r>
    <x v="2084"/>
    <x v="0"/>
    <n v="347"/>
    <n v="84"/>
    <n v="5"/>
    <n v="6"/>
    <n v="25.37"/>
    <x v="45"/>
    <x v="2"/>
    <n v="63"/>
    <n v="4.01"/>
    <n v="161.18"/>
    <n v="1.9"/>
    <n v="9"/>
    <n v="0.9"/>
    <n v="167"/>
    <n v="13.54"/>
    <n v="0.53"/>
    <d v="2024-09-15T00:00:00"/>
    <n v="268.57"/>
    <n v="0.497"/>
    <n v="55929.46"/>
    <x v="0"/>
    <x v="0"/>
  </r>
  <r>
    <x v="2085"/>
    <x v="3"/>
    <n v="238"/>
    <n v="91"/>
    <n v="3"/>
    <n v="6"/>
    <n v="8.26"/>
    <x v="90"/>
    <x v="0"/>
    <n v="81"/>
    <n v="4.6399999999999997"/>
    <n v="138.5"/>
    <n v="0.48"/>
    <n v="6"/>
    <n v="0.94"/>
    <n v="672"/>
    <n v="13.92"/>
    <n v="0.4"/>
    <d v="2024-08-28T00:00:00"/>
    <n v="50.09"/>
    <n v="0.68600000000000005"/>
    <n v="32963"/>
    <x v="0"/>
    <x v="1"/>
  </r>
  <r>
    <x v="2086"/>
    <x v="1"/>
    <n v="128"/>
    <n v="50"/>
    <n v="6"/>
    <n v="3"/>
    <n v="40.770000000000003"/>
    <x v="77"/>
    <x v="2"/>
    <n v="129"/>
    <n v="4.83"/>
    <n v="106.74"/>
    <n v="1.75"/>
    <n v="0"/>
    <n v="0.78"/>
    <n v="107"/>
    <n v="4.93"/>
    <n v="0.97"/>
    <d v="2024-09-10T00:00:00"/>
    <n v="29.35"/>
    <n v="0.64100000000000001"/>
    <n v="13662.72"/>
    <x v="0"/>
    <x v="1"/>
  </r>
  <r>
    <x v="2087"/>
    <x v="0"/>
    <n v="298"/>
    <n v="59"/>
    <n v="5"/>
    <n v="3"/>
    <n v="21.61"/>
    <x v="31"/>
    <x v="3"/>
    <n v="177"/>
    <n v="3.8"/>
    <n v="167.46"/>
    <n v="1.37"/>
    <n v="5"/>
    <n v="0.73"/>
    <n v="67"/>
    <n v="8.74"/>
    <n v="0.52"/>
    <d v="2024-03-25T00:00:00"/>
    <n v="125.98"/>
    <n v="0.53"/>
    <n v="49903.08"/>
    <x v="0"/>
    <x v="0"/>
  </r>
  <r>
    <x v="2088"/>
    <x v="4"/>
    <n v="193"/>
    <n v="96"/>
    <n v="3"/>
    <n v="9"/>
    <n v="38.49"/>
    <x v="30"/>
    <x v="2"/>
    <n v="152"/>
    <n v="4.3600000000000003"/>
    <n v="53.28"/>
    <n v="1.1499999999999999"/>
    <n v="7"/>
    <n v="0.8"/>
    <n v="928"/>
    <n v="7.79"/>
    <n v="0.92"/>
    <d v="2024-02-08T00:00:00"/>
    <n v="217.85"/>
    <n v="0.59299999999999997"/>
    <n v="10283.040000000001"/>
    <x v="0"/>
    <x v="1"/>
  </r>
  <r>
    <x v="2089"/>
    <x v="3"/>
    <n v="347"/>
    <n v="80"/>
    <n v="4"/>
    <n v="6"/>
    <n v="47.77"/>
    <x v="28"/>
    <x v="1"/>
    <n v="28"/>
    <n v="3.25"/>
    <n v="167.85"/>
    <n v="1.66"/>
    <n v="0"/>
    <n v="0.79"/>
    <n v="920"/>
    <n v="10.36"/>
    <n v="0.61"/>
    <d v="2024-09-08T00:00:00"/>
    <n v="266.98"/>
    <n v="0.65200000000000002"/>
    <n v="58243.95"/>
    <x v="0"/>
    <x v="0"/>
  </r>
  <r>
    <x v="2090"/>
    <x v="1"/>
    <n v="283"/>
    <n v="68"/>
    <n v="13"/>
    <n v="9"/>
    <n v="42.62"/>
    <x v="96"/>
    <x v="3"/>
    <n v="19"/>
    <n v="2.56"/>
    <n v="62.51"/>
    <n v="1.3"/>
    <n v="0"/>
    <n v="0.84"/>
    <n v="189"/>
    <n v="14.69"/>
    <n v="0.86"/>
    <d v="2024-06-13T00:00:00"/>
    <n v="20.09"/>
    <n v="0.80600000000000005"/>
    <n v="17690.329999999998"/>
    <x v="0"/>
    <x v="0"/>
  </r>
  <r>
    <x v="2091"/>
    <x v="3"/>
    <n v="334"/>
    <n v="48"/>
    <n v="7"/>
    <n v="7"/>
    <n v="47.62"/>
    <x v="62"/>
    <x v="3"/>
    <n v="25"/>
    <n v="3.71"/>
    <n v="78.87"/>
    <n v="1.37"/>
    <n v="5"/>
    <n v="0.78"/>
    <n v="507"/>
    <n v="14.81"/>
    <n v="0.56000000000000005"/>
    <d v="2024-05-03T00:00:00"/>
    <n v="239.96"/>
    <n v="0.628"/>
    <n v="26342.58"/>
    <x v="0"/>
    <x v="0"/>
  </r>
  <r>
    <x v="2092"/>
    <x v="4"/>
    <n v="493"/>
    <n v="12"/>
    <n v="10"/>
    <n v="6"/>
    <n v="28.83"/>
    <x v="52"/>
    <x v="3"/>
    <n v="168"/>
    <n v="1.51"/>
    <n v="34.4"/>
    <n v="0.57999999999999996"/>
    <n v="4"/>
    <n v="0.8"/>
    <n v="755"/>
    <n v="8.1300000000000008"/>
    <n v="0.99"/>
    <d v="2024-06-18T00:00:00"/>
    <n v="31.87"/>
    <n v="0.72799999999999998"/>
    <n v="16959.2"/>
    <x v="0"/>
    <x v="0"/>
  </r>
  <r>
    <x v="2093"/>
    <x v="1"/>
    <n v="130"/>
    <n v="85"/>
    <n v="3"/>
    <n v="3"/>
    <n v="9.1"/>
    <x v="45"/>
    <x v="1"/>
    <n v="117"/>
    <n v="0.99"/>
    <n v="29.33"/>
    <n v="1.65"/>
    <n v="2"/>
    <n v="0.97"/>
    <n v="691"/>
    <n v="2.29"/>
    <n v="0.71"/>
    <d v="2024-05-22T00:00:00"/>
    <n v="178.37"/>
    <n v="0.56200000000000006"/>
    <n v="3812.8999999999996"/>
    <x v="0"/>
    <x v="1"/>
  </r>
  <r>
    <x v="2094"/>
    <x v="3"/>
    <n v="206"/>
    <n v="16"/>
    <n v="6"/>
    <n v="5"/>
    <n v="46.83"/>
    <x v="60"/>
    <x v="2"/>
    <n v="25"/>
    <n v="3.93"/>
    <n v="187.1"/>
    <n v="1.34"/>
    <n v="9"/>
    <n v="0.8"/>
    <n v="261"/>
    <n v="5.68"/>
    <n v="0.32"/>
    <d v="2024-01-26T00:00:00"/>
    <n v="109.79"/>
    <n v="0.38600000000000001"/>
    <n v="38542.6"/>
    <x v="0"/>
    <x v="1"/>
  </r>
  <r>
    <x v="2095"/>
    <x v="2"/>
    <n v="288"/>
    <n v="58"/>
    <n v="6"/>
    <n v="9"/>
    <n v="43.56"/>
    <x v="82"/>
    <x v="3"/>
    <n v="89"/>
    <n v="4.8099999999999996"/>
    <n v="46.1"/>
    <n v="1.7"/>
    <n v="9"/>
    <n v="0.94"/>
    <n v="535"/>
    <n v="6.79"/>
    <n v="0.21"/>
    <d v="2024-09-16T00:00:00"/>
    <n v="15.12"/>
    <n v="0.371"/>
    <n v="13276.800000000001"/>
    <x v="0"/>
    <x v="0"/>
  </r>
  <r>
    <x v="2096"/>
    <x v="4"/>
    <n v="442"/>
    <n v="35"/>
    <n v="7"/>
    <n v="9"/>
    <n v="43.36"/>
    <x v="92"/>
    <x v="1"/>
    <n v="37"/>
    <n v="3.1"/>
    <n v="73.33"/>
    <n v="0.77"/>
    <n v="6"/>
    <n v="0.89"/>
    <n v="845"/>
    <n v="8.48"/>
    <n v="0.94"/>
    <d v="2024-04-24T00:00:00"/>
    <n v="38.159999999999997"/>
    <n v="0.68200000000000005"/>
    <n v="32411.86"/>
    <x v="0"/>
    <x v="0"/>
  </r>
  <r>
    <x v="2097"/>
    <x v="4"/>
    <n v="248"/>
    <n v="42"/>
    <n v="9"/>
    <n v="2"/>
    <n v="34.97"/>
    <x v="36"/>
    <x v="3"/>
    <n v="157"/>
    <n v="2.67"/>
    <n v="110.54"/>
    <n v="0.73"/>
    <n v="6"/>
    <n v="0.8"/>
    <n v="169"/>
    <n v="14.45"/>
    <n v="0.75"/>
    <d v="2024-10-08T00:00:00"/>
    <n v="112.58"/>
    <n v="0.71"/>
    <n v="27413.920000000002"/>
    <x v="0"/>
    <x v="1"/>
  </r>
  <r>
    <x v="2098"/>
    <x v="4"/>
    <n v="175"/>
    <n v="57"/>
    <n v="14"/>
    <n v="3"/>
    <n v="31.62"/>
    <x v="95"/>
    <x v="3"/>
    <n v="172"/>
    <n v="2.9"/>
    <n v="76.09"/>
    <n v="0.15"/>
    <n v="6"/>
    <n v="0.95"/>
    <n v="940"/>
    <n v="4.67"/>
    <n v="0.28999999999999998"/>
    <d v="2024-11-25T00:00:00"/>
    <n v="286.58999999999997"/>
    <n v="0.57499999999999996"/>
    <n v="13315.75"/>
    <x v="0"/>
    <x v="1"/>
  </r>
  <r>
    <x v="2099"/>
    <x v="2"/>
    <n v="492"/>
    <n v="88"/>
    <n v="10"/>
    <n v="7"/>
    <n v="1.72"/>
    <x v="46"/>
    <x v="1"/>
    <n v="18"/>
    <n v="2.65"/>
    <n v="175.33"/>
    <n v="1.56"/>
    <n v="5"/>
    <n v="0.88"/>
    <n v="603"/>
    <n v="8.51"/>
    <n v="0.79"/>
    <d v="2024-07-12T00:00:00"/>
    <n v="54.9"/>
    <n v="0.59099999999999997"/>
    <n v="86262.36"/>
    <x v="0"/>
    <x v="0"/>
  </r>
  <r>
    <x v="2100"/>
    <x v="2"/>
    <n v="208"/>
    <n v="11"/>
    <n v="8"/>
    <n v="9"/>
    <n v="37.65"/>
    <x v="9"/>
    <x v="0"/>
    <n v="113"/>
    <n v="2.4900000000000002"/>
    <n v="181.14"/>
    <n v="0.73"/>
    <n v="3"/>
    <n v="0.7"/>
    <n v="52"/>
    <n v="5.07"/>
    <n v="0.38"/>
    <d v="2024-07-25T00:00:00"/>
    <n v="88.87"/>
    <n v="0.55100000000000005"/>
    <n v="37677.119999999995"/>
    <x v="0"/>
    <x v="1"/>
  </r>
  <r>
    <x v="2101"/>
    <x v="0"/>
    <n v="291"/>
    <n v="80"/>
    <n v="3"/>
    <n v="5"/>
    <n v="5.49"/>
    <x v="82"/>
    <x v="3"/>
    <n v="147"/>
    <n v="4.76"/>
    <n v="71.94"/>
    <n v="0.72"/>
    <n v="8"/>
    <n v="0.72"/>
    <n v="993"/>
    <n v="13.87"/>
    <n v="0.85"/>
    <d v="2024-04-30T00:00:00"/>
    <n v="298.3"/>
    <n v="0.66700000000000004"/>
    <n v="20934.54"/>
    <x v="0"/>
    <x v="0"/>
  </r>
  <r>
    <x v="2102"/>
    <x v="3"/>
    <n v="394"/>
    <n v="41"/>
    <n v="9"/>
    <n v="5"/>
    <n v="13.73"/>
    <x v="89"/>
    <x v="0"/>
    <n v="54"/>
    <n v="2.66"/>
    <n v="27.49"/>
    <n v="1.41"/>
    <n v="8"/>
    <n v="0.93"/>
    <n v="278"/>
    <n v="14.86"/>
    <n v="0.69"/>
    <d v="2024-02-10T00:00:00"/>
    <n v="149.38"/>
    <n v="0.621"/>
    <n v="10831.06"/>
    <x v="0"/>
    <x v="0"/>
  </r>
  <r>
    <x v="2103"/>
    <x v="0"/>
    <n v="21"/>
    <n v="13"/>
    <n v="5"/>
    <n v="5"/>
    <n v="28.02"/>
    <x v="92"/>
    <x v="3"/>
    <n v="118"/>
    <n v="0.86"/>
    <n v="49.93"/>
    <n v="0.57999999999999996"/>
    <n v="6"/>
    <n v="0.83"/>
    <n v="278"/>
    <n v="13.19"/>
    <n v="0.3"/>
    <d v="2024-08-23T00:00:00"/>
    <n v="86.05"/>
    <n v="0.624"/>
    <n v="1048.53"/>
    <x v="0"/>
    <x v="2"/>
  </r>
  <r>
    <x v="2104"/>
    <x v="3"/>
    <n v="265"/>
    <n v="29"/>
    <n v="8"/>
    <n v="4"/>
    <n v="23.13"/>
    <x v="99"/>
    <x v="0"/>
    <n v="152"/>
    <n v="3.94"/>
    <n v="100.13"/>
    <n v="1.83"/>
    <n v="6"/>
    <n v="0.82"/>
    <n v="392"/>
    <n v="5.74"/>
    <n v="0.26"/>
    <d v="2024-08-15T00:00:00"/>
    <n v="188.62"/>
    <n v="0.39"/>
    <n v="26534.449999999997"/>
    <x v="0"/>
    <x v="0"/>
  </r>
  <r>
    <x v="2105"/>
    <x v="2"/>
    <n v="229"/>
    <n v="45"/>
    <n v="10"/>
    <n v="4"/>
    <n v="1.77"/>
    <x v="98"/>
    <x v="2"/>
    <n v="39"/>
    <n v="2.2599999999999998"/>
    <n v="64.81"/>
    <n v="1.1200000000000001"/>
    <n v="7"/>
    <n v="0.74"/>
    <n v="190"/>
    <n v="4.8899999999999997"/>
    <n v="0.56999999999999995"/>
    <d v="2024-10-20T00:00:00"/>
    <n v="136.44999999999999"/>
    <n v="0.47499999999999998"/>
    <n v="14841.49"/>
    <x v="0"/>
    <x v="1"/>
  </r>
  <r>
    <x v="2106"/>
    <x v="2"/>
    <n v="420"/>
    <n v="41"/>
    <n v="9"/>
    <n v="8"/>
    <n v="41.38"/>
    <x v="75"/>
    <x v="0"/>
    <n v="57"/>
    <n v="3.7"/>
    <n v="96.16"/>
    <n v="1.94"/>
    <n v="4"/>
    <n v="0.75"/>
    <n v="106"/>
    <n v="7.04"/>
    <n v="0.95"/>
    <d v="2024-08-17T00:00:00"/>
    <n v="258.91000000000003"/>
    <n v="0.56000000000000005"/>
    <n v="40387.199999999997"/>
    <x v="0"/>
    <x v="0"/>
  </r>
  <r>
    <x v="2107"/>
    <x v="0"/>
    <n v="305"/>
    <n v="37"/>
    <n v="12"/>
    <n v="5"/>
    <n v="44.06"/>
    <x v="72"/>
    <x v="0"/>
    <n v="177"/>
    <n v="3.11"/>
    <n v="154.15"/>
    <n v="0.25"/>
    <n v="8"/>
    <n v="0.94"/>
    <n v="265"/>
    <n v="11.47"/>
    <n v="0.65"/>
    <d v="2024-02-15T00:00:00"/>
    <n v="12.31"/>
    <n v="0.68600000000000005"/>
    <n v="47015.75"/>
    <x v="0"/>
    <x v="0"/>
  </r>
  <r>
    <x v="2108"/>
    <x v="1"/>
    <n v="378"/>
    <n v="86"/>
    <n v="8"/>
    <n v="9"/>
    <n v="34.409999999999997"/>
    <x v="25"/>
    <x v="0"/>
    <n v="100"/>
    <n v="3.71"/>
    <n v="89.92"/>
    <n v="0.74"/>
    <n v="5"/>
    <n v="0.95"/>
    <n v="692"/>
    <n v="1.1299999999999999"/>
    <n v="0.81"/>
    <d v="2024-09-12T00:00:00"/>
    <n v="299.07"/>
    <n v="0.59299999999999997"/>
    <n v="33989.760000000002"/>
    <x v="0"/>
    <x v="0"/>
  </r>
  <r>
    <x v="2109"/>
    <x v="0"/>
    <n v="32"/>
    <n v="10"/>
    <n v="11"/>
    <n v="7"/>
    <n v="27.51"/>
    <x v="16"/>
    <x v="0"/>
    <n v="100"/>
    <n v="0.78"/>
    <n v="47.43"/>
    <n v="0.82"/>
    <n v="6"/>
    <n v="0.87"/>
    <n v="163"/>
    <n v="14.93"/>
    <n v="0.57999999999999996"/>
    <d v="2024-08-16T00:00:00"/>
    <n v="29.23"/>
    <n v="0.68700000000000006"/>
    <n v="1517.76"/>
    <x v="0"/>
    <x v="2"/>
  </r>
  <r>
    <x v="2110"/>
    <x v="3"/>
    <n v="115"/>
    <n v="69"/>
    <n v="11"/>
    <n v="6"/>
    <n v="48.08"/>
    <x v="39"/>
    <x v="2"/>
    <n v="83"/>
    <n v="0.65"/>
    <n v="78.010000000000005"/>
    <n v="1.49"/>
    <n v="6"/>
    <n v="0.79"/>
    <n v="752"/>
    <n v="13.37"/>
    <n v="0.51"/>
    <d v="2024-06-10T00:00:00"/>
    <n v="165.77"/>
    <n v="0.56899999999999995"/>
    <n v="8971.1500000000015"/>
    <x v="0"/>
    <x v="1"/>
  </r>
  <r>
    <x v="2111"/>
    <x v="0"/>
    <n v="240"/>
    <n v="65"/>
    <n v="3"/>
    <n v="7"/>
    <n v="6.88"/>
    <x v="89"/>
    <x v="1"/>
    <n v="53"/>
    <n v="2.2000000000000002"/>
    <n v="151.16999999999999"/>
    <n v="0.5"/>
    <n v="8"/>
    <n v="0.98"/>
    <n v="804"/>
    <n v="1.33"/>
    <n v="0.86"/>
    <d v="2024-03-01T00:00:00"/>
    <n v="212.25"/>
    <n v="0.57599999999999996"/>
    <n v="36280.799999999996"/>
    <x v="0"/>
    <x v="1"/>
  </r>
  <r>
    <x v="2112"/>
    <x v="4"/>
    <n v="257"/>
    <n v="44"/>
    <n v="3"/>
    <n v="4"/>
    <n v="37.159999999999997"/>
    <x v="88"/>
    <x v="0"/>
    <n v="143"/>
    <n v="3.62"/>
    <n v="90.57"/>
    <n v="0.81"/>
    <n v="6"/>
    <n v="0.89"/>
    <n v="343"/>
    <n v="6.35"/>
    <n v="0.56999999999999995"/>
    <d v="2024-09-11T00:00:00"/>
    <n v="169.45"/>
    <n v="0.57599999999999996"/>
    <n v="23276.489999999998"/>
    <x v="0"/>
    <x v="0"/>
  </r>
  <r>
    <x v="2113"/>
    <x v="3"/>
    <n v="113"/>
    <n v="39"/>
    <n v="3"/>
    <n v="3"/>
    <n v="7.29"/>
    <x v="91"/>
    <x v="1"/>
    <n v="126"/>
    <n v="1.51"/>
    <n v="57.41"/>
    <n v="1.83"/>
    <n v="2"/>
    <n v="0.94"/>
    <n v="876"/>
    <n v="10.63"/>
    <n v="0.31"/>
    <d v="2024-11-30T00:00:00"/>
    <n v="97.22"/>
    <n v="0.56899999999999995"/>
    <n v="6487.33"/>
    <x v="0"/>
    <x v="1"/>
  </r>
  <r>
    <x v="2114"/>
    <x v="3"/>
    <n v="357"/>
    <n v="63"/>
    <n v="10"/>
    <n v="9"/>
    <n v="19.71"/>
    <x v="48"/>
    <x v="3"/>
    <n v="33"/>
    <n v="2.4500000000000002"/>
    <n v="91.21"/>
    <n v="0.32"/>
    <n v="5"/>
    <n v="0.7"/>
    <n v="77"/>
    <n v="4.38"/>
    <n v="0.42"/>
    <d v="2024-01-10T00:00:00"/>
    <n v="258.08"/>
    <n v="0.55000000000000004"/>
    <n v="32561.969999999998"/>
    <x v="0"/>
    <x v="0"/>
  </r>
  <r>
    <x v="2115"/>
    <x v="1"/>
    <n v="288"/>
    <n v="45"/>
    <n v="14"/>
    <n v="8"/>
    <n v="29.69"/>
    <x v="53"/>
    <x v="1"/>
    <n v="16"/>
    <n v="4.91"/>
    <n v="96.41"/>
    <n v="1.52"/>
    <n v="5"/>
    <n v="0.84"/>
    <n v="587"/>
    <n v="3"/>
    <n v="0.65"/>
    <d v="2024-02-22T00:00:00"/>
    <n v="134.82"/>
    <n v="0.48599999999999999"/>
    <n v="27766.079999999998"/>
    <x v="0"/>
    <x v="0"/>
  </r>
  <r>
    <x v="2116"/>
    <x v="2"/>
    <n v="190"/>
    <n v="64"/>
    <n v="14"/>
    <n v="4"/>
    <n v="37.119999999999997"/>
    <x v="9"/>
    <x v="0"/>
    <n v="15"/>
    <n v="1.47"/>
    <n v="66.31"/>
    <n v="1.43"/>
    <n v="6"/>
    <n v="0.96"/>
    <n v="645"/>
    <n v="9.81"/>
    <n v="0.52"/>
    <d v="2024-07-25T00:00:00"/>
    <n v="97.2"/>
    <n v="0.56399999999999995"/>
    <n v="12598.9"/>
    <x v="0"/>
    <x v="1"/>
  </r>
  <r>
    <x v="2117"/>
    <x v="3"/>
    <n v="488"/>
    <n v="98"/>
    <n v="12"/>
    <n v="6"/>
    <n v="1.18"/>
    <x v="47"/>
    <x v="1"/>
    <n v="127"/>
    <n v="4.32"/>
    <n v="199.18"/>
    <n v="0.35"/>
    <n v="5"/>
    <n v="0.8"/>
    <n v="908"/>
    <n v="13.65"/>
    <n v="0.49"/>
    <d v="2024-07-30T00:00:00"/>
    <n v="232.82"/>
    <n v="0.70499999999999996"/>
    <n v="97199.84"/>
    <x v="0"/>
    <x v="0"/>
  </r>
  <r>
    <x v="2118"/>
    <x v="2"/>
    <n v="113"/>
    <n v="89"/>
    <n v="9"/>
    <n v="2"/>
    <n v="13.77"/>
    <x v="92"/>
    <x v="2"/>
    <n v="170"/>
    <n v="4.21"/>
    <n v="155.85"/>
    <n v="1.41"/>
    <n v="3"/>
    <n v="0.92"/>
    <n v="370"/>
    <n v="14.38"/>
    <n v="0.74"/>
    <d v="2024-01-19T00:00:00"/>
    <n v="52.3"/>
    <n v="0.72299999999999998"/>
    <n v="17611.05"/>
    <x v="0"/>
    <x v="1"/>
  </r>
  <r>
    <x v="2119"/>
    <x v="0"/>
    <n v="168"/>
    <n v="67"/>
    <n v="5"/>
    <n v="8"/>
    <n v="27.37"/>
    <x v="61"/>
    <x v="2"/>
    <n v="94"/>
    <n v="4.51"/>
    <n v="141.57"/>
    <n v="1.18"/>
    <n v="5"/>
    <n v="0.9"/>
    <n v="891"/>
    <n v="1.1399999999999999"/>
    <n v="0.71"/>
    <d v="2024-10-12T00:00:00"/>
    <n v="69.45"/>
    <n v="0.51900000000000002"/>
    <n v="23783.759999999998"/>
    <x v="0"/>
    <x v="1"/>
  </r>
  <r>
    <x v="2120"/>
    <x v="4"/>
    <n v="131"/>
    <n v="92"/>
    <n v="4"/>
    <n v="4"/>
    <n v="27.11"/>
    <x v="52"/>
    <x v="0"/>
    <n v="119"/>
    <n v="4.62"/>
    <n v="172.42"/>
    <n v="0.65"/>
    <n v="2"/>
    <n v="0.75"/>
    <n v="763"/>
    <n v="13.24"/>
    <n v="0.45"/>
    <d v="2024-10-08T00:00:00"/>
    <n v="83.3"/>
    <n v="0.71199999999999997"/>
    <n v="22587.019999999997"/>
    <x v="0"/>
    <x v="1"/>
  </r>
  <r>
    <x v="2121"/>
    <x v="1"/>
    <n v="74"/>
    <n v="74"/>
    <n v="6"/>
    <n v="7"/>
    <n v="32.24"/>
    <x v="98"/>
    <x v="1"/>
    <n v="175"/>
    <n v="2.78"/>
    <n v="136.62"/>
    <n v="0.69"/>
    <n v="0"/>
    <n v="0.93"/>
    <n v="622"/>
    <n v="8.85"/>
    <n v="0.49"/>
    <d v="2024-01-01T00:00:00"/>
    <n v="136.12"/>
    <n v="0.73299999999999998"/>
    <n v="10109.880000000001"/>
    <x v="1"/>
    <x v="2"/>
  </r>
  <r>
    <x v="2122"/>
    <x v="2"/>
    <n v="356"/>
    <n v="78"/>
    <n v="5"/>
    <n v="8"/>
    <n v="15.89"/>
    <x v="64"/>
    <x v="3"/>
    <n v="154"/>
    <n v="3.57"/>
    <n v="160.29"/>
    <n v="1.68"/>
    <n v="0"/>
    <n v="0.73"/>
    <n v="746"/>
    <n v="4.33"/>
    <n v="0.8"/>
    <d v="2024-02-16T00:00:00"/>
    <n v="15.9"/>
    <n v="0.59599999999999997"/>
    <n v="57063.24"/>
    <x v="0"/>
    <x v="0"/>
  </r>
  <r>
    <x v="2123"/>
    <x v="3"/>
    <n v="443"/>
    <n v="60"/>
    <n v="9"/>
    <n v="9"/>
    <n v="27.49"/>
    <x v="31"/>
    <x v="2"/>
    <n v="40"/>
    <n v="3.29"/>
    <n v="88.38"/>
    <n v="0.54"/>
    <n v="4"/>
    <n v="0.92"/>
    <n v="807"/>
    <n v="9.64"/>
    <n v="0.94"/>
    <d v="2024-11-05T00:00:00"/>
    <n v="297.61"/>
    <n v="0.76700000000000002"/>
    <n v="39152.339999999997"/>
    <x v="0"/>
    <x v="0"/>
  </r>
  <r>
    <x v="2124"/>
    <x v="2"/>
    <n v="486"/>
    <n v="31"/>
    <n v="12"/>
    <n v="7"/>
    <n v="10.3"/>
    <x v="17"/>
    <x v="0"/>
    <n v="174"/>
    <n v="1.89"/>
    <n v="105.07"/>
    <n v="1.07"/>
    <n v="7"/>
    <n v="1"/>
    <n v="562"/>
    <n v="14.94"/>
    <n v="0.46"/>
    <d v="2024-11-12T00:00:00"/>
    <n v="184.04"/>
    <n v="0.64400000000000002"/>
    <n v="51064.02"/>
    <x v="0"/>
    <x v="0"/>
  </r>
  <r>
    <x v="2125"/>
    <x v="3"/>
    <n v="135"/>
    <n v="97"/>
    <n v="10"/>
    <n v="5"/>
    <n v="10.16"/>
    <x v="79"/>
    <x v="2"/>
    <n v="148"/>
    <n v="1.76"/>
    <n v="18.93"/>
    <n v="1.39"/>
    <n v="2"/>
    <n v="0.99"/>
    <n v="977"/>
    <n v="4.87"/>
    <n v="0.43"/>
    <d v="2024-11-22T00:00:00"/>
    <n v="291.51"/>
    <n v="0.56999999999999995"/>
    <n v="2555.5500000000002"/>
    <x v="0"/>
    <x v="1"/>
  </r>
  <r>
    <x v="2126"/>
    <x v="2"/>
    <n v="162"/>
    <n v="62"/>
    <n v="8"/>
    <n v="5"/>
    <n v="29.25"/>
    <x v="24"/>
    <x v="0"/>
    <n v="142"/>
    <n v="2.04"/>
    <n v="63.32"/>
    <n v="0.35"/>
    <n v="1"/>
    <n v="0.94"/>
    <n v="804"/>
    <n v="4.88"/>
    <n v="0.41"/>
    <d v="2024-06-04T00:00:00"/>
    <n v="244.16"/>
    <n v="0.68"/>
    <n v="10257.84"/>
    <x v="0"/>
    <x v="1"/>
  </r>
  <r>
    <x v="2127"/>
    <x v="3"/>
    <n v="220"/>
    <n v="45"/>
    <n v="5"/>
    <n v="5"/>
    <n v="34.590000000000003"/>
    <x v="28"/>
    <x v="1"/>
    <n v="73"/>
    <n v="1.48"/>
    <n v="79.92"/>
    <n v="1.87"/>
    <n v="7"/>
    <n v="0.86"/>
    <n v="81"/>
    <n v="10.79"/>
    <n v="0.31"/>
    <d v="2024-09-17T00:00:00"/>
    <n v="48.95"/>
    <n v="0.45100000000000001"/>
    <n v="17582.400000000001"/>
    <x v="0"/>
    <x v="1"/>
  </r>
  <r>
    <x v="2128"/>
    <x v="0"/>
    <n v="199"/>
    <n v="77"/>
    <n v="8"/>
    <n v="8"/>
    <n v="6.9"/>
    <x v="20"/>
    <x v="1"/>
    <n v="85"/>
    <n v="3.91"/>
    <n v="128.84"/>
    <n v="0.6"/>
    <n v="8"/>
    <n v="0.9"/>
    <n v="796"/>
    <n v="1.6"/>
    <n v="0.5"/>
    <d v="2024-10-14T00:00:00"/>
    <n v="70.63"/>
    <n v="0.48099999999999998"/>
    <n v="25639.16"/>
    <x v="0"/>
    <x v="1"/>
  </r>
  <r>
    <x v="2129"/>
    <x v="3"/>
    <n v="221"/>
    <n v="45"/>
    <n v="4"/>
    <n v="2"/>
    <n v="7.02"/>
    <x v="18"/>
    <x v="1"/>
    <n v="140"/>
    <n v="4.84"/>
    <n v="98.2"/>
    <n v="0.71"/>
    <n v="8"/>
    <n v="0.92"/>
    <n v="460"/>
    <n v="12.49"/>
    <n v="0.61"/>
    <d v="2024-04-15T00:00:00"/>
    <n v="19.989999999999998"/>
    <n v="0.64200000000000002"/>
    <n v="21702.2"/>
    <x v="0"/>
    <x v="1"/>
  </r>
  <r>
    <x v="2130"/>
    <x v="3"/>
    <n v="383"/>
    <n v="61"/>
    <n v="14"/>
    <n v="6"/>
    <n v="28.7"/>
    <x v="7"/>
    <x v="1"/>
    <n v="65"/>
    <n v="4.4000000000000004"/>
    <n v="125.49"/>
    <n v="1.37"/>
    <n v="1"/>
    <n v="0.7"/>
    <n v="446"/>
    <n v="10.14"/>
    <n v="0.63"/>
    <d v="2024-12-01T00:00:00"/>
    <n v="251.8"/>
    <n v="0.64400000000000002"/>
    <n v="48062.67"/>
    <x v="0"/>
    <x v="0"/>
  </r>
  <r>
    <x v="2131"/>
    <x v="4"/>
    <n v="498"/>
    <n v="62"/>
    <n v="9"/>
    <n v="9"/>
    <n v="14.23"/>
    <x v="80"/>
    <x v="1"/>
    <n v="72"/>
    <n v="1.48"/>
    <n v="145.53"/>
    <n v="0.25"/>
    <n v="7"/>
    <n v="0.73"/>
    <n v="66"/>
    <n v="12.78"/>
    <n v="0.75"/>
    <d v="2024-12-09T00:00:00"/>
    <n v="182.1"/>
    <n v="0.70099999999999996"/>
    <n v="72473.94"/>
    <x v="0"/>
    <x v="0"/>
  </r>
  <r>
    <x v="2132"/>
    <x v="3"/>
    <n v="72"/>
    <n v="91"/>
    <n v="13"/>
    <n v="8"/>
    <n v="20.23"/>
    <x v="76"/>
    <x v="0"/>
    <n v="114"/>
    <n v="0.73"/>
    <n v="18.12"/>
    <n v="1.29"/>
    <n v="1"/>
    <n v="0.88"/>
    <n v="973"/>
    <n v="4.2300000000000004"/>
    <n v="0.24"/>
    <d v="2024-08-21T00:00:00"/>
    <n v="72.37"/>
    <n v="0.53100000000000003"/>
    <n v="1304.6400000000001"/>
    <x v="1"/>
    <x v="2"/>
  </r>
  <r>
    <x v="2133"/>
    <x v="4"/>
    <n v="490"/>
    <n v="59"/>
    <n v="12"/>
    <n v="3"/>
    <n v="20.64"/>
    <x v="58"/>
    <x v="2"/>
    <n v="47"/>
    <n v="3.91"/>
    <n v="59.07"/>
    <n v="1.84"/>
    <n v="6"/>
    <n v="0.7"/>
    <n v="650"/>
    <n v="12.86"/>
    <n v="0.65"/>
    <d v="2024-06-23T00:00:00"/>
    <n v="291.32"/>
    <n v="0.53700000000000003"/>
    <n v="28944.3"/>
    <x v="0"/>
    <x v="0"/>
  </r>
  <r>
    <x v="2134"/>
    <x v="1"/>
    <n v="403"/>
    <n v="89"/>
    <n v="9"/>
    <n v="9"/>
    <n v="9.75"/>
    <x v="97"/>
    <x v="3"/>
    <n v="63"/>
    <n v="2.2599999999999998"/>
    <n v="42.47"/>
    <n v="0.56999999999999995"/>
    <n v="7"/>
    <n v="0.97"/>
    <n v="101"/>
    <n v="7.28"/>
    <n v="0.4"/>
    <d v="2024-07-05T00:00:00"/>
    <n v="223.65"/>
    <n v="0.57399999999999995"/>
    <n v="17115.41"/>
    <x v="0"/>
    <x v="0"/>
  </r>
  <r>
    <x v="2135"/>
    <x v="4"/>
    <n v="199"/>
    <n v="50"/>
    <n v="6"/>
    <n v="7"/>
    <n v="1.06"/>
    <x v="53"/>
    <x v="2"/>
    <n v="139"/>
    <n v="4.21"/>
    <n v="45.62"/>
    <n v="0.79"/>
    <n v="0"/>
    <n v="0.85"/>
    <n v="419"/>
    <n v="2.86"/>
    <n v="0.39"/>
    <d v="2024-01-28T00:00:00"/>
    <n v="214.6"/>
    <n v="0.60699999999999998"/>
    <n v="9078.3799999999992"/>
    <x v="0"/>
    <x v="1"/>
  </r>
  <r>
    <x v="2136"/>
    <x v="0"/>
    <n v="433"/>
    <n v="27"/>
    <n v="10"/>
    <n v="7"/>
    <n v="42.8"/>
    <x v="42"/>
    <x v="1"/>
    <n v="11"/>
    <n v="4.01"/>
    <n v="105.59"/>
    <n v="0.54"/>
    <n v="7"/>
    <n v="0.78"/>
    <n v="213"/>
    <n v="13.62"/>
    <n v="0.83"/>
    <d v="2024-04-24T00:00:00"/>
    <n v="87.43"/>
    <n v="0.71"/>
    <n v="45720.47"/>
    <x v="0"/>
    <x v="0"/>
  </r>
  <r>
    <x v="2137"/>
    <x v="4"/>
    <n v="436"/>
    <n v="31"/>
    <n v="6"/>
    <n v="8"/>
    <n v="36.04"/>
    <x v="8"/>
    <x v="2"/>
    <n v="149"/>
    <n v="3.31"/>
    <n v="150.6"/>
    <n v="1.66"/>
    <n v="2"/>
    <n v="0.82"/>
    <n v="352"/>
    <n v="10.87"/>
    <n v="0.32"/>
    <d v="2024-08-20T00:00:00"/>
    <n v="100.88"/>
    <n v="0.56699999999999995"/>
    <n v="65661.599999999991"/>
    <x v="0"/>
    <x v="0"/>
  </r>
  <r>
    <x v="2138"/>
    <x v="1"/>
    <n v="332"/>
    <n v="75"/>
    <n v="9"/>
    <n v="8"/>
    <n v="34.840000000000003"/>
    <x v="21"/>
    <x v="2"/>
    <n v="49"/>
    <n v="1.65"/>
    <n v="61.83"/>
    <n v="0.42"/>
    <n v="0"/>
    <n v="0.96"/>
    <n v="499"/>
    <n v="3.36"/>
    <n v="0.46"/>
    <d v="2024-06-18T00:00:00"/>
    <n v="203.71"/>
    <n v="0.68700000000000006"/>
    <n v="20527.559999999998"/>
    <x v="0"/>
    <x v="0"/>
  </r>
  <r>
    <x v="2139"/>
    <x v="0"/>
    <n v="327"/>
    <n v="30"/>
    <n v="6"/>
    <n v="6"/>
    <n v="27.78"/>
    <x v="93"/>
    <x v="0"/>
    <n v="11"/>
    <n v="0.97"/>
    <n v="166.65"/>
    <n v="0.76"/>
    <n v="6"/>
    <n v="0.98"/>
    <n v="977"/>
    <n v="4.45"/>
    <n v="0.71"/>
    <d v="2024-10-13T00:00:00"/>
    <n v="182.13"/>
    <n v="0.60099999999999998"/>
    <n v="54494.55"/>
    <x v="0"/>
    <x v="0"/>
  </r>
  <r>
    <x v="2140"/>
    <x v="2"/>
    <n v="156"/>
    <n v="53"/>
    <n v="14"/>
    <n v="2"/>
    <n v="35.35"/>
    <x v="40"/>
    <x v="3"/>
    <n v="114"/>
    <n v="1.64"/>
    <n v="179.57"/>
    <n v="1.24"/>
    <n v="9"/>
    <n v="0.73"/>
    <n v="593"/>
    <n v="4.76"/>
    <n v="0.71"/>
    <d v="2024-11-13T00:00:00"/>
    <n v="197.71"/>
    <n v="0.44700000000000001"/>
    <n v="28012.92"/>
    <x v="0"/>
    <x v="1"/>
  </r>
  <r>
    <x v="2141"/>
    <x v="2"/>
    <n v="201"/>
    <n v="56"/>
    <n v="7"/>
    <n v="8"/>
    <n v="46.85"/>
    <x v="98"/>
    <x v="3"/>
    <n v="134"/>
    <n v="2.79"/>
    <n v="76.599999999999994"/>
    <n v="0.87"/>
    <n v="2"/>
    <n v="0.93"/>
    <n v="759"/>
    <n v="14.49"/>
    <n v="0.24"/>
    <d v="2024-11-03T00:00:00"/>
    <n v="264.86"/>
    <n v="0.7"/>
    <n v="15396.599999999999"/>
    <x v="0"/>
    <x v="1"/>
  </r>
  <r>
    <x v="2142"/>
    <x v="4"/>
    <n v="386"/>
    <n v="48"/>
    <n v="9"/>
    <n v="5"/>
    <n v="33.619999999999997"/>
    <x v="41"/>
    <x v="1"/>
    <n v="89"/>
    <n v="4.91"/>
    <n v="139.46"/>
    <n v="0.22"/>
    <n v="7"/>
    <n v="0.87"/>
    <n v="551"/>
    <n v="13.41"/>
    <n v="0.26"/>
    <d v="2024-08-30T00:00:00"/>
    <n v="56.52"/>
    <n v="0.64300000000000002"/>
    <n v="53831.560000000005"/>
    <x v="0"/>
    <x v="0"/>
  </r>
  <r>
    <x v="2143"/>
    <x v="4"/>
    <n v="20"/>
    <n v="38"/>
    <n v="12"/>
    <n v="6"/>
    <n v="13.99"/>
    <x v="27"/>
    <x v="0"/>
    <n v="56"/>
    <n v="0.79"/>
    <n v="32.24"/>
    <n v="1.9"/>
    <n v="8"/>
    <n v="0.88"/>
    <n v="400"/>
    <n v="5.85"/>
    <n v="0.72"/>
    <d v="2024-12-02T00:00:00"/>
    <n v="43.74"/>
    <n v="0.44800000000000001"/>
    <n v="644.80000000000007"/>
    <x v="1"/>
    <x v="2"/>
  </r>
  <r>
    <x v="2144"/>
    <x v="1"/>
    <n v="63"/>
    <n v="63"/>
    <n v="5"/>
    <n v="3"/>
    <n v="28.96"/>
    <x v="28"/>
    <x v="0"/>
    <n v="173"/>
    <n v="1.4"/>
    <n v="151.37"/>
    <n v="0.74"/>
    <n v="1"/>
    <n v="0.93"/>
    <n v="428"/>
    <n v="7.53"/>
    <n v="0.96"/>
    <d v="2024-07-05T00:00:00"/>
    <n v="173.74"/>
    <n v="0.78400000000000003"/>
    <n v="9536.31"/>
    <x v="1"/>
    <x v="2"/>
  </r>
  <r>
    <x v="2145"/>
    <x v="1"/>
    <n v="246"/>
    <n v="99"/>
    <n v="12"/>
    <n v="5"/>
    <n v="22.67"/>
    <x v="56"/>
    <x v="0"/>
    <n v="141"/>
    <n v="3.32"/>
    <n v="41.35"/>
    <n v="0.95"/>
    <n v="0"/>
    <n v="0.77"/>
    <n v="488"/>
    <n v="4.99"/>
    <n v="1"/>
    <d v="2024-08-19T00:00:00"/>
    <n v="155.05000000000001"/>
    <n v="0.72599999999999998"/>
    <n v="10172.1"/>
    <x v="0"/>
    <x v="1"/>
  </r>
  <r>
    <x v="2146"/>
    <x v="3"/>
    <n v="350"/>
    <n v="94"/>
    <n v="7"/>
    <n v="3"/>
    <n v="28.26"/>
    <x v="25"/>
    <x v="0"/>
    <n v="161"/>
    <n v="1.87"/>
    <n v="140.61000000000001"/>
    <n v="0.42"/>
    <n v="7"/>
    <n v="0.86"/>
    <n v="250"/>
    <n v="11.4"/>
    <n v="0.99"/>
    <d v="2024-02-28T00:00:00"/>
    <n v="126.83"/>
    <n v="0.74"/>
    <n v="49213.500000000007"/>
    <x v="0"/>
    <x v="0"/>
  </r>
  <r>
    <x v="2147"/>
    <x v="1"/>
    <n v="117"/>
    <n v="26"/>
    <n v="13"/>
    <n v="4"/>
    <n v="26.36"/>
    <x v="74"/>
    <x v="0"/>
    <n v="100"/>
    <n v="4.3600000000000003"/>
    <n v="90.16"/>
    <n v="1.74"/>
    <n v="9"/>
    <n v="0.8"/>
    <n v="156"/>
    <n v="3.26"/>
    <n v="0.48"/>
    <d v="2024-02-19T00:00:00"/>
    <n v="272.37"/>
    <n v="0.34499999999999997"/>
    <n v="10548.72"/>
    <x v="0"/>
    <x v="1"/>
  </r>
  <r>
    <x v="2148"/>
    <x v="3"/>
    <n v="227"/>
    <n v="89"/>
    <n v="5"/>
    <n v="3"/>
    <n v="43.08"/>
    <x v="71"/>
    <x v="3"/>
    <n v="110"/>
    <n v="1.1299999999999999"/>
    <n v="186.41"/>
    <n v="0.65"/>
    <n v="5"/>
    <n v="0.73"/>
    <n v="554"/>
    <n v="5.74"/>
    <n v="0.39"/>
    <d v="2024-12-03T00:00:00"/>
    <n v="171.93"/>
    <n v="0.53600000000000003"/>
    <n v="42315.07"/>
    <x v="0"/>
    <x v="1"/>
  </r>
  <r>
    <x v="2149"/>
    <x v="0"/>
    <n v="284"/>
    <n v="69"/>
    <n v="7"/>
    <n v="5"/>
    <n v="32.94"/>
    <x v="83"/>
    <x v="3"/>
    <n v="139"/>
    <n v="4.83"/>
    <n v="98.25"/>
    <n v="0.14000000000000001"/>
    <n v="9"/>
    <n v="0.73"/>
    <n v="433"/>
    <n v="9.49"/>
    <n v="0.28000000000000003"/>
    <d v="2024-04-23T00:00:00"/>
    <n v="174.5"/>
    <n v="0.53500000000000003"/>
    <n v="27903"/>
    <x v="0"/>
    <x v="0"/>
  </r>
  <r>
    <x v="2150"/>
    <x v="4"/>
    <n v="307"/>
    <n v="40"/>
    <n v="5"/>
    <n v="4"/>
    <n v="10.25"/>
    <x v="11"/>
    <x v="2"/>
    <n v="24"/>
    <n v="4.6100000000000003"/>
    <n v="15.87"/>
    <n v="0.7"/>
    <n v="0"/>
    <n v="0.74"/>
    <n v="897"/>
    <n v="13.28"/>
    <n v="0.46"/>
    <d v="2024-01-02T00:00:00"/>
    <n v="116.26"/>
    <n v="0.747"/>
    <n v="4872.09"/>
    <x v="0"/>
    <x v="0"/>
  </r>
  <r>
    <x v="2151"/>
    <x v="0"/>
    <n v="290"/>
    <n v="82"/>
    <n v="13"/>
    <n v="5"/>
    <n v="4.09"/>
    <x v="6"/>
    <x v="3"/>
    <n v="58"/>
    <n v="4.49"/>
    <n v="101.33"/>
    <n v="1.97"/>
    <n v="2"/>
    <n v="0.88"/>
    <n v="906"/>
    <n v="9.9"/>
    <n v="0.42"/>
    <d v="2024-06-23T00:00:00"/>
    <n v="109.78"/>
    <n v="0.55500000000000005"/>
    <n v="29385.7"/>
    <x v="0"/>
    <x v="0"/>
  </r>
  <r>
    <x v="2152"/>
    <x v="1"/>
    <n v="159"/>
    <n v="87"/>
    <n v="12"/>
    <n v="7"/>
    <n v="21.79"/>
    <x v="25"/>
    <x v="0"/>
    <n v="121"/>
    <n v="1.28"/>
    <n v="161.13999999999999"/>
    <n v="0.38"/>
    <n v="8"/>
    <n v="0.73"/>
    <n v="345"/>
    <n v="14.16"/>
    <n v="0.66"/>
    <d v="2024-06-30T00:00:00"/>
    <n v="296.41000000000003"/>
    <n v="0.66900000000000004"/>
    <n v="25621.26"/>
    <x v="0"/>
    <x v="1"/>
  </r>
  <r>
    <x v="2153"/>
    <x v="0"/>
    <n v="256"/>
    <n v="58"/>
    <n v="13"/>
    <n v="5"/>
    <n v="1.76"/>
    <x v="34"/>
    <x v="2"/>
    <n v="44"/>
    <n v="1.98"/>
    <n v="132.94999999999999"/>
    <n v="0.16"/>
    <n v="8"/>
    <n v="0.87"/>
    <n v="77"/>
    <n v="14.03"/>
    <n v="0.5"/>
    <d v="2024-11-20T00:00:00"/>
    <n v="190.69"/>
    <n v="0.68500000000000005"/>
    <n v="34035.199999999997"/>
    <x v="0"/>
    <x v="0"/>
  </r>
  <r>
    <x v="2154"/>
    <x v="0"/>
    <n v="481"/>
    <n v="11"/>
    <n v="9"/>
    <n v="4"/>
    <n v="16.600000000000001"/>
    <x v="2"/>
    <x v="3"/>
    <n v="125"/>
    <n v="4.12"/>
    <n v="193.6"/>
    <n v="1.2"/>
    <n v="5"/>
    <n v="0.88"/>
    <n v="386"/>
    <n v="11.06"/>
    <n v="0.39"/>
    <d v="2024-05-29T00:00:00"/>
    <n v="249.28"/>
    <n v="0.58099999999999996"/>
    <n v="93121.599999999991"/>
    <x v="0"/>
    <x v="0"/>
  </r>
  <r>
    <x v="2155"/>
    <x v="0"/>
    <n v="460"/>
    <n v="57"/>
    <n v="3"/>
    <n v="3"/>
    <n v="19.03"/>
    <x v="24"/>
    <x v="2"/>
    <n v="103"/>
    <n v="4.1399999999999997"/>
    <n v="170.22"/>
    <n v="0.81"/>
    <n v="2"/>
    <n v="0.97"/>
    <n v="336"/>
    <n v="4.9000000000000004"/>
    <n v="0.69"/>
    <d v="2024-10-07T00:00:00"/>
    <n v="139.76"/>
    <n v="0.67600000000000005"/>
    <n v="78301.2"/>
    <x v="0"/>
    <x v="0"/>
  </r>
  <r>
    <x v="2156"/>
    <x v="1"/>
    <n v="411"/>
    <n v="23"/>
    <n v="11"/>
    <n v="7"/>
    <n v="19.399999999999999"/>
    <x v="76"/>
    <x v="3"/>
    <n v="33"/>
    <n v="3.67"/>
    <n v="110.04"/>
    <n v="1.61"/>
    <n v="7"/>
    <n v="0.89"/>
    <n v="680"/>
    <n v="10.56"/>
    <n v="0.46"/>
    <d v="2024-09-24T00:00:00"/>
    <n v="65.64"/>
    <n v="0.51"/>
    <n v="45226.44"/>
    <x v="0"/>
    <x v="0"/>
  </r>
  <r>
    <x v="2157"/>
    <x v="0"/>
    <n v="91"/>
    <n v="68"/>
    <n v="11"/>
    <n v="2"/>
    <n v="48.99"/>
    <x v="70"/>
    <x v="1"/>
    <n v="69"/>
    <n v="2.52"/>
    <n v="49.24"/>
    <n v="1.49"/>
    <n v="5"/>
    <n v="1"/>
    <n v="392"/>
    <n v="3.7"/>
    <n v="0.48"/>
    <d v="2024-07-10T00:00:00"/>
    <n v="104.2"/>
    <n v="0.496"/>
    <n v="4480.84"/>
    <x v="0"/>
    <x v="2"/>
  </r>
  <r>
    <x v="2158"/>
    <x v="3"/>
    <n v="174"/>
    <n v="67"/>
    <n v="7"/>
    <n v="2"/>
    <n v="15.89"/>
    <x v="17"/>
    <x v="3"/>
    <n v="86"/>
    <n v="1.9"/>
    <n v="10.72"/>
    <n v="0.45"/>
    <n v="0"/>
    <n v="0.71"/>
    <n v="80"/>
    <n v="5.66"/>
    <n v="0.68"/>
    <d v="2024-12-25T00:00:00"/>
    <n v="110.38"/>
    <n v="0.70799999999999996"/>
    <n v="1865.2800000000002"/>
    <x v="0"/>
    <x v="1"/>
  </r>
  <r>
    <x v="2159"/>
    <x v="1"/>
    <n v="209"/>
    <n v="67"/>
    <n v="11"/>
    <n v="9"/>
    <n v="14"/>
    <x v="53"/>
    <x v="2"/>
    <n v="57"/>
    <n v="4.83"/>
    <n v="196.3"/>
    <n v="1.17"/>
    <n v="5"/>
    <n v="0.91"/>
    <n v="715"/>
    <n v="11.61"/>
    <n v="0.28999999999999998"/>
    <d v="2024-02-24T00:00:00"/>
    <n v="173.82"/>
    <n v="0.57799999999999996"/>
    <n v="41026.700000000004"/>
    <x v="0"/>
    <x v="1"/>
  </r>
  <r>
    <x v="2160"/>
    <x v="0"/>
    <n v="287"/>
    <n v="60"/>
    <n v="12"/>
    <n v="2"/>
    <n v="7.34"/>
    <x v="89"/>
    <x v="1"/>
    <n v="160"/>
    <n v="1.1299999999999999"/>
    <n v="188.28"/>
    <n v="0.16"/>
    <n v="4"/>
    <n v="0.71"/>
    <n v="821"/>
    <n v="12.91"/>
    <n v="0.82"/>
    <d v="2024-01-24T00:00:00"/>
    <n v="54.84"/>
    <n v="0.78200000000000003"/>
    <n v="54036.36"/>
    <x v="0"/>
    <x v="0"/>
  </r>
  <r>
    <x v="2161"/>
    <x v="1"/>
    <n v="340"/>
    <n v="93"/>
    <n v="8"/>
    <n v="2"/>
    <n v="26.04"/>
    <x v="78"/>
    <x v="0"/>
    <n v="149"/>
    <n v="0.7"/>
    <n v="62.09"/>
    <n v="0.94"/>
    <n v="7"/>
    <n v="0.92"/>
    <n v="536"/>
    <n v="6.83"/>
    <n v="0.97"/>
    <d v="2024-03-25T00:00:00"/>
    <n v="122.24"/>
    <n v="0.63500000000000001"/>
    <n v="21110.600000000002"/>
    <x v="0"/>
    <x v="0"/>
  </r>
  <r>
    <x v="2162"/>
    <x v="2"/>
    <n v="126"/>
    <n v="11"/>
    <n v="7"/>
    <n v="6"/>
    <n v="8.5299999999999994"/>
    <x v="41"/>
    <x v="2"/>
    <n v="50"/>
    <n v="0.54"/>
    <n v="131.26"/>
    <n v="1.46"/>
    <n v="1"/>
    <n v="0.82"/>
    <n v="668"/>
    <n v="8.33"/>
    <n v="0.59"/>
    <d v="2024-09-09T00:00:00"/>
    <n v="39.17"/>
    <n v="0.627"/>
    <n v="16538.759999999998"/>
    <x v="0"/>
    <x v="1"/>
  </r>
  <r>
    <x v="2163"/>
    <x v="3"/>
    <n v="251"/>
    <n v="50"/>
    <n v="5"/>
    <n v="2"/>
    <n v="31.2"/>
    <x v="53"/>
    <x v="0"/>
    <n v="166"/>
    <n v="3.99"/>
    <n v="148.56"/>
    <n v="0.89"/>
    <n v="6"/>
    <n v="0.88"/>
    <n v="300"/>
    <n v="6.41"/>
    <n v="0.65"/>
    <d v="2024-03-12T00:00:00"/>
    <n v="153.99"/>
    <n v="0.58199999999999996"/>
    <n v="37288.559999999998"/>
    <x v="0"/>
    <x v="0"/>
  </r>
  <r>
    <x v="2164"/>
    <x v="0"/>
    <n v="61"/>
    <n v="92"/>
    <n v="13"/>
    <n v="4"/>
    <n v="8.6"/>
    <x v="6"/>
    <x v="0"/>
    <n v="137"/>
    <n v="0.76"/>
    <n v="119.82"/>
    <n v="0.32"/>
    <n v="5"/>
    <n v="0.79"/>
    <n v="412"/>
    <n v="7.71"/>
    <n v="0.51"/>
    <d v="2024-07-28T00:00:00"/>
    <n v="284.75"/>
    <n v="0.63100000000000001"/>
    <n v="7309.0199999999995"/>
    <x v="1"/>
    <x v="2"/>
  </r>
  <r>
    <x v="2165"/>
    <x v="2"/>
    <n v="209"/>
    <n v="91"/>
    <n v="13"/>
    <n v="8"/>
    <n v="29.26"/>
    <x v="2"/>
    <x v="2"/>
    <n v="160"/>
    <n v="2.92"/>
    <n v="170.16"/>
    <n v="0.22"/>
    <n v="0"/>
    <n v="0.75"/>
    <n v="156"/>
    <n v="8.17"/>
    <n v="0.97"/>
    <d v="2024-02-24T00:00:00"/>
    <n v="108.29"/>
    <n v="0.83099999999999996"/>
    <n v="35563.440000000002"/>
    <x v="0"/>
    <x v="1"/>
  </r>
  <r>
    <x v="2166"/>
    <x v="2"/>
    <n v="390"/>
    <n v="25"/>
    <n v="10"/>
    <n v="2"/>
    <n v="41.49"/>
    <x v="66"/>
    <x v="0"/>
    <n v="40"/>
    <n v="2.15"/>
    <n v="24.79"/>
    <n v="1.72"/>
    <n v="7"/>
    <n v="0.92"/>
    <n v="555"/>
    <n v="10.69"/>
    <n v="0.31"/>
    <d v="2024-05-10T00:00:00"/>
    <n v="24.42"/>
    <n v="0.47699999999999998"/>
    <n v="9668.1"/>
    <x v="0"/>
    <x v="0"/>
  </r>
  <r>
    <x v="2167"/>
    <x v="1"/>
    <n v="158"/>
    <n v="13"/>
    <n v="6"/>
    <n v="5"/>
    <n v="3.08"/>
    <x v="32"/>
    <x v="2"/>
    <n v="158"/>
    <n v="1.1599999999999999"/>
    <n v="180.33"/>
    <n v="1.79"/>
    <n v="5"/>
    <n v="0.97"/>
    <n v="491"/>
    <n v="11.51"/>
    <n v="0.85"/>
    <d v="2024-11-08T00:00:00"/>
    <n v="186.54"/>
    <n v="0.63800000000000001"/>
    <n v="28492.140000000003"/>
    <x v="0"/>
    <x v="1"/>
  </r>
  <r>
    <x v="2168"/>
    <x v="2"/>
    <n v="122"/>
    <n v="21"/>
    <n v="12"/>
    <n v="8"/>
    <n v="21.57"/>
    <x v="21"/>
    <x v="2"/>
    <n v="33"/>
    <n v="3.83"/>
    <n v="84.48"/>
    <n v="0.75"/>
    <n v="2"/>
    <n v="0.76"/>
    <n v="166"/>
    <n v="14.65"/>
    <n v="0.72"/>
    <d v="2024-04-10T00:00:00"/>
    <n v="194.07"/>
    <n v="0.77600000000000002"/>
    <n v="10306.560000000001"/>
    <x v="0"/>
    <x v="1"/>
  </r>
  <r>
    <x v="2169"/>
    <x v="3"/>
    <n v="190"/>
    <n v="38"/>
    <n v="5"/>
    <n v="2"/>
    <n v="23.59"/>
    <x v="22"/>
    <x v="3"/>
    <n v="18"/>
    <n v="0.75"/>
    <n v="101.33"/>
    <n v="0.41"/>
    <n v="4"/>
    <n v="0.98"/>
    <n v="294"/>
    <n v="7.13"/>
    <n v="0.83"/>
    <d v="2024-04-06T00:00:00"/>
    <n v="149.08000000000001"/>
    <n v="0.73599999999999999"/>
    <n v="19252.7"/>
    <x v="0"/>
    <x v="1"/>
  </r>
  <r>
    <x v="2170"/>
    <x v="3"/>
    <n v="370"/>
    <n v="16"/>
    <n v="8"/>
    <n v="8"/>
    <n v="39.76"/>
    <x v="94"/>
    <x v="1"/>
    <n v="159"/>
    <n v="1.93"/>
    <n v="94.5"/>
    <n v="1.96"/>
    <n v="6"/>
    <n v="0.74"/>
    <n v="128"/>
    <n v="2.16"/>
    <n v="0.96"/>
    <d v="2024-03-02T00:00:00"/>
    <n v="125.09"/>
    <n v="0.45300000000000001"/>
    <n v="34965"/>
    <x v="0"/>
    <x v="0"/>
  </r>
  <r>
    <x v="2171"/>
    <x v="4"/>
    <n v="292"/>
    <n v="23"/>
    <n v="10"/>
    <n v="3"/>
    <n v="23.93"/>
    <x v="71"/>
    <x v="0"/>
    <n v="141"/>
    <n v="3.03"/>
    <n v="110.94"/>
    <n v="1.1399999999999999"/>
    <n v="8"/>
    <n v="0.92"/>
    <n v="790"/>
    <n v="10.63"/>
    <n v="0.6"/>
    <d v="2024-07-20T00:00:00"/>
    <n v="268.87"/>
    <n v="0.57199999999999995"/>
    <n v="32394.48"/>
    <x v="0"/>
    <x v="0"/>
  </r>
  <r>
    <x v="2172"/>
    <x v="3"/>
    <n v="435"/>
    <n v="21"/>
    <n v="11"/>
    <n v="4"/>
    <n v="28.81"/>
    <x v="7"/>
    <x v="0"/>
    <n v="86"/>
    <n v="2.31"/>
    <n v="123.65"/>
    <n v="1.01"/>
    <n v="3"/>
    <n v="0.99"/>
    <n v="535"/>
    <n v="7.98"/>
    <n v="0.43"/>
    <d v="2024-04-20T00:00:00"/>
    <n v="282.14999999999998"/>
    <n v="0.629"/>
    <n v="53787.75"/>
    <x v="0"/>
    <x v="0"/>
  </r>
  <r>
    <x v="2173"/>
    <x v="2"/>
    <n v="240"/>
    <n v="14"/>
    <n v="8"/>
    <n v="4"/>
    <n v="39.770000000000003"/>
    <x v="14"/>
    <x v="1"/>
    <n v="140"/>
    <n v="1.67"/>
    <n v="144.97"/>
    <n v="1.51"/>
    <n v="1"/>
    <n v="0.74"/>
    <n v="72"/>
    <n v="12.77"/>
    <n v="0.82"/>
    <d v="2024-08-22T00:00:00"/>
    <n v="205.22"/>
    <n v="0.71099999999999997"/>
    <n v="34792.800000000003"/>
    <x v="0"/>
    <x v="1"/>
  </r>
  <r>
    <x v="2174"/>
    <x v="3"/>
    <n v="232"/>
    <n v="90"/>
    <n v="7"/>
    <n v="9"/>
    <n v="28.43"/>
    <x v="98"/>
    <x v="1"/>
    <n v="129"/>
    <n v="4.67"/>
    <n v="109.74"/>
    <n v="0.42"/>
    <n v="2"/>
    <n v="0.83"/>
    <n v="246"/>
    <n v="3.05"/>
    <n v="0.88"/>
    <d v="2024-04-07T00:00:00"/>
    <n v="155.36000000000001"/>
    <n v="0.70099999999999996"/>
    <n v="25459.68"/>
    <x v="0"/>
    <x v="1"/>
  </r>
  <r>
    <x v="2175"/>
    <x v="1"/>
    <n v="360"/>
    <n v="41"/>
    <n v="14"/>
    <n v="8"/>
    <n v="18.559999999999999"/>
    <x v="91"/>
    <x v="1"/>
    <n v="165"/>
    <n v="4.6900000000000004"/>
    <n v="140.11000000000001"/>
    <n v="1.2"/>
    <n v="6"/>
    <n v="0.8"/>
    <n v="410"/>
    <n v="10.029999999999999"/>
    <n v="0.75"/>
    <d v="2024-06-22T00:00:00"/>
    <n v="29.59"/>
    <n v="0.60399999999999998"/>
    <n v="50439.600000000006"/>
    <x v="0"/>
    <x v="0"/>
  </r>
  <r>
    <x v="2176"/>
    <x v="4"/>
    <n v="443"/>
    <n v="83"/>
    <n v="13"/>
    <n v="9"/>
    <n v="5.21"/>
    <x v="23"/>
    <x v="1"/>
    <n v="99"/>
    <n v="2.37"/>
    <n v="74.28"/>
    <n v="1.79"/>
    <n v="7"/>
    <n v="0.82"/>
    <n v="749"/>
    <n v="7.43"/>
    <n v="0.88"/>
    <d v="2024-02-25T00:00:00"/>
    <n v="97.3"/>
    <n v="0.52"/>
    <n v="32906.04"/>
    <x v="0"/>
    <x v="0"/>
  </r>
  <r>
    <x v="2177"/>
    <x v="2"/>
    <n v="426"/>
    <n v="52"/>
    <n v="4"/>
    <n v="7"/>
    <n v="36.770000000000003"/>
    <x v="7"/>
    <x v="1"/>
    <n v="126"/>
    <n v="2.27"/>
    <n v="187.97"/>
    <n v="0.14000000000000001"/>
    <n v="4"/>
    <n v="0.93"/>
    <n v="476"/>
    <n v="6.87"/>
    <n v="0.78"/>
    <d v="2024-07-31T00:00:00"/>
    <n v="92.68"/>
    <n v="0.74"/>
    <n v="80075.22"/>
    <x v="0"/>
    <x v="0"/>
  </r>
  <r>
    <x v="2178"/>
    <x v="4"/>
    <n v="75"/>
    <n v="90"/>
    <n v="4"/>
    <n v="6"/>
    <n v="43.69"/>
    <x v="27"/>
    <x v="3"/>
    <n v="119"/>
    <n v="1.88"/>
    <n v="22.26"/>
    <n v="1.38"/>
    <n v="2"/>
    <n v="0.9"/>
    <n v="266"/>
    <n v="8.91"/>
    <n v="0.97"/>
    <d v="2024-01-24T00:00:00"/>
    <n v="26.89"/>
    <n v="0.71499999999999997"/>
    <n v="1669.5000000000002"/>
    <x v="1"/>
    <x v="2"/>
  </r>
  <r>
    <x v="2179"/>
    <x v="2"/>
    <n v="409"/>
    <n v="78"/>
    <n v="11"/>
    <n v="5"/>
    <n v="48.53"/>
    <x v="49"/>
    <x v="2"/>
    <n v="130"/>
    <n v="4.3499999999999996"/>
    <n v="113.65"/>
    <n v="1.1499999999999999"/>
    <n v="0"/>
    <n v="0.99"/>
    <n v="808"/>
    <n v="10.58"/>
    <n v="0.66"/>
    <d v="2024-11-20T00:00:00"/>
    <n v="254.58"/>
    <n v="0.75600000000000001"/>
    <n v="46482.850000000006"/>
    <x v="0"/>
    <x v="0"/>
  </r>
  <r>
    <x v="2180"/>
    <x v="1"/>
    <n v="361"/>
    <n v="54"/>
    <n v="4"/>
    <n v="8"/>
    <n v="46.4"/>
    <x v="91"/>
    <x v="1"/>
    <n v="107"/>
    <n v="3.06"/>
    <n v="26.61"/>
    <n v="1.91"/>
    <n v="9"/>
    <n v="0.76"/>
    <n v="715"/>
    <n v="12.91"/>
    <n v="0.5"/>
    <d v="2024-12-10T00:00:00"/>
    <n v="261.44"/>
    <n v="0.45300000000000001"/>
    <n v="9606.2099999999991"/>
    <x v="0"/>
    <x v="0"/>
  </r>
  <r>
    <x v="2181"/>
    <x v="4"/>
    <n v="453"/>
    <n v="18"/>
    <n v="4"/>
    <n v="4"/>
    <n v="40.07"/>
    <x v="25"/>
    <x v="3"/>
    <n v="24"/>
    <n v="0.9"/>
    <n v="94.13"/>
    <n v="0.59"/>
    <n v="0"/>
    <n v="0.86"/>
    <n v="756"/>
    <n v="4.29"/>
    <n v="0.74"/>
    <d v="2024-10-28T00:00:00"/>
    <n v="274.58999999999997"/>
    <n v="0.71799999999999997"/>
    <n v="42640.89"/>
    <x v="0"/>
    <x v="0"/>
  </r>
  <r>
    <x v="2182"/>
    <x v="0"/>
    <n v="121"/>
    <n v="58"/>
    <n v="5"/>
    <n v="9"/>
    <n v="32.53"/>
    <x v="99"/>
    <x v="1"/>
    <n v="145"/>
    <n v="4.34"/>
    <n v="58.94"/>
    <n v="1.73"/>
    <n v="1"/>
    <n v="0.83"/>
    <n v="677"/>
    <n v="5.0999999999999996"/>
    <n v="0.26"/>
    <d v="2024-03-04T00:00:00"/>
    <n v="225.12"/>
    <n v="0.49299999999999999"/>
    <n v="7131.74"/>
    <x v="0"/>
    <x v="1"/>
  </r>
  <r>
    <x v="2183"/>
    <x v="2"/>
    <n v="440"/>
    <n v="42"/>
    <n v="5"/>
    <n v="3"/>
    <n v="39.29"/>
    <x v="26"/>
    <x v="1"/>
    <n v="61"/>
    <n v="2.91"/>
    <n v="188.01"/>
    <n v="0.69"/>
    <n v="4"/>
    <n v="0.98"/>
    <n v="245"/>
    <n v="8.68"/>
    <n v="0.6"/>
    <d v="2024-08-18T00:00:00"/>
    <n v="216.05"/>
    <n v="0.68300000000000005"/>
    <n v="82724.399999999994"/>
    <x v="0"/>
    <x v="0"/>
  </r>
  <r>
    <x v="2184"/>
    <x v="0"/>
    <n v="211"/>
    <n v="27"/>
    <n v="6"/>
    <n v="2"/>
    <n v="22.17"/>
    <x v="41"/>
    <x v="0"/>
    <n v="64"/>
    <n v="2.37"/>
    <n v="12.48"/>
    <n v="0.92"/>
    <n v="2"/>
    <n v="0.7"/>
    <n v="616"/>
    <n v="5.85"/>
    <n v="0.82"/>
    <d v="2024-08-22T00:00:00"/>
    <n v="148.57"/>
    <n v="0.65"/>
    <n v="2633.28"/>
    <x v="0"/>
    <x v="1"/>
  </r>
  <r>
    <x v="2185"/>
    <x v="4"/>
    <n v="329"/>
    <n v="18"/>
    <n v="9"/>
    <n v="4"/>
    <n v="30.14"/>
    <x v="87"/>
    <x v="0"/>
    <n v="46"/>
    <n v="2.02"/>
    <n v="84.33"/>
    <n v="0.51"/>
    <n v="6"/>
    <n v="1"/>
    <n v="736"/>
    <n v="8.9600000000000009"/>
    <n v="0.34"/>
    <d v="2024-12-03T00:00:00"/>
    <n v="258.64999999999998"/>
    <n v="0.61599999999999999"/>
    <n v="27744.57"/>
    <x v="0"/>
    <x v="0"/>
  </r>
  <r>
    <x v="2186"/>
    <x v="0"/>
    <n v="219"/>
    <n v="71"/>
    <n v="11"/>
    <n v="3"/>
    <n v="18.09"/>
    <x v="80"/>
    <x v="0"/>
    <n v="141"/>
    <n v="0.95"/>
    <n v="158.59"/>
    <n v="1.74"/>
    <n v="1"/>
    <n v="0.84"/>
    <n v="492"/>
    <n v="3.8"/>
    <n v="0.52"/>
    <d v="2024-10-28T00:00:00"/>
    <n v="157.94"/>
    <n v="0.52900000000000003"/>
    <n v="34731.21"/>
    <x v="0"/>
    <x v="1"/>
  </r>
  <r>
    <x v="2187"/>
    <x v="0"/>
    <n v="252"/>
    <n v="66"/>
    <n v="4"/>
    <n v="2"/>
    <n v="17.010000000000002"/>
    <x v="15"/>
    <x v="0"/>
    <n v="64"/>
    <n v="4.8099999999999996"/>
    <n v="45.81"/>
    <n v="0.47"/>
    <n v="1"/>
    <n v="0.89"/>
    <n v="508"/>
    <n v="5.31"/>
    <n v="0.48"/>
    <d v="2024-09-15T00:00:00"/>
    <n v="18.600000000000001"/>
    <n v="0.67800000000000005"/>
    <n v="11544.12"/>
    <x v="0"/>
    <x v="0"/>
  </r>
  <r>
    <x v="2188"/>
    <x v="4"/>
    <n v="452"/>
    <n v="38"/>
    <n v="6"/>
    <n v="6"/>
    <n v="38.08"/>
    <x v="30"/>
    <x v="2"/>
    <n v="21"/>
    <n v="3.84"/>
    <n v="164.96"/>
    <n v="1.73"/>
    <n v="2"/>
    <n v="0.81"/>
    <n v="508"/>
    <n v="5.55"/>
    <n v="0.47"/>
    <d v="2024-03-09T00:00:00"/>
    <n v="179.62"/>
    <n v="0.51700000000000002"/>
    <n v="74561.919999999998"/>
    <x v="0"/>
    <x v="0"/>
  </r>
  <r>
    <x v="2189"/>
    <x v="1"/>
    <n v="246"/>
    <n v="87"/>
    <n v="11"/>
    <n v="4"/>
    <n v="23.24"/>
    <x v="42"/>
    <x v="2"/>
    <n v="156"/>
    <n v="1.0900000000000001"/>
    <n v="173.35"/>
    <n v="0.97"/>
    <n v="0"/>
    <n v="0.96"/>
    <n v="533"/>
    <n v="14.89"/>
    <n v="0.72"/>
    <d v="2024-09-12T00:00:00"/>
    <n v="123.23"/>
    <n v="0.83799999999999997"/>
    <n v="42644.1"/>
    <x v="0"/>
    <x v="1"/>
  </r>
  <r>
    <x v="2190"/>
    <x v="0"/>
    <n v="390"/>
    <n v="34"/>
    <n v="4"/>
    <n v="9"/>
    <n v="11.4"/>
    <x v="37"/>
    <x v="0"/>
    <n v="46"/>
    <n v="2.8"/>
    <n v="144.52000000000001"/>
    <n v="1.69"/>
    <n v="1"/>
    <n v="0.87"/>
    <n v="193"/>
    <n v="12.96"/>
    <n v="0.6"/>
    <d v="2024-01-03T00:00:00"/>
    <n v="161.18"/>
    <n v="0.67800000000000005"/>
    <n v="56362.8"/>
    <x v="0"/>
    <x v="0"/>
  </r>
  <r>
    <x v="2191"/>
    <x v="0"/>
    <n v="158"/>
    <n v="24"/>
    <n v="12"/>
    <n v="4"/>
    <n v="10.89"/>
    <x v="18"/>
    <x v="0"/>
    <n v="16"/>
    <n v="3"/>
    <n v="49.72"/>
    <n v="0.6"/>
    <n v="4"/>
    <n v="0.9"/>
    <n v="363"/>
    <n v="12.73"/>
    <n v="0.84"/>
    <d v="2024-09-28T00:00:00"/>
    <n v="137.80000000000001"/>
    <n v="0.77800000000000002"/>
    <n v="7855.76"/>
    <x v="0"/>
    <x v="1"/>
  </r>
  <r>
    <x v="2192"/>
    <x v="1"/>
    <n v="363"/>
    <n v="15"/>
    <n v="13"/>
    <n v="8"/>
    <n v="43.1"/>
    <x v="79"/>
    <x v="1"/>
    <n v="64"/>
    <n v="1.26"/>
    <n v="61.69"/>
    <n v="0.35"/>
    <n v="2"/>
    <n v="0.89"/>
    <n v="924"/>
    <n v="8.19"/>
    <n v="0.25"/>
    <d v="2024-01-25T00:00:00"/>
    <n v="154.07"/>
    <n v="0.66200000000000003"/>
    <n v="22393.469999999998"/>
    <x v="0"/>
    <x v="0"/>
  </r>
  <r>
    <x v="2193"/>
    <x v="0"/>
    <n v="324"/>
    <n v="51"/>
    <n v="3"/>
    <n v="8"/>
    <n v="34.21"/>
    <x v="13"/>
    <x v="1"/>
    <n v="37"/>
    <n v="2.42"/>
    <n v="41.72"/>
    <n v="1.1499999999999999"/>
    <n v="9"/>
    <n v="0.81"/>
    <n v="778"/>
    <n v="7.54"/>
    <n v="0.56000000000000005"/>
    <d v="2024-10-10T00:00:00"/>
    <n v="41.49"/>
    <n v="0.48"/>
    <n v="13517.279999999999"/>
    <x v="0"/>
    <x v="0"/>
  </r>
  <r>
    <x v="2194"/>
    <x v="0"/>
    <n v="168"/>
    <n v="38"/>
    <n v="12"/>
    <n v="3"/>
    <n v="27.76"/>
    <x v="1"/>
    <x v="0"/>
    <n v="46"/>
    <n v="3.41"/>
    <n v="44.97"/>
    <n v="1.07"/>
    <n v="5"/>
    <n v="0.72"/>
    <n v="306"/>
    <n v="1.98"/>
    <n v="0.21"/>
    <d v="2024-08-09T00:00:00"/>
    <n v="14.21"/>
    <n v="0.40500000000000003"/>
    <n v="7554.96"/>
    <x v="0"/>
    <x v="1"/>
  </r>
  <r>
    <x v="2195"/>
    <x v="0"/>
    <n v="134"/>
    <n v="88"/>
    <n v="10"/>
    <n v="9"/>
    <n v="20.65"/>
    <x v="64"/>
    <x v="0"/>
    <n v="84"/>
    <n v="1.78"/>
    <n v="16.93"/>
    <n v="0.78"/>
    <n v="1"/>
    <n v="0.94"/>
    <n v="688"/>
    <n v="3.76"/>
    <n v="0.38"/>
    <d v="2024-10-26T00:00:00"/>
    <n v="108.65"/>
    <n v="0.61599999999999999"/>
    <n v="2268.62"/>
    <x v="0"/>
    <x v="1"/>
  </r>
  <r>
    <x v="2196"/>
    <x v="3"/>
    <n v="469"/>
    <n v="13"/>
    <n v="11"/>
    <n v="7"/>
    <n v="22.11"/>
    <x v="98"/>
    <x v="0"/>
    <n v="123"/>
    <n v="1.99"/>
    <n v="172.89"/>
    <n v="1.36"/>
    <n v="7"/>
    <n v="0.79"/>
    <n v="523"/>
    <n v="13.53"/>
    <n v="0.82"/>
    <d v="2024-09-04T00:00:00"/>
    <n v="83.82"/>
    <n v="0.626"/>
    <n v="81085.409999999989"/>
    <x v="0"/>
    <x v="0"/>
  </r>
  <r>
    <x v="2197"/>
    <x v="1"/>
    <n v="82"/>
    <n v="91"/>
    <n v="9"/>
    <n v="8"/>
    <n v="3.81"/>
    <x v="89"/>
    <x v="1"/>
    <n v="176"/>
    <n v="1.05"/>
    <n v="110.42"/>
    <n v="0.28000000000000003"/>
    <n v="3"/>
    <n v="0.95"/>
    <n v="734"/>
    <n v="8.36"/>
    <n v="0.28000000000000003"/>
    <d v="2024-09-17T00:00:00"/>
    <n v="82.52"/>
    <n v="0.66900000000000004"/>
    <n v="9054.44"/>
    <x v="1"/>
    <x v="2"/>
  </r>
  <r>
    <x v="2198"/>
    <x v="0"/>
    <n v="123"/>
    <n v="66"/>
    <n v="10"/>
    <n v="5"/>
    <n v="23.29"/>
    <x v="85"/>
    <x v="0"/>
    <n v="115"/>
    <n v="2.36"/>
    <n v="72.27"/>
    <n v="1.28"/>
    <n v="2"/>
    <n v="0.88"/>
    <n v="655"/>
    <n v="14.82"/>
    <n v="0.28000000000000003"/>
    <d v="2024-03-31T00:00:00"/>
    <n v="281.76"/>
    <n v="0.66200000000000003"/>
    <n v="8889.2099999999991"/>
    <x v="0"/>
    <x v="1"/>
  </r>
  <r>
    <x v="2199"/>
    <x v="1"/>
    <n v="358"/>
    <n v="58"/>
    <n v="6"/>
    <n v="6"/>
    <n v="39.979999999999997"/>
    <x v="40"/>
    <x v="0"/>
    <n v="160"/>
    <n v="3.13"/>
    <n v="65.02"/>
    <n v="0.5"/>
    <n v="4"/>
    <n v="0.81"/>
    <n v="548"/>
    <n v="9.2899999999999991"/>
    <n v="0.52"/>
    <d v="2024-12-20T00:00:00"/>
    <n v="247.51"/>
    <n v="0.66"/>
    <n v="23277.16"/>
    <x v="0"/>
    <x v="0"/>
  </r>
  <r>
    <x v="2200"/>
    <x v="2"/>
    <n v="378"/>
    <n v="53"/>
    <n v="6"/>
    <n v="5"/>
    <n v="20.010000000000002"/>
    <x v="76"/>
    <x v="2"/>
    <n v="119"/>
    <n v="1.02"/>
    <n v="113.49"/>
    <n v="0.35"/>
    <n v="7"/>
    <n v="0.88"/>
    <n v="951"/>
    <n v="6.28"/>
    <n v="0.82"/>
    <d v="2024-10-23T00:00:00"/>
    <n v="13.88"/>
    <n v="0.64900000000000002"/>
    <n v="42899.22"/>
    <x v="0"/>
    <x v="0"/>
  </r>
  <r>
    <x v="2201"/>
    <x v="2"/>
    <n v="175"/>
    <n v="89"/>
    <n v="4"/>
    <n v="4"/>
    <n v="19.8"/>
    <x v="89"/>
    <x v="2"/>
    <n v="93"/>
    <n v="3.27"/>
    <n v="72.069999999999993"/>
    <n v="1.83"/>
    <n v="8"/>
    <n v="0.89"/>
    <n v="268"/>
    <n v="4.84"/>
    <n v="0.71"/>
    <d v="2024-03-29T00:00:00"/>
    <n v="12.53"/>
    <n v="0.442"/>
    <n v="12612.249999999998"/>
    <x v="0"/>
    <x v="1"/>
  </r>
  <r>
    <x v="2202"/>
    <x v="0"/>
    <n v="292"/>
    <n v="84"/>
    <n v="10"/>
    <n v="5"/>
    <n v="1.77"/>
    <x v="24"/>
    <x v="1"/>
    <n v="20"/>
    <n v="2.29"/>
    <n v="174.11"/>
    <n v="0.97"/>
    <n v="0"/>
    <n v="0.91"/>
    <n v="613"/>
    <n v="13.86"/>
    <n v="0.83"/>
    <d v="2024-03-06T00:00:00"/>
    <n v="235.3"/>
    <n v="0.83599999999999997"/>
    <n v="50840.12"/>
    <x v="0"/>
    <x v="0"/>
  </r>
  <r>
    <x v="2203"/>
    <x v="1"/>
    <n v="25"/>
    <n v="23"/>
    <n v="13"/>
    <n v="2"/>
    <n v="23.43"/>
    <x v="0"/>
    <x v="2"/>
    <n v="75"/>
    <n v="3.55"/>
    <n v="50.08"/>
    <n v="1.55"/>
    <n v="3"/>
    <n v="0.95"/>
    <n v="580"/>
    <n v="6.19"/>
    <n v="0.24"/>
    <d v="2024-02-23T00:00:00"/>
    <n v="295.61"/>
    <n v="0.50600000000000001"/>
    <n v="1252"/>
    <x v="0"/>
    <x v="2"/>
  </r>
  <r>
    <x v="2204"/>
    <x v="1"/>
    <n v="166"/>
    <n v="12"/>
    <n v="4"/>
    <n v="6"/>
    <n v="2.2400000000000002"/>
    <x v="45"/>
    <x v="1"/>
    <n v="22"/>
    <n v="1.92"/>
    <n v="177.64"/>
    <n v="0.27"/>
    <n v="5"/>
    <n v="0.75"/>
    <n v="407"/>
    <n v="3.05"/>
    <n v="0.65"/>
    <d v="2024-07-17T00:00:00"/>
    <n v="144.91"/>
    <n v="0.59399999999999997"/>
    <n v="29488.239999999998"/>
    <x v="0"/>
    <x v="1"/>
  </r>
  <r>
    <x v="2205"/>
    <x v="1"/>
    <n v="203"/>
    <n v="71"/>
    <n v="11"/>
    <n v="5"/>
    <n v="28.95"/>
    <x v="38"/>
    <x v="3"/>
    <n v="178"/>
    <n v="3.06"/>
    <n v="136.18"/>
    <n v="0.21"/>
    <n v="5"/>
    <n v="0.98"/>
    <n v="286"/>
    <n v="4.9000000000000004"/>
    <n v="0.56000000000000005"/>
    <d v="2024-12-02T00:00:00"/>
    <n v="135.61000000000001"/>
    <n v="0.65200000000000002"/>
    <n v="27644.54"/>
    <x v="0"/>
    <x v="1"/>
  </r>
  <r>
    <x v="2206"/>
    <x v="3"/>
    <n v="47"/>
    <n v="73"/>
    <n v="6"/>
    <n v="2"/>
    <n v="25.83"/>
    <x v="50"/>
    <x v="0"/>
    <n v="24"/>
    <n v="3.26"/>
    <n v="191.76"/>
    <n v="1.04"/>
    <n v="8"/>
    <n v="0.82"/>
    <n v="732"/>
    <n v="10.039999999999999"/>
    <n v="0.92"/>
    <d v="2024-11-03T00:00:00"/>
    <n v="89.99"/>
    <n v="0.61799999999999999"/>
    <n v="9012.7199999999993"/>
    <x v="1"/>
    <x v="2"/>
  </r>
  <r>
    <x v="2207"/>
    <x v="2"/>
    <n v="469"/>
    <n v="54"/>
    <n v="3"/>
    <n v="3"/>
    <n v="42.16"/>
    <x v="1"/>
    <x v="1"/>
    <n v="65"/>
    <n v="3.61"/>
    <n v="12.87"/>
    <n v="0.7"/>
    <n v="0"/>
    <n v="0.96"/>
    <n v="324"/>
    <n v="2.86"/>
    <n v="0.79"/>
    <d v="2024-11-06T00:00:00"/>
    <n v="203.32"/>
    <n v="0.71799999999999997"/>
    <n v="6036.03"/>
    <x v="0"/>
    <x v="0"/>
  </r>
  <r>
    <x v="2208"/>
    <x v="1"/>
    <n v="57"/>
    <n v="91"/>
    <n v="6"/>
    <n v="5"/>
    <n v="29.51"/>
    <x v="69"/>
    <x v="2"/>
    <n v="168"/>
    <n v="3.91"/>
    <n v="21.23"/>
    <n v="0.11"/>
    <n v="4"/>
    <n v="0.77"/>
    <n v="856"/>
    <n v="2.2799999999999998"/>
    <n v="0.54"/>
    <d v="2024-06-13T00:00:00"/>
    <n v="146.78"/>
    <n v="0.60099999999999998"/>
    <n v="1210.1100000000001"/>
    <x v="1"/>
    <x v="2"/>
  </r>
  <r>
    <x v="2209"/>
    <x v="1"/>
    <n v="138"/>
    <n v="67"/>
    <n v="5"/>
    <n v="6"/>
    <n v="16.850000000000001"/>
    <x v="77"/>
    <x v="3"/>
    <n v="62"/>
    <n v="1.1100000000000001"/>
    <n v="105.17"/>
    <n v="0.45"/>
    <n v="9"/>
    <n v="0.71"/>
    <n v="925"/>
    <n v="7.41"/>
    <n v="0.64"/>
    <d v="2024-09-15T00:00:00"/>
    <n v="58.58"/>
    <n v="0.54400000000000004"/>
    <n v="14513.460000000001"/>
    <x v="0"/>
    <x v="1"/>
  </r>
  <r>
    <x v="2210"/>
    <x v="3"/>
    <n v="312"/>
    <n v="29"/>
    <n v="14"/>
    <n v="2"/>
    <n v="26.3"/>
    <x v="39"/>
    <x v="2"/>
    <n v="70"/>
    <n v="4.84"/>
    <n v="183.35"/>
    <n v="0.52"/>
    <n v="0"/>
    <n v="0.87"/>
    <n v="721"/>
    <n v="2.17"/>
    <n v="0.54"/>
    <d v="2024-07-15T00:00:00"/>
    <n v="149.6"/>
    <n v="0.65900000000000003"/>
    <n v="57205.2"/>
    <x v="0"/>
    <x v="0"/>
  </r>
  <r>
    <x v="2211"/>
    <x v="3"/>
    <n v="390"/>
    <n v="67"/>
    <n v="8"/>
    <n v="5"/>
    <n v="35.29"/>
    <x v="87"/>
    <x v="1"/>
    <n v="137"/>
    <n v="4.3"/>
    <n v="148.85"/>
    <n v="0.65"/>
    <n v="5"/>
    <n v="0.8"/>
    <n v="801"/>
    <n v="6.5"/>
    <n v="0.55000000000000004"/>
    <d v="2024-08-02T00:00:00"/>
    <n v="119.15"/>
    <n v="0.59199999999999997"/>
    <n v="58051.5"/>
    <x v="0"/>
    <x v="0"/>
  </r>
  <r>
    <x v="2212"/>
    <x v="1"/>
    <n v="263"/>
    <n v="98"/>
    <n v="9"/>
    <n v="3"/>
    <n v="5.6"/>
    <x v="44"/>
    <x v="3"/>
    <n v="51"/>
    <n v="3.03"/>
    <n v="128.21"/>
    <n v="1.77"/>
    <n v="8"/>
    <n v="1"/>
    <n v="626"/>
    <n v="5.52"/>
    <n v="0.71"/>
    <d v="2024-11-07T00:00:00"/>
    <n v="268.04000000000002"/>
    <n v="0.47899999999999998"/>
    <n v="33719.230000000003"/>
    <x v="0"/>
    <x v="0"/>
  </r>
  <r>
    <x v="2213"/>
    <x v="4"/>
    <n v="87"/>
    <n v="66"/>
    <n v="10"/>
    <n v="5"/>
    <n v="31.43"/>
    <x v="74"/>
    <x v="2"/>
    <n v="38"/>
    <n v="4.51"/>
    <n v="16"/>
    <n v="0.9"/>
    <n v="3"/>
    <n v="0.73"/>
    <n v="266"/>
    <n v="6.48"/>
    <n v="0.37"/>
    <d v="2024-12-20T00:00:00"/>
    <n v="233.76"/>
    <n v="0.55600000000000005"/>
    <n v="1392"/>
    <x v="0"/>
    <x v="2"/>
  </r>
  <r>
    <x v="2214"/>
    <x v="1"/>
    <n v="233"/>
    <n v="86"/>
    <n v="4"/>
    <n v="2"/>
    <n v="45.91"/>
    <x v="47"/>
    <x v="3"/>
    <n v="164"/>
    <n v="2.2200000000000002"/>
    <n v="77.290000000000006"/>
    <n v="1.39"/>
    <n v="9"/>
    <n v="0.71"/>
    <n v="608"/>
    <n v="7.83"/>
    <n v="0.47"/>
    <d v="2024-05-07T00:00:00"/>
    <n v="213.36"/>
    <n v="0.42099999999999999"/>
    <n v="18008.57"/>
    <x v="0"/>
    <x v="1"/>
  </r>
  <r>
    <x v="2215"/>
    <x v="1"/>
    <n v="237"/>
    <n v="77"/>
    <n v="8"/>
    <n v="5"/>
    <n v="15.66"/>
    <x v="89"/>
    <x v="0"/>
    <n v="53"/>
    <n v="0.65"/>
    <n v="75.709999999999994"/>
    <n v="0.13"/>
    <n v="9"/>
    <n v="0.71"/>
    <n v="446"/>
    <n v="3.59"/>
    <n v="0.42"/>
    <d v="2024-05-20T00:00:00"/>
    <n v="104.88"/>
    <n v="0.48099999999999998"/>
    <n v="17943.269999999997"/>
    <x v="0"/>
    <x v="1"/>
  </r>
  <r>
    <x v="2216"/>
    <x v="3"/>
    <n v="196"/>
    <n v="87"/>
    <n v="8"/>
    <n v="6"/>
    <n v="31.7"/>
    <x v="21"/>
    <x v="0"/>
    <n v="142"/>
    <n v="3.77"/>
    <n v="113"/>
    <n v="1.65"/>
    <n v="8"/>
    <n v="0.77"/>
    <n v="123"/>
    <n v="7.19"/>
    <n v="0.84"/>
    <d v="2024-07-22T00:00:00"/>
    <n v="50.49"/>
    <n v="0.49299999999999999"/>
    <n v="22148"/>
    <x v="0"/>
    <x v="1"/>
  </r>
  <r>
    <x v="2217"/>
    <x v="3"/>
    <n v="318"/>
    <n v="61"/>
    <n v="12"/>
    <n v="4"/>
    <n v="41.25"/>
    <x v="71"/>
    <x v="3"/>
    <n v="122"/>
    <n v="4.75"/>
    <n v="58.99"/>
    <n v="0.56000000000000005"/>
    <n v="2"/>
    <n v="0.87"/>
    <n v="725"/>
    <n v="6.06"/>
    <n v="0.95"/>
    <d v="2024-06-24T00:00:00"/>
    <n v="260.76"/>
    <n v="0.749"/>
    <n v="18758.82"/>
    <x v="0"/>
    <x v="0"/>
  </r>
  <r>
    <x v="2218"/>
    <x v="1"/>
    <n v="183"/>
    <n v="46"/>
    <n v="14"/>
    <n v="9"/>
    <n v="26.08"/>
    <x v="43"/>
    <x v="2"/>
    <n v="115"/>
    <n v="1.23"/>
    <n v="60.76"/>
    <n v="0.69"/>
    <n v="6"/>
    <n v="0.85"/>
    <n v="759"/>
    <n v="12.14"/>
    <n v="0.53"/>
    <d v="2024-05-30T00:00:00"/>
    <n v="109.4"/>
    <n v="0.64900000000000002"/>
    <n v="11119.08"/>
    <x v="0"/>
    <x v="1"/>
  </r>
  <r>
    <x v="2219"/>
    <x v="1"/>
    <n v="77"/>
    <n v="17"/>
    <n v="7"/>
    <n v="9"/>
    <n v="36.18"/>
    <x v="13"/>
    <x v="2"/>
    <n v="47"/>
    <n v="3.4"/>
    <n v="127.96"/>
    <n v="0.19"/>
    <n v="4"/>
    <n v="0.81"/>
    <n v="972"/>
    <n v="10.73"/>
    <n v="0.26"/>
    <d v="2024-08-19T00:00:00"/>
    <n v="181.96"/>
    <n v="0.65800000000000003"/>
    <n v="9852.92"/>
    <x v="0"/>
    <x v="2"/>
  </r>
  <r>
    <x v="2220"/>
    <x v="1"/>
    <n v="288"/>
    <n v="53"/>
    <n v="12"/>
    <n v="2"/>
    <n v="16.239999999999998"/>
    <x v="26"/>
    <x v="2"/>
    <n v="124"/>
    <n v="4.16"/>
    <n v="189.47"/>
    <n v="0.88"/>
    <n v="9"/>
    <n v="0.73"/>
    <n v="377"/>
    <n v="13.22"/>
    <n v="0.27"/>
    <d v="2024-03-09T00:00:00"/>
    <n v="181.34"/>
    <n v="0.50800000000000001"/>
    <n v="54567.360000000001"/>
    <x v="0"/>
    <x v="0"/>
  </r>
  <r>
    <x v="2221"/>
    <x v="3"/>
    <n v="327"/>
    <n v="14"/>
    <n v="12"/>
    <n v="2"/>
    <n v="16"/>
    <x v="99"/>
    <x v="0"/>
    <n v="139"/>
    <n v="4.57"/>
    <n v="135.43"/>
    <n v="1.72"/>
    <n v="0"/>
    <n v="0.77"/>
    <n v="457"/>
    <n v="10.37"/>
    <n v="0.52"/>
    <d v="2024-03-11T00:00:00"/>
    <n v="279.14"/>
    <n v="0.624"/>
    <n v="44285.61"/>
    <x v="0"/>
    <x v="0"/>
  </r>
  <r>
    <x v="2222"/>
    <x v="1"/>
    <n v="77"/>
    <n v="78"/>
    <n v="9"/>
    <n v="2"/>
    <n v="33.71"/>
    <x v="33"/>
    <x v="1"/>
    <n v="118"/>
    <n v="1.74"/>
    <n v="136.94"/>
    <n v="0.82"/>
    <n v="6"/>
    <n v="0.76"/>
    <n v="197"/>
    <n v="2.7"/>
    <n v="0.52"/>
    <d v="2024-07-30T00:00:00"/>
    <n v="59.8"/>
    <n v="0.49"/>
    <n v="10544.38"/>
    <x v="1"/>
    <x v="2"/>
  </r>
  <r>
    <x v="2223"/>
    <x v="1"/>
    <n v="307"/>
    <n v="40"/>
    <n v="5"/>
    <n v="2"/>
    <n v="35.57"/>
    <x v="89"/>
    <x v="1"/>
    <n v="93"/>
    <n v="1.08"/>
    <n v="197.38"/>
    <n v="1.83"/>
    <n v="7"/>
    <n v="0.92"/>
    <n v="135"/>
    <n v="8.1"/>
    <n v="0.32"/>
    <d v="2024-11-04T00:00:00"/>
    <n v="233.78"/>
    <n v="0.433"/>
    <n v="60595.659999999996"/>
    <x v="0"/>
    <x v="0"/>
  </r>
  <r>
    <x v="2224"/>
    <x v="0"/>
    <n v="484"/>
    <n v="54"/>
    <n v="6"/>
    <n v="5"/>
    <n v="46.91"/>
    <x v="47"/>
    <x v="3"/>
    <n v="172"/>
    <n v="1.62"/>
    <n v="39.159999999999997"/>
    <n v="1.75"/>
    <n v="5"/>
    <n v="0.93"/>
    <n v="570"/>
    <n v="11.39"/>
    <n v="0.85"/>
    <d v="2024-12-24T00:00:00"/>
    <n v="144.15"/>
    <n v="0.63300000000000001"/>
    <n v="18953.439999999999"/>
    <x v="0"/>
    <x v="0"/>
  </r>
  <r>
    <x v="2225"/>
    <x v="4"/>
    <n v="124"/>
    <n v="18"/>
    <n v="12"/>
    <n v="6"/>
    <n v="12.02"/>
    <x v="24"/>
    <x v="2"/>
    <n v="55"/>
    <n v="3.1"/>
    <n v="16.43"/>
    <n v="0.22"/>
    <n v="0"/>
    <n v="0.93"/>
    <n v="552"/>
    <n v="12.78"/>
    <n v="0.6"/>
    <d v="2024-09-19T00:00:00"/>
    <n v="60.68"/>
    <n v="0.85399999999999998"/>
    <n v="2037.32"/>
    <x v="0"/>
    <x v="1"/>
  </r>
  <r>
    <x v="2226"/>
    <x v="2"/>
    <n v="247"/>
    <n v="41"/>
    <n v="11"/>
    <n v="9"/>
    <n v="23.94"/>
    <x v="96"/>
    <x v="3"/>
    <n v="101"/>
    <n v="4.63"/>
    <n v="151.65"/>
    <n v="0.68"/>
    <n v="8"/>
    <n v="0.99"/>
    <n v="814"/>
    <n v="3.54"/>
    <n v="0.28999999999999998"/>
    <d v="2024-06-02T00:00:00"/>
    <n v="252.34"/>
    <n v="0.47499999999999998"/>
    <n v="37457.550000000003"/>
    <x v="0"/>
    <x v="1"/>
  </r>
  <r>
    <x v="2227"/>
    <x v="4"/>
    <n v="266"/>
    <n v="42"/>
    <n v="6"/>
    <n v="3"/>
    <n v="13.28"/>
    <x v="55"/>
    <x v="1"/>
    <n v="114"/>
    <n v="3.12"/>
    <n v="93.37"/>
    <n v="1.83"/>
    <n v="6"/>
    <n v="0.97"/>
    <n v="281"/>
    <n v="4.13"/>
    <n v="0.28000000000000003"/>
    <d v="2024-12-25T00:00:00"/>
    <n v="247.84"/>
    <n v="0.40200000000000002"/>
    <n v="24836.420000000002"/>
    <x v="0"/>
    <x v="0"/>
  </r>
  <r>
    <x v="2228"/>
    <x v="0"/>
    <n v="207"/>
    <n v="76"/>
    <n v="5"/>
    <n v="9"/>
    <n v="4.92"/>
    <x v="55"/>
    <x v="1"/>
    <n v="81"/>
    <n v="4.6399999999999997"/>
    <n v="91.48"/>
    <n v="0.16"/>
    <n v="5"/>
    <n v="0.85"/>
    <n v="937"/>
    <n v="13.07"/>
    <n v="0.56000000000000005"/>
    <d v="2024-10-07T00:00:00"/>
    <n v="21.65"/>
    <n v="0.74"/>
    <n v="18936.36"/>
    <x v="0"/>
    <x v="1"/>
  </r>
  <r>
    <x v="2229"/>
    <x v="2"/>
    <n v="102"/>
    <n v="39"/>
    <n v="4"/>
    <n v="6"/>
    <n v="20.76"/>
    <x v="41"/>
    <x v="2"/>
    <n v="148"/>
    <n v="3.97"/>
    <n v="52.81"/>
    <n v="1.56"/>
    <n v="3"/>
    <n v="0.82"/>
    <n v="547"/>
    <n v="7.8"/>
    <n v="0.28999999999999998"/>
    <d v="2024-06-09T00:00:00"/>
    <n v="215.74"/>
    <n v="0.51"/>
    <n v="5386.62"/>
    <x v="0"/>
    <x v="1"/>
  </r>
  <r>
    <x v="2230"/>
    <x v="1"/>
    <n v="205"/>
    <n v="85"/>
    <n v="7"/>
    <n v="2"/>
    <n v="19.329999999999998"/>
    <x v="79"/>
    <x v="3"/>
    <n v="38"/>
    <n v="3.19"/>
    <n v="106.3"/>
    <n v="1.82"/>
    <n v="2"/>
    <n v="0.97"/>
    <n v="472"/>
    <n v="7.33"/>
    <n v="0.65"/>
    <d v="2024-12-30T00:00:00"/>
    <n v="54.52"/>
    <n v="0.6"/>
    <n v="21791.5"/>
    <x v="0"/>
    <x v="1"/>
  </r>
  <r>
    <x v="2231"/>
    <x v="0"/>
    <n v="271"/>
    <n v="38"/>
    <n v="6"/>
    <n v="7"/>
    <n v="14.25"/>
    <x v="46"/>
    <x v="2"/>
    <n v="56"/>
    <n v="0.6"/>
    <n v="94.01"/>
    <n v="1.56"/>
    <n v="3"/>
    <n v="0.88"/>
    <n v="516"/>
    <n v="7.92"/>
    <n v="0.51"/>
    <d v="2024-10-10T00:00:00"/>
    <n v="187"/>
    <n v="0.56799999999999995"/>
    <n v="25476.710000000003"/>
    <x v="0"/>
    <x v="0"/>
  </r>
  <r>
    <x v="2232"/>
    <x v="1"/>
    <n v="374"/>
    <n v="12"/>
    <n v="10"/>
    <n v="5"/>
    <n v="15.55"/>
    <x v="50"/>
    <x v="1"/>
    <n v="120"/>
    <n v="2"/>
    <n v="75.64"/>
    <n v="1.51"/>
    <n v="0"/>
    <n v="0.79"/>
    <n v="296"/>
    <n v="3.43"/>
    <n v="0.94"/>
    <d v="2024-11-19T00:00:00"/>
    <n v="196.7"/>
    <n v="0.64100000000000001"/>
    <n v="28289.360000000001"/>
    <x v="0"/>
    <x v="0"/>
  </r>
  <r>
    <x v="2233"/>
    <x v="3"/>
    <n v="257"/>
    <n v="99"/>
    <n v="9"/>
    <n v="7"/>
    <n v="18.66"/>
    <x v="79"/>
    <x v="1"/>
    <n v="16"/>
    <n v="0.76"/>
    <n v="94.12"/>
    <n v="1.7"/>
    <n v="8"/>
    <n v="0.87"/>
    <n v="419"/>
    <n v="9.7899999999999991"/>
    <n v="0.54"/>
    <d v="2024-04-21T00:00:00"/>
    <n v="202.92"/>
    <n v="0.48299999999999998"/>
    <n v="24188.84"/>
    <x v="0"/>
    <x v="0"/>
  </r>
  <r>
    <x v="2234"/>
    <x v="0"/>
    <n v="379"/>
    <n v="66"/>
    <n v="8"/>
    <n v="5"/>
    <n v="49.45"/>
    <x v="10"/>
    <x v="2"/>
    <n v="126"/>
    <n v="1.95"/>
    <n v="82.93"/>
    <n v="1.37"/>
    <n v="1"/>
    <n v="1"/>
    <n v="562"/>
    <n v="12.31"/>
    <n v="0.69"/>
    <d v="2024-04-12T00:00:00"/>
    <n v="44.83"/>
    <n v="0.745"/>
    <n v="31430.47"/>
    <x v="0"/>
    <x v="0"/>
  </r>
  <r>
    <x v="2235"/>
    <x v="3"/>
    <n v="203"/>
    <n v="39"/>
    <n v="13"/>
    <n v="2"/>
    <n v="39.36"/>
    <x v="17"/>
    <x v="3"/>
    <n v="73"/>
    <n v="0.78"/>
    <n v="188.58"/>
    <n v="0.9"/>
    <n v="1"/>
    <n v="0.95"/>
    <n v="828"/>
    <n v="12.72"/>
    <n v="0.85"/>
    <d v="2024-04-17T00:00:00"/>
    <n v="183.51"/>
    <n v="0.82"/>
    <n v="38281.740000000005"/>
    <x v="0"/>
    <x v="1"/>
  </r>
  <r>
    <x v="2236"/>
    <x v="0"/>
    <n v="303"/>
    <n v="18"/>
    <n v="14"/>
    <n v="5"/>
    <n v="4.5"/>
    <x v="17"/>
    <x v="0"/>
    <n v="91"/>
    <n v="1.26"/>
    <n v="196.25"/>
    <n v="0.22"/>
    <n v="2"/>
    <n v="0.78"/>
    <n v="154"/>
    <n v="1.43"/>
    <n v="0.44"/>
    <d v="2024-11-15T00:00:00"/>
    <n v="38.96"/>
    <n v="0.60099999999999998"/>
    <n v="59463.75"/>
    <x v="0"/>
    <x v="0"/>
  </r>
  <r>
    <x v="2237"/>
    <x v="0"/>
    <n v="404"/>
    <n v="35"/>
    <n v="4"/>
    <n v="2"/>
    <n v="43.75"/>
    <x v="42"/>
    <x v="2"/>
    <n v="73"/>
    <n v="2.35"/>
    <n v="169.58"/>
    <n v="1.6"/>
    <n v="0"/>
    <n v="0.99"/>
    <n v="283"/>
    <n v="11.01"/>
    <n v="0.61"/>
    <d v="2024-05-28T00:00:00"/>
    <n v="226.21"/>
    <n v="0.70699999999999996"/>
    <n v="68510.320000000007"/>
    <x v="0"/>
    <x v="0"/>
  </r>
  <r>
    <x v="2238"/>
    <x v="3"/>
    <n v="445"/>
    <n v="11"/>
    <n v="5"/>
    <n v="6"/>
    <n v="32.03"/>
    <x v="87"/>
    <x v="1"/>
    <n v="101"/>
    <n v="2.82"/>
    <n v="198.18"/>
    <n v="1.82"/>
    <n v="9"/>
    <n v="0.99"/>
    <n v="507"/>
    <n v="2.2799999999999998"/>
    <n v="0.3"/>
    <d v="2024-12-17T00:00:00"/>
    <n v="28.49"/>
    <n v="0.32600000000000001"/>
    <n v="88190.1"/>
    <x v="0"/>
    <x v="0"/>
  </r>
  <r>
    <x v="2239"/>
    <x v="2"/>
    <n v="229"/>
    <n v="71"/>
    <n v="12"/>
    <n v="8"/>
    <n v="44.64"/>
    <x v="78"/>
    <x v="0"/>
    <n v="21"/>
    <n v="1.48"/>
    <n v="60.49"/>
    <n v="1.07"/>
    <n v="2"/>
    <n v="0.77"/>
    <n v="306"/>
    <n v="14.54"/>
    <n v="0.55000000000000004"/>
    <d v="2024-06-25T00:00:00"/>
    <n v="229.77"/>
    <n v="0.71099999999999997"/>
    <n v="13852.210000000001"/>
    <x v="0"/>
    <x v="1"/>
  </r>
  <r>
    <x v="2240"/>
    <x v="4"/>
    <n v="323"/>
    <n v="12"/>
    <n v="11"/>
    <n v="4"/>
    <n v="17.739999999999998"/>
    <x v="91"/>
    <x v="2"/>
    <n v="21"/>
    <n v="3.8"/>
    <n v="170.16"/>
    <n v="1.1100000000000001"/>
    <n v="3"/>
    <n v="0.97"/>
    <n v="524"/>
    <n v="7.75"/>
    <n v="0.5"/>
    <d v="2024-12-10T00:00:00"/>
    <n v="266.20999999999998"/>
    <n v="0.626"/>
    <n v="54961.68"/>
    <x v="0"/>
    <x v="0"/>
  </r>
  <r>
    <x v="2241"/>
    <x v="1"/>
    <n v="315"/>
    <n v="55"/>
    <n v="11"/>
    <n v="5"/>
    <n v="23.76"/>
    <x v="36"/>
    <x v="0"/>
    <n v="45"/>
    <n v="3.16"/>
    <n v="87.26"/>
    <n v="0.87"/>
    <n v="8"/>
    <n v="0.96"/>
    <n v="642"/>
    <n v="11.86"/>
    <n v="0.54"/>
    <d v="2024-03-08T00:00:00"/>
    <n v="96.58"/>
    <n v="0.61099999999999999"/>
    <n v="27486.9"/>
    <x v="0"/>
    <x v="0"/>
  </r>
  <r>
    <x v="2242"/>
    <x v="0"/>
    <n v="116"/>
    <n v="77"/>
    <n v="7"/>
    <n v="2"/>
    <n v="44.92"/>
    <x v="0"/>
    <x v="2"/>
    <n v="38"/>
    <n v="3.61"/>
    <n v="151.77000000000001"/>
    <n v="1.73"/>
    <n v="4"/>
    <n v="0.71"/>
    <n v="684"/>
    <n v="9.7100000000000009"/>
    <n v="0.28999999999999998"/>
    <d v="2024-12-29T00:00:00"/>
    <n v="235.7"/>
    <n v="0.47599999999999998"/>
    <n v="17605.32"/>
    <x v="0"/>
    <x v="1"/>
  </r>
  <r>
    <x v="2243"/>
    <x v="1"/>
    <n v="466"/>
    <n v="34"/>
    <n v="5"/>
    <n v="7"/>
    <n v="14.36"/>
    <x v="78"/>
    <x v="1"/>
    <n v="148"/>
    <n v="3.8"/>
    <n v="48.26"/>
    <n v="0.13"/>
    <n v="5"/>
    <n v="0.9"/>
    <n v="221"/>
    <n v="14.33"/>
    <n v="0.52"/>
    <d v="2024-11-28T00:00:00"/>
    <n v="131.08000000000001"/>
    <n v="0.76200000000000001"/>
    <n v="22489.16"/>
    <x v="0"/>
    <x v="0"/>
  </r>
  <r>
    <x v="2244"/>
    <x v="3"/>
    <n v="479"/>
    <n v="60"/>
    <n v="4"/>
    <n v="2"/>
    <n v="45.86"/>
    <x v="53"/>
    <x v="2"/>
    <n v="94"/>
    <n v="3.77"/>
    <n v="164.27"/>
    <n v="1.29"/>
    <n v="0"/>
    <n v="0.79"/>
    <n v="868"/>
    <n v="14.63"/>
    <n v="0.9"/>
    <d v="2024-04-01T00:00:00"/>
    <n v="241.34"/>
    <n v="0.80400000000000005"/>
    <n v="78685.33"/>
    <x v="0"/>
    <x v="0"/>
  </r>
  <r>
    <x v="2245"/>
    <x v="1"/>
    <n v="475"/>
    <n v="22"/>
    <n v="10"/>
    <n v="7"/>
    <n v="41.6"/>
    <x v="80"/>
    <x v="0"/>
    <n v="83"/>
    <n v="4.71"/>
    <n v="25.86"/>
    <n v="1.82"/>
    <n v="2"/>
    <n v="0.9"/>
    <n v="322"/>
    <n v="4.9000000000000004"/>
    <n v="0.95"/>
    <d v="2024-09-14T00:00:00"/>
    <n v="209.01"/>
    <n v="0.61299999999999999"/>
    <n v="12283.5"/>
    <x v="0"/>
    <x v="0"/>
  </r>
  <r>
    <x v="2246"/>
    <x v="3"/>
    <n v="491"/>
    <n v="53"/>
    <n v="8"/>
    <n v="9"/>
    <n v="49.05"/>
    <x v="72"/>
    <x v="3"/>
    <n v="56"/>
    <n v="1.57"/>
    <n v="61.41"/>
    <n v="0.3"/>
    <n v="6"/>
    <n v="0.97"/>
    <n v="920"/>
    <n v="7.76"/>
    <n v="0.39"/>
    <d v="2024-10-04T00:00:00"/>
    <n v="93.85"/>
    <n v="0.625"/>
    <n v="30152.309999999998"/>
    <x v="0"/>
    <x v="0"/>
  </r>
  <r>
    <x v="2247"/>
    <x v="1"/>
    <n v="227"/>
    <n v="44"/>
    <n v="12"/>
    <n v="5"/>
    <n v="16.89"/>
    <x v="87"/>
    <x v="1"/>
    <n v="170"/>
    <n v="1.72"/>
    <n v="166.17"/>
    <n v="1.92"/>
    <n v="6"/>
    <n v="0.85"/>
    <n v="808"/>
    <n v="8.06"/>
    <n v="0.44"/>
    <d v="2024-12-21T00:00:00"/>
    <n v="66.180000000000007"/>
    <n v="0.45300000000000001"/>
    <n v="37720.589999999997"/>
    <x v="0"/>
    <x v="1"/>
  </r>
  <r>
    <x v="2248"/>
    <x v="4"/>
    <n v="389"/>
    <n v="64"/>
    <n v="13"/>
    <n v="3"/>
    <n v="12.55"/>
    <x v="33"/>
    <x v="1"/>
    <n v="90"/>
    <n v="0.92"/>
    <n v="151.96"/>
    <n v="1.94"/>
    <n v="9"/>
    <n v="0.82"/>
    <n v="924"/>
    <n v="3.49"/>
    <n v="0.21"/>
    <d v="2024-11-22T00:00:00"/>
    <n v="275.27999999999997"/>
    <n v="0.27900000000000003"/>
    <n v="59112.44"/>
    <x v="0"/>
    <x v="0"/>
  </r>
  <r>
    <x v="2249"/>
    <x v="4"/>
    <n v="407"/>
    <n v="96"/>
    <n v="14"/>
    <n v="7"/>
    <n v="17.21"/>
    <x v="50"/>
    <x v="0"/>
    <n v="130"/>
    <n v="3.17"/>
    <n v="105.24"/>
    <n v="1.87"/>
    <n v="0"/>
    <n v="0.98"/>
    <n v="937"/>
    <n v="13.66"/>
    <n v="0.28999999999999998"/>
    <d v="2024-06-14T00:00:00"/>
    <n v="253.3"/>
    <n v="0.64900000000000002"/>
    <n v="42832.68"/>
    <x v="0"/>
    <x v="0"/>
  </r>
  <r>
    <x v="2250"/>
    <x v="4"/>
    <n v="441"/>
    <n v="18"/>
    <n v="9"/>
    <n v="2"/>
    <n v="47.78"/>
    <x v="34"/>
    <x v="2"/>
    <n v="52"/>
    <n v="2.2799999999999998"/>
    <n v="137.83000000000001"/>
    <n v="0.98"/>
    <n v="8"/>
    <n v="0.99"/>
    <n v="243"/>
    <n v="5.89"/>
    <n v="0.48"/>
    <d v="2024-12-29T00:00:00"/>
    <n v="201.37"/>
    <n v="0.51500000000000001"/>
    <n v="60783.030000000006"/>
    <x v="0"/>
    <x v="0"/>
  </r>
  <r>
    <x v="2251"/>
    <x v="4"/>
    <n v="430"/>
    <n v="11"/>
    <n v="3"/>
    <n v="5"/>
    <n v="17.32"/>
    <x v="89"/>
    <x v="2"/>
    <n v="155"/>
    <n v="2.73"/>
    <n v="45.26"/>
    <n v="0.83"/>
    <n v="0"/>
    <n v="0.72"/>
    <n v="161"/>
    <n v="2.2200000000000002"/>
    <n v="0.75"/>
    <d v="2024-02-29T00:00:00"/>
    <n v="111.32"/>
    <n v="0.64100000000000001"/>
    <n v="19461.8"/>
    <x v="0"/>
    <x v="0"/>
  </r>
  <r>
    <x v="2252"/>
    <x v="4"/>
    <n v="156"/>
    <n v="70"/>
    <n v="3"/>
    <n v="2"/>
    <n v="28.7"/>
    <x v="37"/>
    <x v="2"/>
    <n v="83"/>
    <n v="1.26"/>
    <n v="136.88"/>
    <n v="1.44"/>
    <n v="6"/>
    <n v="0.98"/>
    <n v="72"/>
    <n v="3.16"/>
    <n v="0.43"/>
    <d v="2024-06-29T00:00:00"/>
    <n v="158.03"/>
    <n v="0.46"/>
    <n v="21353.279999999999"/>
    <x v="0"/>
    <x v="1"/>
  </r>
  <r>
    <x v="2253"/>
    <x v="4"/>
    <n v="386"/>
    <n v="50"/>
    <n v="12"/>
    <n v="3"/>
    <n v="20.78"/>
    <x v="51"/>
    <x v="1"/>
    <n v="62"/>
    <n v="3.42"/>
    <n v="11.52"/>
    <n v="0.71"/>
    <n v="1"/>
    <n v="0.72"/>
    <n v="986"/>
    <n v="8.19"/>
    <n v="0.26"/>
    <d v="2024-10-14T00:00:00"/>
    <n v="171.78"/>
    <n v="0.61399999999999999"/>
    <n v="4446.72"/>
    <x v="0"/>
    <x v="0"/>
  </r>
  <r>
    <x v="2254"/>
    <x v="3"/>
    <n v="419"/>
    <n v="53"/>
    <n v="4"/>
    <n v="4"/>
    <n v="20.41"/>
    <x v="44"/>
    <x v="1"/>
    <n v="48"/>
    <n v="3.29"/>
    <n v="168.31"/>
    <n v="0.23"/>
    <n v="8"/>
    <n v="0.8"/>
    <n v="943"/>
    <n v="13.34"/>
    <n v="0.78"/>
    <d v="2024-09-02T00:00:00"/>
    <n v="34.96"/>
    <n v="0.71099999999999997"/>
    <n v="70521.89"/>
    <x v="0"/>
    <x v="0"/>
  </r>
  <r>
    <x v="2255"/>
    <x v="0"/>
    <n v="203"/>
    <n v="73"/>
    <n v="12"/>
    <n v="8"/>
    <n v="10.48"/>
    <x v="8"/>
    <x v="0"/>
    <n v="116"/>
    <n v="1.69"/>
    <n v="108.09"/>
    <n v="1.81"/>
    <n v="8"/>
    <n v="0.93"/>
    <n v="364"/>
    <n v="9.8000000000000007"/>
    <n v="0.56999999999999995"/>
    <d v="2024-10-25T00:00:00"/>
    <n v="291.95"/>
    <n v="0.49"/>
    <n v="21942.27"/>
    <x v="0"/>
    <x v="1"/>
  </r>
  <r>
    <x v="2256"/>
    <x v="1"/>
    <n v="95"/>
    <n v="40"/>
    <n v="5"/>
    <n v="8"/>
    <n v="27.32"/>
    <x v="52"/>
    <x v="2"/>
    <n v="171"/>
    <n v="2.59"/>
    <n v="189.34"/>
    <n v="1.31"/>
    <n v="8"/>
    <n v="0.93"/>
    <n v="251"/>
    <n v="4.01"/>
    <n v="0.62"/>
    <d v="2024-10-19T00:00:00"/>
    <n v="36.630000000000003"/>
    <n v="0.47199999999999998"/>
    <n v="17987.3"/>
    <x v="0"/>
    <x v="2"/>
  </r>
  <r>
    <x v="2257"/>
    <x v="4"/>
    <n v="306"/>
    <n v="56"/>
    <n v="14"/>
    <n v="3"/>
    <n v="42.62"/>
    <x v="73"/>
    <x v="2"/>
    <n v="46"/>
    <n v="4.5199999999999996"/>
    <n v="100.85"/>
    <n v="0.49"/>
    <n v="3"/>
    <n v="0.92"/>
    <n v="550"/>
    <n v="5.16"/>
    <n v="0.46"/>
    <d v="2024-12-07T00:00:00"/>
    <n v="219.29"/>
    <n v="0.63600000000000001"/>
    <n v="30860.1"/>
    <x v="0"/>
    <x v="0"/>
  </r>
  <r>
    <x v="2258"/>
    <x v="3"/>
    <n v="491"/>
    <n v="11"/>
    <n v="3"/>
    <n v="6"/>
    <n v="3.42"/>
    <x v="3"/>
    <x v="0"/>
    <n v="178"/>
    <n v="3.98"/>
    <n v="92.29"/>
    <n v="0.13"/>
    <n v="5"/>
    <n v="0.71"/>
    <n v="667"/>
    <n v="14.66"/>
    <n v="0.69"/>
    <d v="2024-12-29T00:00:00"/>
    <n v="152.91"/>
    <n v="0.76200000000000001"/>
    <n v="45314.390000000007"/>
    <x v="0"/>
    <x v="0"/>
  </r>
  <r>
    <x v="2259"/>
    <x v="3"/>
    <n v="394"/>
    <n v="91"/>
    <n v="7"/>
    <n v="5"/>
    <n v="44.57"/>
    <x v="75"/>
    <x v="1"/>
    <n v="106"/>
    <n v="1.52"/>
    <n v="95.51"/>
    <n v="1.47"/>
    <n v="1"/>
    <n v="0.74"/>
    <n v="655"/>
    <n v="1.74"/>
    <n v="0.91"/>
    <d v="2024-08-01T00:00:00"/>
    <n v="230.36"/>
    <n v="0.58599999999999997"/>
    <n v="37630.94"/>
    <x v="0"/>
    <x v="0"/>
  </r>
  <r>
    <x v="2260"/>
    <x v="3"/>
    <n v="161"/>
    <n v="86"/>
    <n v="5"/>
    <n v="3"/>
    <n v="33.61"/>
    <x v="94"/>
    <x v="1"/>
    <n v="58"/>
    <n v="4.45"/>
    <n v="78.349999999999994"/>
    <n v="1.72"/>
    <n v="2"/>
    <n v="0.98"/>
    <n v="74"/>
    <n v="14.92"/>
    <n v="0.64"/>
    <d v="2024-12-11T00:00:00"/>
    <n v="85.67"/>
    <n v="0.71099999999999997"/>
    <n v="12614.349999999999"/>
    <x v="0"/>
    <x v="1"/>
  </r>
  <r>
    <x v="2261"/>
    <x v="0"/>
    <n v="256"/>
    <n v="78"/>
    <n v="3"/>
    <n v="4"/>
    <n v="31.22"/>
    <x v="7"/>
    <x v="3"/>
    <n v="137"/>
    <n v="0.8"/>
    <n v="41.67"/>
    <n v="0.87"/>
    <n v="5"/>
    <n v="0.72"/>
    <n v="706"/>
    <n v="13.68"/>
    <n v="0.67"/>
    <d v="2024-09-30T00:00:00"/>
    <n v="124.58"/>
    <n v="0.67300000000000004"/>
    <n v="10667.52"/>
    <x v="0"/>
    <x v="0"/>
  </r>
  <r>
    <x v="2262"/>
    <x v="1"/>
    <n v="44"/>
    <n v="67"/>
    <n v="10"/>
    <n v="2"/>
    <n v="31.67"/>
    <x v="36"/>
    <x v="3"/>
    <n v="19"/>
    <n v="2.36"/>
    <n v="169.99"/>
    <n v="0.25"/>
    <n v="0"/>
    <n v="0.72"/>
    <n v="557"/>
    <n v="10.5"/>
    <n v="0.5"/>
    <d v="2024-05-26T00:00:00"/>
    <n v="162.4"/>
    <n v="0.75900000000000001"/>
    <n v="7479.56"/>
    <x v="1"/>
    <x v="2"/>
  </r>
  <r>
    <x v="2263"/>
    <x v="0"/>
    <n v="309"/>
    <n v="53"/>
    <n v="14"/>
    <n v="5"/>
    <n v="15.52"/>
    <x v="33"/>
    <x v="2"/>
    <n v="49"/>
    <n v="0.86"/>
    <n v="83.93"/>
    <n v="1.33"/>
    <n v="6"/>
    <n v="0.95"/>
    <n v="415"/>
    <n v="14.2"/>
    <n v="0.27"/>
    <d v="2024-08-04T00:00:00"/>
    <n v="45.01"/>
    <n v="0.57999999999999996"/>
    <n v="25934.370000000003"/>
    <x v="0"/>
    <x v="0"/>
  </r>
  <r>
    <x v="2264"/>
    <x v="2"/>
    <n v="86"/>
    <n v="83"/>
    <n v="13"/>
    <n v="9"/>
    <n v="21.34"/>
    <x v="10"/>
    <x v="1"/>
    <n v="155"/>
    <n v="4.66"/>
    <n v="110.53"/>
    <n v="0.66"/>
    <n v="1"/>
    <n v="0.89"/>
    <n v="580"/>
    <n v="3.13"/>
    <n v="0.54"/>
    <d v="2024-01-07T00:00:00"/>
    <n v="257.02999999999997"/>
    <n v="0.64200000000000002"/>
    <n v="9505.58"/>
    <x v="0"/>
    <x v="2"/>
  </r>
  <r>
    <x v="2265"/>
    <x v="3"/>
    <n v="269"/>
    <n v="65"/>
    <n v="8"/>
    <n v="7"/>
    <n v="40.17"/>
    <x v="29"/>
    <x v="2"/>
    <n v="162"/>
    <n v="0.68"/>
    <n v="13.78"/>
    <n v="0.37"/>
    <n v="7"/>
    <n v="0.81"/>
    <n v="771"/>
    <n v="14.2"/>
    <n v="0.94"/>
    <d v="2024-09-24T00:00:00"/>
    <n v="297.55"/>
    <n v="0.76200000000000001"/>
    <n v="3706.8199999999997"/>
    <x v="0"/>
    <x v="0"/>
  </r>
  <r>
    <x v="2266"/>
    <x v="2"/>
    <n v="427"/>
    <n v="52"/>
    <n v="11"/>
    <n v="3"/>
    <n v="16.010000000000002"/>
    <x v="58"/>
    <x v="1"/>
    <n v="115"/>
    <n v="1.18"/>
    <n v="21.45"/>
    <n v="1.07"/>
    <n v="4"/>
    <n v="0.75"/>
    <n v="643"/>
    <n v="3.98"/>
    <n v="0.74"/>
    <d v="2024-02-24T00:00:00"/>
    <n v="131.1"/>
    <n v="0.56399999999999995"/>
    <n v="9159.15"/>
    <x v="0"/>
    <x v="0"/>
  </r>
  <r>
    <x v="2267"/>
    <x v="4"/>
    <n v="137"/>
    <n v="98"/>
    <n v="5"/>
    <n v="9"/>
    <n v="24.03"/>
    <x v="84"/>
    <x v="3"/>
    <n v="50"/>
    <n v="4.62"/>
    <n v="123.46"/>
    <n v="1.02"/>
    <n v="6"/>
    <n v="0.97"/>
    <n v="95"/>
    <n v="8.65"/>
    <n v="0.59"/>
    <d v="2024-01-13T00:00:00"/>
    <n v="119.28"/>
    <n v="0.60499999999999998"/>
    <n v="16914.02"/>
    <x v="0"/>
    <x v="1"/>
  </r>
  <r>
    <x v="2268"/>
    <x v="4"/>
    <n v="92"/>
    <n v="43"/>
    <n v="11"/>
    <n v="9"/>
    <n v="1.96"/>
    <x v="64"/>
    <x v="0"/>
    <n v="173"/>
    <n v="3.12"/>
    <n v="177.05"/>
    <n v="1.08"/>
    <n v="7"/>
    <n v="1"/>
    <n v="84"/>
    <n v="7.84"/>
    <n v="0.7"/>
    <d v="2024-07-14T00:00:00"/>
    <n v="182.28"/>
    <n v="0.59699999999999998"/>
    <n v="16288.6"/>
    <x v="0"/>
    <x v="2"/>
  </r>
  <r>
    <x v="2269"/>
    <x v="0"/>
    <n v="301"/>
    <n v="39"/>
    <n v="11"/>
    <n v="4"/>
    <n v="36.94"/>
    <x v="57"/>
    <x v="1"/>
    <n v="11"/>
    <n v="4.08"/>
    <n v="103.75"/>
    <n v="1.67"/>
    <n v="2"/>
    <n v="0.71"/>
    <n v="251"/>
    <n v="8.17"/>
    <n v="0.65"/>
    <d v="2024-03-15T00:00:00"/>
    <n v="209.71"/>
    <n v="0.57399999999999995"/>
    <n v="31228.75"/>
    <x v="0"/>
    <x v="0"/>
  </r>
  <r>
    <x v="2270"/>
    <x v="1"/>
    <n v="423"/>
    <n v="80"/>
    <n v="14"/>
    <n v="9"/>
    <n v="21.47"/>
    <x v="61"/>
    <x v="3"/>
    <n v="62"/>
    <n v="0.56999999999999995"/>
    <n v="41.35"/>
    <n v="1.02"/>
    <n v="5"/>
    <n v="0.87"/>
    <n v="584"/>
    <n v="4.74"/>
    <n v="0.93"/>
    <d v="2024-01-28T00:00:00"/>
    <n v="261.89"/>
    <n v="0.621"/>
    <n v="17491.05"/>
    <x v="0"/>
    <x v="0"/>
  </r>
  <r>
    <x v="2271"/>
    <x v="2"/>
    <n v="467"/>
    <n v="79"/>
    <n v="14"/>
    <n v="3"/>
    <n v="26.74"/>
    <x v="23"/>
    <x v="3"/>
    <n v="156"/>
    <n v="2.39"/>
    <n v="32.06"/>
    <n v="1.81"/>
    <n v="8"/>
    <n v="0.78"/>
    <n v="414"/>
    <n v="11.93"/>
    <n v="0.38"/>
    <d v="2024-12-09T00:00:00"/>
    <n v="118.14"/>
    <n v="0.45"/>
    <n v="14972.02"/>
    <x v="0"/>
    <x v="0"/>
  </r>
  <r>
    <x v="2272"/>
    <x v="1"/>
    <n v="379"/>
    <n v="64"/>
    <n v="3"/>
    <n v="6"/>
    <n v="6.62"/>
    <x v="97"/>
    <x v="1"/>
    <n v="35"/>
    <n v="4.93"/>
    <n v="180.96"/>
    <n v="1.7"/>
    <n v="3"/>
    <n v="0.95"/>
    <n v="519"/>
    <n v="11.4"/>
    <n v="0.91"/>
    <d v="2024-01-29T00:00:00"/>
    <n v="231.8"/>
    <n v="0.69399999999999995"/>
    <n v="68583.839999999997"/>
    <x v="0"/>
    <x v="0"/>
  </r>
  <r>
    <x v="2273"/>
    <x v="0"/>
    <n v="29"/>
    <n v="76"/>
    <n v="5"/>
    <n v="8"/>
    <n v="49.59"/>
    <x v="44"/>
    <x v="2"/>
    <n v="63"/>
    <n v="3.11"/>
    <n v="143.31"/>
    <n v="1.34"/>
    <n v="9"/>
    <n v="0.8"/>
    <n v="349"/>
    <n v="14.36"/>
    <n v="0.75"/>
    <d v="2024-04-12T00:00:00"/>
    <n v="79.62"/>
    <n v="0.58699999999999997"/>
    <n v="4155.99"/>
    <x v="1"/>
    <x v="2"/>
  </r>
  <r>
    <x v="2274"/>
    <x v="4"/>
    <n v="230"/>
    <n v="22"/>
    <n v="8"/>
    <n v="8"/>
    <n v="15.82"/>
    <x v="96"/>
    <x v="1"/>
    <n v="60"/>
    <n v="4.32"/>
    <n v="193.58"/>
    <n v="0.21"/>
    <n v="6"/>
    <n v="0.91"/>
    <n v="826"/>
    <n v="8.1"/>
    <n v="0.3"/>
    <d v="2024-05-16T00:00:00"/>
    <n v="207.33"/>
    <n v="0.60899999999999999"/>
    <n v="44523.4"/>
    <x v="0"/>
    <x v="1"/>
  </r>
  <r>
    <x v="2275"/>
    <x v="1"/>
    <n v="342"/>
    <n v="12"/>
    <n v="10"/>
    <n v="5"/>
    <n v="32.11"/>
    <x v="7"/>
    <x v="3"/>
    <n v="162"/>
    <n v="4.84"/>
    <n v="25.65"/>
    <n v="1.74"/>
    <n v="0"/>
    <n v="0.86"/>
    <n v="465"/>
    <n v="8.67"/>
    <n v="0.5"/>
    <d v="2024-03-23T00:00:00"/>
    <n v="145.36000000000001"/>
    <n v="0.61399999999999999"/>
    <n v="8772.2999999999993"/>
    <x v="0"/>
    <x v="0"/>
  </r>
  <r>
    <x v="2276"/>
    <x v="1"/>
    <n v="171"/>
    <n v="35"/>
    <n v="6"/>
    <n v="2"/>
    <n v="29.48"/>
    <x v="50"/>
    <x v="1"/>
    <n v="123"/>
    <n v="3.58"/>
    <n v="181.5"/>
    <n v="1.82"/>
    <n v="6"/>
    <n v="0.86"/>
    <n v="395"/>
    <n v="13.65"/>
    <n v="0.55000000000000004"/>
    <d v="2024-05-26T00:00:00"/>
    <n v="201.89"/>
    <n v="0.56200000000000006"/>
    <n v="31036.5"/>
    <x v="0"/>
    <x v="1"/>
  </r>
  <r>
    <x v="2277"/>
    <x v="4"/>
    <n v="24"/>
    <n v="66"/>
    <n v="7"/>
    <n v="4"/>
    <n v="39.47"/>
    <x v="21"/>
    <x v="0"/>
    <n v="26"/>
    <n v="1.97"/>
    <n v="170.67"/>
    <n v="0.81"/>
    <n v="8"/>
    <n v="0.96"/>
    <n v="398"/>
    <n v="13.87"/>
    <n v="0.27"/>
    <d v="2024-12-15T00:00:00"/>
    <n v="120.14"/>
    <n v="0.59"/>
    <n v="4096.08"/>
    <x v="1"/>
    <x v="2"/>
  </r>
  <r>
    <x v="2278"/>
    <x v="2"/>
    <n v="214"/>
    <n v="33"/>
    <n v="11"/>
    <n v="3"/>
    <n v="15.4"/>
    <x v="64"/>
    <x v="2"/>
    <n v="129"/>
    <n v="1.89"/>
    <n v="179.71"/>
    <n v="1.1000000000000001"/>
    <n v="9"/>
    <n v="0.84"/>
    <n v="748"/>
    <n v="10.09"/>
    <n v="0.64"/>
    <d v="2024-05-08T00:00:00"/>
    <n v="95.36"/>
    <n v="0.54100000000000004"/>
    <n v="38457.94"/>
    <x v="0"/>
    <x v="1"/>
  </r>
  <r>
    <x v="2279"/>
    <x v="4"/>
    <n v="461"/>
    <n v="62"/>
    <n v="8"/>
    <n v="5"/>
    <n v="38.04"/>
    <x v="38"/>
    <x v="1"/>
    <n v="55"/>
    <n v="0.82"/>
    <n v="11.09"/>
    <n v="0.63"/>
    <n v="7"/>
    <n v="0.95"/>
    <n v="859"/>
    <n v="12.49"/>
    <n v="0.41"/>
    <d v="2024-03-15T00:00:00"/>
    <n v="150.94"/>
    <n v="0.63600000000000001"/>
    <n v="5112.49"/>
    <x v="0"/>
    <x v="0"/>
  </r>
  <r>
    <x v="2280"/>
    <x v="1"/>
    <n v="302"/>
    <n v="79"/>
    <n v="14"/>
    <n v="3"/>
    <n v="19.739999999999998"/>
    <x v="14"/>
    <x v="3"/>
    <n v="64"/>
    <n v="2.42"/>
    <n v="150.96"/>
    <n v="0.13"/>
    <n v="3"/>
    <n v="0.81"/>
    <n v="239"/>
    <n v="8.07"/>
    <n v="0.56999999999999995"/>
    <d v="2024-02-01T00:00:00"/>
    <n v="269.58"/>
    <n v="0.71099999999999997"/>
    <n v="45589.920000000006"/>
    <x v="0"/>
    <x v="0"/>
  </r>
  <r>
    <x v="2281"/>
    <x v="2"/>
    <n v="483"/>
    <n v="52"/>
    <n v="9"/>
    <n v="5"/>
    <n v="21.15"/>
    <x v="43"/>
    <x v="3"/>
    <n v="59"/>
    <n v="4.62"/>
    <n v="114.3"/>
    <n v="1.01"/>
    <n v="2"/>
    <n v="0.75"/>
    <n v="452"/>
    <n v="6.43"/>
    <n v="0.55000000000000004"/>
    <d v="2024-12-19T00:00:00"/>
    <n v="205.71"/>
    <n v="0.60499999999999998"/>
    <n v="55206.9"/>
    <x v="0"/>
    <x v="0"/>
  </r>
  <r>
    <x v="2282"/>
    <x v="2"/>
    <n v="132"/>
    <n v="69"/>
    <n v="9"/>
    <n v="8"/>
    <n v="33.96"/>
    <x v="20"/>
    <x v="2"/>
    <n v="84"/>
    <n v="2.65"/>
    <n v="118.9"/>
    <n v="0.35"/>
    <n v="6"/>
    <n v="0.84"/>
    <n v="801"/>
    <n v="13.1"/>
    <n v="0.62"/>
    <d v="2024-05-31T00:00:00"/>
    <n v="187.38"/>
    <n v="0.71199999999999997"/>
    <n v="15694.800000000001"/>
    <x v="0"/>
    <x v="1"/>
  </r>
  <r>
    <x v="2283"/>
    <x v="4"/>
    <n v="290"/>
    <n v="67"/>
    <n v="6"/>
    <n v="9"/>
    <n v="39.43"/>
    <x v="36"/>
    <x v="1"/>
    <n v="20"/>
    <n v="4.5999999999999996"/>
    <n v="99.15"/>
    <n v="0.45"/>
    <n v="0"/>
    <n v="0.85"/>
    <n v="398"/>
    <n v="11.88"/>
    <n v="0.88"/>
    <d v="2024-04-14T00:00:00"/>
    <n v="218.76"/>
    <n v="0.85899999999999999"/>
    <n v="28753.5"/>
    <x v="0"/>
    <x v="0"/>
  </r>
  <r>
    <x v="2284"/>
    <x v="1"/>
    <n v="182"/>
    <n v="58"/>
    <n v="6"/>
    <n v="6"/>
    <n v="33.68"/>
    <x v="20"/>
    <x v="3"/>
    <n v="149"/>
    <n v="4.18"/>
    <n v="151.11000000000001"/>
    <n v="1.01"/>
    <n v="7"/>
    <n v="0.84"/>
    <n v="422"/>
    <n v="4.3899999999999997"/>
    <n v="0.82"/>
    <d v="2024-10-04T00:00:00"/>
    <n v="221.44"/>
    <n v="0.55000000000000004"/>
    <n v="27502.020000000004"/>
    <x v="0"/>
    <x v="1"/>
  </r>
  <r>
    <x v="2285"/>
    <x v="0"/>
    <n v="479"/>
    <n v="51"/>
    <n v="6"/>
    <n v="3"/>
    <n v="45.09"/>
    <x v="36"/>
    <x v="2"/>
    <n v="177"/>
    <n v="4.93"/>
    <n v="199.97"/>
    <n v="1.75"/>
    <n v="0"/>
    <n v="0.94"/>
    <n v="688"/>
    <n v="1.67"/>
    <n v="0.9"/>
    <d v="2024-01-17T00:00:00"/>
    <n v="95.48"/>
    <n v="0.61499999999999999"/>
    <n v="95785.63"/>
    <x v="0"/>
    <x v="0"/>
  </r>
  <r>
    <x v="2286"/>
    <x v="1"/>
    <n v="124"/>
    <n v="85"/>
    <n v="13"/>
    <n v="6"/>
    <n v="14.97"/>
    <x v="66"/>
    <x v="0"/>
    <n v="57"/>
    <n v="4.76"/>
    <n v="145"/>
    <n v="1.7"/>
    <n v="6"/>
    <n v="0.87"/>
    <n v="554"/>
    <n v="8.92"/>
    <n v="0.66"/>
    <d v="2024-07-02T00:00:00"/>
    <n v="77.489999999999995"/>
    <n v="0.53500000000000003"/>
    <n v="17980"/>
    <x v="0"/>
    <x v="1"/>
  </r>
  <r>
    <x v="2287"/>
    <x v="3"/>
    <n v="200"/>
    <n v="75"/>
    <n v="7"/>
    <n v="7"/>
    <n v="45.13"/>
    <x v="88"/>
    <x v="2"/>
    <n v="130"/>
    <n v="3.68"/>
    <n v="138.83000000000001"/>
    <n v="1.93"/>
    <n v="5"/>
    <n v="0.97"/>
    <n v="340"/>
    <n v="12.78"/>
    <n v="0.69"/>
    <d v="2024-08-19T00:00:00"/>
    <n v="157.65"/>
    <n v="0.60899999999999999"/>
    <n v="27766.000000000004"/>
    <x v="0"/>
    <x v="1"/>
  </r>
  <r>
    <x v="2288"/>
    <x v="0"/>
    <n v="63"/>
    <n v="20"/>
    <n v="7"/>
    <n v="7"/>
    <n v="7.41"/>
    <x v="74"/>
    <x v="1"/>
    <n v="65"/>
    <n v="4.42"/>
    <n v="134.34"/>
    <n v="1.02"/>
    <n v="9"/>
    <n v="0.85"/>
    <n v="953"/>
    <n v="4.46"/>
    <n v="0.54"/>
    <d v="2024-02-22T00:00:00"/>
    <n v="52.87"/>
    <n v="0.45500000000000002"/>
    <n v="8463.42"/>
    <x v="0"/>
    <x v="2"/>
  </r>
  <r>
    <x v="2289"/>
    <x v="2"/>
    <n v="301"/>
    <n v="99"/>
    <n v="10"/>
    <n v="9"/>
    <n v="33.32"/>
    <x v="70"/>
    <x v="1"/>
    <n v="17"/>
    <n v="3.87"/>
    <n v="142.09"/>
    <n v="1.1499999999999999"/>
    <n v="7"/>
    <n v="0.77"/>
    <n v="160"/>
    <n v="11.74"/>
    <n v="0.77"/>
    <d v="2024-11-11T00:00:00"/>
    <n v="147.66999999999999"/>
    <n v="0.61"/>
    <n v="42769.090000000004"/>
    <x v="0"/>
    <x v="0"/>
  </r>
  <r>
    <x v="2290"/>
    <x v="0"/>
    <n v="194"/>
    <n v="27"/>
    <n v="11"/>
    <n v="8"/>
    <n v="27.83"/>
    <x v="10"/>
    <x v="3"/>
    <n v="23"/>
    <n v="3.67"/>
    <n v="75"/>
    <n v="1.66"/>
    <n v="5"/>
    <n v="0.74"/>
    <n v="604"/>
    <n v="6.8"/>
    <n v="0.36"/>
    <d v="2024-12-11T00:00:00"/>
    <n v="210.98"/>
    <n v="0.44500000000000001"/>
    <n v="14550"/>
    <x v="0"/>
    <x v="1"/>
  </r>
  <r>
    <x v="2291"/>
    <x v="2"/>
    <n v="181"/>
    <n v="94"/>
    <n v="4"/>
    <n v="4"/>
    <n v="25.24"/>
    <x v="91"/>
    <x v="0"/>
    <n v="123"/>
    <n v="3.72"/>
    <n v="70.84"/>
    <n v="1.43"/>
    <n v="4"/>
    <n v="0.96"/>
    <n v="552"/>
    <n v="5.7"/>
    <n v="0.57999999999999996"/>
    <d v="2024-10-14T00:00:00"/>
    <n v="12.15"/>
    <n v="0.56100000000000005"/>
    <n v="12822.04"/>
    <x v="0"/>
    <x v="1"/>
  </r>
  <r>
    <x v="2292"/>
    <x v="2"/>
    <n v="490"/>
    <n v="61"/>
    <n v="13"/>
    <n v="6"/>
    <n v="16.23"/>
    <x v="80"/>
    <x v="1"/>
    <n v="63"/>
    <n v="3.74"/>
    <n v="159.02000000000001"/>
    <n v="0.45"/>
    <n v="8"/>
    <n v="0.72"/>
    <n v="350"/>
    <n v="3.42"/>
    <n v="0.77"/>
    <d v="2024-04-24T00:00:00"/>
    <n v="42.23"/>
    <n v="0.53900000000000003"/>
    <n v="77919.8"/>
    <x v="0"/>
    <x v="0"/>
  </r>
  <r>
    <x v="2293"/>
    <x v="0"/>
    <n v="370"/>
    <n v="55"/>
    <n v="9"/>
    <n v="5"/>
    <n v="25.68"/>
    <x v="14"/>
    <x v="3"/>
    <n v="26"/>
    <n v="2.21"/>
    <n v="20.09"/>
    <n v="0.86"/>
    <n v="3"/>
    <n v="0.74"/>
    <n v="695"/>
    <n v="14.08"/>
    <n v="0.82"/>
    <d v="2024-11-27T00:00:00"/>
    <n v="289.02"/>
    <n v="0.754"/>
    <n v="7433.3"/>
    <x v="0"/>
    <x v="0"/>
  </r>
  <r>
    <x v="2294"/>
    <x v="2"/>
    <n v="453"/>
    <n v="53"/>
    <n v="3"/>
    <n v="4"/>
    <n v="8.93"/>
    <x v="75"/>
    <x v="2"/>
    <n v="142"/>
    <n v="2.41"/>
    <n v="154.26"/>
    <n v="1.87"/>
    <n v="6"/>
    <n v="0.72"/>
    <n v="62"/>
    <n v="4.16"/>
    <n v="0.4"/>
    <d v="2024-10-14T00:00:00"/>
    <n v="279.10000000000002"/>
    <n v="0.372"/>
    <n v="69879.78"/>
    <x v="0"/>
    <x v="0"/>
  </r>
  <r>
    <x v="2295"/>
    <x v="2"/>
    <n v="359"/>
    <n v="31"/>
    <n v="3"/>
    <n v="3"/>
    <n v="19.100000000000001"/>
    <x v="58"/>
    <x v="2"/>
    <n v="140"/>
    <n v="1.82"/>
    <n v="164.63"/>
    <n v="0.38"/>
    <n v="5"/>
    <n v="0.83"/>
    <n v="572"/>
    <n v="4.91"/>
    <n v="0.35"/>
    <d v="2024-07-18T00:00:00"/>
    <n v="131.19999999999999"/>
    <n v="0.56299999999999994"/>
    <n v="59102.17"/>
    <x v="0"/>
    <x v="0"/>
  </r>
  <r>
    <x v="2296"/>
    <x v="3"/>
    <n v="159"/>
    <n v="62"/>
    <n v="6"/>
    <n v="3"/>
    <n v="5.84"/>
    <x v="48"/>
    <x v="1"/>
    <n v="18"/>
    <n v="1.17"/>
    <n v="109.1"/>
    <n v="0.5"/>
    <n v="9"/>
    <n v="0.86"/>
    <n v="151"/>
    <n v="5.64"/>
    <n v="0.43"/>
    <d v="2024-05-01T00:00:00"/>
    <n v="181.11"/>
    <n v="0.503"/>
    <n v="17346.899999999998"/>
    <x v="0"/>
    <x v="1"/>
  </r>
  <r>
    <x v="2297"/>
    <x v="1"/>
    <n v="490"/>
    <n v="68"/>
    <n v="12"/>
    <n v="5"/>
    <n v="29.02"/>
    <x v="98"/>
    <x v="0"/>
    <n v="131"/>
    <n v="2.56"/>
    <n v="182.93"/>
    <n v="0.86"/>
    <n v="5"/>
    <n v="0.71"/>
    <n v="246"/>
    <n v="4.99"/>
    <n v="0.94"/>
    <d v="2024-09-18T00:00:00"/>
    <n v="55.03"/>
    <n v="0.61099999999999999"/>
    <n v="89635.7"/>
    <x v="0"/>
    <x v="0"/>
  </r>
  <r>
    <x v="2298"/>
    <x v="1"/>
    <n v="151"/>
    <n v="39"/>
    <n v="9"/>
    <n v="2"/>
    <n v="5.69"/>
    <x v="33"/>
    <x v="3"/>
    <n v="123"/>
    <n v="4.55"/>
    <n v="99.89"/>
    <n v="1.89"/>
    <n v="4"/>
    <n v="0.85"/>
    <n v="440"/>
    <n v="3.28"/>
    <n v="0.3"/>
    <d v="2024-12-22T00:00:00"/>
    <n v="105.99"/>
    <n v="0.40500000000000003"/>
    <n v="15083.39"/>
    <x v="0"/>
    <x v="1"/>
  </r>
  <r>
    <x v="2299"/>
    <x v="3"/>
    <n v="106"/>
    <n v="17"/>
    <n v="4"/>
    <n v="9"/>
    <n v="8.86"/>
    <x v="64"/>
    <x v="1"/>
    <n v="29"/>
    <n v="3.43"/>
    <n v="43.84"/>
    <n v="0.32"/>
    <n v="1"/>
    <n v="0.82"/>
    <n v="104"/>
    <n v="5.96"/>
    <n v="0.96"/>
    <d v="2024-05-27T00:00:00"/>
    <n v="239.95"/>
    <n v="0.78300000000000003"/>
    <n v="4647.04"/>
    <x v="0"/>
    <x v="1"/>
  </r>
  <r>
    <x v="2300"/>
    <x v="0"/>
    <n v="195"/>
    <n v="66"/>
    <n v="13"/>
    <n v="2"/>
    <n v="5.19"/>
    <x v="76"/>
    <x v="3"/>
    <n v="92"/>
    <n v="0.75"/>
    <n v="78.67"/>
    <n v="1.38"/>
    <n v="3"/>
    <n v="0.93"/>
    <n v="232"/>
    <n v="7.6"/>
    <n v="1"/>
    <d v="2024-12-20T00:00:00"/>
    <n v="258.23"/>
    <n v="0.68899999999999995"/>
    <n v="15340.65"/>
    <x v="0"/>
    <x v="1"/>
  </r>
  <r>
    <x v="2301"/>
    <x v="4"/>
    <n v="202"/>
    <n v="82"/>
    <n v="4"/>
    <n v="9"/>
    <n v="19.68"/>
    <x v="22"/>
    <x v="2"/>
    <n v="30"/>
    <n v="4.1500000000000004"/>
    <n v="182.11"/>
    <n v="0.35"/>
    <n v="0"/>
    <n v="0.95"/>
    <n v="68"/>
    <n v="8.7200000000000006"/>
    <n v="0.83"/>
    <d v="2024-12-06T00:00:00"/>
    <n v="127.53"/>
    <n v="0.83699999999999997"/>
    <n v="36786.22"/>
    <x v="0"/>
    <x v="1"/>
  </r>
  <r>
    <x v="2302"/>
    <x v="4"/>
    <n v="387"/>
    <n v="29"/>
    <n v="3"/>
    <n v="3"/>
    <n v="42.26"/>
    <x v="94"/>
    <x v="3"/>
    <n v="42"/>
    <n v="4.71"/>
    <n v="198.81"/>
    <n v="1.1000000000000001"/>
    <n v="8"/>
    <n v="0.91"/>
    <n v="412"/>
    <n v="3.19"/>
    <n v="0.81"/>
    <d v="2024-01-25T00:00:00"/>
    <n v="100.21"/>
    <n v="0.51700000000000002"/>
    <n v="76939.47"/>
    <x v="0"/>
    <x v="0"/>
  </r>
  <r>
    <x v="2303"/>
    <x v="4"/>
    <n v="148"/>
    <n v="34"/>
    <n v="12"/>
    <n v="9"/>
    <n v="45.44"/>
    <x v="56"/>
    <x v="2"/>
    <n v="142"/>
    <n v="4.2300000000000004"/>
    <n v="90.15"/>
    <n v="1.1200000000000001"/>
    <n v="8"/>
    <n v="0.84"/>
    <n v="823"/>
    <n v="11.91"/>
    <n v="0.96"/>
    <d v="2024-07-14T00:00:00"/>
    <n v="207.69"/>
    <n v="0.64700000000000002"/>
    <n v="13342.2"/>
    <x v="0"/>
    <x v="1"/>
  </r>
  <r>
    <x v="2304"/>
    <x v="3"/>
    <n v="265"/>
    <n v="28"/>
    <n v="4"/>
    <n v="8"/>
    <n v="4.5199999999999996"/>
    <x v="40"/>
    <x v="0"/>
    <n v="161"/>
    <n v="3.77"/>
    <n v="41.7"/>
    <n v="0.18"/>
    <n v="7"/>
    <n v="0.76"/>
    <n v="522"/>
    <n v="5.36"/>
    <n v="0.43"/>
    <d v="2024-07-17T00:00:00"/>
    <n v="218.19"/>
    <n v="0.55100000000000005"/>
    <n v="11050.5"/>
    <x v="0"/>
    <x v="0"/>
  </r>
  <r>
    <x v="2305"/>
    <x v="3"/>
    <n v="108"/>
    <n v="14"/>
    <n v="9"/>
    <n v="8"/>
    <n v="32.090000000000003"/>
    <x v="53"/>
    <x v="0"/>
    <n v="35"/>
    <n v="1.18"/>
    <n v="64.400000000000006"/>
    <n v="1.91"/>
    <n v="3"/>
    <n v="0.95"/>
    <n v="58"/>
    <n v="13.85"/>
    <n v="0.3"/>
    <d v="2024-08-01T00:00:00"/>
    <n v="295.3"/>
    <n v="0.58399999999999996"/>
    <n v="6955.2000000000007"/>
    <x v="0"/>
    <x v="1"/>
  </r>
  <r>
    <x v="2306"/>
    <x v="2"/>
    <n v="85"/>
    <n v="84"/>
    <n v="11"/>
    <n v="5"/>
    <n v="34.53"/>
    <x v="83"/>
    <x v="2"/>
    <n v="117"/>
    <n v="2.0699999999999998"/>
    <n v="115.13"/>
    <n v="1.63"/>
    <n v="4"/>
    <n v="0.8"/>
    <n v="709"/>
    <n v="5.61"/>
    <n v="0.86"/>
    <d v="2024-12-16T00:00:00"/>
    <n v="212.23"/>
    <n v="0.56399999999999995"/>
    <n v="9786.0499999999993"/>
    <x v="0"/>
    <x v="2"/>
  </r>
  <r>
    <x v="2307"/>
    <x v="4"/>
    <n v="177"/>
    <n v="88"/>
    <n v="8"/>
    <n v="2"/>
    <n v="27.15"/>
    <x v="67"/>
    <x v="1"/>
    <n v="98"/>
    <n v="3.04"/>
    <n v="118.7"/>
    <n v="0.68"/>
    <n v="0"/>
    <n v="0.81"/>
    <n v="74"/>
    <n v="13.08"/>
    <n v="0.34"/>
    <d v="2024-06-09T00:00:00"/>
    <n v="79.650000000000006"/>
    <n v="0.73599999999999999"/>
    <n v="21009.9"/>
    <x v="0"/>
    <x v="1"/>
  </r>
  <r>
    <x v="2308"/>
    <x v="0"/>
    <n v="406"/>
    <n v="81"/>
    <n v="12"/>
    <n v="6"/>
    <n v="33.68"/>
    <x v="72"/>
    <x v="2"/>
    <n v="101"/>
    <n v="0.85"/>
    <n v="129.71"/>
    <n v="0.35"/>
    <n v="3"/>
    <n v="0.97"/>
    <n v="355"/>
    <n v="5.94"/>
    <n v="0.24"/>
    <d v="2024-10-09T00:00:00"/>
    <n v="27.4"/>
    <n v="0.626"/>
    <n v="52662.26"/>
    <x v="0"/>
    <x v="0"/>
  </r>
  <r>
    <x v="2309"/>
    <x v="0"/>
    <n v="397"/>
    <n v="92"/>
    <n v="4"/>
    <n v="3"/>
    <n v="12.45"/>
    <x v="92"/>
    <x v="3"/>
    <n v="42"/>
    <n v="0.98"/>
    <n v="168.72"/>
    <n v="0.76"/>
    <n v="3"/>
    <n v="0.99"/>
    <n v="633"/>
    <n v="8.08"/>
    <n v="0.36"/>
    <d v="2024-01-28T00:00:00"/>
    <n v="84.71"/>
    <n v="0.64200000000000002"/>
    <n v="66981.84"/>
    <x v="0"/>
    <x v="0"/>
  </r>
  <r>
    <x v="2310"/>
    <x v="4"/>
    <n v="168"/>
    <n v="96"/>
    <n v="14"/>
    <n v="7"/>
    <n v="24.99"/>
    <x v="78"/>
    <x v="3"/>
    <n v="27"/>
    <n v="4.7"/>
    <n v="145.13"/>
    <n v="1.8"/>
    <n v="4"/>
    <n v="0.97"/>
    <n v="483"/>
    <n v="6.21"/>
    <n v="0.55000000000000004"/>
    <d v="2024-01-07T00:00:00"/>
    <n v="75.73"/>
    <n v="0.52700000000000002"/>
    <n v="24381.84"/>
    <x v="0"/>
    <x v="1"/>
  </r>
  <r>
    <x v="2311"/>
    <x v="4"/>
    <n v="492"/>
    <n v="36"/>
    <n v="12"/>
    <n v="6"/>
    <n v="20.149999999999999"/>
    <x v="29"/>
    <x v="3"/>
    <n v="27"/>
    <n v="3.66"/>
    <n v="59.56"/>
    <n v="0.35"/>
    <n v="1"/>
    <n v="1"/>
    <n v="471"/>
    <n v="6.42"/>
    <n v="0.6"/>
    <d v="2024-05-08T00:00:00"/>
    <n v="36.92"/>
    <n v="0.751"/>
    <n v="29303.52"/>
    <x v="0"/>
    <x v="0"/>
  </r>
  <r>
    <x v="2312"/>
    <x v="4"/>
    <n v="359"/>
    <n v="49"/>
    <n v="12"/>
    <n v="5"/>
    <n v="5.4"/>
    <x v="96"/>
    <x v="1"/>
    <n v="175"/>
    <n v="1.74"/>
    <n v="85.06"/>
    <n v="0.76"/>
    <n v="1"/>
    <n v="0.96"/>
    <n v="883"/>
    <n v="9.66"/>
    <n v="0.25"/>
    <d v="2024-04-13T00:00:00"/>
    <n v="138.87"/>
    <n v="0.67500000000000004"/>
    <n v="30536.54"/>
    <x v="0"/>
    <x v="0"/>
  </r>
  <r>
    <x v="2313"/>
    <x v="3"/>
    <n v="452"/>
    <n v="35"/>
    <n v="11"/>
    <n v="7"/>
    <n v="31.65"/>
    <x v="69"/>
    <x v="0"/>
    <n v="42"/>
    <n v="1.97"/>
    <n v="169.57"/>
    <n v="1.04"/>
    <n v="1"/>
    <n v="0.91"/>
    <n v="106"/>
    <n v="10.7"/>
    <n v="0.55000000000000004"/>
    <d v="2024-11-13T00:00:00"/>
    <n v="93.56"/>
    <n v="0.71099999999999997"/>
    <n v="76645.64"/>
    <x v="0"/>
    <x v="0"/>
  </r>
  <r>
    <x v="2314"/>
    <x v="3"/>
    <n v="135"/>
    <n v="36"/>
    <n v="9"/>
    <n v="6"/>
    <n v="25.27"/>
    <x v="62"/>
    <x v="0"/>
    <n v="36"/>
    <n v="2.23"/>
    <n v="130.34"/>
    <n v="0.16"/>
    <n v="7"/>
    <n v="0.79"/>
    <n v="583"/>
    <n v="13.19"/>
    <n v="0.68"/>
    <d v="2024-08-14T00:00:00"/>
    <n v="278.27999999999997"/>
    <n v="0.71399999999999997"/>
    <n v="17595.900000000001"/>
    <x v="0"/>
    <x v="1"/>
  </r>
  <r>
    <x v="2315"/>
    <x v="3"/>
    <n v="233"/>
    <n v="71"/>
    <n v="13"/>
    <n v="2"/>
    <n v="14.48"/>
    <x v="69"/>
    <x v="3"/>
    <n v="58"/>
    <n v="0.84"/>
    <n v="41.62"/>
    <n v="0.61"/>
    <n v="1"/>
    <n v="0.99"/>
    <n v="873"/>
    <n v="8.9700000000000006"/>
    <n v="0.95"/>
    <d v="2024-04-25T00:00:00"/>
    <n v="127.13"/>
    <n v="0.82699999999999996"/>
    <n v="9697.4599999999991"/>
    <x v="0"/>
    <x v="1"/>
  </r>
  <r>
    <x v="2316"/>
    <x v="1"/>
    <n v="488"/>
    <n v="92"/>
    <n v="3"/>
    <n v="9"/>
    <n v="24.21"/>
    <x v="53"/>
    <x v="1"/>
    <n v="152"/>
    <n v="3.83"/>
    <n v="71.849999999999994"/>
    <n v="1.23"/>
    <n v="5"/>
    <n v="0.96"/>
    <n v="597"/>
    <n v="4.04"/>
    <n v="0.38"/>
    <d v="2024-11-20T00:00:00"/>
    <n v="264.22000000000003"/>
    <n v="0.499"/>
    <n v="35062.799999999996"/>
    <x v="0"/>
    <x v="0"/>
  </r>
  <r>
    <x v="2317"/>
    <x v="0"/>
    <n v="465"/>
    <n v="59"/>
    <n v="14"/>
    <n v="8"/>
    <n v="38.99"/>
    <x v="93"/>
    <x v="3"/>
    <n v="117"/>
    <n v="1.3"/>
    <n v="160.31"/>
    <n v="0.72"/>
    <n v="1"/>
    <n v="0.77"/>
    <n v="228"/>
    <n v="14.85"/>
    <n v="0.37"/>
    <d v="2024-12-26T00:00:00"/>
    <n v="98.95"/>
    <n v="0.73399999999999999"/>
    <n v="74544.149999999994"/>
    <x v="0"/>
    <x v="0"/>
  </r>
  <r>
    <x v="2318"/>
    <x v="0"/>
    <n v="391"/>
    <n v="51"/>
    <n v="11"/>
    <n v="2"/>
    <n v="40.28"/>
    <x v="56"/>
    <x v="0"/>
    <n v="77"/>
    <n v="4.12"/>
    <n v="42.7"/>
    <n v="1.75"/>
    <n v="7"/>
    <n v="0.85"/>
    <n v="117"/>
    <n v="10.57"/>
    <n v="0.51"/>
    <d v="2024-12-29T00:00:00"/>
    <n v="251.13"/>
    <n v="0.498"/>
    <n v="16695.7"/>
    <x v="0"/>
    <x v="0"/>
  </r>
  <r>
    <x v="2319"/>
    <x v="2"/>
    <n v="313"/>
    <n v="38"/>
    <n v="4"/>
    <n v="7"/>
    <n v="32.83"/>
    <x v="41"/>
    <x v="2"/>
    <n v="108"/>
    <n v="4.3099999999999996"/>
    <n v="141.30000000000001"/>
    <n v="1.88"/>
    <n v="0"/>
    <n v="0.72"/>
    <n v="545"/>
    <n v="6.25"/>
    <n v="0.99"/>
    <d v="2024-11-27T00:00:00"/>
    <n v="141.81"/>
    <n v="0.63700000000000001"/>
    <n v="44226.9"/>
    <x v="0"/>
    <x v="0"/>
  </r>
  <r>
    <x v="2320"/>
    <x v="3"/>
    <n v="272"/>
    <n v="48"/>
    <n v="6"/>
    <n v="9"/>
    <n v="23.92"/>
    <x v="37"/>
    <x v="3"/>
    <n v="28"/>
    <n v="3.37"/>
    <n v="117.07"/>
    <n v="0.94"/>
    <n v="1"/>
    <n v="0.99"/>
    <n v="50"/>
    <n v="14.55"/>
    <n v="0.47"/>
    <d v="2024-07-07T00:00:00"/>
    <n v="19.38"/>
    <n v="0.77200000000000002"/>
    <n v="31843.039999999997"/>
    <x v="0"/>
    <x v="0"/>
  </r>
  <r>
    <x v="2321"/>
    <x v="1"/>
    <n v="162"/>
    <n v="69"/>
    <n v="11"/>
    <n v="9"/>
    <n v="29.21"/>
    <x v="13"/>
    <x v="3"/>
    <n v="34"/>
    <n v="3.96"/>
    <n v="38.020000000000003"/>
    <n v="1.1100000000000001"/>
    <n v="4"/>
    <n v="0.87"/>
    <n v="97"/>
    <n v="14.42"/>
    <n v="0.24"/>
    <d v="2024-10-28T00:00:00"/>
    <n v="151.22"/>
    <n v="0.623"/>
    <n v="6159.2400000000007"/>
    <x v="0"/>
    <x v="1"/>
  </r>
  <r>
    <x v="2322"/>
    <x v="1"/>
    <n v="269"/>
    <n v="50"/>
    <n v="6"/>
    <n v="9"/>
    <n v="19.87"/>
    <x v="41"/>
    <x v="3"/>
    <n v="113"/>
    <n v="1.27"/>
    <n v="140.88999999999999"/>
    <n v="1.3"/>
    <n v="5"/>
    <n v="0.77"/>
    <n v="466"/>
    <n v="2.11"/>
    <n v="0.41"/>
    <d v="2024-10-06T00:00:00"/>
    <n v="75.760000000000005"/>
    <n v="0.434"/>
    <n v="37899.409999999996"/>
    <x v="0"/>
    <x v="0"/>
  </r>
  <r>
    <x v="2323"/>
    <x v="0"/>
    <n v="385"/>
    <n v="42"/>
    <n v="5"/>
    <n v="4"/>
    <n v="7.2"/>
    <x v="83"/>
    <x v="0"/>
    <n v="85"/>
    <n v="3.09"/>
    <n v="37.049999999999997"/>
    <n v="1.36"/>
    <n v="8"/>
    <n v="0.79"/>
    <n v="713"/>
    <n v="1.28"/>
    <n v="0.65"/>
    <d v="2024-11-04T00:00:00"/>
    <n v="99.16"/>
    <n v="0.40899999999999997"/>
    <n v="14264.249999999998"/>
    <x v="0"/>
    <x v="0"/>
  </r>
  <r>
    <x v="2324"/>
    <x v="3"/>
    <n v="455"/>
    <n v="92"/>
    <n v="3"/>
    <n v="8"/>
    <n v="19.899999999999999"/>
    <x v="18"/>
    <x v="1"/>
    <n v="85"/>
    <n v="3.55"/>
    <n v="85.7"/>
    <n v="0.22"/>
    <n v="5"/>
    <n v="0.99"/>
    <n v="994"/>
    <n v="1.62"/>
    <n v="0.53"/>
    <d v="2024-04-10T00:00:00"/>
    <n v="208.46"/>
    <n v="0.60399999999999998"/>
    <n v="38993.5"/>
    <x v="0"/>
    <x v="0"/>
  </r>
  <r>
    <x v="2325"/>
    <x v="2"/>
    <n v="482"/>
    <n v="92"/>
    <n v="9"/>
    <n v="3"/>
    <n v="26.99"/>
    <x v="96"/>
    <x v="2"/>
    <n v="115"/>
    <n v="3.48"/>
    <n v="68.63"/>
    <n v="0.2"/>
    <n v="7"/>
    <n v="0.88"/>
    <n v="246"/>
    <n v="10.59"/>
    <n v="0.82"/>
    <d v="2024-04-09T00:00:00"/>
    <n v="163.56"/>
    <n v="0.72099999999999997"/>
    <n v="33079.659999999996"/>
    <x v="0"/>
    <x v="0"/>
  </r>
  <r>
    <x v="2326"/>
    <x v="3"/>
    <n v="321"/>
    <n v="25"/>
    <n v="8"/>
    <n v="7"/>
    <n v="30.34"/>
    <x v="10"/>
    <x v="2"/>
    <n v="162"/>
    <n v="1.03"/>
    <n v="141.1"/>
    <n v="1.74"/>
    <n v="6"/>
    <n v="0.83"/>
    <n v="619"/>
    <n v="10.95"/>
    <n v="0.69"/>
    <d v="2024-05-30T00:00:00"/>
    <n v="267.7"/>
    <n v="0.55600000000000005"/>
    <n v="45293.1"/>
    <x v="0"/>
    <x v="0"/>
  </r>
  <r>
    <x v="2327"/>
    <x v="4"/>
    <n v="44"/>
    <n v="32"/>
    <n v="12"/>
    <n v="5"/>
    <n v="46.85"/>
    <x v="43"/>
    <x v="2"/>
    <n v="42"/>
    <n v="2.0499999999999998"/>
    <n v="158.65"/>
    <n v="0.52"/>
    <n v="0"/>
    <n v="0.85"/>
    <n v="97"/>
    <n v="11.14"/>
    <n v="0.65"/>
    <d v="2024-08-17T00:00:00"/>
    <n v="281.43"/>
    <n v="0.79700000000000004"/>
    <n v="6980.6"/>
    <x v="0"/>
    <x v="2"/>
  </r>
  <r>
    <x v="2328"/>
    <x v="3"/>
    <n v="296"/>
    <n v="16"/>
    <n v="6"/>
    <n v="3"/>
    <n v="39.090000000000003"/>
    <x v="63"/>
    <x v="3"/>
    <n v="46"/>
    <n v="1.96"/>
    <n v="41.98"/>
    <n v="1.21"/>
    <n v="1"/>
    <n v="0.73"/>
    <n v="404"/>
    <n v="9.82"/>
    <n v="0.46"/>
    <d v="2024-03-31T00:00:00"/>
    <n v="210.38"/>
    <n v="0.628"/>
    <n v="12426.08"/>
    <x v="0"/>
    <x v="0"/>
  </r>
  <r>
    <x v="2329"/>
    <x v="4"/>
    <n v="491"/>
    <n v="35"/>
    <n v="8"/>
    <n v="6"/>
    <n v="8.4499999999999993"/>
    <x v="8"/>
    <x v="0"/>
    <n v="101"/>
    <n v="3.08"/>
    <n v="164.28"/>
    <n v="1.29"/>
    <n v="3"/>
    <n v="0.72"/>
    <n v="283"/>
    <n v="5"/>
    <n v="0.64"/>
    <d v="2024-12-15T00:00:00"/>
    <n v="260.43"/>
    <n v="0.55000000000000004"/>
    <n v="80661.48"/>
    <x v="0"/>
    <x v="0"/>
  </r>
  <r>
    <x v="2330"/>
    <x v="4"/>
    <n v="396"/>
    <n v="21"/>
    <n v="8"/>
    <n v="8"/>
    <n v="9.5299999999999994"/>
    <x v="41"/>
    <x v="2"/>
    <n v="133"/>
    <n v="3.94"/>
    <n v="11.37"/>
    <n v="0.41"/>
    <n v="0"/>
    <n v="0.88"/>
    <n v="486"/>
    <n v="3.34"/>
    <n v="0.69"/>
    <d v="2024-02-08T00:00:00"/>
    <n v="66.569999999999993"/>
    <n v="0.71799999999999997"/>
    <n v="4502.5199999999995"/>
    <x v="0"/>
    <x v="0"/>
  </r>
  <r>
    <x v="2331"/>
    <x v="2"/>
    <n v="397"/>
    <n v="81"/>
    <n v="6"/>
    <n v="5"/>
    <n v="5.92"/>
    <x v="63"/>
    <x v="3"/>
    <n v="52"/>
    <n v="3.07"/>
    <n v="110.71"/>
    <n v="1.55"/>
    <n v="7"/>
    <n v="0.85"/>
    <n v="749"/>
    <n v="13.99"/>
    <n v="0.34"/>
    <d v="2024-04-05T00:00:00"/>
    <n v="32.99"/>
    <n v="0.53"/>
    <n v="43951.869999999995"/>
    <x v="0"/>
    <x v="0"/>
  </r>
  <r>
    <x v="2332"/>
    <x v="0"/>
    <n v="408"/>
    <n v="14"/>
    <n v="8"/>
    <n v="5"/>
    <n v="37.17"/>
    <x v="51"/>
    <x v="1"/>
    <n v="135"/>
    <n v="3.9"/>
    <n v="108.19"/>
    <n v="1.75"/>
    <n v="3"/>
    <n v="0.81"/>
    <n v="943"/>
    <n v="13.78"/>
    <n v="0.79"/>
    <d v="2024-03-29T00:00:00"/>
    <n v="106.56"/>
    <n v="0.66900000000000004"/>
    <n v="44141.52"/>
    <x v="0"/>
    <x v="0"/>
  </r>
  <r>
    <x v="2333"/>
    <x v="3"/>
    <n v="89"/>
    <n v="78"/>
    <n v="12"/>
    <n v="2"/>
    <n v="35.6"/>
    <x v="43"/>
    <x v="3"/>
    <n v="18"/>
    <n v="0.95"/>
    <n v="128.53"/>
    <n v="0.64"/>
    <n v="6"/>
    <n v="0.87"/>
    <n v="675"/>
    <n v="4.3899999999999997"/>
    <n v="0.51"/>
    <d v="2024-09-20T00:00:00"/>
    <n v="104.46"/>
    <n v="0.55100000000000005"/>
    <n v="11439.17"/>
    <x v="0"/>
    <x v="2"/>
  </r>
  <r>
    <x v="2334"/>
    <x v="4"/>
    <n v="132"/>
    <n v="58"/>
    <n v="13"/>
    <n v="6"/>
    <n v="49.33"/>
    <x v="88"/>
    <x v="2"/>
    <n v="23"/>
    <n v="4.45"/>
    <n v="55.54"/>
    <n v="1.77"/>
    <n v="6"/>
    <n v="0.72"/>
    <n v="139"/>
    <n v="3.35"/>
    <n v="0.79"/>
    <d v="2024-03-02T00:00:00"/>
    <n v="202.88"/>
    <n v="0.45"/>
    <n v="7331.28"/>
    <x v="0"/>
    <x v="1"/>
  </r>
  <r>
    <x v="2335"/>
    <x v="3"/>
    <n v="382"/>
    <n v="35"/>
    <n v="10"/>
    <n v="2"/>
    <n v="26.58"/>
    <x v="25"/>
    <x v="2"/>
    <n v="140"/>
    <n v="2.91"/>
    <n v="11.87"/>
    <n v="0.25"/>
    <n v="7"/>
    <n v="0.98"/>
    <n v="418"/>
    <n v="6.25"/>
    <n v="0.34"/>
    <d v="2024-07-12T00:00:00"/>
    <n v="253.7"/>
    <n v="0.58199999999999996"/>
    <n v="4534.34"/>
    <x v="0"/>
    <x v="0"/>
  </r>
  <r>
    <x v="2336"/>
    <x v="0"/>
    <n v="131"/>
    <n v="14"/>
    <n v="5"/>
    <n v="2"/>
    <n v="41.49"/>
    <x v="18"/>
    <x v="1"/>
    <n v="78"/>
    <n v="0.67"/>
    <n v="96.4"/>
    <n v="1.62"/>
    <n v="8"/>
    <n v="0.79"/>
    <n v="988"/>
    <n v="1.68"/>
    <n v="0.73"/>
    <d v="2024-01-21T00:00:00"/>
    <n v="96.1"/>
    <n v="0.40400000000000003"/>
    <n v="12628.400000000001"/>
    <x v="0"/>
    <x v="1"/>
  </r>
  <r>
    <x v="2337"/>
    <x v="0"/>
    <n v="383"/>
    <n v="31"/>
    <n v="6"/>
    <n v="9"/>
    <n v="29.25"/>
    <x v="21"/>
    <x v="0"/>
    <n v="35"/>
    <n v="3.39"/>
    <n v="23.57"/>
    <n v="1.32"/>
    <n v="8"/>
    <n v="0.72"/>
    <n v="218"/>
    <n v="3.27"/>
    <n v="0.22"/>
    <d v="2024-08-07T00:00:00"/>
    <n v="133.18"/>
    <n v="0.34"/>
    <n v="9027.31"/>
    <x v="0"/>
    <x v="0"/>
  </r>
  <r>
    <x v="2338"/>
    <x v="1"/>
    <n v="322"/>
    <n v="88"/>
    <n v="12"/>
    <n v="8"/>
    <n v="43.83"/>
    <x v="13"/>
    <x v="1"/>
    <n v="136"/>
    <n v="2.83"/>
    <n v="179.52"/>
    <n v="1.21"/>
    <n v="6"/>
    <n v="0.75"/>
    <n v="412"/>
    <n v="6.32"/>
    <n v="0.33"/>
    <d v="2024-05-22T00:00:00"/>
    <n v="40.44"/>
    <n v="0.45900000000000002"/>
    <n v="57805.440000000002"/>
    <x v="0"/>
    <x v="0"/>
  </r>
  <r>
    <x v="2339"/>
    <x v="0"/>
    <n v="490"/>
    <n v="22"/>
    <n v="14"/>
    <n v="4"/>
    <n v="36.33"/>
    <x v="60"/>
    <x v="1"/>
    <n v="62"/>
    <n v="1.49"/>
    <n v="43"/>
    <n v="0.54"/>
    <n v="8"/>
    <n v="0.73"/>
    <n v="971"/>
    <n v="4.34"/>
    <n v="0.91"/>
    <d v="2024-10-11T00:00:00"/>
    <n v="129.69"/>
    <n v="0.57199999999999995"/>
    <n v="21070"/>
    <x v="0"/>
    <x v="0"/>
  </r>
  <r>
    <x v="2340"/>
    <x v="2"/>
    <n v="471"/>
    <n v="37"/>
    <n v="3"/>
    <n v="2"/>
    <n v="32.5"/>
    <x v="62"/>
    <x v="2"/>
    <n v="50"/>
    <n v="3.94"/>
    <n v="90.79"/>
    <n v="0.79"/>
    <n v="4"/>
    <n v="0.75"/>
    <n v="922"/>
    <n v="11.32"/>
    <n v="0.56999999999999995"/>
    <d v="2024-05-15T00:00:00"/>
    <n v="72.180000000000007"/>
    <n v="0.65600000000000003"/>
    <n v="42762.090000000004"/>
    <x v="0"/>
    <x v="0"/>
  </r>
  <r>
    <x v="2341"/>
    <x v="4"/>
    <n v="110"/>
    <n v="42"/>
    <n v="6"/>
    <n v="3"/>
    <n v="28.69"/>
    <x v="92"/>
    <x v="2"/>
    <n v="91"/>
    <n v="4.7"/>
    <n v="92.46"/>
    <n v="1.83"/>
    <n v="9"/>
    <n v="0.83"/>
    <n v="226"/>
    <n v="13.67"/>
    <n v="0.61"/>
    <d v="2024-03-07T00:00:00"/>
    <n v="120.91"/>
    <n v="0.50700000000000001"/>
    <n v="10170.599999999999"/>
    <x v="0"/>
    <x v="1"/>
  </r>
  <r>
    <x v="2342"/>
    <x v="1"/>
    <n v="37"/>
    <n v="32"/>
    <n v="13"/>
    <n v="5"/>
    <n v="36.43"/>
    <x v="34"/>
    <x v="0"/>
    <n v="111"/>
    <n v="1.95"/>
    <n v="115.04"/>
    <n v="0.98"/>
    <n v="3"/>
    <n v="0.92"/>
    <n v="549"/>
    <n v="13.73"/>
    <n v="0.93"/>
    <d v="2024-03-23T00:00:00"/>
    <n v="87.24"/>
    <n v="0.79500000000000004"/>
    <n v="4256.4800000000005"/>
    <x v="0"/>
    <x v="2"/>
  </r>
  <r>
    <x v="2343"/>
    <x v="2"/>
    <n v="168"/>
    <n v="27"/>
    <n v="12"/>
    <n v="8"/>
    <n v="21.56"/>
    <x v="25"/>
    <x v="2"/>
    <n v="30"/>
    <n v="2.72"/>
    <n v="158.68"/>
    <n v="1.23"/>
    <n v="2"/>
    <n v="0.78"/>
    <n v="753"/>
    <n v="9.4600000000000009"/>
    <n v="0.59"/>
    <d v="2024-10-26T00:00:00"/>
    <n v="244.53"/>
    <n v="0.63700000000000001"/>
    <n v="26658.240000000002"/>
    <x v="0"/>
    <x v="1"/>
  </r>
  <r>
    <x v="2344"/>
    <x v="3"/>
    <n v="495"/>
    <n v="39"/>
    <n v="12"/>
    <n v="2"/>
    <n v="5.73"/>
    <x v="36"/>
    <x v="1"/>
    <n v="130"/>
    <n v="1.08"/>
    <n v="99.71"/>
    <n v="1.88"/>
    <n v="5"/>
    <n v="0.83"/>
    <n v="182"/>
    <n v="10.85"/>
    <n v="0.72"/>
    <d v="2024-05-10T00:00:00"/>
    <n v="11.18"/>
    <n v="0.56699999999999995"/>
    <n v="49356.45"/>
    <x v="0"/>
    <x v="0"/>
  </r>
  <r>
    <x v="2345"/>
    <x v="4"/>
    <n v="246"/>
    <n v="35"/>
    <n v="14"/>
    <n v="7"/>
    <n v="2.96"/>
    <x v="37"/>
    <x v="1"/>
    <n v="48"/>
    <n v="4.68"/>
    <n v="14.89"/>
    <n v="0.99"/>
    <n v="9"/>
    <n v="0.98"/>
    <n v="221"/>
    <n v="7.92"/>
    <n v="0.38"/>
    <d v="2024-01-03T00:00:00"/>
    <n v="108.23"/>
    <n v="0.499"/>
    <n v="3662.94"/>
    <x v="0"/>
    <x v="1"/>
  </r>
  <r>
    <x v="2346"/>
    <x v="0"/>
    <n v="233"/>
    <n v="25"/>
    <n v="11"/>
    <n v="3"/>
    <n v="24.47"/>
    <x v="33"/>
    <x v="0"/>
    <n v="160"/>
    <n v="1.93"/>
    <n v="156.51"/>
    <n v="0.84"/>
    <n v="8"/>
    <n v="0.79"/>
    <n v="579"/>
    <n v="3.05"/>
    <n v="0.27"/>
    <d v="2024-06-18T00:00:00"/>
    <n v="291.08"/>
    <n v="0.40899999999999997"/>
    <n v="36466.829999999994"/>
    <x v="0"/>
    <x v="1"/>
  </r>
  <r>
    <x v="2347"/>
    <x v="4"/>
    <n v="379"/>
    <n v="86"/>
    <n v="10"/>
    <n v="6"/>
    <n v="30.37"/>
    <x v="99"/>
    <x v="2"/>
    <n v="78"/>
    <n v="1.38"/>
    <n v="25.61"/>
    <n v="1.8"/>
    <n v="3"/>
    <n v="0.94"/>
    <n v="812"/>
    <n v="9.89"/>
    <n v="0.48"/>
    <d v="2024-08-26T00:00:00"/>
    <n v="206.91"/>
    <n v="0.57599999999999996"/>
    <n v="9706.19"/>
    <x v="0"/>
    <x v="0"/>
  </r>
  <r>
    <x v="2348"/>
    <x v="3"/>
    <n v="170"/>
    <n v="48"/>
    <n v="13"/>
    <n v="5"/>
    <n v="4.8600000000000003"/>
    <x v="83"/>
    <x v="2"/>
    <n v="84"/>
    <n v="2.65"/>
    <n v="131.9"/>
    <n v="1.83"/>
    <n v="1"/>
    <n v="0.75"/>
    <n v="490"/>
    <n v="5.9"/>
    <n v="0.84"/>
    <d v="2024-12-29T00:00:00"/>
    <n v="233.93"/>
    <n v="0.59399999999999997"/>
    <n v="22423"/>
    <x v="0"/>
    <x v="1"/>
  </r>
  <r>
    <x v="2349"/>
    <x v="1"/>
    <n v="211"/>
    <n v="42"/>
    <n v="6"/>
    <n v="8"/>
    <n v="15.06"/>
    <x v="4"/>
    <x v="1"/>
    <n v="166"/>
    <n v="0.69"/>
    <n v="162.65"/>
    <n v="0.77"/>
    <n v="2"/>
    <n v="0.75"/>
    <n v="161"/>
    <n v="1.08"/>
    <n v="0.56000000000000005"/>
    <d v="2024-03-20T00:00:00"/>
    <n v="259.36"/>
    <n v="0.55900000000000005"/>
    <n v="34319.15"/>
    <x v="0"/>
    <x v="1"/>
  </r>
  <r>
    <x v="2350"/>
    <x v="1"/>
    <n v="470"/>
    <n v="35"/>
    <n v="14"/>
    <n v="7"/>
    <n v="16.78"/>
    <x v="0"/>
    <x v="1"/>
    <n v="71"/>
    <n v="1.64"/>
    <n v="63.71"/>
    <n v="1.22"/>
    <n v="2"/>
    <n v="0.84"/>
    <n v="89"/>
    <n v="9.0500000000000007"/>
    <n v="0.33"/>
    <d v="2024-01-21T00:00:00"/>
    <n v="114.93"/>
    <n v="0.59299999999999997"/>
    <n v="29943.7"/>
    <x v="0"/>
    <x v="0"/>
  </r>
  <r>
    <x v="2351"/>
    <x v="1"/>
    <n v="59"/>
    <n v="57"/>
    <n v="9"/>
    <n v="8"/>
    <n v="28.58"/>
    <x v="65"/>
    <x v="2"/>
    <n v="54"/>
    <n v="0.8"/>
    <n v="95.33"/>
    <n v="1.93"/>
    <n v="1"/>
    <n v="0.77"/>
    <n v="151"/>
    <n v="3.78"/>
    <n v="0.64"/>
    <d v="2024-03-19T00:00:00"/>
    <n v="29.12"/>
    <n v="0.51900000000000002"/>
    <n v="5624.47"/>
    <x v="0"/>
    <x v="2"/>
  </r>
  <r>
    <x v="2352"/>
    <x v="0"/>
    <n v="261"/>
    <n v="74"/>
    <n v="12"/>
    <n v="8"/>
    <n v="14.65"/>
    <x v="59"/>
    <x v="3"/>
    <n v="36"/>
    <n v="1.07"/>
    <n v="12.72"/>
    <n v="0.21"/>
    <n v="8"/>
    <n v="0.97"/>
    <n v="418"/>
    <n v="13.41"/>
    <n v="0.41"/>
    <d v="2024-06-14T00:00:00"/>
    <n v="129.1"/>
    <n v="0.67400000000000004"/>
    <n v="3319.92"/>
    <x v="0"/>
    <x v="0"/>
  </r>
  <r>
    <x v="2353"/>
    <x v="2"/>
    <n v="157"/>
    <n v="47"/>
    <n v="5"/>
    <n v="7"/>
    <n v="5.69"/>
    <x v="55"/>
    <x v="1"/>
    <n v="125"/>
    <n v="1"/>
    <n v="162.74"/>
    <n v="0.18"/>
    <n v="3"/>
    <n v="0.72"/>
    <n v="223"/>
    <n v="14.08"/>
    <n v="0.96"/>
    <d v="2024-11-01T00:00:00"/>
    <n v="199.28"/>
    <n v="0.84599999999999997"/>
    <n v="25550.18"/>
    <x v="0"/>
    <x v="1"/>
  </r>
  <r>
    <x v="2354"/>
    <x v="2"/>
    <n v="364"/>
    <n v="11"/>
    <n v="11"/>
    <n v="6"/>
    <n v="9.08"/>
    <x v="0"/>
    <x v="1"/>
    <n v="171"/>
    <n v="4.43"/>
    <n v="143.62"/>
    <n v="1.08"/>
    <n v="2"/>
    <n v="0.88"/>
    <n v="875"/>
    <n v="3.27"/>
    <n v="0.66"/>
    <d v="2024-01-27T00:00:00"/>
    <n v="117.53"/>
    <n v="0.60399999999999998"/>
    <n v="52277.68"/>
    <x v="0"/>
    <x v="0"/>
  </r>
  <r>
    <x v="2355"/>
    <x v="4"/>
    <n v="199"/>
    <n v="15"/>
    <n v="12"/>
    <n v="7"/>
    <n v="9.52"/>
    <x v="67"/>
    <x v="1"/>
    <n v="151"/>
    <n v="4.6900000000000004"/>
    <n v="53.96"/>
    <n v="0.65"/>
    <n v="9"/>
    <n v="0.88"/>
    <n v="390"/>
    <n v="1.41"/>
    <n v="0.99"/>
    <d v="2024-11-16T00:00:00"/>
    <n v="140.01"/>
    <n v="0.54800000000000004"/>
    <n v="10738.04"/>
    <x v="0"/>
    <x v="1"/>
  </r>
  <r>
    <x v="2356"/>
    <x v="0"/>
    <n v="219"/>
    <n v="55"/>
    <n v="6"/>
    <n v="3"/>
    <n v="42.29"/>
    <x v="46"/>
    <x v="0"/>
    <n v="50"/>
    <n v="2.64"/>
    <n v="84.14"/>
    <n v="1.21"/>
    <n v="5"/>
    <n v="0.72"/>
    <n v="969"/>
    <n v="1.06"/>
    <n v="0.23"/>
    <d v="2024-11-11T00:00:00"/>
    <n v="249.4"/>
    <n v="0.38300000000000001"/>
    <n v="18426.66"/>
    <x v="0"/>
    <x v="1"/>
  </r>
  <r>
    <x v="2357"/>
    <x v="1"/>
    <n v="222"/>
    <n v="59"/>
    <n v="4"/>
    <n v="9"/>
    <n v="14.93"/>
    <x v="74"/>
    <x v="2"/>
    <n v="115"/>
    <n v="3.34"/>
    <n v="142.11000000000001"/>
    <n v="1.48"/>
    <n v="7"/>
    <n v="0.92"/>
    <n v="973"/>
    <n v="13.78"/>
    <n v="0.21"/>
    <d v="2024-12-04T00:00:00"/>
    <n v="20.51"/>
    <n v="0.52200000000000002"/>
    <n v="31548.420000000002"/>
    <x v="0"/>
    <x v="1"/>
  </r>
  <r>
    <x v="2358"/>
    <x v="1"/>
    <n v="80"/>
    <n v="47"/>
    <n v="12"/>
    <n v="8"/>
    <n v="36.020000000000003"/>
    <x v="72"/>
    <x v="2"/>
    <n v="83"/>
    <n v="3.63"/>
    <n v="78.05"/>
    <n v="0.23"/>
    <n v="7"/>
    <n v="0.84"/>
    <n v="863"/>
    <n v="3.13"/>
    <n v="0.57999999999999996"/>
    <d v="2024-06-03T00:00:00"/>
    <n v="107.07"/>
    <n v="0.56299999999999994"/>
    <n v="6244"/>
    <x v="0"/>
    <x v="2"/>
  </r>
  <r>
    <x v="2359"/>
    <x v="3"/>
    <n v="211"/>
    <n v="97"/>
    <n v="7"/>
    <n v="6"/>
    <n v="28.82"/>
    <x v="9"/>
    <x v="2"/>
    <n v="69"/>
    <n v="2.2599999999999998"/>
    <n v="40.86"/>
    <n v="1.78"/>
    <n v="9"/>
    <n v="0.92"/>
    <n v="245"/>
    <n v="7.09"/>
    <n v="0.89"/>
    <d v="2024-09-08T00:00:00"/>
    <n v="151.63999999999999"/>
    <n v="0.499"/>
    <n v="8621.4599999999991"/>
    <x v="0"/>
    <x v="1"/>
  </r>
  <r>
    <x v="2360"/>
    <x v="3"/>
    <n v="24"/>
    <n v="27"/>
    <n v="4"/>
    <n v="8"/>
    <n v="48.87"/>
    <x v="28"/>
    <x v="1"/>
    <n v="51"/>
    <n v="2.17"/>
    <n v="108.52"/>
    <n v="0.63"/>
    <n v="5"/>
    <n v="0.95"/>
    <n v="633"/>
    <n v="1.8"/>
    <n v="0.62"/>
    <d v="2024-10-20T00:00:00"/>
    <n v="96.76"/>
    <n v="0.57499999999999996"/>
    <n v="2604.48"/>
    <x v="1"/>
    <x v="2"/>
  </r>
  <r>
    <x v="2361"/>
    <x v="1"/>
    <n v="397"/>
    <n v="36"/>
    <n v="12"/>
    <n v="7"/>
    <n v="14.37"/>
    <x v="2"/>
    <x v="2"/>
    <n v="131"/>
    <n v="3.54"/>
    <n v="147.47999999999999"/>
    <n v="0.82"/>
    <n v="4"/>
    <n v="0.8"/>
    <n v="231"/>
    <n v="6.23"/>
    <n v="0.9"/>
    <d v="2024-10-08T00:00:00"/>
    <n v="139.29"/>
    <n v="0.66100000000000003"/>
    <n v="58549.56"/>
    <x v="0"/>
    <x v="0"/>
  </r>
  <r>
    <x v="2362"/>
    <x v="1"/>
    <n v="256"/>
    <n v="50"/>
    <n v="8"/>
    <n v="6"/>
    <n v="8.76"/>
    <x v="71"/>
    <x v="2"/>
    <n v="20"/>
    <n v="2.2000000000000002"/>
    <n v="70.95"/>
    <n v="0.74"/>
    <n v="6"/>
    <n v="0.85"/>
    <n v="802"/>
    <n v="12"/>
    <n v="0.3"/>
    <d v="2024-07-02T00:00:00"/>
    <n v="126.51"/>
    <n v="0.59599999999999997"/>
    <n v="18163.2"/>
    <x v="0"/>
    <x v="0"/>
  </r>
  <r>
    <x v="2363"/>
    <x v="0"/>
    <n v="200"/>
    <n v="81"/>
    <n v="13"/>
    <n v="6"/>
    <n v="3.55"/>
    <x v="18"/>
    <x v="2"/>
    <n v="172"/>
    <n v="3.11"/>
    <n v="33.14"/>
    <n v="1.7"/>
    <n v="2"/>
    <n v="0.78"/>
    <n v="850"/>
    <n v="6.69"/>
    <n v="0.76"/>
    <d v="2024-02-07T00:00:00"/>
    <n v="277.93"/>
    <n v="0.58699999999999997"/>
    <n v="6628"/>
    <x v="0"/>
    <x v="1"/>
  </r>
  <r>
    <x v="2364"/>
    <x v="2"/>
    <n v="330"/>
    <n v="83"/>
    <n v="12"/>
    <n v="2"/>
    <n v="12.81"/>
    <x v="9"/>
    <x v="0"/>
    <n v="156"/>
    <n v="2.82"/>
    <n v="167.61"/>
    <n v="0.42"/>
    <n v="9"/>
    <n v="0.76"/>
    <n v="372"/>
    <n v="11.86"/>
    <n v="0.73"/>
    <d v="2024-12-28T00:00:00"/>
    <n v="153.01"/>
    <n v="0.63400000000000001"/>
    <n v="55311.3"/>
    <x v="0"/>
    <x v="0"/>
  </r>
  <r>
    <x v="2365"/>
    <x v="3"/>
    <n v="56"/>
    <n v="26"/>
    <n v="3"/>
    <n v="2"/>
    <n v="34.520000000000003"/>
    <x v="92"/>
    <x v="0"/>
    <n v="127"/>
    <n v="2.86"/>
    <n v="58.03"/>
    <n v="0.15"/>
    <n v="1"/>
    <n v="0.7"/>
    <n v="162"/>
    <n v="10.64"/>
    <n v="0.64"/>
    <d v="2024-06-11T00:00:00"/>
    <n v="148.13"/>
    <n v="0.77500000000000002"/>
    <n v="3249.6800000000003"/>
    <x v="0"/>
    <x v="2"/>
  </r>
  <r>
    <x v="2366"/>
    <x v="2"/>
    <n v="75"/>
    <n v="71"/>
    <n v="8"/>
    <n v="9"/>
    <n v="5.18"/>
    <x v="14"/>
    <x v="1"/>
    <n v="74"/>
    <n v="4.2300000000000004"/>
    <n v="107.43"/>
    <n v="1.95"/>
    <n v="7"/>
    <n v="0.99"/>
    <n v="901"/>
    <n v="8.24"/>
    <n v="0.52"/>
    <d v="2024-09-26T00:00:00"/>
    <n v="83.8"/>
    <n v="0.47699999999999998"/>
    <n v="8057.2500000000009"/>
    <x v="0"/>
    <x v="2"/>
  </r>
  <r>
    <x v="2367"/>
    <x v="0"/>
    <n v="462"/>
    <n v="38"/>
    <n v="6"/>
    <n v="2"/>
    <n v="12.99"/>
    <x v="90"/>
    <x v="2"/>
    <n v="56"/>
    <n v="3.67"/>
    <n v="141.36000000000001"/>
    <n v="1.96"/>
    <n v="8"/>
    <n v="0.83"/>
    <n v="724"/>
    <n v="11.33"/>
    <n v="0.72"/>
    <d v="2024-04-22T00:00:00"/>
    <n v="23.43"/>
    <n v="0.505"/>
    <n v="65308.320000000007"/>
    <x v="0"/>
    <x v="0"/>
  </r>
  <r>
    <x v="2368"/>
    <x v="1"/>
    <n v="256"/>
    <n v="67"/>
    <n v="5"/>
    <n v="7"/>
    <n v="42.91"/>
    <x v="50"/>
    <x v="1"/>
    <n v="23"/>
    <n v="4.82"/>
    <n v="70.239999999999995"/>
    <n v="0.59"/>
    <n v="5"/>
    <n v="0.7"/>
    <n v="600"/>
    <n v="13.31"/>
    <n v="0.64"/>
    <d v="2024-04-04T00:00:00"/>
    <n v="96.85"/>
    <n v="0.68600000000000005"/>
    <n v="17981.439999999999"/>
    <x v="0"/>
    <x v="0"/>
  </r>
  <r>
    <x v="2369"/>
    <x v="2"/>
    <n v="377"/>
    <n v="79"/>
    <n v="4"/>
    <n v="5"/>
    <n v="29.56"/>
    <x v="89"/>
    <x v="1"/>
    <n v="76"/>
    <n v="4.0599999999999996"/>
    <n v="133.24"/>
    <n v="0.12"/>
    <n v="3"/>
    <n v="0.7"/>
    <n v="284"/>
    <n v="12.1"/>
    <n v="0.42"/>
    <d v="2024-09-23T00:00:00"/>
    <n v="17.89"/>
    <n v="0.71299999999999997"/>
    <n v="50231.48"/>
    <x v="0"/>
    <x v="0"/>
  </r>
  <r>
    <x v="2370"/>
    <x v="1"/>
    <n v="368"/>
    <n v="87"/>
    <n v="9"/>
    <n v="3"/>
    <n v="4.41"/>
    <x v="64"/>
    <x v="1"/>
    <n v="118"/>
    <n v="1.1599999999999999"/>
    <n v="97.34"/>
    <n v="1.33"/>
    <n v="5"/>
    <n v="0.79"/>
    <n v="554"/>
    <n v="10.68"/>
    <n v="0.28000000000000003"/>
    <d v="2024-02-04T00:00:00"/>
    <n v="249.76"/>
    <n v="0.52300000000000002"/>
    <n v="35821.120000000003"/>
    <x v="0"/>
    <x v="0"/>
  </r>
  <r>
    <x v="2371"/>
    <x v="1"/>
    <n v="216"/>
    <n v="31"/>
    <n v="11"/>
    <n v="7"/>
    <n v="3.34"/>
    <x v="58"/>
    <x v="1"/>
    <n v="169"/>
    <n v="3.82"/>
    <n v="118.38"/>
    <n v="1.33"/>
    <n v="6"/>
    <n v="0.7"/>
    <n v="992"/>
    <n v="10.83"/>
    <n v="0.51"/>
    <d v="2024-09-15T00:00:00"/>
    <n v="69.239999999999995"/>
    <n v="0.53300000000000003"/>
    <n v="25570.079999999998"/>
    <x v="0"/>
    <x v="1"/>
  </r>
  <r>
    <x v="2372"/>
    <x v="4"/>
    <n v="92"/>
    <n v="15"/>
    <n v="14"/>
    <n v="8"/>
    <n v="4"/>
    <x v="46"/>
    <x v="1"/>
    <n v="19"/>
    <n v="3.5"/>
    <n v="122.21"/>
    <n v="1.89"/>
    <n v="7"/>
    <n v="0.81"/>
    <n v="120"/>
    <n v="3.26"/>
    <n v="0.61"/>
    <d v="2024-03-22T00:00:00"/>
    <n v="274.25"/>
    <n v="0.39800000000000002"/>
    <n v="11243.32"/>
    <x v="0"/>
    <x v="2"/>
  </r>
  <r>
    <x v="2373"/>
    <x v="2"/>
    <n v="78"/>
    <n v="35"/>
    <n v="5"/>
    <n v="2"/>
    <n v="47.15"/>
    <x v="46"/>
    <x v="1"/>
    <n v="133"/>
    <n v="3.41"/>
    <n v="166.59"/>
    <n v="0.67"/>
    <n v="2"/>
    <n v="0.72"/>
    <n v="268"/>
    <n v="14.31"/>
    <n v="0.61"/>
    <d v="2024-07-31T00:00:00"/>
    <n v="266.89"/>
    <n v="0.75"/>
    <n v="12994.02"/>
    <x v="0"/>
    <x v="2"/>
  </r>
  <r>
    <x v="2374"/>
    <x v="2"/>
    <n v="259"/>
    <n v="48"/>
    <n v="8"/>
    <n v="6"/>
    <n v="42.64"/>
    <x v="78"/>
    <x v="0"/>
    <n v="26"/>
    <n v="2.66"/>
    <n v="134.69999999999999"/>
    <n v="0.46"/>
    <n v="5"/>
    <n v="0.71"/>
    <n v="566"/>
    <n v="3.88"/>
    <n v="0.54"/>
    <d v="2024-10-05T00:00:00"/>
    <n v="202.76"/>
    <n v="0.55600000000000005"/>
    <n v="34887.299999999996"/>
    <x v="0"/>
    <x v="0"/>
  </r>
  <r>
    <x v="2375"/>
    <x v="1"/>
    <n v="21"/>
    <n v="21"/>
    <n v="11"/>
    <n v="7"/>
    <n v="42.4"/>
    <x v="68"/>
    <x v="3"/>
    <n v="177"/>
    <n v="0.78"/>
    <n v="60.22"/>
    <n v="1.27"/>
    <n v="9"/>
    <n v="0.9"/>
    <n v="802"/>
    <n v="5.89"/>
    <n v="0.46"/>
    <d v="2024-10-01T00:00:00"/>
    <n v="260.14"/>
    <n v="0.44400000000000001"/>
    <n v="1264.6199999999999"/>
    <x v="1"/>
    <x v="2"/>
  </r>
  <r>
    <x v="2376"/>
    <x v="0"/>
    <n v="468"/>
    <n v="23"/>
    <n v="4"/>
    <n v="6"/>
    <n v="46.29"/>
    <x v="14"/>
    <x v="0"/>
    <n v="152"/>
    <n v="4.78"/>
    <n v="21.32"/>
    <n v="1.17"/>
    <n v="5"/>
    <n v="0.97"/>
    <n v="214"/>
    <n v="8.25"/>
    <n v="0.48"/>
    <d v="2024-07-25T00:00:00"/>
    <n v="264.60000000000002"/>
    <n v="0.58299999999999996"/>
    <n v="9977.76"/>
    <x v="0"/>
    <x v="0"/>
  </r>
  <r>
    <x v="2377"/>
    <x v="4"/>
    <n v="379"/>
    <n v="31"/>
    <n v="9"/>
    <n v="9"/>
    <n v="25.76"/>
    <x v="18"/>
    <x v="1"/>
    <n v="106"/>
    <n v="4.33"/>
    <n v="10.38"/>
    <n v="1.46"/>
    <n v="9"/>
    <n v="0.82"/>
    <n v="562"/>
    <n v="2.77"/>
    <n v="0.41"/>
    <d v="2024-02-17T00:00:00"/>
    <n v="235.14"/>
    <n v="0.35699999999999998"/>
    <n v="3934.0200000000004"/>
    <x v="0"/>
    <x v="0"/>
  </r>
  <r>
    <x v="2378"/>
    <x v="1"/>
    <n v="207"/>
    <n v="60"/>
    <n v="7"/>
    <n v="8"/>
    <n v="13.12"/>
    <x v="30"/>
    <x v="3"/>
    <n v="176"/>
    <n v="2.69"/>
    <n v="181.84"/>
    <n v="1.78"/>
    <n v="6"/>
    <n v="0.95"/>
    <n v="430"/>
    <n v="9.31"/>
    <n v="0.66"/>
    <d v="2024-06-27T00:00:00"/>
    <n v="157.30000000000001"/>
    <n v="0.54800000000000004"/>
    <n v="37640.879999999997"/>
    <x v="0"/>
    <x v="1"/>
  </r>
  <r>
    <x v="2379"/>
    <x v="3"/>
    <n v="326"/>
    <n v="32"/>
    <n v="7"/>
    <n v="6"/>
    <n v="20.67"/>
    <x v="9"/>
    <x v="3"/>
    <n v="66"/>
    <n v="1.21"/>
    <n v="189"/>
    <n v="1.1599999999999999"/>
    <n v="3"/>
    <n v="0.71"/>
    <n v="233"/>
    <n v="3.56"/>
    <n v="0.88"/>
    <d v="2024-04-23T00:00:00"/>
    <n v="285.51"/>
    <n v="0.58899999999999997"/>
    <n v="61614"/>
    <x v="0"/>
    <x v="0"/>
  </r>
  <r>
    <x v="2380"/>
    <x v="3"/>
    <n v="49"/>
    <n v="57"/>
    <n v="13"/>
    <n v="6"/>
    <n v="36.22"/>
    <x v="25"/>
    <x v="2"/>
    <n v="147"/>
    <n v="4.21"/>
    <n v="27.88"/>
    <n v="0.39"/>
    <n v="5"/>
    <n v="0.93"/>
    <n v="952"/>
    <n v="13.93"/>
    <n v="0.9"/>
    <d v="2024-04-19T00:00:00"/>
    <n v="247.14"/>
    <n v="0.81299999999999994"/>
    <n v="1366.12"/>
    <x v="1"/>
    <x v="2"/>
  </r>
  <r>
    <x v="2381"/>
    <x v="4"/>
    <n v="286"/>
    <n v="80"/>
    <n v="9"/>
    <n v="9"/>
    <n v="43.93"/>
    <x v="53"/>
    <x v="1"/>
    <n v="80"/>
    <n v="2.44"/>
    <n v="102.54"/>
    <n v="1.24"/>
    <n v="1"/>
    <n v="0.72"/>
    <n v="418"/>
    <n v="13.44"/>
    <n v="0.99"/>
    <d v="2024-12-05T00:00:00"/>
    <n v="46.83"/>
    <n v="0.77700000000000002"/>
    <n v="29326.440000000002"/>
    <x v="0"/>
    <x v="0"/>
  </r>
  <r>
    <x v="2382"/>
    <x v="0"/>
    <n v="495"/>
    <n v="59"/>
    <n v="11"/>
    <n v="4"/>
    <n v="22.32"/>
    <x v="53"/>
    <x v="1"/>
    <n v="106"/>
    <n v="2.2599999999999998"/>
    <n v="38.799999999999997"/>
    <n v="0.81"/>
    <n v="7"/>
    <n v="0.95"/>
    <n v="497"/>
    <n v="8.6199999999999992"/>
    <n v="0.27"/>
    <d v="2024-06-18T00:00:00"/>
    <n v="131.77000000000001"/>
    <n v="0.53800000000000003"/>
    <n v="19206"/>
    <x v="0"/>
    <x v="0"/>
  </r>
  <r>
    <x v="2383"/>
    <x v="1"/>
    <n v="127"/>
    <n v="98"/>
    <n v="6"/>
    <n v="5"/>
    <n v="27.23"/>
    <x v="92"/>
    <x v="0"/>
    <n v="26"/>
    <n v="3.49"/>
    <n v="190.26"/>
    <n v="0.96"/>
    <n v="2"/>
    <n v="0.96"/>
    <n v="57"/>
    <n v="7.29"/>
    <n v="0.37"/>
    <d v="2024-06-18T00:00:00"/>
    <n v="166.51"/>
    <n v="0.627"/>
    <n v="24163.02"/>
    <x v="0"/>
    <x v="1"/>
  </r>
  <r>
    <x v="2384"/>
    <x v="2"/>
    <n v="351"/>
    <n v="22"/>
    <n v="11"/>
    <n v="3"/>
    <n v="46.66"/>
    <x v="27"/>
    <x v="3"/>
    <n v="85"/>
    <n v="3.91"/>
    <n v="56.9"/>
    <n v="1.92"/>
    <n v="8"/>
    <n v="0.94"/>
    <n v="669"/>
    <n v="2.44"/>
    <n v="0.78"/>
    <d v="2024-07-03T00:00:00"/>
    <n v="163.53"/>
    <n v="0.42499999999999999"/>
    <n v="19971.899999999998"/>
    <x v="0"/>
    <x v="0"/>
  </r>
  <r>
    <x v="2385"/>
    <x v="4"/>
    <n v="442"/>
    <n v="94"/>
    <n v="13"/>
    <n v="3"/>
    <n v="6.27"/>
    <x v="59"/>
    <x v="3"/>
    <n v="26"/>
    <n v="0.78"/>
    <n v="105.31"/>
    <n v="1.1499999999999999"/>
    <n v="7"/>
    <n v="0.95"/>
    <n v="431"/>
    <n v="12.53"/>
    <n v="0.72"/>
    <d v="2024-05-30T00:00:00"/>
    <n v="120.07"/>
    <n v="0.64600000000000002"/>
    <n v="46547.020000000004"/>
    <x v="0"/>
    <x v="0"/>
  </r>
  <r>
    <x v="2386"/>
    <x v="0"/>
    <n v="109"/>
    <n v="19"/>
    <n v="12"/>
    <n v="2"/>
    <n v="43.25"/>
    <x v="47"/>
    <x v="1"/>
    <n v="120"/>
    <n v="3.95"/>
    <n v="41.47"/>
    <n v="0.38"/>
    <n v="5"/>
    <n v="0.87"/>
    <n v="431"/>
    <n v="6.31"/>
    <n v="0.31"/>
    <d v="2024-04-21T00:00:00"/>
    <n v="164.18"/>
    <n v="0.58199999999999996"/>
    <n v="4520.2299999999996"/>
    <x v="0"/>
    <x v="1"/>
  </r>
  <r>
    <x v="2387"/>
    <x v="2"/>
    <n v="224"/>
    <n v="64"/>
    <n v="11"/>
    <n v="4"/>
    <n v="8.81"/>
    <x v="7"/>
    <x v="2"/>
    <n v="129"/>
    <n v="3.8"/>
    <n v="73.22"/>
    <n v="0.94"/>
    <n v="9"/>
    <n v="0.78"/>
    <n v="497"/>
    <n v="4.45"/>
    <n v="0.7"/>
    <d v="2024-11-12T00:00:00"/>
    <n v="36.97"/>
    <n v="0.48099999999999998"/>
    <n v="16401.28"/>
    <x v="0"/>
    <x v="1"/>
  </r>
  <r>
    <x v="2388"/>
    <x v="3"/>
    <n v="398"/>
    <n v="18"/>
    <n v="6"/>
    <n v="7"/>
    <n v="24.71"/>
    <x v="79"/>
    <x v="1"/>
    <n v="153"/>
    <n v="3.15"/>
    <n v="60.69"/>
    <n v="0.53"/>
    <n v="1"/>
    <n v="0.89"/>
    <n v="746"/>
    <n v="14.93"/>
    <n v="0.53"/>
    <d v="2024-09-28T00:00:00"/>
    <n v="200.02"/>
    <n v="0.81"/>
    <n v="24154.62"/>
    <x v="0"/>
    <x v="0"/>
  </r>
  <r>
    <x v="2389"/>
    <x v="3"/>
    <n v="475"/>
    <n v="88"/>
    <n v="5"/>
    <n v="9"/>
    <n v="11.7"/>
    <x v="46"/>
    <x v="3"/>
    <n v="128"/>
    <n v="2.02"/>
    <n v="100.33"/>
    <n v="0.36"/>
    <n v="7"/>
    <n v="0.83"/>
    <n v="845"/>
    <n v="10.36"/>
    <n v="0.97"/>
    <d v="2024-08-31T00:00:00"/>
    <n v="154.35"/>
    <n v="0.72199999999999998"/>
    <n v="47656.75"/>
    <x v="0"/>
    <x v="0"/>
  </r>
  <r>
    <x v="2390"/>
    <x v="2"/>
    <n v="466"/>
    <n v="61"/>
    <n v="4"/>
    <n v="7"/>
    <n v="30.54"/>
    <x v="70"/>
    <x v="2"/>
    <n v="87"/>
    <n v="1.24"/>
    <n v="89.76"/>
    <n v="1.45"/>
    <n v="5"/>
    <n v="0.7"/>
    <n v="203"/>
    <n v="2.0299999999999998"/>
    <n v="0.88"/>
    <d v="2024-10-14T00:00:00"/>
    <n v="238.42"/>
    <n v="0.498"/>
    <n v="41828.160000000003"/>
    <x v="0"/>
    <x v="0"/>
  </r>
  <r>
    <x v="2391"/>
    <x v="4"/>
    <n v="467"/>
    <n v="11"/>
    <n v="11"/>
    <n v="3"/>
    <n v="28.37"/>
    <x v="66"/>
    <x v="2"/>
    <n v="12"/>
    <n v="0.96"/>
    <n v="72.849999999999994"/>
    <n v="1.29"/>
    <n v="0"/>
    <n v="0.84"/>
    <n v="83"/>
    <n v="12.22"/>
    <n v="0.26"/>
    <d v="2024-11-28T00:00:00"/>
    <n v="211.08"/>
    <n v="0.65400000000000003"/>
    <n v="34020.949999999997"/>
    <x v="0"/>
    <x v="0"/>
  </r>
  <r>
    <x v="2392"/>
    <x v="3"/>
    <n v="464"/>
    <n v="34"/>
    <n v="14"/>
    <n v="5"/>
    <n v="19.62"/>
    <x v="22"/>
    <x v="3"/>
    <n v="117"/>
    <n v="0.51"/>
    <n v="30.12"/>
    <n v="1.05"/>
    <n v="5"/>
    <n v="0.9"/>
    <n v="546"/>
    <n v="11.51"/>
    <n v="0.27"/>
    <d v="2024-01-05T00:00:00"/>
    <n v="42.7"/>
    <n v="0.58199999999999996"/>
    <n v="13975.68"/>
    <x v="0"/>
    <x v="0"/>
  </r>
  <r>
    <x v="2393"/>
    <x v="1"/>
    <n v="400"/>
    <n v="22"/>
    <n v="4"/>
    <n v="6"/>
    <n v="43.3"/>
    <x v="4"/>
    <x v="1"/>
    <n v="60"/>
    <n v="1.43"/>
    <n v="102.05"/>
    <n v="0.9"/>
    <n v="4"/>
    <n v="0.7"/>
    <n v="913"/>
    <n v="6.62"/>
    <n v="0.53"/>
    <d v="2024-02-28T00:00:00"/>
    <n v="111.71"/>
    <n v="0.56399999999999995"/>
    <n v="40820"/>
    <x v="0"/>
    <x v="0"/>
  </r>
  <r>
    <x v="2394"/>
    <x v="2"/>
    <n v="457"/>
    <n v="60"/>
    <n v="8"/>
    <n v="8"/>
    <n v="33.33"/>
    <x v="5"/>
    <x v="1"/>
    <n v="123"/>
    <n v="2.35"/>
    <n v="171.54"/>
    <n v="0.71"/>
    <n v="5"/>
    <n v="0.89"/>
    <n v="71"/>
    <n v="2.73"/>
    <n v="0.21"/>
    <d v="2024-12-08T00:00:00"/>
    <n v="223.51"/>
    <n v="0.48499999999999999"/>
    <n v="78393.78"/>
    <x v="0"/>
    <x v="0"/>
  </r>
  <r>
    <x v="2395"/>
    <x v="2"/>
    <n v="239"/>
    <n v="67"/>
    <n v="7"/>
    <n v="2"/>
    <n v="36.340000000000003"/>
    <x v="1"/>
    <x v="1"/>
    <n v="103"/>
    <n v="1.6"/>
    <n v="148.74"/>
    <n v="0.27"/>
    <n v="0"/>
    <n v="0.9"/>
    <n v="429"/>
    <n v="7.96"/>
    <n v="0.28000000000000003"/>
    <d v="2024-06-26T00:00:00"/>
    <n v="107.7"/>
    <n v="0.71499999999999997"/>
    <n v="35548.86"/>
    <x v="0"/>
    <x v="1"/>
  </r>
  <r>
    <x v="2396"/>
    <x v="3"/>
    <n v="397"/>
    <n v="43"/>
    <n v="7"/>
    <n v="5"/>
    <n v="8.3800000000000008"/>
    <x v="2"/>
    <x v="0"/>
    <n v="125"/>
    <n v="1.89"/>
    <n v="146.91"/>
    <n v="0.67"/>
    <n v="3"/>
    <n v="0.75"/>
    <n v="197"/>
    <n v="11.69"/>
    <n v="0.95"/>
    <d v="2024-08-16T00:00:00"/>
    <n v="174.4"/>
    <n v="0.76900000000000002"/>
    <n v="58323.27"/>
    <x v="0"/>
    <x v="0"/>
  </r>
  <r>
    <x v="2397"/>
    <x v="4"/>
    <n v="113"/>
    <n v="44"/>
    <n v="6"/>
    <n v="3"/>
    <n v="44.28"/>
    <x v="3"/>
    <x v="0"/>
    <n v="114"/>
    <n v="2.2599999999999998"/>
    <n v="79.56"/>
    <n v="1.69"/>
    <n v="6"/>
    <n v="0.83"/>
    <n v="959"/>
    <n v="2.06"/>
    <n v="0.83"/>
    <d v="2024-05-03T00:00:00"/>
    <n v="288.77"/>
    <n v="0.47"/>
    <n v="8990.2800000000007"/>
    <x v="0"/>
    <x v="1"/>
  </r>
  <r>
    <x v="2398"/>
    <x v="1"/>
    <n v="476"/>
    <n v="12"/>
    <n v="8"/>
    <n v="4"/>
    <n v="9.18"/>
    <x v="96"/>
    <x v="2"/>
    <n v="108"/>
    <n v="1.89"/>
    <n v="144.6"/>
    <n v="1.59"/>
    <n v="4"/>
    <n v="0.99"/>
    <n v="712"/>
    <n v="3.29"/>
    <n v="0.74"/>
    <d v="2024-11-24T00:00:00"/>
    <n v="33.18"/>
    <n v="0.55100000000000005"/>
    <n v="68829.599999999991"/>
    <x v="0"/>
    <x v="0"/>
  </r>
  <r>
    <x v="2399"/>
    <x v="4"/>
    <n v="122"/>
    <n v="68"/>
    <n v="7"/>
    <n v="2"/>
    <n v="11.92"/>
    <x v="69"/>
    <x v="1"/>
    <n v="163"/>
    <n v="3.76"/>
    <n v="98.45"/>
    <n v="1.95"/>
    <n v="5"/>
    <n v="0.97"/>
    <n v="628"/>
    <n v="9.66"/>
    <n v="0.86"/>
    <d v="2024-11-10T00:00:00"/>
    <n v="65.180000000000007"/>
    <n v="0.6"/>
    <n v="12010.9"/>
    <x v="0"/>
    <x v="1"/>
  </r>
  <r>
    <x v="2400"/>
    <x v="0"/>
    <n v="242"/>
    <n v="79"/>
    <n v="13"/>
    <n v="9"/>
    <n v="7.27"/>
    <x v="93"/>
    <x v="0"/>
    <n v="85"/>
    <n v="2.71"/>
    <n v="38.549999999999997"/>
    <n v="1.35"/>
    <n v="1"/>
    <n v="0.82"/>
    <n v="964"/>
    <n v="8.83"/>
    <n v="0.4"/>
    <d v="2024-11-14T00:00:00"/>
    <n v="149.38"/>
    <n v="0.60699999999999998"/>
    <n v="9329.0999999999985"/>
    <x v="0"/>
    <x v="1"/>
  </r>
  <r>
    <x v="2401"/>
    <x v="0"/>
    <n v="205"/>
    <n v="57"/>
    <n v="6"/>
    <n v="3"/>
    <n v="22.58"/>
    <x v="78"/>
    <x v="2"/>
    <n v="168"/>
    <n v="0.59"/>
    <n v="89.62"/>
    <n v="1.1499999999999999"/>
    <n v="7"/>
    <n v="0.8"/>
    <n v="639"/>
    <n v="13.67"/>
    <n v="0.78"/>
    <d v="2024-05-04T00:00:00"/>
    <n v="224.15"/>
    <n v="0.64300000000000002"/>
    <n v="18372.100000000002"/>
    <x v="0"/>
    <x v="1"/>
  </r>
  <r>
    <x v="2402"/>
    <x v="3"/>
    <n v="488"/>
    <n v="73"/>
    <n v="11"/>
    <n v="7"/>
    <n v="44.5"/>
    <x v="19"/>
    <x v="3"/>
    <n v="90"/>
    <n v="1.52"/>
    <n v="35.22"/>
    <n v="0.66"/>
    <n v="9"/>
    <n v="0.74"/>
    <n v="793"/>
    <n v="12.41"/>
    <n v="0.69"/>
    <d v="2024-01-21T00:00:00"/>
    <n v="105.73"/>
    <n v="0.60499999999999998"/>
    <n v="17187.36"/>
    <x v="0"/>
    <x v="0"/>
  </r>
  <r>
    <x v="2403"/>
    <x v="3"/>
    <n v="203"/>
    <n v="28"/>
    <n v="8"/>
    <n v="2"/>
    <n v="13.37"/>
    <x v="40"/>
    <x v="3"/>
    <n v="81"/>
    <n v="3.69"/>
    <n v="31.75"/>
    <n v="0.25"/>
    <n v="3"/>
    <n v="0.71"/>
    <n v="600"/>
    <n v="13.86"/>
    <n v="0.88"/>
    <d v="2024-12-15T00:00:00"/>
    <n v="44.06"/>
    <n v="0.81799999999999995"/>
    <n v="6445.25"/>
    <x v="0"/>
    <x v="1"/>
  </r>
  <r>
    <x v="2404"/>
    <x v="3"/>
    <n v="181"/>
    <n v="76"/>
    <n v="13"/>
    <n v="9"/>
    <n v="19.309999999999999"/>
    <x v="35"/>
    <x v="1"/>
    <n v="156"/>
    <n v="1.85"/>
    <n v="14.38"/>
    <n v="1.27"/>
    <n v="5"/>
    <n v="0.79"/>
    <n v="726"/>
    <n v="7.52"/>
    <n v="0.43"/>
    <d v="2024-06-13T00:00:00"/>
    <n v="101.57"/>
    <n v="0.51700000000000002"/>
    <n v="2602.7800000000002"/>
    <x v="0"/>
    <x v="1"/>
  </r>
  <r>
    <x v="2405"/>
    <x v="0"/>
    <n v="266"/>
    <n v="91"/>
    <n v="12"/>
    <n v="3"/>
    <n v="42.46"/>
    <x v="64"/>
    <x v="3"/>
    <n v="152"/>
    <n v="4.6399999999999997"/>
    <n v="63.74"/>
    <n v="1.03"/>
    <n v="2"/>
    <n v="0.98"/>
    <n v="148"/>
    <n v="12.03"/>
    <n v="0.81"/>
    <d v="2024-07-14T00:00:00"/>
    <n v="196.89"/>
    <n v="0.77500000000000002"/>
    <n v="16954.84"/>
    <x v="0"/>
    <x v="0"/>
  </r>
  <r>
    <x v="2406"/>
    <x v="4"/>
    <n v="50"/>
    <n v="82"/>
    <n v="12"/>
    <n v="7"/>
    <n v="31.27"/>
    <x v="35"/>
    <x v="3"/>
    <n v="120"/>
    <n v="3.71"/>
    <n v="72.87"/>
    <n v="1.54"/>
    <n v="8"/>
    <n v="0.99"/>
    <n v="690"/>
    <n v="1.68"/>
    <n v="0.88"/>
    <d v="2024-02-28T00:00:00"/>
    <n v="239.84"/>
    <n v="0.48199999999999998"/>
    <n v="3643.5"/>
    <x v="1"/>
    <x v="2"/>
  </r>
  <r>
    <x v="2407"/>
    <x v="4"/>
    <n v="71"/>
    <n v="85"/>
    <n v="12"/>
    <n v="8"/>
    <n v="37.83"/>
    <x v="49"/>
    <x v="3"/>
    <n v="67"/>
    <n v="1.8"/>
    <n v="142.88999999999999"/>
    <n v="0.88"/>
    <n v="7"/>
    <n v="0.94"/>
    <n v="580"/>
    <n v="5.12"/>
    <n v="0.64"/>
    <d v="2024-07-16T00:00:00"/>
    <n v="293.33"/>
    <n v="0.55600000000000005"/>
    <n v="10145.189999999999"/>
    <x v="1"/>
    <x v="2"/>
  </r>
  <r>
    <x v="2408"/>
    <x v="3"/>
    <n v="364"/>
    <n v="14"/>
    <n v="5"/>
    <n v="7"/>
    <n v="11.49"/>
    <x v="25"/>
    <x v="2"/>
    <n v="87"/>
    <n v="2.82"/>
    <n v="112.22"/>
    <n v="1.97"/>
    <n v="5"/>
    <n v="0.81"/>
    <n v="320"/>
    <n v="10.02"/>
    <n v="0.53"/>
    <d v="2024-05-11T00:00:00"/>
    <n v="230.79"/>
    <n v="0.505"/>
    <n v="40848.080000000002"/>
    <x v="0"/>
    <x v="0"/>
  </r>
  <r>
    <x v="2409"/>
    <x v="1"/>
    <n v="95"/>
    <n v="76"/>
    <n v="12"/>
    <n v="6"/>
    <n v="36.11"/>
    <x v="15"/>
    <x v="3"/>
    <n v="167"/>
    <n v="3.5"/>
    <n v="173.11"/>
    <n v="0.86"/>
    <n v="8"/>
    <n v="0.74"/>
    <n v="50"/>
    <n v="11.69"/>
    <n v="0.96"/>
    <d v="2024-10-03T00:00:00"/>
    <n v="152.76"/>
    <n v="0.65"/>
    <n v="16445.45"/>
    <x v="0"/>
    <x v="2"/>
  </r>
  <r>
    <x v="2410"/>
    <x v="4"/>
    <n v="404"/>
    <n v="20"/>
    <n v="8"/>
    <n v="9"/>
    <n v="12.15"/>
    <x v="99"/>
    <x v="3"/>
    <n v="57"/>
    <n v="1.37"/>
    <n v="43.53"/>
    <n v="0.73"/>
    <n v="9"/>
    <n v="0.88"/>
    <n v="336"/>
    <n v="8.99"/>
    <n v="0.34"/>
    <d v="2024-05-24T00:00:00"/>
    <n v="94.86"/>
    <n v="0.51100000000000001"/>
    <n v="17586.12"/>
    <x v="0"/>
    <x v="0"/>
  </r>
  <r>
    <x v="2411"/>
    <x v="0"/>
    <n v="458"/>
    <n v="77"/>
    <n v="3"/>
    <n v="9"/>
    <n v="49.38"/>
    <x v="98"/>
    <x v="2"/>
    <n v="65"/>
    <n v="1.61"/>
    <n v="60.53"/>
    <n v="1.75"/>
    <n v="8"/>
    <n v="0.89"/>
    <n v="229"/>
    <n v="7.73"/>
    <n v="0.23"/>
    <d v="2024-01-13T00:00:00"/>
    <n v="278.98"/>
    <n v="0.39200000000000002"/>
    <n v="27722.74"/>
    <x v="0"/>
    <x v="0"/>
  </r>
  <r>
    <x v="2412"/>
    <x v="2"/>
    <n v="297"/>
    <n v="78"/>
    <n v="7"/>
    <n v="4"/>
    <n v="28.43"/>
    <x v="62"/>
    <x v="0"/>
    <n v="51"/>
    <n v="2.78"/>
    <n v="188.8"/>
    <n v="0.85"/>
    <n v="1"/>
    <n v="0.83"/>
    <n v="988"/>
    <n v="4.2699999999999996"/>
    <n v="0.34"/>
    <d v="2024-09-21T00:00:00"/>
    <n v="164.92"/>
    <n v="0.58599999999999997"/>
    <n v="56073.600000000006"/>
    <x v="0"/>
    <x v="0"/>
  </r>
  <r>
    <x v="2413"/>
    <x v="2"/>
    <n v="59"/>
    <n v="10"/>
    <n v="12"/>
    <n v="9"/>
    <n v="35.090000000000003"/>
    <x v="86"/>
    <x v="2"/>
    <n v="33"/>
    <n v="4.66"/>
    <n v="94.37"/>
    <n v="1.75"/>
    <n v="8"/>
    <n v="0.91"/>
    <n v="305"/>
    <n v="3.44"/>
    <n v="0.75"/>
    <d v="2024-07-10T00:00:00"/>
    <n v="209.75"/>
    <n v="0.443"/>
    <n v="5567.83"/>
    <x v="0"/>
    <x v="2"/>
  </r>
  <r>
    <x v="2414"/>
    <x v="2"/>
    <n v="120"/>
    <n v="72"/>
    <n v="8"/>
    <n v="6"/>
    <n v="6.8"/>
    <x v="20"/>
    <x v="0"/>
    <n v="119"/>
    <n v="2.0499999999999998"/>
    <n v="159.91999999999999"/>
    <n v="0.15"/>
    <n v="7"/>
    <n v="0.92"/>
    <n v="223"/>
    <n v="13.26"/>
    <n v="0.83"/>
    <d v="2024-09-20T00:00:00"/>
    <n v="147.01"/>
    <n v="0.77200000000000002"/>
    <n v="19190.399999999998"/>
    <x v="0"/>
    <x v="1"/>
  </r>
  <r>
    <x v="2415"/>
    <x v="1"/>
    <n v="130"/>
    <n v="38"/>
    <n v="13"/>
    <n v="3"/>
    <n v="13.28"/>
    <x v="40"/>
    <x v="2"/>
    <n v="61"/>
    <n v="2.31"/>
    <n v="103.51"/>
    <n v="1.42"/>
    <n v="1"/>
    <n v="0.93"/>
    <n v="903"/>
    <n v="2.99"/>
    <n v="0.77"/>
    <d v="2024-09-17T00:00:00"/>
    <n v="80.209999999999994"/>
    <n v="0.61799999999999999"/>
    <n v="13456.300000000001"/>
    <x v="0"/>
    <x v="1"/>
  </r>
  <r>
    <x v="2416"/>
    <x v="3"/>
    <n v="404"/>
    <n v="91"/>
    <n v="10"/>
    <n v="8"/>
    <n v="7.85"/>
    <x v="7"/>
    <x v="1"/>
    <n v="43"/>
    <n v="1.36"/>
    <n v="99.51"/>
    <n v="0.24"/>
    <n v="8"/>
    <n v="0.85"/>
    <n v="99"/>
    <n v="7.09"/>
    <n v="0.54"/>
    <d v="2024-08-16T00:00:00"/>
    <n v="168.61"/>
    <n v="0.58899999999999997"/>
    <n v="40202.04"/>
    <x v="0"/>
    <x v="0"/>
  </r>
  <r>
    <x v="2417"/>
    <x v="0"/>
    <n v="340"/>
    <n v="21"/>
    <n v="13"/>
    <n v="5"/>
    <n v="20.12"/>
    <x v="59"/>
    <x v="3"/>
    <n v="12"/>
    <n v="3.17"/>
    <n v="38.14"/>
    <n v="0.38"/>
    <n v="4"/>
    <n v="0.94"/>
    <n v="581"/>
    <n v="13.44"/>
    <n v="0.97"/>
    <d v="2024-09-06T00:00:00"/>
    <n v="253.57"/>
    <n v="0.84299999999999997"/>
    <n v="12967.6"/>
    <x v="0"/>
    <x v="0"/>
  </r>
  <r>
    <x v="2418"/>
    <x v="1"/>
    <n v="268"/>
    <n v="86"/>
    <n v="11"/>
    <n v="8"/>
    <n v="14.92"/>
    <x v="25"/>
    <x v="0"/>
    <n v="77"/>
    <n v="3.83"/>
    <n v="171.73"/>
    <n v="1.43"/>
    <n v="8"/>
    <n v="0.71"/>
    <n v="666"/>
    <n v="3.07"/>
    <n v="0.56000000000000005"/>
    <d v="2024-01-23T00:00:00"/>
    <n v="121.16"/>
    <n v="0.39200000000000002"/>
    <n v="46023.64"/>
    <x v="0"/>
    <x v="0"/>
  </r>
  <r>
    <x v="2419"/>
    <x v="0"/>
    <n v="210"/>
    <n v="50"/>
    <n v="13"/>
    <n v="8"/>
    <n v="36.909999999999997"/>
    <x v="84"/>
    <x v="2"/>
    <n v="148"/>
    <n v="2.48"/>
    <n v="24.89"/>
    <n v="0.65"/>
    <n v="2"/>
    <n v="0.9"/>
    <n v="239"/>
    <n v="2.79"/>
    <n v="0.99"/>
    <d v="2024-05-31T00:00:00"/>
    <n v="203.93"/>
    <n v="0.71"/>
    <n v="5226.9000000000005"/>
    <x v="0"/>
    <x v="1"/>
  </r>
  <r>
    <x v="2420"/>
    <x v="0"/>
    <n v="201"/>
    <n v="11"/>
    <n v="5"/>
    <n v="9"/>
    <n v="6.33"/>
    <x v="21"/>
    <x v="0"/>
    <n v="150"/>
    <n v="3.88"/>
    <n v="68.95"/>
    <n v="0.5"/>
    <n v="3"/>
    <n v="0.77"/>
    <n v="800"/>
    <n v="10.7"/>
    <n v="0.93"/>
    <d v="2024-11-29T00:00:00"/>
    <n v="22.28"/>
    <n v="0.77300000000000002"/>
    <n v="13858.95"/>
    <x v="0"/>
    <x v="1"/>
  </r>
  <r>
    <x v="2421"/>
    <x v="3"/>
    <n v="445"/>
    <n v="46"/>
    <n v="4"/>
    <n v="8"/>
    <n v="37.85"/>
    <x v="92"/>
    <x v="0"/>
    <n v="59"/>
    <n v="1.86"/>
    <n v="137.96"/>
    <n v="1.62"/>
    <n v="0"/>
    <n v="0.78"/>
    <n v="92"/>
    <n v="5.64"/>
    <n v="0.53"/>
    <d v="2024-04-08T00:00:00"/>
    <n v="281.60000000000002"/>
    <n v="0.57499999999999996"/>
    <n v="61392.200000000004"/>
    <x v="0"/>
    <x v="0"/>
  </r>
  <r>
    <x v="2422"/>
    <x v="2"/>
    <n v="424"/>
    <n v="54"/>
    <n v="6"/>
    <n v="9"/>
    <n v="3.24"/>
    <x v="11"/>
    <x v="3"/>
    <n v="91"/>
    <n v="3.68"/>
    <n v="106.38"/>
    <n v="1.9"/>
    <n v="4"/>
    <n v="0.73"/>
    <n v="566"/>
    <n v="7.1"/>
    <n v="0.33"/>
    <d v="2024-06-13T00:00:00"/>
    <n v="291.27999999999997"/>
    <n v="0.437"/>
    <n v="45105.119999999995"/>
    <x v="0"/>
    <x v="0"/>
  </r>
  <r>
    <x v="2423"/>
    <x v="3"/>
    <n v="354"/>
    <n v="89"/>
    <n v="10"/>
    <n v="6"/>
    <n v="10.9"/>
    <x v="57"/>
    <x v="0"/>
    <n v="28"/>
    <n v="1.66"/>
    <n v="177.46"/>
    <n v="0.54"/>
    <n v="6"/>
    <n v="0.76"/>
    <n v="809"/>
    <n v="9.76"/>
    <n v="0.27"/>
    <d v="2024-09-20T00:00:00"/>
    <n v="122.03"/>
    <n v="0.56200000000000006"/>
    <n v="62820.840000000004"/>
    <x v="0"/>
    <x v="0"/>
  </r>
  <r>
    <x v="2424"/>
    <x v="1"/>
    <n v="228"/>
    <n v="57"/>
    <n v="13"/>
    <n v="5"/>
    <n v="39.81"/>
    <x v="66"/>
    <x v="2"/>
    <n v="53"/>
    <n v="4.01"/>
    <n v="17.47"/>
    <n v="0.7"/>
    <n v="6"/>
    <n v="1"/>
    <n v="115"/>
    <n v="6.31"/>
    <n v="0.63"/>
    <d v="2024-02-12T00:00:00"/>
    <n v="154.53"/>
    <n v="0.62"/>
    <n v="3983.16"/>
    <x v="0"/>
    <x v="1"/>
  </r>
  <r>
    <x v="2425"/>
    <x v="1"/>
    <n v="41"/>
    <n v="33"/>
    <n v="10"/>
    <n v="7"/>
    <n v="37.4"/>
    <x v="55"/>
    <x v="1"/>
    <n v="170"/>
    <n v="4.24"/>
    <n v="133.38999999999999"/>
    <n v="1.46"/>
    <n v="5"/>
    <n v="0.82"/>
    <n v="445"/>
    <n v="12.2"/>
    <n v="0.81"/>
    <d v="2024-02-19T00:00:00"/>
    <n v="56.57"/>
    <n v="0.64300000000000002"/>
    <n v="5468.99"/>
    <x v="0"/>
    <x v="2"/>
  </r>
  <r>
    <x v="2426"/>
    <x v="1"/>
    <n v="185"/>
    <n v="31"/>
    <n v="5"/>
    <n v="9"/>
    <n v="24.34"/>
    <x v="34"/>
    <x v="1"/>
    <n v="175"/>
    <n v="4.09"/>
    <n v="100.72"/>
    <n v="1.65"/>
    <n v="5"/>
    <n v="0.98"/>
    <n v="300"/>
    <n v="14.57"/>
    <n v="0.34"/>
    <d v="2024-03-26T00:00:00"/>
    <n v="66.900000000000006"/>
    <n v="0.59299999999999997"/>
    <n v="18633.2"/>
    <x v="0"/>
    <x v="1"/>
  </r>
  <r>
    <x v="2427"/>
    <x v="3"/>
    <n v="118"/>
    <n v="20"/>
    <n v="6"/>
    <n v="3"/>
    <n v="3.45"/>
    <x v="49"/>
    <x v="3"/>
    <n v="12"/>
    <n v="1.47"/>
    <n v="39.32"/>
    <n v="2"/>
    <n v="7"/>
    <n v="0.75"/>
    <n v="177"/>
    <n v="14.06"/>
    <n v="0.45"/>
    <d v="2024-10-02T00:00:00"/>
    <n v="184.6"/>
    <n v="0.48699999999999999"/>
    <n v="4639.76"/>
    <x v="0"/>
    <x v="1"/>
  </r>
  <r>
    <x v="2428"/>
    <x v="0"/>
    <n v="227"/>
    <n v="67"/>
    <n v="5"/>
    <n v="4"/>
    <n v="30.88"/>
    <x v="50"/>
    <x v="2"/>
    <n v="122"/>
    <n v="3.62"/>
    <n v="151.22"/>
    <n v="0.62"/>
    <n v="9"/>
    <n v="0.76"/>
    <n v="746"/>
    <n v="8.64"/>
    <n v="0.7"/>
    <d v="2024-09-30T00:00:00"/>
    <n v="191.83"/>
    <n v="0.56499999999999995"/>
    <n v="34326.94"/>
    <x v="0"/>
    <x v="1"/>
  </r>
  <r>
    <x v="2429"/>
    <x v="0"/>
    <n v="27"/>
    <n v="55"/>
    <n v="12"/>
    <n v="5"/>
    <n v="20.93"/>
    <x v="42"/>
    <x v="2"/>
    <n v="74"/>
    <n v="2.92"/>
    <n v="88.15"/>
    <n v="1.1599999999999999"/>
    <n v="8"/>
    <n v="0.87"/>
    <n v="237"/>
    <n v="5.97"/>
    <n v="0.56999999999999995"/>
    <d v="2024-01-04T00:00:00"/>
    <n v="109.07"/>
    <n v="0.49199999999999999"/>
    <n v="2380.0500000000002"/>
    <x v="1"/>
    <x v="2"/>
  </r>
  <r>
    <x v="2430"/>
    <x v="4"/>
    <n v="209"/>
    <n v="38"/>
    <n v="4"/>
    <n v="3"/>
    <n v="16.510000000000002"/>
    <x v="10"/>
    <x v="1"/>
    <n v="172"/>
    <n v="4.9400000000000004"/>
    <n v="111"/>
    <n v="0.35"/>
    <n v="3"/>
    <n v="0.8"/>
    <n v="232"/>
    <n v="7.07"/>
    <n v="0.68"/>
    <d v="2024-11-16T00:00:00"/>
    <n v="118.47"/>
    <n v="0.69499999999999995"/>
    <n v="23199"/>
    <x v="0"/>
    <x v="1"/>
  </r>
  <r>
    <x v="2431"/>
    <x v="1"/>
    <n v="194"/>
    <n v="44"/>
    <n v="6"/>
    <n v="9"/>
    <n v="32.380000000000003"/>
    <x v="43"/>
    <x v="2"/>
    <n v="173"/>
    <n v="2.13"/>
    <n v="193.78"/>
    <n v="0.73"/>
    <n v="3"/>
    <n v="0.89"/>
    <n v="632"/>
    <n v="5.62"/>
    <n v="0.74"/>
    <d v="2024-02-03T00:00:00"/>
    <n v="156.81"/>
    <n v="0.66800000000000004"/>
    <n v="37593.32"/>
    <x v="0"/>
    <x v="1"/>
  </r>
  <r>
    <x v="2432"/>
    <x v="0"/>
    <n v="292"/>
    <n v="24"/>
    <n v="8"/>
    <n v="5"/>
    <n v="22.39"/>
    <x v="85"/>
    <x v="0"/>
    <n v="175"/>
    <n v="3.97"/>
    <n v="102.38"/>
    <n v="0.19"/>
    <n v="7"/>
    <n v="0.83"/>
    <n v="627"/>
    <n v="7.18"/>
    <n v="0.5"/>
    <d v="2024-04-17T00:00:00"/>
    <n v="282.54000000000002"/>
    <n v="0.60299999999999998"/>
    <n v="29894.959999999999"/>
    <x v="0"/>
    <x v="0"/>
  </r>
  <r>
    <x v="2433"/>
    <x v="4"/>
    <n v="36"/>
    <n v="69"/>
    <n v="13"/>
    <n v="9"/>
    <n v="5.53"/>
    <x v="28"/>
    <x v="3"/>
    <n v="48"/>
    <n v="2.17"/>
    <n v="166.44"/>
    <n v="0.5"/>
    <n v="4"/>
    <n v="0.94"/>
    <n v="890"/>
    <n v="1.18"/>
    <n v="0.83"/>
    <d v="2024-12-09T00:00:00"/>
    <n v="53.4"/>
    <n v="0.64"/>
    <n v="5991.84"/>
    <x v="1"/>
    <x v="2"/>
  </r>
  <r>
    <x v="2434"/>
    <x v="0"/>
    <n v="109"/>
    <n v="51"/>
    <n v="13"/>
    <n v="6"/>
    <n v="45.88"/>
    <x v="21"/>
    <x v="1"/>
    <n v="162"/>
    <n v="2.29"/>
    <n v="156.22"/>
    <n v="1.06"/>
    <n v="9"/>
    <n v="0.83"/>
    <n v="811"/>
    <n v="1.77"/>
    <n v="0.76"/>
    <d v="2024-11-18T00:00:00"/>
    <n v="169.94"/>
    <n v="0.45600000000000002"/>
    <n v="17027.98"/>
    <x v="0"/>
    <x v="1"/>
  </r>
  <r>
    <x v="2435"/>
    <x v="1"/>
    <n v="160"/>
    <n v="52"/>
    <n v="7"/>
    <n v="3"/>
    <n v="39.15"/>
    <x v="49"/>
    <x v="3"/>
    <n v="73"/>
    <n v="1"/>
    <n v="135.91999999999999"/>
    <n v="0.41"/>
    <n v="8"/>
    <n v="0.87"/>
    <n v="716"/>
    <n v="11.8"/>
    <n v="0.75"/>
    <d v="2024-04-19T00:00:00"/>
    <n v="26.87"/>
    <n v="0.68"/>
    <n v="21747.199999999997"/>
    <x v="0"/>
    <x v="1"/>
  </r>
  <r>
    <x v="2436"/>
    <x v="2"/>
    <n v="164"/>
    <n v="89"/>
    <n v="5"/>
    <n v="6"/>
    <n v="3.76"/>
    <x v="23"/>
    <x v="0"/>
    <n v="113"/>
    <n v="1.58"/>
    <n v="180.39"/>
    <n v="1.79"/>
    <n v="5"/>
    <n v="0.8"/>
    <n v="461"/>
    <n v="5.69"/>
    <n v="0.32"/>
    <d v="2024-12-16T00:00:00"/>
    <n v="142.91999999999999"/>
    <n v="0.42099999999999999"/>
    <n v="29583.96"/>
    <x v="0"/>
    <x v="1"/>
  </r>
  <r>
    <x v="2437"/>
    <x v="1"/>
    <n v="185"/>
    <n v="83"/>
    <n v="4"/>
    <n v="2"/>
    <n v="26.73"/>
    <x v="0"/>
    <x v="1"/>
    <n v="22"/>
    <n v="1.24"/>
    <n v="57.8"/>
    <n v="1.45"/>
    <n v="8"/>
    <n v="0.91"/>
    <n v="982"/>
    <n v="12.12"/>
    <n v="0.57999999999999996"/>
    <d v="2024-08-05T00:00:00"/>
    <n v="125.19"/>
    <n v="0.55500000000000005"/>
    <n v="10693"/>
    <x v="0"/>
    <x v="1"/>
  </r>
  <r>
    <x v="2438"/>
    <x v="3"/>
    <n v="356"/>
    <n v="58"/>
    <n v="11"/>
    <n v="3"/>
    <n v="5.09"/>
    <x v="84"/>
    <x v="2"/>
    <n v="77"/>
    <n v="1.22"/>
    <n v="165.95"/>
    <n v="0.15"/>
    <n v="3"/>
    <n v="0.9"/>
    <n v="128"/>
    <n v="7.72"/>
    <n v="0.66"/>
    <d v="2024-02-23T00:00:00"/>
    <n v="57.62"/>
    <n v="0.74"/>
    <n v="59078.2"/>
    <x v="0"/>
    <x v="0"/>
  </r>
  <r>
    <x v="2439"/>
    <x v="0"/>
    <n v="97"/>
    <n v="73"/>
    <n v="3"/>
    <n v="5"/>
    <n v="42.03"/>
    <x v="46"/>
    <x v="2"/>
    <n v="79"/>
    <n v="0.54"/>
    <n v="81.78"/>
    <n v="1.77"/>
    <n v="0"/>
    <n v="0.82"/>
    <n v="68"/>
    <n v="12.28"/>
    <n v="0.38"/>
    <d v="2024-04-15T00:00:00"/>
    <n v="57.56"/>
    <n v="0.627"/>
    <n v="7932.66"/>
    <x v="0"/>
    <x v="2"/>
  </r>
  <r>
    <x v="2440"/>
    <x v="0"/>
    <n v="448"/>
    <n v="41"/>
    <n v="11"/>
    <n v="2"/>
    <n v="31.04"/>
    <x v="74"/>
    <x v="0"/>
    <n v="84"/>
    <n v="4.07"/>
    <n v="164.37"/>
    <n v="1.96"/>
    <n v="3"/>
    <n v="0.78"/>
    <n v="527"/>
    <n v="10.29"/>
    <n v="0.81"/>
    <d v="2024-10-02T00:00:00"/>
    <n v="140.53"/>
    <n v="0.59899999999999998"/>
    <n v="73637.760000000009"/>
    <x v="0"/>
    <x v="0"/>
  </r>
  <r>
    <x v="2441"/>
    <x v="3"/>
    <n v="281"/>
    <n v="73"/>
    <n v="3"/>
    <n v="6"/>
    <n v="9.4499999999999993"/>
    <x v="6"/>
    <x v="1"/>
    <n v="10"/>
    <n v="2.61"/>
    <n v="103.82"/>
    <n v="1.05"/>
    <n v="8"/>
    <n v="0.88"/>
    <n v="996"/>
    <n v="3.81"/>
    <n v="0.3"/>
    <d v="2024-12-25T00:00:00"/>
    <n v="46.71"/>
    <n v="0.42199999999999999"/>
    <n v="29173.42"/>
    <x v="0"/>
    <x v="0"/>
  </r>
  <r>
    <x v="2442"/>
    <x v="3"/>
    <n v="182"/>
    <n v="11"/>
    <n v="9"/>
    <n v="6"/>
    <n v="2.02"/>
    <x v="40"/>
    <x v="3"/>
    <n v="107"/>
    <n v="4.12"/>
    <n v="172.96"/>
    <n v="0.7"/>
    <n v="6"/>
    <n v="0.98"/>
    <n v="830"/>
    <n v="7.27"/>
    <n v="0.32"/>
    <d v="2024-08-10T00:00:00"/>
    <n v="95.49"/>
    <n v="0.56699999999999995"/>
    <n v="31478.720000000001"/>
    <x v="0"/>
    <x v="1"/>
  </r>
  <r>
    <x v="2443"/>
    <x v="2"/>
    <n v="385"/>
    <n v="33"/>
    <n v="8"/>
    <n v="5"/>
    <n v="2.5499999999999998"/>
    <x v="20"/>
    <x v="1"/>
    <n v="113"/>
    <n v="3.26"/>
    <n v="180.02"/>
    <n v="0.6"/>
    <n v="5"/>
    <n v="0.74"/>
    <n v="94"/>
    <n v="10.86"/>
    <n v="0.53"/>
    <d v="2024-11-27T00:00:00"/>
    <n v="30.65"/>
    <n v="0.63900000000000001"/>
    <n v="69307.7"/>
    <x v="0"/>
    <x v="0"/>
  </r>
  <r>
    <x v="2444"/>
    <x v="0"/>
    <n v="33"/>
    <n v="96"/>
    <n v="9"/>
    <n v="2"/>
    <n v="25.86"/>
    <x v="7"/>
    <x v="2"/>
    <n v="125"/>
    <n v="4.24"/>
    <n v="123.55"/>
    <n v="0.27"/>
    <n v="1"/>
    <n v="0.94"/>
    <n v="823"/>
    <n v="5.63"/>
    <n v="0.31"/>
    <d v="2024-02-06T00:00:00"/>
    <n v="96.22"/>
    <n v="0.67800000000000005"/>
    <n v="4077.15"/>
    <x v="1"/>
    <x v="2"/>
  </r>
  <r>
    <x v="2445"/>
    <x v="0"/>
    <n v="258"/>
    <n v="75"/>
    <n v="5"/>
    <n v="8"/>
    <n v="36.979999999999997"/>
    <x v="89"/>
    <x v="1"/>
    <n v="146"/>
    <n v="2.77"/>
    <n v="106.45"/>
    <n v="1.03"/>
    <n v="3"/>
    <n v="0.86"/>
    <n v="271"/>
    <n v="3.71"/>
    <n v="0.21"/>
    <d v="2024-12-17T00:00:00"/>
    <n v="164.77"/>
    <n v="0.5"/>
    <n v="27464.100000000002"/>
    <x v="0"/>
    <x v="0"/>
  </r>
  <r>
    <x v="2446"/>
    <x v="2"/>
    <n v="91"/>
    <n v="47"/>
    <n v="5"/>
    <n v="7"/>
    <n v="6.92"/>
    <x v="69"/>
    <x v="1"/>
    <n v="173"/>
    <n v="0.92"/>
    <n v="158.82"/>
    <n v="0.2"/>
    <n v="0"/>
    <n v="0.86"/>
    <n v="178"/>
    <n v="8.56"/>
    <n v="0.53"/>
    <d v="2024-03-19T00:00:00"/>
    <n v="225.72"/>
    <n v="0.77200000000000002"/>
    <n v="14452.619999999999"/>
    <x v="0"/>
    <x v="2"/>
  </r>
  <r>
    <x v="2447"/>
    <x v="4"/>
    <n v="464"/>
    <n v="40"/>
    <n v="13"/>
    <n v="4"/>
    <n v="11.84"/>
    <x v="2"/>
    <x v="2"/>
    <n v="122"/>
    <n v="3.28"/>
    <n v="60.73"/>
    <n v="1.06"/>
    <n v="2"/>
    <n v="0.99"/>
    <n v="667"/>
    <n v="4.83"/>
    <n v="0.72"/>
    <d v="2024-01-13T00:00:00"/>
    <n v="250.82"/>
    <n v="0.66"/>
    <n v="28178.719999999998"/>
    <x v="0"/>
    <x v="0"/>
  </r>
  <r>
    <x v="2448"/>
    <x v="2"/>
    <n v="162"/>
    <n v="35"/>
    <n v="3"/>
    <n v="5"/>
    <n v="17.04"/>
    <x v="46"/>
    <x v="2"/>
    <n v="112"/>
    <n v="3.55"/>
    <n v="12.92"/>
    <n v="0.57999999999999996"/>
    <n v="1"/>
    <n v="0.88"/>
    <n v="812"/>
    <n v="9.32"/>
    <n v="0.6"/>
    <d v="2024-08-23T00:00:00"/>
    <n v="107.97"/>
    <n v="0.74199999999999999"/>
    <n v="2093.04"/>
    <x v="0"/>
    <x v="1"/>
  </r>
  <r>
    <x v="2449"/>
    <x v="1"/>
    <n v="329"/>
    <n v="38"/>
    <n v="6"/>
    <n v="6"/>
    <n v="11.69"/>
    <x v="42"/>
    <x v="3"/>
    <n v="46"/>
    <n v="3.32"/>
    <n v="87.35"/>
    <n v="1.01"/>
    <n v="3"/>
    <n v="0.95"/>
    <n v="682"/>
    <n v="4.8"/>
    <n v="0.24"/>
    <d v="2024-06-18T00:00:00"/>
    <n v="282.25"/>
    <n v="0.54100000000000004"/>
    <n v="28738.149999999998"/>
    <x v="0"/>
    <x v="0"/>
  </r>
  <r>
    <x v="2450"/>
    <x v="0"/>
    <n v="302"/>
    <n v="76"/>
    <n v="14"/>
    <n v="3"/>
    <n v="20.18"/>
    <x v="47"/>
    <x v="1"/>
    <n v="115"/>
    <n v="4.1100000000000003"/>
    <n v="106.48"/>
    <n v="0.89"/>
    <n v="3"/>
    <n v="0.85"/>
    <n v="279"/>
    <n v="13.69"/>
    <n v="0.39"/>
    <d v="2024-01-20T00:00:00"/>
    <n v="79.78"/>
    <n v="0.68200000000000005"/>
    <n v="32156.960000000003"/>
    <x v="0"/>
    <x v="0"/>
  </r>
  <r>
    <x v="2451"/>
    <x v="3"/>
    <n v="288"/>
    <n v="87"/>
    <n v="4"/>
    <n v="2"/>
    <n v="28.42"/>
    <x v="53"/>
    <x v="2"/>
    <n v="117"/>
    <n v="3.79"/>
    <n v="66.48"/>
    <n v="0.68"/>
    <n v="8"/>
    <n v="0.77"/>
    <n v="842"/>
    <n v="5.81"/>
    <n v="0.62"/>
    <d v="2024-02-14T00:00:00"/>
    <n v="33.369999999999997"/>
    <n v="0.52700000000000002"/>
    <n v="19146.240000000002"/>
    <x v="0"/>
    <x v="0"/>
  </r>
  <r>
    <x v="2452"/>
    <x v="1"/>
    <n v="260"/>
    <n v="34"/>
    <n v="12"/>
    <n v="9"/>
    <n v="34.56"/>
    <x v="61"/>
    <x v="0"/>
    <n v="30"/>
    <n v="2.4500000000000002"/>
    <n v="82.84"/>
    <n v="0.95"/>
    <n v="6"/>
    <n v="0.91"/>
    <n v="276"/>
    <n v="13.7"/>
    <n v="0.79"/>
    <d v="2024-02-07T00:00:00"/>
    <n v="278.25"/>
    <n v="0.70799999999999996"/>
    <n v="21538.400000000001"/>
    <x v="0"/>
    <x v="0"/>
  </r>
  <r>
    <x v="2453"/>
    <x v="0"/>
    <n v="434"/>
    <n v="57"/>
    <n v="10"/>
    <n v="7"/>
    <n v="48.22"/>
    <x v="42"/>
    <x v="2"/>
    <n v="157"/>
    <n v="4.1900000000000004"/>
    <n v="35.28"/>
    <n v="1"/>
    <n v="2"/>
    <n v="0.98"/>
    <n v="971"/>
    <n v="4.91"/>
    <n v="0.84"/>
    <d v="2024-01-28T00:00:00"/>
    <n v="166.55"/>
    <n v="0.68899999999999995"/>
    <n v="15311.52"/>
    <x v="0"/>
    <x v="0"/>
  </r>
  <r>
    <x v="2454"/>
    <x v="2"/>
    <n v="264"/>
    <n v="74"/>
    <n v="5"/>
    <n v="4"/>
    <n v="46.61"/>
    <x v="90"/>
    <x v="3"/>
    <n v="138"/>
    <n v="3.61"/>
    <n v="62.69"/>
    <n v="1.68"/>
    <n v="6"/>
    <n v="0.95"/>
    <n v="446"/>
    <n v="9.4600000000000009"/>
    <n v="0.62"/>
    <d v="2024-04-01T00:00:00"/>
    <n v="111.9"/>
    <n v="0.55200000000000005"/>
    <n v="16550.16"/>
    <x v="0"/>
    <x v="0"/>
  </r>
  <r>
    <x v="2455"/>
    <x v="1"/>
    <n v="182"/>
    <n v="62"/>
    <n v="9"/>
    <n v="3"/>
    <n v="28.94"/>
    <x v="99"/>
    <x v="3"/>
    <n v="37"/>
    <n v="1.04"/>
    <n v="55.62"/>
    <n v="1.36"/>
    <n v="7"/>
    <n v="0.76"/>
    <n v="324"/>
    <n v="2.82"/>
    <n v="0.72"/>
    <d v="2024-05-08T00:00:00"/>
    <n v="270.45"/>
    <n v="0.45800000000000002"/>
    <n v="10122.84"/>
    <x v="0"/>
    <x v="1"/>
  </r>
  <r>
    <x v="2456"/>
    <x v="0"/>
    <n v="79"/>
    <n v="76"/>
    <n v="9"/>
    <n v="2"/>
    <n v="36.97"/>
    <x v="11"/>
    <x v="0"/>
    <n v="117"/>
    <n v="2.93"/>
    <n v="67.19"/>
    <n v="0.92"/>
    <n v="6"/>
    <n v="0.8"/>
    <n v="187"/>
    <n v="11.9"/>
    <n v="0.92"/>
    <d v="2024-10-12T00:00:00"/>
    <n v="234.97"/>
    <n v="0.69099999999999995"/>
    <n v="5308.01"/>
    <x v="0"/>
    <x v="2"/>
  </r>
  <r>
    <x v="2457"/>
    <x v="4"/>
    <n v="25"/>
    <n v="99"/>
    <n v="14"/>
    <n v="7"/>
    <n v="47.59"/>
    <x v="50"/>
    <x v="3"/>
    <n v="18"/>
    <n v="3.78"/>
    <n v="66.819999999999993"/>
    <n v="1.82"/>
    <n v="7"/>
    <n v="0.86"/>
    <n v="222"/>
    <n v="3.8"/>
    <n v="0.25"/>
    <d v="2024-02-06T00:00:00"/>
    <n v="251.41"/>
    <n v="0.35099999999999998"/>
    <n v="1670.4999999999998"/>
    <x v="1"/>
    <x v="2"/>
  </r>
  <r>
    <x v="2458"/>
    <x v="4"/>
    <n v="216"/>
    <n v="27"/>
    <n v="11"/>
    <n v="5"/>
    <n v="5.09"/>
    <x v="88"/>
    <x v="1"/>
    <n v="173"/>
    <n v="2.99"/>
    <n v="116.2"/>
    <n v="1.54"/>
    <n v="8"/>
    <n v="0.87"/>
    <n v="376"/>
    <n v="13.1"/>
    <n v="0.28000000000000003"/>
    <d v="2024-10-21T00:00:00"/>
    <n v="94.78"/>
    <n v="0.49099999999999999"/>
    <n v="25099.200000000001"/>
    <x v="0"/>
    <x v="1"/>
  </r>
  <r>
    <x v="2459"/>
    <x v="3"/>
    <n v="489"/>
    <n v="18"/>
    <n v="8"/>
    <n v="9"/>
    <n v="1.28"/>
    <x v="70"/>
    <x v="3"/>
    <n v="171"/>
    <n v="4.7699999999999996"/>
    <n v="57.61"/>
    <n v="0.24"/>
    <n v="0"/>
    <n v="0.76"/>
    <n v="832"/>
    <n v="7.33"/>
    <n v="0.56999999999999995"/>
    <d v="2024-04-26T00:00:00"/>
    <n v="263.31"/>
    <n v="0.74"/>
    <n v="28171.29"/>
    <x v="0"/>
    <x v="0"/>
  </r>
  <r>
    <x v="2460"/>
    <x v="0"/>
    <n v="77"/>
    <n v="47"/>
    <n v="3"/>
    <n v="7"/>
    <n v="2.46"/>
    <x v="21"/>
    <x v="0"/>
    <n v="41"/>
    <n v="0.96"/>
    <n v="188.78"/>
    <n v="0.39"/>
    <n v="9"/>
    <n v="0.77"/>
    <n v="264"/>
    <n v="2.3199999999999998"/>
    <n v="0.69"/>
    <d v="2024-05-12T00:00:00"/>
    <n v="198.43"/>
    <n v="0.504"/>
    <n v="14536.06"/>
    <x v="0"/>
    <x v="2"/>
  </r>
  <r>
    <x v="2461"/>
    <x v="4"/>
    <n v="324"/>
    <n v="96"/>
    <n v="10"/>
    <n v="5"/>
    <n v="28.6"/>
    <x v="82"/>
    <x v="3"/>
    <n v="75"/>
    <n v="3.75"/>
    <n v="107.14"/>
    <n v="0.26"/>
    <n v="5"/>
    <n v="0.93"/>
    <n v="277"/>
    <n v="6.09"/>
    <n v="0.2"/>
    <d v="2024-07-27T00:00:00"/>
    <n v="224.02"/>
    <n v="0.58099999999999996"/>
    <n v="34713.360000000001"/>
    <x v="0"/>
    <x v="0"/>
  </r>
  <r>
    <x v="2462"/>
    <x v="2"/>
    <n v="426"/>
    <n v="30"/>
    <n v="3"/>
    <n v="9"/>
    <n v="38.380000000000003"/>
    <x v="97"/>
    <x v="0"/>
    <n v="109"/>
    <n v="4.21"/>
    <n v="34.5"/>
    <n v="0.71"/>
    <n v="3"/>
    <n v="0.92"/>
    <n v="156"/>
    <n v="11.92"/>
    <n v="0.56000000000000005"/>
    <d v="2024-07-17T00:00:00"/>
    <n v="100.6"/>
    <n v="0.72399999999999998"/>
    <n v="14697"/>
    <x v="0"/>
    <x v="0"/>
  </r>
  <r>
    <x v="2463"/>
    <x v="0"/>
    <n v="236"/>
    <n v="74"/>
    <n v="5"/>
    <n v="9"/>
    <n v="18.989999999999998"/>
    <x v="79"/>
    <x v="3"/>
    <n v="162"/>
    <n v="3.66"/>
    <n v="63.13"/>
    <n v="0.93"/>
    <n v="0"/>
    <n v="0.95"/>
    <n v="208"/>
    <n v="2.0699999999999998"/>
    <n v="0.34"/>
    <d v="2024-08-18T00:00:00"/>
    <n v="81.05"/>
    <n v="0.59299999999999997"/>
    <n v="14898.68"/>
    <x v="0"/>
    <x v="1"/>
  </r>
  <r>
    <x v="2464"/>
    <x v="2"/>
    <n v="437"/>
    <n v="30"/>
    <n v="13"/>
    <n v="8"/>
    <n v="27.72"/>
    <x v="95"/>
    <x v="2"/>
    <n v="163"/>
    <n v="2.2400000000000002"/>
    <n v="148.65"/>
    <n v="1.06"/>
    <n v="1"/>
    <n v="0.98"/>
    <n v="943"/>
    <n v="9.76"/>
    <n v="0.72"/>
    <d v="2024-11-18T00:00:00"/>
    <n v="128.37"/>
    <n v="0.74399999999999999"/>
    <n v="64960.05"/>
    <x v="0"/>
    <x v="0"/>
  </r>
  <r>
    <x v="2465"/>
    <x v="2"/>
    <n v="45"/>
    <n v="36"/>
    <n v="7"/>
    <n v="2"/>
    <n v="26.3"/>
    <x v="52"/>
    <x v="0"/>
    <n v="30"/>
    <n v="2.23"/>
    <n v="12.6"/>
    <n v="1.72"/>
    <n v="9"/>
    <n v="0.79"/>
    <n v="185"/>
    <n v="8.1"/>
    <n v="0.41"/>
    <d v="2024-07-26T00:00:00"/>
    <n v="176.81"/>
    <n v="0.39600000000000002"/>
    <n v="567"/>
    <x v="0"/>
    <x v="2"/>
  </r>
  <r>
    <x v="2466"/>
    <x v="4"/>
    <n v="322"/>
    <n v="79"/>
    <n v="10"/>
    <n v="9"/>
    <n v="5.64"/>
    <x v="95"/>
    <x v="3"/>
    <n v="91"/>
    <n v="3.14"/>
    <n v="188.19"/>
    <n v="0.13"/>
    <n v="3"/>
    <n v="0.96"/>
    <n v="812"/>
    <n v="5.34"/>
    <n v="0.92"/>
    <d v="2024-08-09T00:00:00"/>
    <n v="203.14"/>
    <n v="0.77400000000000002"/>
    <n v="60597.18"/>
    <x v="0"/>
    <x v="0"/>
  </r>
  <r>
    <x v="2467"/>
    <x v="0"/>
    <n v="24"/>
    <n v="53"/>
    <n v="11"/>
    <n v="7"/>
    <n v="16.760000000000002"/>
    <x v="47"/>
    <x v="1"/>
    <n v="33"/>
    <n v="2.29"/>
    <n v="94.58"/>
    <n v="0.91"/>
    <n v="0"/>
    <n v="0.9"/>
    <n v="79"/>
    <n v="11.58"/>
    <n v="0.25"/>
    <d v="2024-06-10T00:00:00"/>
    <n v="154.41"/>
    <n v="0.69299999999999995"/>
    <n v="2269.92"/>
    <x v="1"/>
    <x v="2"/>
  </r>
  <r>
    <x v="2468"/>
    <x v="1"/>
    <n v="493"/>
    <n v="37"/>
    <n v="9"/>
    <n v="9"/>
    <n v="1.95"/>
    <x v="59"/>
    <x v="0"/>
    <n v="120"/>
    <n v="4.47"/>
    <n v="109.01"/>
    <n v="0.88"/>
    <n v="5"/>
    <n v="0.99"/>
    <n v="147"/>
    <n v="1.73"/>
    <n v="0.85"/>
    <d v="2024-01-09T00:00:00"/>
    <n v="212.67"/>
    <n v="0.60299999999999998"/>
    <n v="53741.93"/>
    <x v="0"/>
    <x v="0"/>
  </r>
  <r>
    <x v="2469"/>
    <x v="4"/>
    <n v="39"/>
    <n v="54"/>
    <n v="11"/>
    <n v="4"/>
    <n v="6.42"/>
    <x v="90"/>
    <x v="0"/>
    <n v="101"/>
    <n v="0.99"/>
    <n v="197.8"/>
    <n v="1.9"/>
    <n v="0"/>
    <n v="0.78"/>
    <n v="658"/>
    <n v="7.97"/>
    <n v="0.51"/>
    <d v="2024-07-18T00:00:00"/>
    <n v="215.42"/>
    <n v="0.57399999999999995"/>
    <n v="7714.2000000000007"/>
    <x v="1"/>
    <x v="2"/>
  </r>
  <r>
    <x v="2470"/>
    <x v="4"/>
    <n v="409"/>
    <n v="26"/>
    <n v="13"/>
    <n v="7"/>
    <n v="40.78"/>
    <x v="66"/>
    <x v="3"/>
    <n v="21"/>
    <n v="3.38"/>
    <n v="105.65"/>
    <n v="0.56000000000000005"/>
    <n v="8"/>
    <n v="0.78"/>
    <n v="818"/>
    <n v="8.1"/>
    <n v="0.89"/>
    <d v="2024-12-10T00:00:00"/>
    <n v="203.16"/>
    <n v="0.626"/>
    <n v="43210.850000000006"/>
    <x v="0"/>
    <x v="0"/>
  </r>
  <r>
    <x v="2471"/>
    <x v="0"/>
    <n v="217"/>
    <n v="49"/>
    <n v="5"/>
    <n v="2"/>
    <n v="41.64"/>
    <x v="58"/>
    <x v="2"/>
    <n v="148"/>
    <n v="1.1000000000000001"/>
    <n v="190.07"/>
    <n v="0.33"/>
    <n v="9"/>
    <n v="0.91"/>
    <n v="833"/>
    <n v="2.21"/>
    <n v="0.85"/>
    <d v="2024-03-01T00:00:00"/>
    <n v="82.82"/>
    <n v="0.56799999999999995"/>
    <n v="41245.189999999995"/>
    <x v="0"/>
    <x v="1"/>
  </r>
  <r>
    <x v="2472"/>
    <x v="0"/>
    <n v="78"/>
    <n v="12"/>
    <n v="7"/>
    <n v="3"/>
    <n v="40.299999999999997"/>
    <x v="59"/>
    <x v="2"/>
    <n v="164"/>
    <n v="2.93"/>
    <n v="183.89"/>
    <n v="0.37"/>
    <n v="2"/>
    <n v="0.98"/>
    <n v="931"/>
    <n v="2.9"/>
    <n v="0.39"/>
    <d v="2024-09-30T00:00:00"/>
    <n v="139.44"/>
    <n v="0.63600000000000001"/>
    <n v="14343.419999999998"/>
    <x v="0"/>
    <x v="2"/>
  </r>
  <r>
    <x v="2473"/>
    <x v="2"/>
    <n v="467"/>
    <n v="85"/>
    <n v="12"/>
    <n v="3"/>
    <n v="36.61"/>
    <x v="25"/>
    <x v="3"/>
    <n v="32"/>
    <n v="3.72"/>
    <n v="188.85"/>
    <n v="1.0900000000000001"/>
    <n v="0"/>
    <n v="0.95"/>
    <n v="572"/>
    <n v="6.74"/>
    <n v="0.24"/>
    <d v="2024-01-04T00:00:00"/>
    <n v="232.07"/>
    <n v="0.61899999999999999"/>
    <n v="88192.95"/>
    <x v="0"/>
    <x v="0"/>
  </r>
  <r>
    <x v="2474"/>
    <x v="0"/>
    <n v="261"/>
    <n v="85"/>
    <n v="10"/>
    <n v="7"/>
    <n v="39.869999999999997"/>
    <x v="61"/>
    <x v="3"/>
    <n v="170"/>
    <n v="1.24"/>
    <n v="164.35"/>
    <n v="0.84"/>
    <n v="5"/>
    <n v="0.92"/>
    <n v="972"/>
    <n v="8.51"/>
    <n v="0.76"/>
    <d v="2024-11-24T00:00:00"/>
    <n v="267.22000000000003"/>
    <n v="0.66500000000000004"/>
    <n v="42895.35"/>
    <x v="0"/>
    <x v="0"/>
  </r>
  <r>
    <x v="2475"/>
    <x v="2"/>
    <n v="165"/>
    <n v="75"/>
    <n v="14"/>
    <n v="7"/>
    <n v="33.880000000000003"/>
    <x v="57"/>
    <x v="1"/>
    <n v="101"/>
    <n v="3.67"/>
    <n v="66.319999999999993"/>
    <n v="1.53"/>
    <n v="5"/>
    <n v="0.82"/>
    <n v="391"/>
    <n v="1.74"/>
    <n v="0.36"/>
    <d v="2024-11-12T00:00:00"/>
    <n v="155.34"/>
    <n v="0.40600000000000003"/>
    <n v="10942.8"/>
    <x v="0"/>
    <x v="1"/>
  </r>
  <r>
    <x v="2476"/>
    <x v="4"/>
    <n v="407"/>
    <n v="55"/>
    <n v="3"/>
    <n v="5"/>
    <n v="33.82"/>
    <x v="93"/>
    <x v="3"/>
    <n v="175"/>
    <n v="1.1299999999999999"/>
    <n v="75.81"/>
    <n v="0.71"/>
    <n v="6"/>
    <n v="0.92"/>
    <n v="217"/>
    <n v="1.1599999999999999"/>
    <n v="0.94"/>
    <d v="2024-02-02T00:00:00"/>
    <n v="296.17"/>
    <n v="0.59599999999999997"/>
    <n v="30854.670000000002"/>
    <x v="0"/>
    <x v="0"/>
  </r>
  <r>
    <x v="2477"/>
    <x v="3"/>
    <n v="292"/>
    <n v="95"/>
    <n v="10"/>
    <n v="2"/>
    <n v="33.700000000000003"/>
    <x v="34"/>
    <x v="0"/>
    <n v="179"/>
    <n v="3.29"/>
    <n v="79.349999999999994"/>
    <n v="0.34"/>
    <n v="6"/>
    <n v="0.94"/>
    <n v="260"/>
    <n v="3.7"/>
    <n v="0.25"/>
    <d v="2024-10-26T00:00:00"/>
    <n v="60.67"/>
    <n v="0.53300000000000003"/>
    <n v="23170.199999999997"/>
    <x v="0"/>
    <x v="0"/>
  </r>
  <r>
    <x v="2478"/>
    <x v="1"/>
    <n v="268"/>
    <n v="96"/>
    <n v="9"/>
    <n v="5"/>
    <n v="26.19"/>
    <x v="90"/>
    <x v="3"/>
    <n v="132"/>
    <n v="2.77"/>
    <n v="196.04"/>
    <n v="0.84"/>
    <n v="9"/>
    <n v="0.93"/>
    <n v="733"/>
    <n v="7.83"/>
    <n v="0.46"/>
    <d v="2024-01-24T00:00:00"/>
    <n v="75.069999999999993"/>
    <n v="0.51800000000000002"/>
    <n v="52538.720000000001"/>
    <x v="0"/>
    <x v="0"/>
  </r>
  <r>
    <x v="2479"/>
    <x v="4"/>
    <n v="33"/>
    <n v="39"/>
    <n v="3"/>
    <n v="4"/>
    <n v="18.8"/>
    <x v="64"/>
    <x v="1"/>
    <n v="166"/>
    <n v="1.84"/>
    <n v="78.540000000000006"/>
    <n v="1.78"/>
    <n v="3"/>
    <n v="0.9"/>
    <n v="887"/>
    <n v="1.56"/>
    <n v="0.21"/>
    <d v="2024-12-24T00:00:00"/>
    <n v="143.62"/>
    <n v="0.40500000000000003"/>
    <n v="2591.8200000000002"/>
    <x v="1"/>
    <x v="2"/>
  </r>
  <r>
    <x v="2480"/>
    <x v="0"/>
    <n v="481"/>
    <n v="78"/>
    <n v="12"/>
    <n v="8"/>
    <n v="36.78"/>
    <x v="42"/>
    <x v="3"/>
    <n v="43"/>
    <n v="1"/>
    <n v="30.65"/>
    <n v="0.87"/>
    <n v="4"/>
    <n v="0.71"/>
    <n v="681"/>
    <n v="11.27"/>
    <n v="0.45"/>
    <d v="2024-02-07T00:00:00"/>
    <n v="157.53"/>
    <n v="0.61499999999999999"/>
    <n v="14742.65"/>
    <x v="0"/>
    <x v="0"/>
  </r>
  <r>
    <x v="2481"/>
    <x v="1"/>
    <n v="32"/>
    <n v="18"/>
    <n v="14"/>
    <n v="3"/>
    <n v="15.63"/>
    <x v="0"/>
    <x v="3"/>
    <n v="134"/>
    <n v="3.81"/>
    <n v="157.88"/>
    <n v="1.68"/>
    <n v="2"/>
    <n v="0.9"/>
    <n v="234"/>
    <n v="3.13"/>
    <n v="0.63"/>
    <d v="2024-07-02T00:00:00"/>
    <n v="133.1"/>
    <n v="0.54"/>
    <n v="5052.16"/>
    <x v="0"/>
    <x v="2"/>
  </r>
  <r>
    <x v="2482"/>
    <x v="3"/>
    <n v="410"/>
    <n v="94"/>
    <n v="12"/>
    <n v="9"/>
    <n v="27.6"/>
    <x v="12"/>
    <x v="0"/>
    <n v="66"/>
    <n v="2.2200000000000002"/>
    <n v="79.55"/>
    <n v="0.81"/>
    <n v="5"/>
    <n v="0.84"/>
    <n v="481"/>
    <n v="11.82"/>
    <n v="0.72"/>
    <d v="2024-09-14T00:00:00"/>
    <n v="134.82"/>
    <n v="0.68899999999999995"/>
    <n v="32615.5"/>
    <x v="0"/>
    <x v="0"/>
  </r>
  <r>
    <x v="2483"/>
    <x v="3"/>
    <n v="403"/>
    <n v="20"/>
    <n v="14"/>
    <n v="9"/>
    <n v="22.23"/>
    <x v="96"/>
    <x v="2"/>
    <n v="12"/>
    <n v="0.89"/>
    <n v="127.98"/>
    <n v="0.63"/>
    <n v="6"/>
    <n v="0.99"/>
    <n v="473"/>
    <n v="3.87"/>
    <n v="0.78"/>
    <d v="2024-02-24T00:00:00"/>
    <n v="151.30000000000001"/>
    <n v="0.623"/>
    <n v="51575.94"/>
    <x v="0"/>
    <x v="0"/>
  </r>
  <r>
    <x v="2484"/>
    <x v="2"/>
    <n v="63"/>
    <n v="78"/>
    <n v="8"/>
    <n v="6"/>
    <n v="14.55"/>
    <x v="52"/>
    <x v="3"/>
    <n v="15"/>
    <n v="3.98"/>
    <n v="185.63"/>
    <n v="1.57"/>
    <n v="8"/>
    <n v="0.88"/>
    <n v="88"/>
    <n v="5.85"/>
    <n v="0.87"/>
    <d v="2024-05-28T00:00:00"/>
    <n v="102.85"/>
    <n v="0.51100000000000001"/>
    <n v="11694.69"/>
    <x v="1"/>
    <x v="2"/>
  </r>
  <r>
    <x v="2485"/>
    <x v="1"/>
    <n v="394"/>
    <n v="75"/>
    <n v="3"/>
    <n v="6"/>
    <n v="48.76"/>
    <x v="90"/>
    <x v="1"/>
    <n v="57"/>
    <n v="1.55"/>
    <n v="119.35"/>
    <n v="0.5"/>
    <n v="8"/>
    <n v="0.88"/>
    <n v="436"/>
    <n v="7.71"/>
    <n v="0.28999999999999998"/>
    <d v="2024-12-17T00:00:00"/>
    <n v="47.97"/>
    <n v="0.52700000000000002"/>
    <n v="47023.899999999994"/>
    <x v="0"/>
    <x v="0"/>
  </r>
  <r>
    <x v="2486"/>
    <x v="2"/>
    <n v="418"/>
    <n v="97"/>
    <n v="4"/>
    <n v="2"/>
    <n v="13.68"/>
    <x v="83"/>
    <x v="3"/>
    <n v="111"/>
    <n v="3.81"/>
    <n v="131.16"/>
    <n v="0.54"/>
    <n v="4"/>
    <n v="1"/>
    <n v="818"/>
    <n v="5.86"/>
    <n v="0.81"/>
    <d v="2024-06-03T00:00:00"/>
    <n v="287.27"/>
    <n v="0.70599999999999996"/>
    <n v="54824.88"/>
    <x v="0"/>
    <x v="0"/>
  </r>
  <r>
    <x v="2487"/>
    <x v="4"/>
    <n v="38"/>
    <n v="40"/>
    <n v="7"/>
    <n v="9"/>
    <n v="16.16"/>
    <x v="17"/>
    <x v="3"/>
    <n v="129"/>
    <n v="3.04"/>
    <n v="132.13999999999999"/>
    <n v="0.19"/>
    <n v="3"/>
    <n v="0.73"/>
    <n v="840"/>
    <n v="1.33"/>
    <n v="0.42"/>
    <d v="2024-11-06T00:00:00"/>
    <n v="240.55"/>
    <n v="0.56899999999999995"/>
    <n v="5021.32"/>
    <x v="1"/>
    <x v="2"/>
  </r>
  <r>
    <x v="2488"/>
    <x v="1"/>
    <n v="82"/>
    <n v="42"/>
    <n v="4"/>
    <n v="2"/>
    <n v="8.92"/>
    <x v="65"/>
    <x v="0"/>
    <n v="22"/>
    <n v="1.38"/>
    <n v="126.36"/>
    <n v="0.46"/>
    <n v="6"/>
    <n v="0.78"/>
    <n v="791"/>
    <n v="13.72"/>
    <n v="0.31"/>
    <d v="2024-02-14T00:00:00"/>
    <n v="246.32"/>
    <n v="0.63500000000000001"/>
    <n v="10361.52"/>
    <x v="0"/>
    <x v="2"/>
  </r>
  <r>
    <x v="2489"/>
    <x v="4"/>
    <n v="258"/>
    <n v="48"/>
    <n v="12"/>
    <n v="6"/>
    <n v="41.33"/>
    <x v="40"/>
    <x v="2"/>
    <n v="45"/>
    <n v="0.84"/>
    <n v="40.36"/>
    <n v="0.82"/>
    <n v="2"/>
    <n v="0.9"/>
    <n v="500"/>
    <n v="5.01"/>
    <n v="0.41"/>
    <d v="2024-05-24T00:00:00"/>
    <n v="115.84"/>
    <n v="0.60699999999999998"/>
    <n v="10412.879999999999"/>
    <x v="0"/>
    <x v="0"/>
  </r>
  <r>
    <x v="2490"/>
    <x v="2"/>
    <n v="438"/>
    <n v="55"/>
    <n v="3"/>
    <n v="2"/>
    <n v="29.74"/>
    <x v="93"/>
    <x v="2"/>
    <n v="79"/>
    <n v="3.17"/>
    <n v="96.72"/>
    <n v="0.86"/>
    <n v="3"/>
    <n v="0.79"/>
    <n v="164"/>
    <n v="2.9"/>
    <n v="0.89"/>
    <d v="2024-08-12T00:00:00"/>
    <n v="127.13"/>
    <n v="0.629"/>
    <n v="42363.360000000001"/>
    <x v="0"/>
    <x v="0"/>
  </r>
  <r>
    <x v="2491"/>
    <x v="1"/>
    <n v="356"/>
    <n v="46"/>
    <n v="8"/>
    <n v="3"/>
    <n v="31.04"/>
    <x v="30"/>
    <x v="2"/>
    <n v="42"/>
    <n v="0.61"/>
    <n v="11.46"/>
    <n v="0.9"/>
    <n v="8"/>
    <n v="0.8"/>
    <n v="979"/>
    <n v="2.86"/>
    <n v="0.7"/>
    <d v="2024-07-14T00:00:00"/>
    <n v="281.39"/>
    <n v="0.48799999999999999"/>
    <n v="4079.76"/>
    <x v="0"/>
    <x v="0"/>
  </r>
  <r>
    <x v="2492"/>
    <x v="2"/>
    <n v="438"/>
    <n v="69"/>
    <n v="10"/>
    <n v="4"/>
    <n v="41.21"/>
    <x v="85"/>
    <x v="3"/>
    <n v="114"/>
    <n v="0.79"/>
    <n v="128.99"/>
    <n v="1.01"/>
    <n v="4"/>
    <n v="0.97"/>
    <n v="450"/>
    <n v="14.64"/>
    <n v="0.68"/>
    <d v="2024-07-21T00:00:00"/>
    <n v="292.14"/>
    <n v="0.74399999999999999"/>
    <n v="56497.62"/>
    <x v="0"/>
    <x v="0"/>
  </r>
  <r>
    <x v="2493"/>
    <x v="1"/>
    <n v="422"/>
    <n v="40"/>
    <n v="10"/>
    <n v="4"/>
    <n v="17.8"/>
    <x v="60"/>
    <x v="0"/>
    <n v="66"/>
    <n v="3.66"/>
    <n v="119.32"/>
    <n v="1.19"/>
    <n v="9"/>
    <n v="0.87"/>
    <n v="353"/>
    <n v="2.72"/>
    <n v="0.67"/>
    <d v="2024-12-04T00:00:00"/>
    <n v="283.36"/>
    <n v="0.44500000000000001"/>
    <n v="50353.039999999994"/>
    <x v="0"/>
    <x v="0"/>
  </r>
  <r>
    <x v="2494"/>
    <x v="2"/>
    <n v="423"/>
    <n v="20"/>
    <n v="10"/>
    <n v="9"/>
    <n v="10.49"/>
    <x v="28"/>
    <x v="0"/>
    <n v="64"/>
    <n v="2.92"/>
    <n v="70.45"/>
    <n v="0.46"/>
    <n v="6"/>
    <n v="0.73"/>
    <n v="652"/>
    <n v="5.85"/>
    <n v="0.53"/>
    <d v="2024-01-16T00:00:00"/>
    <n v="196.35"/>
    <n v="0.56399999999999995"/>
    <n v="29800.350000000002"/>
    <x v="0"/>
    <x v="0"/>
  </r>
  <r>
    <x v="2495"/>
    <x v="3"/>
    <n v="119"/>
    <n v="96"/>
    <n v="13"/>
    <n v="5"/>
    <n v="10.72"/>
    <x v="63"/>
    <x v="3"/>
    <n v="116"/>
    <n v="1.97"/>
    <n v="109.54"/>
    <n v="1.27"/>
    <n v="1"/>
    <n v="0.79"/>
    <n v="358"/>
    <n v="1.95"/>
    <n v="0.53"/>
    <d v="2024-08-30T00:00:00"/>
    <n v="80.39"/>
    <n v="0.54300000000000004"/>
    <n v="13035.26"/>
    <x v="0"/>
    <x v="1"/>
  </r>
  <r>
    <x v="2496"/>
    <x v="2"/>
    <n v="182"/>
    <n v="11"/>
    <n v="8"/>
    <n v="3"/>
    <n v="36.9"/>
    <x v="49"/>
    <x v="0"/>
    <n v="150"/>
    <n v="2.93"/>
    <n v="103.68"/>
    <n v="0.74"/>
    <n v="8"/>
    <n v="0.72"/>
    <n v="622"/>
    <n v="11.3"/>
    <n v="0.32"/>
    <d v="2024-03-21T00:00:00"/>
    <n v="185.44"/>
    <n v="0.52500000000000002"/>
    <n v="18869.760000000002"/>
    <x v="0"/>
    <x v="1"/>
  </r>
  <r>
    <x v="2497"/>
    <x v="3"/>
    <n v="435"/>
    <n v="36"/>
    <n v="13"/>
    <n v="8"/>
    <n v="31.09"/>
    <x v="6"/>
    <x v="2"/>
    <n v="60"/>
    <n v="3.16"/>
    <n v="57.67"/>
    <n v="1.49"/>
    <n v="4"/>
    <n v="0.87"/>
    <n v="152"/>
    <n v="9.35"/>
    <n v="0.47"/>
    <d v="2024-09-30T00:00:00"/>
    <n v="180.84"/>
    <n v="0.56399999999999995"/>
    <n v="25086.45"/>
    <x v="0"/>
    <x v="0"/>
  </r>
  <r>
    <x v="2498"/>
    <x v="2"/>
    <n v="141"/>
    <n v="11"/>
    <n v="5"/>
    <n v="2"/>
    <n v="11.11"/>
    <x v="34"/>
    <x v="0"/>
    <n v="101"/>
    <n v="3.04"/>
    <n v="65.72"/>
    <n v="1.1599999999999999"/>
    <n v="4"/>
    <n v="0.75"/>
    <n v="776"/>
    <n v="8.4700000000000006"/>
    <n v="0.61"/>
    <d v="2024-04-22T00:00:00"/>
    <n v="273.39"/>
    <n v="0.58899999999999997"/>
    <n v="9266.52"/>
    <x v="0"/>
    <x v="1"/>
  </r>
  <r>
    <x v="2499"/>
    <x v="1"/>
    <n v="451"/>
    <n v="30"/>
    <n v="3"/>
    <n v="2"/>
    <n v="8.11"/>
    <x v="93"/>
    <x v="3"/>
    <n v="62"/>
    <n v="3.39"/>
    <n v="154.88"/>
    <n v="1.1499999999999999"/>
    <n v="3"/>
    <n v="0.96"/>
    <n v="151"/>
    <n v="12.98"/>
    <n v="0.68"/>
    <d v="2024-03-10T00:00:00"/>
    <n v="100.38"/>
    <n v="0.72599999999999998"/>
    <n v="69850.880000000005"/>
    <x v="0"/>
    <x v="0"/>
  </r>
  <r>
    <x v="2500"/>
    <x v="1"/>
    <n v="63"/>
    <n v="67"/>
    <n v="4"/>
    <n v="9"/>
    <n v="6.91"/>
    <x v="98"/>
    <x v="3"/>
    <n v="45"/>
    <n v="4.7300000000000004"/>
    <n v="153.59"/>
    <n v="1.4"/>
    <n v="7"/>
    <n v="0.87"/>
    <n v="956"/>
    <n v="9.0299999999999994"/>
    <n v="0.26"/>
    <d v="2024-07-19T00:00:00"/>
    <n v="68.2"/>
    <n v="0.46600000000000003"/>
    <n v="9676.17"/>
    <x v="1"/>
    <x v="2"/>
  </r>
  <r>
    <x v="2501"/>
    <x v="1"/>
    <n v="379"/>
    <n v="14"/>
    <n v="7"/>
    <n v="8"/>
    <n v="31.76"/>
    <x v="41"/>
    <x v="1"/>
    <n v="142"/>
    <n v="2.25"/>
    <n v="99.26"/>
    <n v="0.73"/>
    <n v="3"/>
    <n v="0.72"/>
    <n v="704"/>
    <n v="14.38"/>
    <n v="0.47"/>
    <d v="2024-10-06T00:00:00"/>
    <n v="87.08"/>
    <n v="0.69699999999999995"/>
    <n v="37619.54"/>
    <x v="0"/>
    <x v="0"/>
  </r>
  <r>
    <x v="2502"/>
    <x v="0"/>
    <n v="427"/>
    <n v="61"/>
    <n v="12"/>
    <n v="5"/>
    <n v="1.01"/>
    <x v="80"/>
    <x v="1"/>
    <n v="128"/>
    <n v="1.86"/>
    <n v="146.33000000000001"/>
    <n v="0.92"/>
    <n v="1"/>
    <n v="0.79"/>
    <n v="139"/>
    <n v="9.7200000000000006"/>
    <n v="0.47"/>
    <d v="2024-05-31T00:00:00"/>
    <n v="80.510000000000005"/>
    <n v="0.67"/>
    <n v="62482.91"/>
    <x v="0"/>
    <x v="0"/>
  </r>
  <r>
    <x v="2503"/>
    <x v="4"/>
    <n v="336"/>
    <n v="54"/>
    <n v="7"/>
    <n v="5"/>
    <n v="1.9"/>
    <x v="20"/>
    <x v="0"/>
    <n v="34"/>
    <n v="0.67"/>
    <n v="95.65"/>
    <n v="1.21"/>
    <n v="4"/>
    <n v="0.88"/>
    <n v="167"/>
    <n v="5.96"/>
    <n v="0.61"/>
    <d v="2024-11-20T00:00:00"/>
    <n v="198.03"/>
    <n v="0.57599999999999996"/>
    <n v="32138.400000000001"/>
    <x v="0"/>
    <x v="0"/>
  </r>
  <r>
    <x v="2504"/>
    <x v="1"/>
    <n v="400"/>
    <n v="94"/>
    <n v="12"/>
    <n v="2"/>
    <n v="20.09"/>
    <x v="0"/>
    <x v="0"/>
    <n v="90"/>
    <n v="1.1599999999999999"/>
    <n v="171.76"/>
    <n v="0.9"/>
    <n v="2"/>
    <n v="0.8"/>
    <n v="188"/>
    <n v="1.51"/>
    <n v="0.77"/>
    <d v="2024-03-14T00:00:00"/>
    <n v="245.61"/>
    <n v="0.60399999999999998"/>
    <n v="68704"/>
    <x v="0"/>
    <x v="0"/>
  </r>
  <r>
    <x v="2505"/>
    <x v="3"/>
    <n v="164"/>
    <n v="29"/>
    <n v="3"/>
    <n v="2"/>
    <n v="34.880000000000003"/>
    <x v="42"/>
    <x v="3"/>
    <n v="46"/>
    <n v="0.98"/>
    <n v="73.23"/>
    <n v="0.94"/>
    <n v="3"/>
    <n v="0.85"/>
    <n v="952"/>
    <n v="11.15"/>
    <n v="0.71"/>
    <d v="2024-06-01T00:00:00"/>
    <n v="116.75"/>
    <n v="0.70699999999999996"/>
    <n v="12009.720000000001"/>
    <x v="0"/>
    <x v="1"/>
  </r>
  <r>
    <x v="2506"/>
    <x v="1"/>
    <n v="346"/>
    <n v="70"/>
    <n v="3"/>
    <n v="8"/>
    <n v="35.06"/>
    <x v="4"/>
    <x v="1"/>
    <n v="28"/>
    <n v="2.0099999999999998"/>
    <n v="186.19"/>
    <n v="0.62"/>
    <n v="2"/>
    <n v="0.97"/>
    <n v="352"/>
    <n v="6.23"/>
    <n v="0.66"/>
    <d v="2024-12-12T00:00:00"/>
    <n v="61.16"/>
    <n v="0.70699999999999996"/>
    <n v="64421.74"/>
    <x v="0"/>
    <x v="0"/>
  </r>
  <r>
    <x v="2507"/>
    <x v="0"/>
    <n v="382"/>
    <n v="47"/>
    <n v="11"/>
    <n v="9"/>
    <n v="22.08"/>
    <x v="90"/>
    <x v="1"/>
    <n v="44"/>
    <n v="3.24"/>
    <n v="113.03"/>
    <n v="0.65"/>
    <n v="6"/>
    <n v="0.81"/>
    <n v="801"/>
    <n v="9.39"/>
    <n v="0.43"/>
    <d v="2024-11-27T00:00:00"/>
    <n v="109.5"/>
    <n v="0.58799999999999997"/>
    <n v="43177.46"/>
    <x v="0"/>
    <x v="0"/>
  </r>
  <r>
    <x v="2508"/>
    <x v="3"/>
    <n v="69"/>
    <n v="29"/>
    <n v="4"/>
    <n v="3"/>
    <n v="34.86"/>
    <x v="44"/>
    <x v="2"/>
    <n v="116"/>
    <n v="0.71"/>
    <n v="111.78"/>
    <n v="1.43"/>
    <n v="5"/>
    <n v="0.8"/>
    <n v="697"/>
    <n v="13.27"/>
    <n v="0.87"/>
    <d v="2024-07-10T00:00:00"/>
    <n v="168.5"/>
    <n v="0.66800000000000004"/>
    <n v="7712.82"/>
    <x v="0"/>
    <x v="2"/>
  </r>
  <r>
    <x v="2509"/>
    <x v="0"/>
    <n v="84"/>
    <n v="34"/>
    <n v="9"/>
    <n v="8"/>
    <n v="26.53"/>
    <x v="85"/>
    <x v="2"/>
    <n v="171"/>
    <n v="3.77"/>
    <n v="137.44999999999999"/>
    <n v="0.11"/>
    <n v="1"/>
    <n v="0.95"/>
    <n v="566"/>
    <n v="1.1100000000000001"/>
    <n v="0.83"/>
    <d v="2024-01-06T00:00:00"/>
    <n v="202.7"/>
    <n v="0.74"/>
    <n v="11545.8"/>
    <x v="0"/>
    <x v="2"/>
  </r>
  <r>
    <x v="2510"/>
    <x v="3"/>
    <n v="374"/>
    <n v="11"/>
    <n v="12"/>
    <n v="5"/>
    <n v="48.87"/>
    <x v="99"/>
    <x v="3"/>
    <n v="63"/>
    <n v="2.29"/>
    <n v="74.760000000000005"/>
    <n v="0.28000000000000003"/>
    <n v="7"/>
    <n v="0.8"/>
    <n v="258"/>
    <n v="11.63"/>
    <n v="0.35"/>
    <d v="2024-10-10T00:00:00"/>
    <n v="169.44"/>
    <n v="0.61699999999999999"/>
    <n v="27960.240000000002"/>
    <x v="0"/>
    <x v="0"/>
  </r>
  <r>
    <x v="2511"/>
    <x v="2"/>
    <n v="307"/>
    <n v="41"/>
    <n v="6"/>
    <n v="8"/>
    <n v="8.9600000000000009"/>
    <x v="39"/>
    <x v="3"/>
    <n v="15"/>
    <n v="4.84"/>
    <n v="147.62"/>
    <n v="1.9"/>
    <n v="4"/>
    <n v="0.72"/>
    <n v="136"/>
    <n v="7.09"/>
    <n v="0.72"/>
    <d v="2024-10-11T00:00:00"/>
    <n v="84.45"/>
    <n v="0.51300000000000001"/>
    <n v="45319.340000000004"/>
    <x v="0"/>
    <x v="0"/>
  </r>
  <r>
    <x v="2512"/>
    <x v="4"/>
    <n v="183"/>
    <n v="35"/>
    <n v="9"/>
    <n v="8"/>
    <n v="30.43"/>
    <x v="11"/>
    <x v="3"/>
    <n v="138"/>
    <n v="3.06"/>
    <n v="70.88"/>
    <n v="0.46"/>
    <n v="5"/>
    <n v="0.75"/>
    <n v="908"/>
    <n v="2.74"/>
    <n v="0.93"/>
    <d v="2024-03-13T00:00:00"/>
    <n v="276.23"/>
    <n v="0.627"/>
    <n v="12971.039999999999"/>
    <x v="0"/>
    <x v="1"/>
  </r>
  <r>
    <x v="2513"/>
    <x v="4"/>
    <n v="160"/>
    <n v="79"/>
    <n v="10"/>
    <n v="8"/>
    <n v="25.07"/>
    <x v="17"/>
    <x v="3"/>
    <n v="43"/>
    <n v="3.97"/>
    <n v="85.53"/>
    <n v="0.89"/>
    <n v="7"/>
    <n v="0.98"/>
    <n v="368"/>
    <n v="9.15"/>
    <n v="0.55000000000000004"/>
    <d v="2024-03-04T00:00:00"/>
    <n v="136.97"/>
    <n v="0.59899999999999998"/>
    <n v="13684.8"/>
    <x v="0"/>
    <x v="1"/>
  </r>
  <r>
    <x v="2514"/>
    <x v="0"/>
    <n v="473"/>
    <n v="50"/>
    <n v="7"/>
    <n v="3"/>
    <n v="10.53"/>
    <x v="58"/>
    <x v="1"/>
    <n v="65"/>
    <n v="4.38"/>
    <n v="138.19"/>
    <n v="1.71"/>
    <n v="6"/>
    <n v="0.98"/>
    <n v="838"/>
    <n v="8.4600000000000009"/>
    <n v="0.94"/>
    <d v="2024-01-22T00:00:00"/>
    <n v="143.1"/>
    <n v="0.60599999999999998"/>
    <n v="65363.869999999995"/>
    <x v="0"/>
    <x v="0"/>
  </r>
  <r>
    <x v="2515"/>
    <x v="4"/>
    <n v="333"/>
    <n v="76"/>
    <n v="14"/>
    <n v="7"/>
    <n v="37.75"/>
    <x v="60"/>
    <x v="3"/>
    <n v="106"/>
    <n v="4.5"/>
    <n v="81.91"/>
    <n v="0.1"/>
    <n v="2"/>
    <n v="0.77"/>
    <n v="936"/>
    <n v="12.79"/>
    <n v="0.22"/>
    <d v="2024-01-03T00:00:00"/>
    <n v="290.54000000000002"/>
    <n v="0.71899999999999997"/>
    <n v="27276.03"/>
    <x v="0"/>
    <x v="0"/>
  </r>
  <r>
    <x v="2516"/>
    <x v="0"/>
    <n v="147"/>
    <n v="10"/>
    <n v="14"/>
    <n v="2"/>
    <n v="14.5"/>
    <x v="12"/>
    <x v="3"/>
    <n v="35"/>
    <n v="2.83"/>
    <n v="48"/>
    <n v="1.86"/>
    <n v="1"/>
    <n v="0.87"/>
    <n v="682"/>
    <n v="8.3000000000000007"/>
    <n v="0.61"/>
    <d v="2024-10-20T00:00:00"/>
    <n v="261.83"/>
    <n v="0.60099999999999998"/>
    <n v="7056"/>
    <x v="0"/>
    <x v="1"/>
  </r>
  <r>
    <x v="2517"/>
    <x v="0"/>
    <n v="417"/>
    <n v="60"/>
    <n v="3"/>
    <n v="6"/>
    <n v="19.7"/>
    <x v="73"/>
    <x v="1"/>
    <n v="179"/>
    <n v="2.29"/>
    <n v="175.66"/>
    <n v="0.2"/>
    <n v="2"/>
    <n v="0.74"/>
    <n v="294"/>
    <n v="12.58"/>
    <n v="0.41"/>
    <d v="2024-11-01T00:00:00"/>
    <n v="243.82"/>
    <n v="0.73799999999999999"/>
    <n v="73250.22"/>
    <x v="0"/>
    <x v="0"/>
  </r>
  <r>
    <x v="2518"/>
    <x v="0"/>
    <n v="440"/>
    <n v="14"/>
    <n v="6"/>
    <n v="9"/>
    <n v="19.37"/>
    <x v="30"/>
    <x v="2"/>
    <n v="100"/>
    <n v="3.02"/>
    <n v="185.21"/>
    <n v="0.42"/>
    <n v="7"/>
    <n v="0.9"/>
    <n v="919"/>
    <n v="8.6199999999999992"/>
    <n v="0.41"/>
    <d v="2024-07-20T00:00:00"/>
    <n v="62.98"/>
    <n v="0.59499999999999997"/>
    <n v="81492.400000000009"/>
    <x v="0"/>
    <x v="0"/>
  </r>
  <r>
    <x v="2519"/>
    <x v="4"/>
    <n v="387"/>
    <n v="22"/>
    <n v="12"/>
    <n v="8"/>
    <n v="12.97"/>
    <x v="60"/>
    <x v="3"/>
    <n v="47"/>
    <n v="2.31"/>
    <n v="129.08000000000001"/>
    <n v="0.16"/>
    <n v="3"/>
    <n v="0.76"/>
    <n v="139"/>
    <n v="7.26"/>
    <n v="0.9"/>
    <d v="2024-10-02T00:00:00"/>
    <n v="253.05"/>
    <n v="0.753"/>
    <n v="49953.960000000006"/>
    <x v="0"/>
    <x v="0"/>
  </r>
  <r>
    <x v="2520"/>
    <x v="0"/>
    <n v="482"/>
    <n v="28"/>
    <n v="5"/>
    <n v="9"/>
    <n v="22.1"/>
    <x v="51"/>
    <x v="2"/>
    <n v="163"/>
    <n v="1.58"/>
    <n v="164.12"/>
    <n v="1.0900000000000001"/>
    <n v="7"/>
    <n v="0.71"/>
    <n v="527"/>
    <n v="6.2"/>
    <n v="0.45"/>
    <d v="2024-10-07T00:00:00"/>
    <n v="142.04"/>
    <n v="0.46600000000000003"/>
    <n v="79105.84"/>
    <x v="0"/>
    <x v="0"/>
  </r>
  <r>
    <x v="2521"/>
    <x v="4"/>
    <n v="258"/>
    <n v="21"/>
    <n v="12"/>
    <n v="6"/>
    <n v="24.19"/>
    <x v="45"/>
    <x v="1"/>
    <n v="68"/>
    <n v="1.96"/>
    <n v="197.46"/>
    <n v="1.89"/>
    <n v="3"/>
    <n v="0.95"/>
    <n v="701"/>
    <n v="3.43"/>
    <n v="0.22"/>
    <d v="2024-02-13T00:00:00"/>
    <n v="70.72"/>
    <n v="0.43099999999999999"/>
    <n v="50944.68"/>
    <x v="0"/>
    <x v="0"/>
  </r>
  <r>
    <x v="2522"/>
    <x v="0"/>
    <n v="343"/>
    <n v="57"/>
    <n v="14"/>
    <n v="7"/>
    <n v="37.47"/>
    <x v="82"/>
    <x v="2"/>
    <n v="136"/>
    <n v="1.55"/>
    <n v="126.81"/>
    <n v="1.69"/>
    <n v="6"/>
    <n v="0.8"/>
    <n v="161"/>
    <n v="9.18"/>
    <n v="0.63"/>
    <d v="2024-06-05T00:00:00"/>
    <n v="297.36"/>
    <n v="0.51900000000000002"/>
    <n v="43495.83"/>
    <x v="0"/>
    <x v="0"/>
  </r>
  <r>
    <x v="2523"/>
    <x v="1"/>
    <n v="315"/>
    <n v="34"/>
    <n v="7"/>
    <n v="2"/>
    <n v="38.49"/>
    <x v="18"/>
    <x v="1"/>
    <n v="33"/>
    <n v="1.71"/>
    <n v="182.67"/>
    <n v="1.32"/>
    <n v="5"/>
    <n v="0.73"/>
    <n v="956"/>
    <n v="8.6199999999999992"/>
    <n v="0.98"/>
    <d v="2024-04-17T00:00:00"/>
    <n v="59.9"/>
    <n v="0.625"/>
    <n v="57541.049999999996"/>
    <x v="0"/>
    <x v="0"/>
  </r>
  <r>
    <x v="2524"/>
    <x v="0"/>
    <n v="206"/>
    <n v="66"/>
    <n v="12"/>
    <n v="5"/>
    <n v="8.77"/>
    <x v="29"/>
    <x v="3"/>
    <n v="120"/>
    <n v="0.92"/>
    <n v="78.260000000000005"/>
    <n v="0.45"/>
    <n v="9"/>
    <n v="0.95"/>
    <n v="999"/>
    <n v="14.66"/>
    <n v="0.26"/>
    <d v="2024-06-25T00:00:00"/>
    <n v="277.36"/>
    <n v="0.61199999999999999"/>
    <n v="16121.560000000001"/>
    <x v="0"/>
    <x v="1"/>
  </r>
  <r>
    <x v="2525"/>
    <x v="3"/>
    <n v="227"/>
    <n v="44"/>
    <n v="12"/>
    <n v="6"/>
    <n v="30.05"/>
    <x v="68"/>
    <x v="2"/>
    <n v="30"/>
    <n v="2.42"/>
    <n v="143.09"/>
    <n v="1.75"/>
    <n v="0"/>
    <n v="0.93"/>
    <n v="443"/>
    <n v="6.77"/>
    <n v="0.43"/>
    <d v="2024-04-18T00:00:00"/>
    <n v="10.15"/>
    <n v="0.58699999999999997"/>
    <n v="32481.43"/>
    <x v="0"/>
    <x v="1"/>
  </r>
  <r>
    <x v="2526"/>
    <x v="0"/>
    <n v="239"/>
    <n v="85"/>
    <n v="8"/>
    <n v="9"/>
    <n v="44.91"/>
    <x v="36"/>
    <x v="3"/>
    <n v="69"/>
    <n v="1.56"/>
    <n v="20.6"/>
    <n v="1.53"/>
    <n v="7"/>
    <n v="0.91"/>
    <n v="936"/>
    <n v="6.9"/>
    <n v="0.57999999999999996"/>
    <d v="2024-07-30T00:00:00"/>
    <n v="137"/>
    <n v="0.497"/>
    <n v="4923.4000000000005"/>
    <x v="0"/>
    <x v="1"/>
  </r>
  <r>
    <x v="2527"/>
    <x v="2"/>
    <n v="419"/>
    <n v="14"/>
    <n v="4"/>
    <n v="9"/>
    <n v="6.33"/>
    <x v="2"/>
    <x v="0"/>
    <n v="99"/>
    <n v="2.52"/>
    <n v="159.9"/>
    <n v="0.61"/>
    <n v="5"/>
    <n v="0.97"/>
    <n v="289"/>
    <n v="3.29"/>
    <n v="0.86"/>
    <d v="2024-11-26T00:00:00"/>
    <n v="18.670000000000002"/>
    <n v="0.64900000000000002"/>
    <n v="66998.100000000006"/>
    <x v="0"/>
    <x v="0"/>
  </r>
  <r>
    <x v="2528"/>
    <x v="0"/>
    <n v="209"/>
    <n v="31"/>
    <n v="9"/>
    <n v="9"/>
    <n v="24.17"/>
    <x v="41"/>
    <x v="0"/>
    <n v="157"/>
    <n v="4.0599999999999996"/>
    <n v="167.66"/>
    <n v="1.63"/>
    <n v="1"/>
    <n v="0.85"/>
    <n v="321"/>
    <n v="9.3699999999999992"/>
    <n v="0.42"/>
    <d v="2024-09-19T00:00:00"/>
    <n v="274.61"/>
    <n v="0.59599999999999997"/>
    <n v="35040.94"/>
    <x v="0"/>
    <x v="1"/>
  </r>
  <r>
    <x v="2529"/>
    <x v="3"/>
    <n v="407"/>
    <n v="86"/>
    <n v="5"/>
    <n v="5"/>
    <n v="37.770000000000003"/>
    <x v="36"/>
    <x v="2"/>
    <n v="15"/>
    <n v="2.52"/>
    <n v="86.22"/>
    <n v="1.77"/>
    <n v="4"/>
    <n v="0.74"/>
    <n v="192"/>
    <n v="12.87"/>
    <n v="0.47"/>
    <d v="2024-03-13T00:00:00"/>
    <n v="46.51"/>
    <n v="0.55700000000000005"/>
    <n v="35091.54"/>
    <x v="0"/>
    <x v="0"/>
  </r>
  <r>
    <x v="2530"/>
    <x v="3"/>
    <n v="448"/>
    <n v="66"/>
    <n v="3"/>
    <n v="6"/>
    <n v="30.96"/>
    <x v="58"/>
    <x v="1"/>
    <n v="19"/>
    <n v="4.8"/>
    <n v="131.4"/>
    <n v="1.43"/>
    <n v="1"/>
    <n v="0.72"/>
    <n v="768"/>
    <n v="4.47"/>
    <n v="0.51"/>
    <d v="2024-03-23T00:00:00"/>
    <n v="205.2"/>
    <n v="0.54300000000000004"/>
    <n v="58867.200000000004"/>
    <x v="0"/>
    <x v="0"/>
  </r>
  <r>
    <x v="2531"/>
    <x v="4"/>
    <n v="365"/>
    <n v="56"/>
    <n v="12"/>
    <n v="9"/>
    <n v="5.93"/>
    <x v="52"/>
    <x v="2"/>
    <n v="149"/>
    <n v="1.17"/>
    <n v="173.09"/>
    <n v="0.28999999999999998"/>
    <n v="9"/>
    <n v="0.8"/>
    <n v="168"/>
    <n v="1.1299999999999999"/>
    <n v="0.5"/>
    <d v="2024-04-04T00:00:00"/>
    <n v="193.05"/>
    <n v="0.46600000000000003"/>
    <n v="63177.85"/>
    <x v="0"/>
    <x v="0"/>
  </r>
  <r>
    <x v="2532"/>
    <x v="1"/>
    <n v="303"/>
    <n v="63"/>
    <n v="5"/>
    <n v="5"/>
    <n v="20.43"/>
    <x v="47"/>
    <x v="1"/>
    <n v="106"/>
    <n v="4.33"/>
    <n v="177.89"/>
    <n v="1.97"/>
    <n v="6"/>
    <n v="0.73"/>
    <n v="645"/>
    <n v="10.68"/>
    <n v="0.36"/>
    <d v="2024-04-23T00:00:00"/>
    <n v="235.93"/>
    <n v="0.443"/>
    <n v="53900.67"/>
    <x v="0"/>
    <x v="0"/>
  </r>
  <r>
    <x v="2533"/>
    <x v="0"/>
    <n v="371"/>
    <n v="12"/>
    <n v="11"/>
    <n v="8"/>
    <n v="25.85"/>
    <x v="35"/>
    <x v="0"/>
    <n v="159"/>
    <n v="1.62"/>
    <n v="30.24"/>
    <n v="0.24"/>
    <n v="9"/>
    <n v="0.86"/>
    <n v="949"/>
    <n v="1.44"/>
    <n v="0.93"/>
    <d v="2024-11-11T00:00:00"/>
    <n v="226.59"/>
    <n v="0.57299999999999995"/>
    <n v="11219.039999999999"/>
    <x v="0"/>
    <x v="0"/>
  </r>
  <r>
    <x v="2534"/>
    <x v="4"/>
    <n v="256"/>
    <n v="62"/>
    <n v="12"/>
    <n v="9"/>
    <n v="49.8"/>
    <x v="22"/>
    <x v="1"/>
    <n v="89"/>
    <n v="4.7"/>
    <n v="167.22"/>
    <n v="1.34"/>
    <n v="5"/>
    <n v="0.7"/>
    <n v="300"/>
    <n v="6.73"/>
    <n v="0.83"/>
    <d v="2024-05-09T00:00:00"/>
    <n v="19.41"/>
    <n v="0.56200000000000006"/>
    <n v="42808.32"/>
    <x v="0"/>
    <x v="0"/>
  </r>
  <r>
    <x v="2535"/>
    <x v="1"/>
    <n v="213"/>
    <n v="93"/>
    <n v="13"/>
    <n v="6"/>
    <n v="9.75"/>
    <x v="54"/>
    <x v="0"/>
    <n v="26"/>
    <n v="1.52"/>
    <n v="62.11"/>
    <n v="0.31"/>
    <n v="6"/>
    <n v="0.83"/>
    <n v="327"/>
    <n v="9.58"/>
    <n v="0.98"/>
    <d v="2024-04-09T00:00:00"/>
    <n v="122.64"/>
    <n v="0.73899999999999999"/>
    <n v="13229.43"/>
    <x v="0"/>
    <x v="1"/>
  </r>
  <r>
    <x v="2536"/>
    <x v="0"/>
    <n v="306"/>
    <n v="40"/>
    <n v="13"/>
    <n v="5"/>
    <n v="49.14"/>
    <x v="52"/>
    <x v="2"/>
    <n v="147"/>
    <n v="3.86"/>
    <n v="148.19"/>
    <n v="1.82"/>
    <n v="5"/>
    <n v="0.75"/>
    <n v="212"/>
    <n v="6.4"/>
    <n v="0.5"/>
    <d v="2024-02-28T00:00:00"/>
    <n v="103.53"/>
    <n v="0.45300000000000001"/>
    <n v="45346.14"/>
    <x v="0"/>
    <x v="0"/>
  </r>
  <r>
    <x v="2537"/>
    <x v="2"/>
    <n v="278"/>
    <n v="78"/>
    <n v="8"/>
    <n v="7"/>
    <n v="19.43"/>
    <x v="47"/>
    <x v="3"/>
    <n v="149"/>
    <n v="0.78"/>
    <n v="71.78"/>
    <n v="0.76"/>
    <n v="9"/>
    <n v="0.81"/>
    <n v="703"/>
    <n v="4.6500000000000004"/>
    <n v="0.24"/>
    <d v="2024-04-02T00:00:00"/>
    <n v="292.14"/>
    <n v="0.41599999999999998"/>
    <n v="19954.84"/>
    <x v="0"/>
    <x v="0"/>
  </r>
  <r>
    <x v="2538"/>
    <x v="0"/>
    <n v="265"/>
    <n v="97"/>
    <n v="13"/>
    <n v="3"/>
    <n v="10.82"/>
    <x v="24"/>
    <x v="3"/>
    <n v="92"/>
    <n v="3.33"/>
    <n v="20.7"/>
    <n v="1.07"/>
    <n v="0"/>
    <n v="0.9"/>
    <n v="399"/>
    <n v="12.19"/>
    <n v="0.28999999999999998"/>
    <d v="2024-12-09T00:00:00"/>
    <n v="234.72"/>
    <n v="0.69399999999999995"/>
    <n v="5485.5"/>
    <x v="0"/>
    <x v="0"/>
  </r>
  <r>
    <x v="2539"/>
    <x v="3"/>
    <n v="155"/>
    <n v="42"/>
    <n v="8"/>
    <n v="5"/>
    <n v="21.29"/>
    <x v="45"/>
    <x v="3"/>
    <n v="49"/>
    <n v="1.48"/>
    <n v="49.88"/>
    <n v="0.44"/>
    <n v="2"/>
    <n v="0.81"/>
    <n v="80"/>
    <n v="5.21"/>
    <n v="0.49"/>
    <d v="2024-10-17T00:00:00"/>
    <n v="215.31"/>
    <n v="0.64500000000000002"/>
    <n v="7731.4000000000005"/>
    <x v="0"/>
    <x v="1"/>
  </r>
  <r>
    <x v="2540"/>
    <x v="3"/>
    <n v="299"/>
    <n v="81"/>
    <n v="6"/>
    <n v="3"/>
    <n v="31.09"/>
    <x v="0"/>
    <x v="1"/>
    <n v="160"/>
    <n v="3.52"/>
    <n v="87.65"/>
    <n v="1.1399999999999999"/>
    <n v="9"/>
    <n v="0.8"/>
    <n v="507"/>
    <n v="3.52"/>
    <n v="0.93"/>
    <d v="2024-01-28T00:00:00"/>
    <n v="138.22999999999999"/>
    <n v="0.499"/>
    <n v="26207.350000000002"/>
    <x v="0"/>
    <x v="0"/>
  </r>
  <r>
    <x v="2541"/>
    <x v="2"/>
    <n v="290"/>
    <n v="97"/>
    <n v="10"/>
    <n v="3"/>
    <n v="11.46"/>
    <x v="2"/>
    <x v="3"/>
    <n v="177"/>
    <n v="3.36"/>
    <n v="150.83000000000001"/>
    <n v="1.88"/>
    <n v="1"/>
    <n v="1"/>
    <n v="887"/>
    <n v="6.44"/>
    <n v="0.98"/>
    <d v="2024-10-08T00:00:00"/>
    <n v="268.38"/>
    <n v="0.67400000000000004"/>
    <n v="43740.700000000004"/>
    <x v="0"/>
    <x v="0"/>
  </r>
  <r>
    <x v="2542"/>
    <x v="4"/>
    <n v="190"/>
    <n v="59"/>
    <n v="7"/>
    <n v="2"/>
    <n v="15.28"/>
    <x v="69"/>
    <x v="1"/>
    <n v="83"/>
    <n v="4.66"/>
    <n v="29.13"/>
    <n v="1.81"/>
    <n v="0"/>
    <n v="0.92"/>
    <n v="140"/>
    <n v="2.84"/>
    <n v="0.86"/>
    <d v="2024-08-24T00:00:00"/>
    <n v="14.88"/>
    <n v="0.61299999999999999"/>
    <n v="5534.7"/>
    <x v="0"/>
    <x v="1"/>
  </r>
  <r>
    <x v="2543"/>
    <x v="1"/>
    <n v="178"/>
    <n v="93"/>
    <n v="9"/>
    <n v="8"/>
    <n v="42.87"/>
    <x v="44"/>
    <x v="3"/>
    <n v="83"/>
    <n v="3.32"/>
    <n v="164.46"/>
    <n v="0.22"/>
    <n v="0"/>
    <n v="0.85"/>
    <n v="177"/>
    <n v="10.67"/>
    <n v="0.39"/>
    <d v="2024-11-26T00:00:00"/>
    <n v="76.25"/>
    <n v="0.76800000000000002"/>
    <n v="29273.88"/>
    <x v="0"/>
    <x v="1"/>
  </r>
  <r>
    <x v="2544"/>
    <x v="0"/>
    <n v="220"/>
    <n v="25"/>
    <n v="11"/>
    <n v="7"/>
    <n v="49.95"/>
    <x v="10"/>
    <x v="1"/>
    <n v="59"/>
    <n v="2.34"/>
    <n v="199.42"/>
    <n v="0.82"/>
    <n v="3"/>
    <n v="0.87"/>
    <n v="828"/>
    <n v="10.94"/>
    <n v="0.73"/>
    <d v="2024-10-08T00:00:00"/>
    <n v="211.55"/>
    <n v="0.72399999999999998"/>
    <n v="43872.399999999994"/>
    <x v="0"/>
    <x v="1"/>
  </r>
  <r>
    <x v="2545"/>
    <x v="3"/>
    <n v="64"/>
    <n v="85"/>
    <n v="7"/>
    <n v="3"/>
    <n v="16.59"/>
    <x v="43"/>
    <x v="1"/>
    <n v="19"/>
    <n v="1.37"/>
    <n v="159.77000000000001"/>
    <n v="0.61"/>
    <n v="0"/>
    <n v="0.89"/>
    <n v="597"/>
    <n v="1.21"/>
    <n v="0.68"/>
    <d v="2024-02-07T00:00:00"/>
    <n v="157.43"/>
    <n v="0.66900000000000004"/>
    <n v="10225.280000000001"/>
    <x v="1"/>
    <x v="2"/>
  </r>
  <r>
    <x v="2546"/>
    <x v="4"/>
    <n v="469"/>
    <n v="86"/>
    <n v="13"/>
    <n v="4"/>
    <n v="8.2899999999999991"/>
    <x v="58"/>
    <x v="0"/>
    <n v="112"/>
    <n v="3.46"/>
    <n v="100.01"/>
    <n v="1.01"/>
    <n v="1"/>
    <n v="0.71"/>
    <n v="897"/>
    <n v="10.73"/>
    <n v="0.86"/>
    <d v="2024-05-28T00:00:00"/>
    <n v="164.8"/>
    <n v="0.73599999999999999"/>
    <n v="46904.69"/>
    <x v="0"/>
    <x v="0"/>
  </r>
  <r>
    <x v="2547"/>
    <x v="2"/>
    <n v="283"/>
    <n v="48"/>
    <n v="7"/>
    <n v="8"/>
    <n v="39.869999999999997"/>
    <x v="85"/>
    <x v="0"/>
    <n v="103"/>
    <n v="1.02"/>
    <n v="117.95"/>
    <n v="1.68"/>
    <n v="0"/>
    <n v="0.72"/>
    <n v="841"/>
    <n v="5.19"/>
    <n v="0.61"/>
    <d v="2024-12-09T00:00:00"/>
    <n v="130.74"/>
    <n v="0.56699999999999995"/>
    <n v="33379.85"/>
    <x v="0"/>
    <x v="0"/>
  </r>
  <r>
    <x v="2548"/>
    <x v="3"/>
    <n v="90"/>
    <n v="98"/>
    <n v="6"/>
    <n v="3"/>
    <n v="30.42"/>
    <x v="97"/>
    <x v="2"/>
    <n v="141"/>
    <n v="4.2300000000000004"/>
    <n v="11.17"/>
    <n v="1.5"/>
    <n v="5"/>
    <n v="0.89"/>
    <n v="774"/>
    <n v="10.19"/>
    <n v="0.45"/>
    <d v="2024-02-04T00:00:00"/>
    <n v="58.27"/>
    <n v="0.55400000000000005"/>
    <n v="1005.3"/>
    <x v="1"/>
    <x v="2"/>
  </r>
  <r>
    <x v="2549"/>
    <x v="2"/>
    <n v="383"/>
    <n v="55"/>
    <n v="8"/>
    <n v="5"/>
    <n v="5.92"/>
    <x v="5"/>
    <x v="0"/>
    <n v="138"/>
    <n v="1.61"/>
    <n v="49.76"/>
    <n v="0.75"/>
    <n v="3"/>
    <n v="0.81"/>
    <n v="558"/>
    <n v="10.89"/>
    <n v="0.22"/>
    <d v="2024-05-08T00:00:00"/>
    <n v="58.2"/>
    <n v="0.61599999999999999"/>
    <n v="19058.079999999998"/>
    <x v="0"/>
    <x v="0"/>
  </r>
  <r>
    <x v="2550"/>
    <x v="0"/>
    <n v="390"/>
    <n v="97"/>
    <n v="4"/>
    <n v="3"/>
    <n v="47.39"/>
    <x v="57"/>
    <x v="1"/>
    <n v="52"/>
    <n v="2.86"/>
    <n v="180.81"/>
    <n v="0.83"/>
    <n v="7"/>
    <n v="0.72"/>
    <n v="985"/>
    <n v="4.8899999999999997"/>
    <n v="0.84"/>
    <d v="2024-02-20T00:00:00"/>
    <n v="95.4"/>
    <n v="0.55400000000000005"/>
    <n v="70515.899999999994"/>
    <x v="0"/>
    <x v="0"/>
  </r>
  <r>
    <x v="2551"/>
    <x v="1"/>
    <n v="122"/>
    <n v="56"/>
    <n v="5"/>
    <n v="5"/>
    <n v="4.82"/>
    <x v="67"/>
    <x v="0"/>
    <n v="92"/>
    <n v="3.18"/>
    <n v="14.13"/>
    <n v="1.34"/>
    <n v="4"/>
    <n v="0.79"/>
    <n v="794"/>
    <n v="3.6"/>
    <n v="0.62"/>
    <d v="2024-04-11T00:00:00"/>
    <n v="145.81"/>
    <n v="0.51600000000000001"/>
    <n v="1723.8600000000001"/>
    <x v="0"/>
    <x v="1"/>
  </r>
  <r>
    <x v="2552"/>
    <x v="3"/>
    <n v="144"/>
    <n v="53"/>
    <n v="3"/>
    <n v="9"/>
    <n v="31.64"/>
    <x v="85"/>
    <x v="0"/>
    <n v="142"/>
    <n v="2.13"/>
    <n v="181.91"/>
    <n v="0.47"/>
    <n v="9"/>
    <n v="0.74"/>
    <n v="789"/>
    <n v="12.57"/>
    <n v="0.63"/>
    <d v="2024-10-24T00:00:00"/>
    <n v="249"/>
    <n v="0.61499999999999999"/>
    <n v="26195.040000000001"/>
    <x v="0"/>
    <x v="1"/>
  </r>
  <r>
    <x v="2553"/>
    <x v="3"/>
    <n v="332"/>
    <n v="18"/>
    <n v="4"/>
    <n v="5"/>
    <n v="21.77"/>
    <x v="38"/>
    <x v="0"/>
    <n v="113"/>
    <n v="3.49"/>
    <n v="31.52"/>
    <n v="0.3"/>
    <n v="4"/>
    <n v="0.97"/>
    <n v="930"/>
    <n v="11.35"/>
    <n v="0.97"/>
    <d v="2024-09-06T00:00:00"/>
    <n v="139.58000000000001"/>
    <n v="0.82899999999999996"/>
    <n v="10464.64"/>
    <x v="0"/>
    <x v="0"/>
  </r>
  <r>
    <x v="2554"/>
    <x v="0"/>
    <n v="483"/>
    <n v="96"/>
    <n v="4"/>
    <n v="4"/>
    <n v="28.27"/>
    <x v="59"/>
    <x v="1"/>
    <n v="43"/>
    <n v="1.63"/>
    <n v="35.28"/>
    <n v="0.56000000000000005"/>
    <n v="7"/>
    <n v="0.76"/>
    <n v="859"/>
    <n v="12.72"/>
    <n v="0.59"/>
    <d v="2024-06-18T00:00:00"/>
    <n v="270.36"/>
    <n v="0.64400000000000002"/>
    <n v="17040.240000000002"/>
    <x v="0"/>
    <x v="0"/>
  </r>
  <r>
    <x v="2555"/>
    <x v="4"/>
    <n v="305"/>
    <n v="59"/>
    <n v="10"/>
    <n v="3"/>
    <n v="11.45"/>
    <x v="62"/>
    <x v="1"/>
    <n v="33"/>
    <n v="0.66"/>
    <n v="43.32"/>
    <n v="0.34"/>
    <n v="9"/>
    <n v="0.74"/>
    <n v="286"/>
    <n v="7.1"/>
    <n v="0.45"/>
    <d v="2024-07-01T00:00:00"/>
    <n v="44.95"/>
    <n v="0.51900000000000002"/>
    <n v="13212.6"/>
    <x v="0"/>
    <x v="0"/>
  </r>
  <r>
    <x v="2556"/>
    <x v="1"/>
    <n v="477"/>
    <n v="86"/>
    <n v="10"/>
    <n v="3"/>
    <n v="34.72"/>
    <x v="65"/>
    <x v="2"/>
    <n v="151"/>
    <n v="4.82"/>
    <n v="161.88"/>
    <n v="0.77"/>
    <n v="5"/>
    <n v="0.89"/>
    <n v="582"/>
    <n v="7.39"/>
    <n v="0.47"/>
    <d v="2024-03-06T00:00:00"/>
    <n v="88.81"/>
    <n v="0.59399999999999997"/>
    <n v="77216.759999999995"/>
    <x v="0"/>
    <x v="0"/>
  </r>
  <r>
    <x v="2557"/>
    <x v="3"/>
    <n v="249"/>
    <n v="69"/>
    <n v="4"/>
    <n v="6"/>
    <n v="48.03"/>
    <x v="28"/>
    <x v="0"/>
    <n v="50"/>
    <n v="1.94"/>
    <n v="100.86"/>
    <n v="1.88"/>
    <n v="5"/>
    <n v="0.86"/>
    <n v="657"/>
    <n v="5.82"/>
    <n v="0.21"/>
    <d v="2024-12-09T00:00:00"/>
    <n v="30.45"/>
    <n v="0.40400000000000003"/>
    <n v="25114.14"/>
    <x v="0"/>
    <x v="1"/>
  </r>
  <r>
    <x v="2558"/>
    <x v="1"/>
    <n v="165"/>
    <n v="24"/>
    <n v="8"/>
    <n v="8"/>
    <n v="23.46"/>
    <x v="92"/>
    <x v="0"/>
    <n v="179"/>
    <n v="3.71"/>
    <n v="37.590000000000003"/>
    <n v="0.33"/>
    <n v="2"/>
    <n v="0.87"/>
    <n v="100"/>
    <n v="7.99"/>
    <n v="0.3"/>
    <d v="2024-12-01T00:00:00"/>
    <n v="157.91"/>
    <n v="0.66800000000000004"/>
    <n v="6202.35"/>
    <x v="0"/>
    <x v="1"/>
  </r>
  <r>
    <x v="2559"/>
    <x v="3"/>
    <n v="389"/>
    <n v="45"/>
    <n v="7"/>
    <n v="6"/>
    <n v="26.62"/>
    <x v="24"/>
    <x v="1"/>
    <n v="22"/>
    <n v="2.78"/>
    <n v="140.49"/>
    <n v="1.65"/>
    <n v="5"/>
    <n v="0.83"/>
    <n v="898"/>
    <n v="10.050000000000001"/>
    <n v="0.24"/>
    <d v="2024-04-30T00:00:00"/>
    <n v="36.11"/>
    <n v="0.48299999999999998"/>
    <n v="54650.61"/>
    <x v="0"/>
    <x v="0"/>
  </r>
  <r>
    <x v="2560"/>
    <x v="1"/>
    <n v="216"/>
    <n v="72"/>
    <n v="5"/>
    <n v="2"/>
    <n v="12.75"/>
    <x v="97"/>
    <x v="2"/>
    <n v="166"/>
    <n v="3.51"/>
    <n v="188.73"/>
    <n v="1.1200000000000001"/>
    <n v="9"/>
    <n v="0.84"/>
    <n v="872"/>
    <n v="12.4"/>
    <n v="0.39"/>
    <d v="2024-02-21T00:00:00"/>
    <n v="240.75"/>
    <n v="0.51900000000000002"/>
    <n v="40765.68"/>
    <x v="0"/>
    <x v="1"/>
  </r>
  <r>
    <x v="2561"/>
    <x v="2"/>
    <n v="392"/>
    <n v="78"/>
    <n v="7"/>
    <n v="5"/>
    <n v="44.7"/>
    <x v="61"/>
    <x v="2"/>
    <n v="171"/>
    <n v="1"/>
    <n v="118.77"/>
    <n v="1.3"/>
    <n v="6"/>
    <n v="0.93"/>
    <n v="518"/>
    <n v="3.56"/>
    <n v="0.25"/>
    <d v="2024-05-25T00:00:00"/>
    <n v="21.53"/>
    <n v="0.433"/>
    <n v="46557.84"/>
    <x v="0"/>
    <x v="0"/>
  </r>
  <r>
    <x v="2562"/>
    <x v="3"/>
    <n v="240"/>
    <n v="95"/>
    <n v="7"/>
    <n v="4"/>
    <n v="48.59"/>
    <x v="54"/>
    <x v="1"/>
    <n v="141"/>
    <n v="2.83"/>
    <n v="28.75"/>
    <n v="0.42"/>
    <n v="1"/>
    <n v="0.77"/>
    <n v="941"/>
    <n v="6.68"/>
    <n v="0.46"/>
    <d v="2024-11-13T00:00:00"/>
    <n v="147.86000000000001"/>
    <n v="0.67300000000000004"/>
    <n v="6900"/>
    <x v="0"/>
    <x v="1"/>
  </r>
  <r>
    <x v="2563"/>
    <x v="1"/>
    <n v="442"/>
    <n v="89"/>
    <n v="7"/>
    <n v="6"/>
    <n v="39.53"/>
    <x v="29"/>
    <x v="0"/>
    <n v="37"/>
    <n v="2.2599999999999998"/>
    <n v="20.399999999999999"/>
    <n v="0.39"/>
    <n v="2"/>
    <n v="0.82"/>
    <n v="437"/>
    <n v="7.46"/>
    <n v="0.3"/>
    <d v="2024-02-05T00:00:00"/>
    <n v="131.97999999999999"/>
    <n v="0.64400000000000002"/>
    <n v="9016.7999999999993"/>
    <x v="0"/>
    <x v="0"/>
  </r>
  <r>
    <x v="2564"/>
    <x v="4"/>
    <n v="79"/>
    <n v="50"/>
    <n v="5"/>
    <n v="3"/>
    <n v="27.6"/>
    <x v="18"/>
    <x v="2"/>
    <n v="92"/>
    <n v="2.5299999999999998"/>
    <n v="161.22"/>
    <n v="0.41"/>
    <n v="5"/>
    <n v="0.99"/>
    <n v="111"/>
    <n v="7.83"/>
    <n v="0.93"/>
    <d v="2024-04-09T00:00:00"/>
    <n v="68.650000000000006"/>
    <n v="0.747"/>
    <n v="12736.38"/>
    <x v="0"/>
    <x v="2"/>
  </r>
  <r>
    <x v="2565"/>
    <x v="2"/>
    <n v="117"/>
    <n v="83"/>
    <n v="5"/>
    <n v="2"/>
    <n v="47.88"/>
    <x v="71"/>
    <x v="2"/>
    <n v="138"/>
    <n v="4.8499999999999996"/>
    <n v="128.96"/>
    <n v="1.37"/>
    <n v="9"/>
    <n v="0.76"/>
    <n v="392"/>
    <n v="8.59"/>
    <n v="0.95"/>
    <d v="2024-06-11T00:00:00"/>
    <n v="180.19"/>
    <n v="0.54"/>
    <n v="15088.320000000002"/>
    <x v="0"/>
    <x v="1"/>
  </r>
  <r>
    <x v="2566"/>
    <x v="2"/>
    <n v="190"/>
    <n v="33"/>
    <n v="6"/>
    <n v="4"/>
    <n v="8.5399999999999991"/>
    <x v="66"/>
    <x v="0"/>
    <n v="173"/>
    <n v="1.1100000000000001"/>
    <n v="185.3"/>
    <n v="1.52"/>
    <n v="8"/>
    <n v="0.79"/>
    <n v="202"/>
    <n v="12.22"/>
    <n v="0.68"/>
    <d v="2024-09-05T00:00:00"/>
    <n v="121.97"/>
    <n v="0.54500000000000004"/>
    <n v="35207"/>
    <x v="0"/>
    <x v="1"/>
  </r>
  <r>
    <x v="2567"/>
    <x v="4"/>
    <n v="401"/>
    <n v="91"/>
    <n v="9"/>
    <n v="7"/>
    <n v="24.45"/>
    <x v="21"/>
    <x v="2"/>
    <n v="116"/>
    <n v="3.9"/>
    <n v="113.98"/>
    <n v="1.85"/>
    <n v="8"/>
    <n v="0.76"/>
    <n v="785"/>
    <n v="13.41"/>
    <n v="0.84"/>
    <d v="2024-08-18T00:00:00"/>
    <n v="67.41"/>
    <n v="0.55400000000000005"/>
    <n v="45705.98"/>
    <x v="0"/>
    <x v="0"/>
  </r>
  <r>
    <x v="2568"/>
    <x v="1"/>
    <n v="192"/>
    <n v="58"/>
    <n v="14"/>
    <n v="3"/>
    <n v="27.34"/>
    <x v="66"/>
    <x v="0"/>
    <n v="22"/>
    <n v="1.99"/>
    <n v="21.86"/>
    <n v="0.86"/>
    <n v="7"/>
    <n v="0.71"/>
    <n v="703"/>
    <n v="3.23"/>
    <n v="0.74"/>
    <d v="2024-06-17T00:00:00"/>
    <n v="249.7"/>
    <n v="0.50700000000000001"/>
    <n v="4197.12"/>
    <x v="0"/>
    <x v="1"/>
  </r>
  <r>
    <x v="2569"/>
    <x v="0"/>
    <n v="170"/>
    <n v="27"/>
    <n v="14"/>
    <n v="3"/>
    <n v="25.1"/>
    <x v="37"/>
    <x v="2"/>
    <n v="123"/>
    <n v="1.81"/>
    <n v="86.7"/>
    <n v="0.98"/>
    <n v="7"/>
    <n v="0.78"/>
    <n v="90"/>
    <n v="10.98"/>
    <n v="0.85"/>
    <d v="2024-11-11T00:00:00"/>
    <n v="201.6"/>
    <n v="0.63400000000000001"/>
    <n v="14739"/>
    <x v="0"/>
    <x v="1"/>
  </r>
  <r>
    <x v="2570"/>
    <x v="4"/>
    <n v="472"/>
    <n v="16"/>
    <n v="14"/>
    <n v="9"/>
    <n v="40.32"/>
    <x v="34"/>
    <x v="2"/>
    <n v="115"/>
    <n v="1.72"/>
    <n v="135.02000000000001"/>
    <n v="0.99"/>
    <n v="8"/>
    <n v="0.71"/>
    <n v="535"/>
    <n v="7.71"/>
    <n v="0.71"/>
    <d v="2024-12-03T00:00:00"/>
    <n v="13.52"/>
    <n v="0.52800000000000002"/>
    <n v="63729.440000000002"/>
    <x v="0"/>
    <x v="0"/>
  </r>
  <r>
    <x v="2571"/>
    <x v="1"/>
    <n v="369"/>
    <n v="13"/>
    <n v="4"/>
    <n v="7"/>
    <n v="33.85"/>
    <x v="67"/>
    <x v="1"/>
    <n v="14"/>
    <n v="2.0699999999999998"/>
    <n v="83.13"/>
    <n v="0.61"/>
    <n v="8"/>
    <n v="0.75"/>
    <n v="727"/>
    <n v="6.85"/>
    <n v="0.54"/>
    <d v="2024-06-05T00:00:00"/>
    <n v="155.54"/>
    <n v="0.52800000000000002"/>
    <n v="30674.969999999998"/>
    <x v="0"/>
    <x v="0"/>
  </r>
  <r>
    <x v="2572"/>
    <x v="4"/>
    <n v="409"/>
    <n v="99"/>
    <n v="12"/>
    <n v="5"/>
    <n v="7.21"/>
    <x v="90"/>
    <x v="2"/>
    <n v="106"/>
    <n v="2.11"/>
    <n v="199.92"/>
    <n v="0.72"/>
    <n v="9"/>
    <n v="0.81"/>
    <n v="751"/>
    <n v="2.59"/>
    <n v="0.9"/>
    <d v="2024-12-21T00:00:00"/>
    <n v="88.68"/>
    <n v="0.52500000000000002"/>
    <n v="81767.28"/>
    <x v="0"/>
    <x v="0"/>
  </r>
  <r>
    <x v="2573"/>
    <x v="4"/>
    <n v="459"/>
    <n v="78"/>
    <n v="6"/>
    <n v="5"/>
    <n v="17.98"/>
    <x v="27"/>
    <x v="0"/>
    <n v="23"/>
    <n v="1.72"/>
    <n v="87.02"/>
    <n v="1.71"/>
    <n v="8"/>
    <n v="0.71"/>
    <n v="858"/>
    <n v="1.9"/>
    <n v="0.55000000000000004"/>
    <d v="2024-10-26T00:00:00"/>
    <n v="275.38"/>
    <n v="0.34599999999999997"/>
    <n v="39942.18"/>
    <x v="0"/>
    <x v="0"/>
  </r>
  <r>
    <x v="2574"/>
    <x v="3"/>
    <n v="141"/>
    <n v="69"/>
    <n v="6"/>
    <n v="6"/>
    <n v="17.61"/>
    <x v="53"/>
    <x v="2"/>
    <n v="89"/>
    <n v="3.5"/>
    <n v="113.78"/>
    <n v="0.75"/>
    <n v="4"/>
    <n v="0.93"/>
    <n v="606"/>
    <n v="14.69"/>
    <n v="0.52"/>
    <d v="2024-03-19T00:00:00"/>
    <n v="220.42"/>
    <n v="0.73099999999999998"/>
    <n v="16042.98"/>
    <x v="0"/>
    <x v="1"/>
  </r>
  <r>
    <x v="2575"/>
    <x v="1"/>
    <n v="127"/>
    <n v="64"/>
    <n v="3"/>
    <n v="6"/>
    <n v="28.72"/>
    <x v="74"/>
    <x v="1"/>
    <n v="129"/>
    <n v="0.71"/>
    <n v="52.82"/>
    <n v="1.75"/>
    <n v="5"/>
    <n v="0.94"/>
    <n v="769"/>
    <n v="9.99"/>
    <n v="0.7"/>
    <d v="2024-10-16T00:00:00"/>
    <n v="187.37"/>
    <n v="0.58599999999999997"/>
    <n v="6708.14"/>
    <x v="0"/>
    <x v="1"/>
  </r>
  <r>
    <x v="2576"/>
    <x v="0"/>
    <n v="23"/>
    <n v="25"/>
    <n v="12"/>
    <n v="3"/>
    <n v="15.28"/>
    <x v="19"/>
    <x v="2"/>
    <n v="169"/>
    <n v="2"/>
    <n v="38.909999999999997"/>
    <n v="0.68"/>
    <n v="4"/>
    <n v="0.82"/>
    <n v="431"/>
    <n v="7.33"/>
    <n v="0.95"/>
    <d v="2024-10-17T00:00:00"/>
    <n v="35.83"/>
    <n v="0.70399999999999996"/>
    <n v="894.93"/>
    <x v="1"/>
    <x v="2"/>
  </r>
  <r>
    <x v="2577"/>
    <x v="3"/>
    <n v="112"/>
    <n v="99"/>
    <n v="10"/>
    <n v="8"/>
    <n v="6.75"/>
    <x v="8"/>
    <x v="3"/>
    <n v="164"/>
    <n v="1.76"/>
    <n v="132.61000000000001"/>
    <n v="0.75"/>
    <n v="0"/>
    <n v="1"/>
    <n v="145"/>
    <n v="11.66"/>
    <n v="0.55000000000000004"/>
    <d v="2024-07-05T00:00:00"/>
    <n v="279.89"/>
    <n v="0.79"/>
    <n v="14852.320000000002"/>
    <x v="0"/>
    <x v="1"/>
  </r>
  <r>
    <x v="2578"/>
    <x v="4"/>
    <n v="426"/>
    <n v="91"/>
    <n v="3"/>
    <n v="3"/>
    <n v="33.03"/>
    <x v="66"/>
    <x v="0"/>
    <n v="44"/>
    <n v="3.88"/>
    <n v="121.84"/>
    <n v="1.1599999999999999"/>
    <n v="3"/>
    <n v="0.9"/>
    <n v="961"/>
    <n v="2.2799999999999998"/>
    <n v="0.66"/>
    <d v="2024-06-10T00:00:00"/>
    <n v="51.82"/>
    <n v="0.56599999999999995"/>
    <n v="51903.840000000004"/>
    <x v="0"/>
    <x v="0"/>
  </r>
  <r>
    <x v="2579"/>
    <x v="4"/>
    <n v="25"/>
    <n v="38"/>
    <n v="10"/>
    <n v="6"/>
    <n v="42.7"/>
    <x v="89"/>
    <x v="3"/>
    <n v="12"/>
    <n v="1.1599999999999999"/>
    <n v="10.82"/>
    <n v="0.3"/>
    <n v="0"/>
    <n v="0.92"/>
    <n v="836"/>
    <n v="9.5"/>
    <n v="0.59"/>
    <d v="2024-08-07T00:00:00"/>
    <n v="140.72"/>
    <n v="0.79900000000000004"/>
    <n v="270.5"/>
    <x v="1"/>
    <x v="2"/>
  </r>
  <r>
    <x v="2580"/>
    <x v="4"/>
    <n v="307"/>
    <n v="32"/>
    <n v="9"/>
    <n v="7"/>
    <n v="46.65"/>
    <x v="61"/>
    <x v="1"/>
    <n v="13"/>
    <n v="4.7300000000000004"/>
    <n v="64.11"/>
    <n v="1.85"/>
    <n v="0"/>
    <n v="0.76"/>
    <n v="342"/>
    <n v="10.25"/>
    <n v="0.93"/>
    <d v="2024-03-27T00:00:00"/>
    <n v="207.5"/>
    <n v="0.69"/>
    <n v="19681.77"/>
    <x v="0"/>
    <x v="0"/>
  </r>
  <r>
    <x v="2581"/>
    <x v="1"/>
    <n v="125"/>
    <n v="23"/>
    <n v="11"/>
    <n v="6"/>
    <n v="48.66"/>
    <x v="40"/>
    <x v="3"/>
    <n v="144"/>
    <n v="1.27"/>
    <n v="132.28"/>
    <n v="1.66"/>
    <n v="2"/>
    <n v="0.95"/>
    <n v="284"/>
    <n v="7.33"/>
    <n v="0.74"/>
    <d v="2024-01-03T00:00:00"/>
    <n v="153.47999999999999"/>
    <n v="0.63"/>
    <n v="16535"/>
    <x v="0"/>
    <x v="1"/>
  </r>
  <r>
    <x v="2582"/>
    <x v="1"/>
    <n v="165"/>
    <n v="88"/>
    <n v="10"/>
    <n v="3"/>
    <n v="39.270000000000003"/>
    <x v="56"/>
    <x v="2"/>
    <n v="140"/>
    <n v="2.17"/>
    <n v="164.33"/>
    <n v="1.37"/>
    <n v="6"/>
    <n v="0.98"/>
    <n v="390"/>
    <n v="4.54"/>
    <n v="0.54"/>
    <d v="2024-06-09T00:00:00"/>
    <n v="265.92"/>
    <n v="0.50800000000000001"/>
    <n v="27114.45"/>
    <x v="0"/>
    <x v="1"/>
  </r>
  <r>
    <x v="2583"/>
    <x v="3"/>
    <n v="290"/>
    <n v="58"/>
    <n v="7"/>
    <n v="4"/>
    <n v="7.85"/>
    <x v="25"/>
    <x v="0"/>
    <n v="90"/>
    <n v="1.4"/>
    <n v="69.349999999999994"/>
    <n v="1.98"/>
    <n v="0"/>
    <n v="0.77"/>
    <n v="768"/>
    <n v="14.36"/>
    <n v="0.69"/>
    <d v="2024-05-06T00:00:00"/>
    <n v="252.25"/>
    <n v="0.68500000000000005"/>
    <n v="20111.5"/>
    <x v="0"/>
    <x v="0"/>
  </r>
  <r>
    <x v="2584"/>
    <x v="0"/>
    <n v="443"/>
    <n v="42"/>
    <n v="10"/>
    <n v="3"/>
    <n v="42.8"/>
    <x v="5"/>
    <x v="3"/>
    <n v="120"/>
    <n v="1.79"/>
    <n v="133.01"/>
    <n v="0.13"/>
    <n v="6"/>
    <n v="0.91"/>
    <n v="587"/>
    <n v="5.22"/>
    <n v="0.32"/>
    <d v="2024-04-23T00:00:00"/>
    <n v="49.26"/>
    <n v="0.58299999999999996"/>
    <n v="58923.429999999993"/>
    <x v="0"/>
    <x v="0"/>
  </r>
  <r>
    <x v="2585"/>
    <x v="3"/>
    <n v="397"/>
    <n v="34"/>
    <n v="13"/>
    <n v="4"/>
    <n v="20.6"/>
    <x v="71"/>
    <x v="2"/>
    <n v="68"/>
    <n v="3.92"/>
    <n v="60.4"/>
    <n v="0.88"/>
    <n v="9"/>
    <n v="0.92"/>
    <n v="399"/>
    <n v="2.75"/>
    <n v="0.47"/>
    <d v="2024-12-30T00:00:00"/>
    <n v="189.11"/>
    <n v="0.44700000000000001"/>
    <n v="23978.799999999999"/>
    <x v="0"/>
    <x v="0"/>
  </r>
  <r>
    <x v="2586"/>
    <x v="2"/>
    <n v="115"/>
    <n v="30"/>
    <n v="12"/>
    <n v="4"/>
    <n v="36.770000000000003"/>
    <x v="32"/>
    <x v="3"/>
    <n v="83"/>
    <n v="2.64"/>
    <n v="141.16999999999999"/>
    <n v="1.73"/>
    <n v="9"/>
    <n v="0.79"/>
    <n v="921"/>
    <n v="9.83"/>
    <n v="0.79"/>
    <d v="2024-11-24T00:00:00"/>
    <n v="25.14"/>
    <n v="0.49399999999999999"/>
    <n v="16234.55"/>
    <x v="0"/>
    <x v="1"/>
  </r>
  <r>
    <x v="2587"/>
    <x v="4"/>
    <n v="476"/>
    <n v="26"/>
    <n v="14"/>
    <n v="3"/>
    <n v="27.03"/>
    <x v="76"/>
    <x v="2"/>
    <n v="138"/>
    <n v="1.23"/>
    <n v="142.61000000000001"/>
    <n v="0.92"/>
    <n v="0"/>
    <n v="0.84"/>
    <n v="256"/>
    <n v="9.0399999999999991"/>
    <n v="0.65"/>
    <d v="2024-08-11T00:00:00"/>
    <n v="218.97"/>
    <n v="0.72699999999999998"/>
    <n v="67882.36"/>
    <x v="0"/>
    <x v="0"/>
  </r>
  <r>
    <x v="2588"/>
    <x v="4"/>
    <n v="248"/>
    <n v="32"/>
    <n v="14"/>
    <n v="8"/>
    <n v="41.6"/>
    <x v="43"/>
    <x v="2"/>
    <n v="165"/>
    <n v="0.71"/>
    <n v="34.74"/>
    <n v="0.11"/>
    <n v="8"/>
    <n v="0.73"/>
    <n v="540"/>
    <n v="11.57"/>
    <n v="0.45"/>
    <d v="2024-05-21T00:00:00"/>
    <n v="223.45"/>
    <n v="0.61899999999999999"/>
    <n v="8615.52"/>
    <x v="0"/>
    <x v="1"/>
  </r>
  <r>
    <x v="2589"/>
    <x v="4"/>
    <n v="221"/>
    <n v="66"/>
    <n v="5"/>
    <n v="8"/>
    <n v="21.85"/>
    <x v="78"/>
    <x v="3"/>
    <n v="68"/>
    <n v="1.53"/>
    <n v="136.37"/>
    <n v="0.4"/>
    <n v="4"/>
    <n v="0.75"/>
    <n v="430"/>
    <n v="11.55"/>
    <n v="0.49"/>
    <d v="2024-07-03T00:00:00"/>
    <n v="109.9"/>
    <n v="0.68200000000000005"/>
    <n v="30137.77"/>
    <x v="0"/>
    <x v="1"/>
  </r>
  <r>
    <x v="2590"/>
    <x v="3"/>
    <n v="231"/>
    <n v="90"/>
    <n v="12"/>
    <n v="2"/>
    <n v="4.03"/>
    <x v="99"/>
    <x v="1"/>
    <n v="127"/>
    <n v="4.76"/>
    <n v="73.38"/>
    <n v="0.92"/>
    <n v="5"/>
    <n v="0.72"/>
    <n v="190"/>
    <n v="9.68"/>
    <n v="0.85"/>
    <d v="2024-03-09T00:00:00"/>
    <n v="238.11"/>
    <n v="0.65100000000000002"/>
    <n v="16950.78"/>
    <x v="0"/>
    <x v="1"/>
  </r>
  <r>
    <x v="2591"/>
    <x v="3"/>
    <n v="25"/>
    <n v="67"/>
    <n v="9"/>
    <n v="6"/>
    <n v="28.28"/>
    <x v="24"/>
    <x v="0"/>
    <n v="147"/>
    <n v="4.3"/>
    <n v="42.79"/>
    <n v="1.37"/>
    <n v="8"/>
    <n v="0.87"/>
    <n v="908"/>
    <n v="3.91"/>
    <n v="0.63"/>
    <d v="2024-12-13T00:00:00"/>
    <n v="199.28"/>
    <n v="0.45500000000000002"/>
    <n v="1069.75"/>
    <x v="1"/>
    <x v="2"/>
  </r>
  <r>
    <x v="2592"/>
    <x v="4"/>
    <n v="131"/>
    <n v="23"/>
    <n v="14"/>
    <n v="8"/>
    <n v="9.39"/>
    <x v="5"/>
    <x v="1"/>
    <n v="112"/>
    <n v="2.48"/>
    <n v="105.07"/>
    <n v="0.41"/>
    <n v="2"/>
    <n v="0.89"/>
    <n v="648"/>
    <n v="13.42"/>
    <n v="0.39"/>
    <d v="2024-06-18T00:00:00"/>
    <n v="156.16999999999999"/>
    <n v="0.754"/>
    <n v="13764.169999999998"/>
    <x v="0"/>
    <x v="1"/>
  </r>
  <r>
    <x v="2593"/>
    <x v="3"/>
    <n v="395"/>
    <n v="29"/>
    <n v="6"/>
    <n v="5"/>
    <n v="48.31"/>
    <x v="28"/>
    <x v="3"/>
    <n v="140"/>
    <n v="2.67"/>
    <n v="95.94"/>
    <n v="0.95"/>
    <n v="2"/>
    <n v="0.97"/>
    <n v="979"/>
    <n v="4.4800000000000004"/>
    <n v="0.44"/>
    <d v="2024-09-02T00:00:00"/>
    <n v="142.03"/>
    <n v="0.60699999999999998"/>
    <n v="37896.299999999996"/>
    <x v="0"/>
    <x v="0"/>
  </r>
  <r>
    <x v="2594"/>
    <x v="1"/>
    <n v="398"/>
    <n v="39"/>
    <n v="7"/>
    <n v="3"/>
    <n v="26.82"/>
    <x v="63"/>
    <x v="2"/>
    <n v="144"/>
    <n v="4.55"/>
    <n v="157.04"/>
    <n v="0.12"/>
    <n v="4"/>
    <n v="0.86"/>
    <n v="940"/>
    <n v="2.3199999999999998"/>
    <n v="0.56999999999999995"/>
    <d v="2024-08-24T00:00:00"/>
    <n v="41.65"/>
    <n v="0.625"/>
    <n v="62501.919999999998"/>
    <x v="0"/>
    <x v="0"/>
  </r>
  <r>
    <x v="2595"/>
    <x v="1"/>
    <n v="466"/>
    <n v="28"/>
    <n v="11"/>
    <n v="4"/>
    <n v="28.12"/>
    <x v="47"/>
    <x v="3"/>
    <n v="18"/>
    <n v="3.16"/>
    <n v="26.06"/>
    <n v="1.01"/>
    <n v="6"/>
    <n v="0.78"/>
    <n v="659"/>
    <n v="5.22"/>
    <n v="0.81"/>
    <d v="2024-08-16T00:00:00"/>
    <n v="164.02"/>
    <n v="0.56699999999999995"/>
    <n v="12143.96"/>
    <x v="0"/>
    <x v="0"/>
  </r>
  <r>
    <x v="2596"/>
    <x v="3"/>
    <n v="342"/>
    <n v="62"/>
    <n v="9"/>
    <n v="3"/>
    <n v="45.46"/>
    <x v="82"/>
    <x v="2"/>
    <n v="108"/>
    <n v="4.46"/>
    <n v="160.05000000000001"/>
    <n v="1.8"/>
    <n v="2"/>
    <n v="0.72"/>
    <n v="72"/>
    <n v="7.77"/>
    <n v="1"/>
    <d v="2024-07-02T00:00:00"/>
    <n v="55.27"/>
    <n v="0.628"/>
    <n v="54737.100000000006"/>
    <x v="0"/>
    <x v="0"/>
  </r>
  <r>
    <x v="2597"/>
    <x v="4"/>
    <n v="125"/>
    <n v="65"/>
    <n v="6"/>
    <n v="6"/>
    <n v="31.6"/>
    <x v="66"/>
    <x v="2"/>
    <n v="150"/>
    <n v="2.71"/>
    <n v="30.16"/>
    <n v="1.23"/>
    <n v="3"/>
    <n v="0.97"/>
    <n v="811"/>
    <n v="3.9"/>
    <n v="0.35"/>
    <d v="2024-06-05T00:00:00"/>
    <n v="200.25"/>
    <n v="0.53300000000000003"/>
    <n v="3770"/>
    <x v="0"/>
    <x v="1"/>
  </r>
  <r>
    <x v="2598"/>
    <x v="3"/>
    <n v="158"/>
    <n v="86"/>
    <n v="8"/>
    <n v="7"/>
    <n v="15.83"/>
    <x v="48"/>
    <x v="1"/>
    <n v="177"/>
    <n v="1.4"/>
    <n v="49.42"/>
    <n v="0.94"/>
    <n v="1"/>
    <n v="0.84"/>
    <n v="413"/>
    <n v="5.67"/>
    <n v="0.8"/>
    <d v="2024-09-06T00:00:00"/>
    <n v="182.47"/>
    <n v="0.69"/>
    <n v="7808.3600000000006"/>
    <x v="0"/>
    <x v="1"/>
  </r>
  <r>
    <x v="2599"/>
    <x v="3"/>
    <n v="318"/>
    <n v="91"/>
    <n v="12"/>
    <n v="8"/>
    <n v="15.51"/>
    <x v="27"/>
    <x v="1"/>
    <n v="123"/>
    <n v="3.77"/>
    <n v="108.02"/>
    <n v="0.41"/>
    <n v="8"/>
    <n v="0.92"/>
    <n v="811"/>
    <n v="8.19"/>
    <n v="0.69"/>
    <d v="2024-10-09T00:00:00"/>
    <n v="94.25"/>
    <n v="0.63"/>
    <n v="34350.36"/>
    <x v="0"/>
    <x v="0"/>
  </r>
  <r>
    <x v="2600"/>
    <x v="3"/>
    <n v="420"/>
    <n v="32"/>
    <n v="13"/>
    <n v="8"/>
    <n v="25.58"/>
    <x v="28"/>
    <x v="3"/>
    <n v="71"/>
    <n v="2.87"/>
    <n v="98"/>
    <n v="0.48"/>
    <n v="9"/>
    <n v="0.7"/>
    <n v="197"/>
    <n v="5.52"/>
    <n v="0.62"/>
    <d v="2024-02-25T00:00:00"/>
    <n v="81.63"/>
    <n v="0.51"/>
    <n v="41160"/>
    <x v="0"/>
    <x v="0"/>
  </r>
  <r>
    <x v="2601"/>
    <x v="2"/>
    <n v="115"/>
    <n v="71"/>
    <n v="9"/>
    <n v="8"/>
    <n v="43.46"/>
    <x v="69"/>
    <x v="0"/>
    <n v="71"/>
    <n v="3.51"/>
    <n v="197.88"/>
    <n v="0.25"/>
    <n v="8"/>
    <n v="0.85"/>
    <n v="615"/>
    <n v="2.25"/>
    <n v="0.97"/>
    <d v="2024-03-30T00:00:00"/>
    <n v="148.06"/>
    <n v="0.60899999999999999"/>
    <n v="22756.2"/>
    <x v="0"/>
    <x v="1"/>
  </r>
  <r>
    <x v="2602"/>
    <x v="1"/>
    <n v="407"/>
    <n v="42"/>
    <n v="12"/>
    <n v="4"/>
    <n v="39.94"/>
    <x v="74"/>
    <x v="1"/>
    <n v="19"/>
    <n v="1.21"/>
    <n v="122"/>
    <n v="1.51"/>
    <n v="1"/>
    <n v="0.8"/>
    <n v="876"/>
    <n v="3.76"/>
    <n v="0.46"/>
    <d v="2024-11-26T00:00:00"/>
    <n v="158.62"/>
    <n v="0.53100000000000003"/>
    <n v="49654"/>
    <x v="0"/>
    <x v="0"/>
  </r>
  <r>
    <x v="2603"/>
    <x v="0"/>
    <n v="466"/>
    <n v="27"/>
    <n v="11"/>
    <n v="5"/>
    <n v="48.17"/>
    <x v="61"/>
    <x v="2"/>
    <n v="96"/>
    <n v="3.41"/>
    <n v="72.209999999999994"/>
    <n v="0.25"/>
    <n v="4"/>
    <n v="0.71"/>
    <n v="965"/>
    <n v="12.12"/>
    <n v="0.34"/>
    <d v="2024-11-06T00:00:00"/>
    <n v="241.4"/>
    <n v="0.66700000000000004"/>
    <n v="33649.86"/>
    <x v="0"/>
    <x v="0"/>
  </r>
  <r>
    <x v="2604"/>
    <x v="0"/>
    <n v="471"/>
    <n v="82"/>
    <n v="6"/>
    <n v="9"/>
    <n v="4.5199999999999996"/>
    <x v="69"/>
    <x v="3"/>
    <n v="20"/>
    <n v="2.2200000000000002"/>
    <n v="181.03"/>
    <n v="0.83"/>
    <n v="0"/>
    <n v="0.93"/>
    <n v="600"/>
    <n v="14.36"/>
    <n v="0.9"/>
    <d v="2024-02-11T00:00:00"/>
    <n v="98.15"/>
    <n v="0.874"/>
    <n v="85265.13"/>
    <x v="0"/>
    <x v="0"/>
  </r>
  <r>
    <x v="2605"/>
    <x v="2"/>
    <n v="356"/>
    <n v="42"/>
    <n v="12"/>
    <n v="5"/>
    <n v="14.15"/>
    <x v="88"/>
    <x v="3"/>
    <n v="71"/>
    <n v="1.99"/>
    <n v="69.319999999999993"/>
    <n v="1.52"/>
    <n v="7"/>
    <n v="0.85"/>
    <n v="554"/>
    <n v="3.08"/>
    <n v="0.25"/>
    <d v="2024-05-23T00:00:00"/>
    <n v="126.99"/>
    <n v="0.36899999999999999"/>
    <n v="24677.919999999998"/>
    <x v="0"/>
    <x v="0"/>
  </r>
  <r>
    <x v="2606"/>
    <x v="3"/>
    <n v="316"/>
    <n v="41"/>
    <n v="5"/>
    <n v="8"/>
    <n v="4.93"/>
    <x v="69"/>
    <x v="0"/>
    <n v="86"/>
    <n v="3.52"/>
    <n v="62.02"/>
    <n v="1.45"/>
    <n v="5"/>
    <n v="0.8"/>
    <n v="895"/>
    <n v="10.53"/>
    <n v="0.85"/>
    <d v="2024-03-12T00:00:00"/>
    <n v="109.56"/>
    <n v="0.625"/>
    <n v="19598.32"/>
    <x v="0"/>
    <x v="0"/>
  </r>
  <r>
    <x v="2607"/>
    <x v="2"/>
    <n v="486"/>
    <n v="70"/>
    <n v="10"/>
    <n v="5"/>
    <n v="37.799999999999997"/>
    <x v="87"/>
    <x v="3"/>
    <n v="113"/>
    <n v="3.17"/>
    <n v="103.93"/>
    <n v="1.2"/>
    <n v="9"/>
    <n v="0.94"/>
    <n v="267"/>
    <n v="13.68"/>
    <n v="0.67"/>
    <d v="2024-10-02T00:00:00"/>
    <n v="124.29"/>
    <n v="0.60399999999999998"/>
    <n v="50509.98"/>
    <x v="0"/>
    <x v="0"/>
  </r>
  <r>
    <x v="2608"/>
    <x v="2"/>
    <n v="408"/>
    <n v="63"/>
    <n v="3"/>
    <n v="7"/>
    <n v="7.9"/>
    <x v="11"/>
    <x v="1"/>
    <n v="65"/>
    <n v="3.42"/>
    <n v="183.5"/>
    <n v="1.19"/>
    <n v="9"/>
    <n v="0.83"/>
    <n v="908"/>
    <n v="5.19"/>
    <n v="0.33"/>
    <d v="2024-04-10T00:00:00"/>
    <n v="174.46"/>
    <n v="0.40200000000000002"/>
    <n v="74868"/>
    <x v="0"/>
    <x v="0"/>
  </r>
  <r>
    <x v="2609"/>
    <x v="4"/>
    <n v="435"/>
    <n v="26"/>
    <n v="11"/>
    <n v="8"/>
    <n v="5.89"/>
    <x v="70"/>
    <x v="2"/>
    <n v="119"/>
    <n v="4.84"/>
    <n v="144.62"/>
    <n v="0.27"/>
    <n v="1"/>
    <n v="0.7"/>
    <n v="531"/>
    <n v="12.61"/>
    <n v="0.38"/>
    <d v="2024-05-14T00:00:00"/>
    <n v="171.67"/>
    <n v="0.73699999999999999"/>
    <n v="62909.700000000004"/>
    <x v="0"/>
    <x v="0"/>
  </r>
  <r>
    <x v="2610"/>
    <x v="1"/>
    <n v="233"/>
    <n v="28"/>
    <n v="3"/>
    <n v="2"/>
    <n v="28.52"/>
    <x v="17"/>
    <x v="3"/>
    <n v="58"/>
    <n v="3.66"/>
    <n v="138.72"/>
    <n v="0.43"/>
    <n v="1"/>
    <n v="0.98"/>
    <n v="465"/>
    <n v="13.67"/>
    <n v="0.32"/>
    <d v="2024-11-16T00:00:00"/>
    <n v="114.79"/>
    <n v="0.77900000000000003"/>
    <n v="32321.759999999998"/>
    <x v="0"/>
    <x v="1"/>
  </r>
  <r>
    <x v="2611"/>
    <x v="0"/>
    <n v="473"/>
    <n v="79"/>
    <n v="4"/>
    <n v="4"/>
    <n v="21.16"/>
    <x v="38"/>
    <x v="3"/>
    <n v="25"/>
    <n v="3.38"/>
    <n v="147.94999999999999"/>
    <n v="1.1200000000000001"/>
    <n v="9"/>
    <n v="0.78"/>
    <n v="986"/>
    <n v="5.19"/>
    <n v="0.77"/>
    <d v="2024-02-09T00:00:00"/>
    <n v="184.71"/>
    <n v="0.48699999999999999"/>
    <n v="69980.349999999991"/>
    <x v="0"/>
    <x v="0"/>
  </r>
  <r>
    <x v="2612"/>
    <x v="3"/>
    <n v="310"/>
    <n v="43"/>
    <n v="10"/>
    <n v="7"/>
    <n v="36.04"/>
    <x v="89"/>
    <x v="2"/>
    <n v="82"/>
    <n v="3.26"/>
    <n v="135.33000000000001"/>
    <n v="0.76"/>
    <n v="4"/>
    <n v="0.95"/>
    <n v="798"/>
    <n v="1.79"/>
    <n v="0.32"/>
    <d v="2024-02-08T00:00:00"/>
    <n v="188.65"/>
    <n v="0.52200000000000002"/>
    <n v="41952.3"/>
    <x v="0"/>
    <x v="0"/>
  </r>
  <r>
    <x v="2613"/>
    <x v="0"/>
    <n v="41"/>
    <n v="93"/>
    <n v="11"/>
    <n v="9"/>
    <n v="24.86"/>
    <x v="15"/>
    <x v="3"/>
    <n v="125"/>
    <n v="2.29"/>
    <n v="154.36000000000001"/>
    <n v="0.14000000000000001"/>
    <n v="6"/>
    <n v="0.94"/>
    <n v="374"/>
    <n v="13.84"/>
    <n v="0.75"/>
    <d v="2024-01-10T00:00:00"/>
    <n v="162.80000000000001"/>
    <n v="0.78900000000000003"/>
    <n v="6328.76"/>
    <x v="1"/>
    <x v="2"/>
  </r>
  <r>
    <x v="2614"/>
    <x v="0"/>
    <n v="212"/>
    <n v="34"/>
    <n v="9"/>
    <n v="4"/>
    <n v="21.84"/>
    <x v="73"/>
    <x v="3"/>
    <n v="102"/>
    <n v="4.28"/>
    <n v="46.62"/>
    <n v="1.62"/>
    <n v="8"/>
    <n v="0.75"/>
    <n v="885"/>
    <n v="5.63"/>
    <n v="0.3"/>
    <d v="2024-09-16T00:00:00"/>
    <n v="141.18"/>
    <n v="0.36299999999999999"/>
    <n v="9883.4399999999987"/>
    <x v="0"/>
    <x v="1"/>
  </r>
  <r>
    <x v="2615"/>
    <x v="1"/>
    <n v="487"/>
    <n v="77"/>
    <n v="5"/>
    <n v="9"/>
    <n v="21.85"/>
    <x v="33"/>
    <x v="0"/>
    <n v="146"/>
    <n v="2.21"/>
    <n v="43.68"/>
    <n v="1.34"/>
    <n v="8"/>
    <n v="0.84"/>
    <n v="904"/>
    <n v="1.19"/>
    <n v="0.84"/>
    <d v="2024-11-19T00:00:00"/>
    <n v="32.6"/>
    <n v="0.45800000000000002"/>
    <n v="21272.16"/>
    <x v="0"/>
    <x v="0"/>
  </r>
  <r>
    <x v="2616"/>
    <x v="0"/>
    <n v="169"/>
    <n v="83"/>
    <n v="9"/>
    <n v="8"/>
    <n v="43.72"/>
    <x v="76"/>
    <x v="1"/>
    <n v="42"/>
    <n v="3.65"/>
    <n v="78.81"/>
    <n v="0.72"/>
    <n v="5"/>
    <n v="0.71"/>
    <n v="838"/>
    <n v="7.65"/>
    <n v="0.94"/>
    <d v="2024-01-16T00:00:00"/>
    <n v="166.97"/>
    <n v="0.66"/>
    <n v="13318.890000000001"/>
    <x v="0"/>
    <x v="1"/>
  </r>
  <r>
    <x v="2617"/>
    <x v="0"/>
    <n v="387"/>
    <n v="83"/>
    <n v="8"/>
    <n v="7"/>
    <n v="20.37"/>
    <x v="76"/>
    <x v="3"/>
    <n v="97"/>
    <n v="1.82"/>
    <n v="171.68"/>
    <n v="0.28999999999999998"/>
    <n v="1"/>
    <n v="0.81"/>
    <n v="786"/>
    <n v="2.62"/>
    <n v="0.65"/>
    <d v="2024-10-24T00:00:00"/>
    <n v="216.68"/>
    <n v="0.67800000000000005"/>
    <n v="66440.160000000003"/>
    <x v="0"/>
    <x v="0"/>
  </r>
  <r>
    <x v="2618"/>
    <x v="2"/>
    <n v="266"/>
    <n v="97"/>
    <n v="4"/>
    <n v="8"/>
    <n v="17.34"/>
    <x v="98"/>
    <x v="1"/>
    <n v="172"/>
    <n v="1.1599999999999999"/>
    <n v="145.75"/>
    <n v="1.22"/>
    <n v="5"/>
    <n v="0.92"/>
    <n v="538"/>
    <n v="13.62"/>
    <n v="0.97"/>
    <d v="2024-10-23T00:00:00"/>
    <n v="72.44"/>
    <n v="0.73799999999999999"/>
    <n v="38769.5"/>
    <x v="0"/>
    <x v="0"/>
  </r>
  <r>
    <x v="2619"/>
    <x v="1"/>
    <n v="286"/>
    <n v="94"/>
    <n v="5"/>
    <n v="9"/>
    <n v="17.59"/>
    <x v="69"/>
    <x v="0"/>
    <n v="48"/>
    <n v="1.08"/>
    <n v="117.63"/>
    <n v="0.76"/>
    <n v="0"/>
    <n v="0.77"/>
    <n v="457"/>
    <n v="3.17"/>
    <n v="0.51"/>
    <d v="2024-07-26T00:00:00"/>
    <n v="235.57"/>
    <n v="0.622"/>
    <n v="33642.18"/>
    <x v="0"/>
    <x v="0"/>
  </r>
  <r>
    <x v="2620"/>
    <x v="4"/>
    <n v="480"/>
    <n v="20"/>
    <n v="13"/>
    <n v="9"/>
    <n v="10.63"/>
    <x v="77"/>
    <x v="1"/>
    <n v="123"/>
    <n v="3.36"/>
    <n v="13.7"/>
    <n v="0.59"/>
    <n v="1"/>
    <n v="0.74"/>
    <n v="193"/>
    <n v="5.26"/>
    <n v="0.4"/>
    <d v="2024-10-29T00:00:00"/>
    <n v="180.06"/>
    <n v="0.61899999999999999"/>
    <n v="6576"/>
    <x v="0"/>
    <x v="0"/>
  </r>
  <r>
    <x v="2621"/>
    <x v="3"/>
    <n v="270"/>
    <n v="25"/>
    <n v="14"/>
    <n v="7"/>
    <n v="43.17"/>
    <x v="22"/>
    <x v="0"/>
    <n v="86"/>
    <n v="1.98"/>
    <n v="54.8"/>
    <n v="1.47"/>
    <n v="2"/>
    <n v="0.85"/>
    <n v="849"/>
    <n v="12.07"/>
    <n v="0.34"/>
    <d v="2024-04-18T00:00:00"/>
    <n v="78.88"/>
    <n v="0.61199999999999999"/>
    <n v="14796"/>
    <x v="0"/>
    <x v="0"/>
  </r>
  <r>
    <x v="2622"/>
    <x v="0"/>
    <n v="22"/>
    <n v="99"/>
    <n v="12"/>
    <n v="8"/>
    <n v="8.18"/>
    <x v="9"/>
    <x v="1"/>
    <n v="96"/>
    <n v="1.74"/>
    <n v="162.66999999999999"/>
    <n v="0.72"/>
    <n v="4"/>
    <n v="0.86"/>
    <n v="260"/>
    <n v="12.29"/>
    <n v="0.57999999999999996"/>
    <d v="2024-01-19T00:00:00"/>
    <n v="57.26"/>
    <n v="0.7"/>
    <n v="3578.74"/>
    <x v="1"/>
    <x v="2"/>
  </r>
  <r>
    <x v="2623"/>
    <x v="3"/>
    <n v="412"/>
    <n v="70"/>
    <n v="12"/>
    <n v="2"/>
    <n v="45.52"/>
    <x v="91"/>
    <x v="1"/>
    <n v="162"/>
    <n v="3.16"/>
    <n v="56.07"/>
    <n v="0.36"/>
    <n v="9"/>
    <n v="0.9"/>
    <n v="715"/>
    <n v="13.62"/>
    <n v="0.3"/>
    <d v="2024-10-09T00:00:00"/>
    <n v="81.17"/>
    <n v="0.60599999999999998"/>
    <n v="23100.84"/>
    <x v="0"/>
    <x v="0"/>
  </r>
  <r>
    <x v="2624"/>
    <x v="4"/>
    <n v="335"/>
    <n v="89"/>
    <n v="14"/>
    <n v="4"/>
    <n v="14.89"/>
    <x v="98"/>
    <x v="3"/>
    <n v="123"/>
    <n v="0.62"/>
    <n v="148.76"/>
    <n v="1.02"/>
    <n v="0"/>
    <n v="0.93"/>
    <n v="308"/>
    <n v="7.96"/>
    <n v="0.9"/>
    <d v="2024-05-13T00:00:00"/>
    <n v="230.13"/>
    <n v="0.77"/>
    <n v="49834.6"/>
    <x v="0"/>
    <x v="0"/>
  </r>
  <r>
    <x v="2625"/>
    <x v="3"/>
    <n v="95"/>
    <n v="16"/>
    <n v="7"/>
    <n v="7"/>
    <n v="45.07"/>
    <x v="39"/>
    <x v="1"/>
    <n v="65"/>
    <n v="1.61"/>
    <n v="45.08"/>
    <n v="1.67"/>
    <n v="9"/>
    <n v="0.91"/>
    <n v="276"/>
    <n v="14.81"/>
    <n v="0.83"/>
    <d v="2024-10-05T00:00:00"/>
    <n v="82.65"/>
    <n v="0.59799999999999998"/>
    <n v="4282.5999999999995"/>
    <x v="0"/>
    <x v="2"/>
  </r>
  <r>
    <x v="2626"/>
    <x v="4"/>
    <n v="106"/>
    <n v="25"/>
    <n v="12"/>
    <n v="2"/>
    <n v="39.75"/>
    <x v="81"/>
    <x v="3"/>
    <n v="147"/>
    <n v="2.0299999999999998"/>
    <n v="125.21"/>
    <n v="1.71"/>
    <n v="4"/>
    <n v="0.95"/>
    <n v="643"/>
    <n v="8.23"/>
    <n v="0.65"/>
    <d v="2024-10-03T00:00:00"/>
    <n v="208.13"/>
    <n v="0.57899999999999996"/>
    <n v="13272.26"/>
    <x v="0"/>
    <x v="1"/>
  </r>
  <r>
    <x v="2627"/>
    <x v="2"/>
    <n v="289"/>
    <n v="25"/>
    <n v="6"/>
    <n v="3"/>
    <n v="29.52"/>
    <x v="8"/>
    <x v="3"/>
    <n v="50"/>
    <n v="3.69"/>
    <n v="129.36000000000001"/>
    <n v="1.71"/>
    <n v="4"/>
    <n v="0.77"/>
    <n v="938"/>
    <n v="12.07"/>
    <n v="0.78"/>
    <d v="2024-08-29T00:00:00"/>
    <n v="168.29"/>
    <n v="0.62"/>
    <n v="37385.040000000001"/>
    <x v="0"/>
    <x v="0"/>
  </r>
  <r>
    <x v="2628"/>
    <x v="0"/>
    <n v="244"/>
    <n v="49"/>
    <n v="4"/>
    <n v="8"/>
    <n v="33.799999999999997"/>
    <x v="83"/>
    <x v="1"/>
    <n v="113"/>
    <n v="2.95"/>
    <n v="152.87"/>
    <n v="0.9"/>
    <n v="3"/>
    <n v="0.87"/>
    <n v="421"/>
    <n v="6.07"/>
    <n v="0.24"/>
    <d v="2024-11-30T00:00:00"/>
    <n v="168.59"/>
    <n v="0.55300000000000005"/>
    <n v="37300.28"/>
    <x v="0"/>
    <x v="1"/>
  </r>
  <r>
    <x v="2629"/>
    <x v="4"/>
    <n v="37"/>
    <n v="21"/>
    <n v="6"/>
    <n v="6"/>
    <n v="16.97"/>
    <x v="7"/>
    <x v="3"/>
    <n v="108"/>
    <n v="4.3499999999999996"/>
    <n v="93.29"/>
    <n v="1.6"/>
    <n v="2"/>
    <n v="0.81"/>
    <n v="440"/>
    <n v="14.18"/>
    <n v="0.36"/>
    <d v="2024-03-17T00:00:00"/>
    <n v="257.25"/>
    <n v="0.623"/>
    <n v="3451.73"/>
    <x v="0"/>
    <x v="2"/>
  </r>
  <r>
    <x v="2630"/>
    <x v="3"/>
    <n v="132"/>
    <n v="44"/>
    <n v="14"/>
    <n v="7"/>
    <n v="29.14"/>
    <x v="35"/>
    <x v="1"/>
    <n v="68"/>
    <n v="2.0099999999999998"/>
    <n v="130.21"/>
    <n v="1.72"/>
    <n v="6"/>
    <n v="0.99"/>
    <n v="137"/>
    <n v="10.59"/>
    <n v="0.7"/>
    <d v="2024-07-06T00:00:00"/>
    <n v="263.67"/>
    <n v="0.58699999999999997"/>
    <n v="17187.72"/>
    <x v="0"/>
    <x v="1"/>
  </r>
  <r>
    <x v="2631"/>
    <x v="0"/>
    <n v="270"/>
    <n v="30"/>
    <n v="10"/>
    <n v="5"/>
    <n v="15.33"/>
    <x v="37"/>
    <x v="2"/>
    <n v="165"/>
    <n v="1.83"/>
    <n v="102.52"/>
    <n v="0.97"/>
    <n v="6"/>
    <n v="0.83"/>
    <n v="449"/>
    <n v="2.08"/>
    <n v="0.57999999999999996"/>
    <d v="2024-07-19T00:00:00"/>
    <n v="165.7"/>
    <n v="0.49299999999999999"/>
    <n v="27680.399999999998"/>
    <x v="0"/>
    <x v="0"/>
  </r>
  <r>
    <x v="2632"/>
    <x v="2"/>
    <n v="252"/>
    <n v="59"/>
    <n v="7"/>
    <n v="2"/>
    <n v="20.71"/>
    <x v="46"/>
    <x v="3"/>
    <n v="131"/>
    <n v="0.65"/>
    <n v="189.99"/>
    <n v="0.71"/>
    <n v="0"/>
    <n v="0.99"/>
    <n v="358"/>
    <n v="2.52"/>
    <n v="0.68"/>
    <d v="2024-04-24T00:00:00"/>
    <n v="28.93"/>
    <n v="0.69699999999999995"/>
    <n v="47877.48"/>
    <x v="0"/>
    <x v="0"/>
  </r>
  <r>
    <x v="2633"/>
    <x v="0"/>
    <n v="348"/>
    <n v="52"/>
    <n v="7"/>
    <n v="2"/>
    <n v="38.47"/>
    <x v="27"/>
    <x v="2"/>
    <n v="129"/>
    <n v="4.78"/>
    <n v="109.16"/>
    <n v="1.43"/>
    <n v="6"/>
    <n v="0.93"/>
    <n v="53"/>
    <n v="13.47"/>
    <n v="0.27"/>
    <d v="2024-10-28T00:00:00"/>
    <n v="56.74"/>
    <n v="0.55700000000000005"/>
    <n v="37987.68"/>
    <x v="0"/>
    <x v="0"/>
  </r>
  <r>
    <x v="2634"/>
    <x v="4"/>
    <n v="298"/>
    <n v="26"/>
    <n v="14"/>
    <n v="7"/>
    <n v="12.95"/>
    <x v="67"/>
    <x v="2"/>
    <n v="50"/>
    <n v="2.76"/>
    <n v="49.82"/>
    <n v="1.82"/>
    <n v="2"/>
    <n v="0.92"/>
    <n v="222"/>
    <n v="12.33"/>
    <n v="0.72"/>
    <d v="2024-05-28T00:00:00"/>
    <n v="285.11"/>
    <n v="0.67"/>
    <n v="14846.36"/>
    <x v="0"/>
    <x v="0"/>
  </r>
  <r>
    <x v="2635"/>
    <x v="2"/>
    <n v="221"/>
    <n v="41"/>
    <n v="14"/>
    <n v="9"/>
    <n v="42.1"/>
    <x v="46"/>
    <x v="3"/>
    <n v="75"/>
    <n v="2.76"/>
    <n v="136.9"/>
    <n v="1.95"/>
    <n v="2"/>
    <n v="0.85"/>
    <n v="593"/>
    <n v="5.62"/>
    <n v="0.84"/>
    <d v="2024-03-09T00:00:00"/>
    <n v="49.06"/>
    <n v="0.57799999999999996"/>
    <n v="30254.9"/>
    <x v="0"/>
    <x v="1"/>
  </r>
  <r>
    <x v="2636"/>
    <x v="3"/>
    <n v="102"/>
    <n v="50"/>
    <n v="12"/>
    <n v="2"/>
    <n v="19.420000000000002"/>
    <x v="36"/>
    <x v="0"/>
    <n v="71"/>
    <n v="4.66"/>
    <n v="114.21"/>
    <n v="0.65"/>
    <n v="5"/>
    <n v="0.83"/>
    <n v="795"/>
    <n v="8.3000000000000007"/>
    <n v="0.64"/>
    <d v="2024-08-25T00:00:00"/>
    <n v="252.25"/>
    <n v="0.64"/>
    <n v="11649.42"/>
    <x v="0"/>
    <x v="1"/>
  </r>
  <r>
    <x v="2637"/>
    <x v="2"/>
    <n v="144"/>
    <n v="15"/>
    <n v="5"/>
    <n v="3"/>
    <n v="27.08"/>
    <x v="67"/>
    <x v="0"/>
    <n v="167"/>
    <n v="1.8"/>
    <n v="162.72999999999999"/>
    <n v="1.92"/>
    <n v="5"/>
    <n v="0.86"/>
    <n v="275"/>
    <n v="12.94"/>
    <n v="0.49"/>
    <d v="2024-09-13T00:00:00"/>
    <n v="166.72"/>
    <n v="0.55100000000000005"/>
    <n v="23433.119999999999"/>
    <x v="0"/>
    <x v="1"/>
  </r>
  <r>
    <x v="2638"/>
    <x v="2"/>
    <n v="194"/>
    <n v="97"/>
    <n v="10"/>
    <n v="2"/>
    <n v="47.16"/>
    <x v="76"/>
    <x v="2"/>
    <n v="49"/>
    <n v="1.99"/>
    <n v="43.61"/>
    <n v="1.05"/>
    <n v="3"/>
    <n v="0.79"/>
    <n v="388"/>
    <n v="2.4500000000000002"/>
    <n v="0.34"/>
    <d v="2024-09-18T00:00:00"/>
    <n v="43.06"/>
    <n v="0.49399999999999999"/>
    <n v="8460.34"/>
    <x v="0"/>
    <x v="1"/>
  </r>
  <r>
    <x v="2639"/>
    <x v="1"/>
    <n v="88"/>
    <n v="36"/>
    <n v="8"/>
    <n v="6"/>
    <n v="34.380000000000003"/>
    <x v="68"/>
    <x v="2"/>
    <n v="49"/>
    <n v="3.45"/>
    <n v="59.58"/>
    <n v="0.68"/>
    <n v="4"/>
    <n v="0.97"/>
    <n v="255"/>
    <n v="2.93"/>
    <n v="0.41"/>
    <d v="2024-02-16T00:00:00"/>
    <n v="276.66000000000003"/>
    <n v="0.56699999999999995"/>
    <n v="5243.04"/>
    <x v="0"/>
    <x v="2"/>
  </r>
  <r>
    <x v="2640"/>
    <x v="2"/>
    <n v="66"/>
    <n v="29"/>
    <n v="4"/>
    <n v="6"/>
    <n v="32.630000000000003"/>
    <x v="19"/>
    <x v="1"/>
    <n v="111"/>
    <n v="4.03"/>
    <n v="185.11"/>
    <n v="1.98"/>
    <n v="2"/>
    <n v="0.94"/>
    <n v="151"/>
    <n v="11.02"/>
    <n v="0.62"/>
    <d v="2024-07-22T00:00:00"/>
    <n v="279.14999999999998"/>
    <n v="0.621"/>
    <n v="12217.26"/>
    <x v="0"/>
    <x v="2"/>
  </r>
  <r>
    <x v="2641"/>
    <x v="2"/>
    <n v="391"/>
    <n v="34"/>
    <n v="4"/>
    <n v="9"/>
    <n v="35.869999999999997"/>
    <x v="48"/>
    <x v="2"/>
    <n v="24"/>
    <n v="3.65"/>
    <n v="186.7"/>
    <n v="1.77"/>
    <n v="2"/>
    <n v="0.94"/>
    <n v="107"/>
    <n v="2.15"/>
    <n v="0.4"/>
    <d v="2024-07-05T00:00:00"/>
    <n v="188.45"/>
    <n v="0.48"/>
    <n v="72999.7"/>
    <x v="0"/>
    <x v="0"/>
  </r>
  <r>
    <x v="2642"/>
    <x v="0"/>
    <n v="275"/>
    <n v="75"/>
    <n v="11"/>
    <n v="8"/>
    <n v="45.99"/>
    <x v="46"/>
    <x v="3"/>
    <n v="133"/>
    <n v="4.05"/>
    <n v="94.03"/>
    <n v="1.42"/>
    <n v="8"/>
    <n v="0.83"/>
    <n v="830"/>
    <n v="5.94"/>
    <n v="0.82"/>
    <d v="2024-09-14T00:00:00"/>
    <n v="122.77"/>
    <n v="0.50700000000000001"/>
    <n v="25858.25"/>
    <x v="0"/>
    <x v="0"/>
  </r>
  <r>
    <x v="2643"/>
    <x v="3"/>
    <n v="234"/>
    <n v="18"/>
    <n v="9"/>
    <n v="8"/>
    <n v="13.18"/>
    <x v="42"/>
    <x v="0"/>
    <n v="140"/>
    <n v="3.09"/>
    <n v="19.07"/>
    <n v="1.8"/>
    <n v="4"/>
    <n v="0.72"/>
    <n v="199"/>
    <n v="4.53"/>
    <n v="0.31"/>
    <d v="2024-01-06T00:00:00"/>
    <n v="186.17"/>
    <n v="0.40600000000000003"/>
    <n v="4462.38"/>
    <x v="0"/>
    <x v="1"/>
  </r>
  <r>
    <x v="2644"/>
    <x v="0"/>
    <n v="49"/>
    <n v="62"/>
    <n v="12"/>
    <n v="9"/>
    <n v="31.05"/>
    <x v="98"/>
    <x v="0"/>
    <n v="33"/>
    <n v="4.38"/>
    <n v="68.25"/>
    <n v="1.39"/>
    <n v="0"/>
    <n v="0.9"/>
    <n v="301"/>
    <n v="11.64"/>
    <n v="0.61"/>
    <d v="2024-12-05T00:00:00"/>
    <n v="192.05"/>
    <n v="0.71799999999999997"/>
    <n v="3344.25"/>
    <x v="1"/>
    <x v="2"/>
  </r>
  <r>
    <x v="2645"/>
    <x v="0"/>
    <n v="300"/>
    <n v="70"/>
    <n v="11"/>
    <n v="5"/>
    <n v="20.62"/>
    <x v="59"/>
    <x v="0"/>
    <n v="178"/>
    <n v="2.98"/>
    <n v="56.95"/>
    <n v="0.94"/>
    <n v="8"/>
    <n v="0.81"/>
    <n v="528"/>
    <n v="1.03"/>
    <n v="0.6"/>
    <d v="2024-05-02T00:00:00"/>
    <n v="190.42"/>
    <n v="0.442"/>
    <n v="17085"/>
    <x v="0"/>
    <x v="0"/>
  </r>
  <r>
    <x v="2646"/>
    <x v="4"/>
    <n v="431"/>
    <n v="47"/>
    <n v="8"/>
    <n v="3"/>
    <n v="1.58"/>
    <x v="78"/>
    <x v="3"/>
    <n v="57"/>
    <n v="1.53"/>
    <n v="88.79"/>
    <n v="1.9"/>
    <n v="9"/>
    <n v="0.96"/>
    <n v="605"/>
    <n v="2.62"/>
    <n v="0.31"/>
    <d v="2024-11-10T00:00:00"/>
    <n v="222.69"/>
    <n v="0.31900000000000001"/>
    <n v="38268.490000000005"/>
    <x v="0"/>
    <x v="0"/>
  </r>
  <r>
    <x v="2647"/>
    <x v="0"/>
    <n v="256"/>
    <n v="12"/>
    <n v="7"/>
    <n v="6"/>
    <n v="7.14"/>
    <x v="17"/>
    <x v="1"/>
    <n v="57"/>
    <n v="2.94"/>
    <n v="70.38"/>
    <n v="1.93"/>
    <n v="5"/>
    <n v="0.93"/>
    <n v="477"/>
    <n v="2.39"/>
    <n v="1"/>
    <d v="2024-12-16T00:00:00"/>
    <n v="29.47"/>
    <n v="0.52500000000000002"/>
    <n v="18017.28"/>
    <x v="0"/>
    <x v="0"/>
  </r>
  <r>
    <x v="2648"/>
    <x v="1"/>
    <n v="267"/>
    <n v="93"/>
    <n v="14"/>
    <n v="9"/>
    <n v="16.920000000000002"/>
    <x v="25"/>
    <x v="3"/>
    <n v="56"/>
    <n v="3.71"/>
    <n v="167.51"/>
    <n v="0.7"/>
    <n v="8"/>
    <n v="0.74"/>
    <n v="591"/>
    <n v="5.45"/>
    <n v="0.86"/>
    <d v="2024-03-25T00:00:00"/>
    <n v="39.729999999999997"/>
    <n v="0.56299999999999994"/>
    <n v="44725.17"/>
    <x v="0"/>
    <x v="0"/>
  </r>
  <r>
    <x v="2649"/>
    <x v="1"/>
    <n v="387"/>
    <n v="79"/>
    <n v="3"/>
    <n v="7"/>
    <n v="28.68"/>
    <x v="27"/>
    <x v="3"/>
    <n v="114"/>
    <n v="3.44"/>
    <n v="10.58"/>
    <n v="0.77"/>
    <n v="6"/>
    <n v="0.88"/>
    <n v="968"/>
    <n v="4.25"/>
    <n v="0.51"/>
    <d v="2024-09-20T00:00:00"/>
    <n v="92.01"/>
    <n v="0.53800000000000003"/>
    <n v="4094.46"/>
    <x v="0"/>
    <x v="0"/>
  </r>
  <r>
    <x v="2650"/>
    <x v="4"/>
    <n v="44"/>
    <n v="64"/>
    <n v="14"/>
    <n v="4"/>
    <n v="44.19"/>
    <x v="42"/>
    <x v="0"/>
    <n v="122"/>
    <n v="1.59"/>
    <n v="132.47999999999999"/>
    <n v="0.83"/>
    <n v="9"/>
    <n v="0.91"/>
    <n v="573"/>
    <n v="4.2"/>
    <n v="0.75"/>
    <d v="2024-03-12T00:00:00"/>
    <n v="111.41"/>
    <n v="0.52500000000000002"/>
    <n v="5829.12"/>
    <x v="1"/>
    <x v="2"/>
  </r>
  <r>
    <x v="2651"/>
    <x v="3"/>
    <n v="93"/>
    <n v="10"/>
    <n v="8"/>
    <n v="4"/>
    <n v="39.76"/>
    <x v="4"/>
    <x v="3"/>
    <n v="17"/>
    <n v="0.68"/>
    <n v="136.21"/>
    <n v="1.66"/>
    <n v="9"/>
    <n v="0.87"/>
    <n v="540"/>
    <n v="6.19"/>
    <n v="0.77"/>
    <d v="2024-08-16T00:00:00"/>
    <n v="195.03"/>
    <n v="0.46500000000000002"/>
    <n v="12667.53"/>
    <x v="0"/>
    <x v="2"/>
  </r>
  <r>
    <x v="2652"/>
    <x v="3"/>
    <n v="225"/>
    <n v="79"/>
    <n v="8"/>
    <n v="4"/>
    <n v="28.11"/>
    <x v="45"/>
    <x v="2"/>
    <n v="27"/>
    <n v="1.64"/>
    <n v="135.52000000000001"/>
    <n v="1.6"/>
    <n v="6"/>
    <n v="0.85"/>
    <n v="575"/>
    <n v="4"/>
    <n v="0.72"/>
    <d v="2024-03-22T00:00:00"/>
    <n v="59.84"/>
    <n v="0.48699999999999999"/>
    <n v="30492.000000000004"/>
    <x v="0"/>
    <x v="1"/>
  </r>
  <r>
    <x v="2653"/>
    <x v="0"/>
    <n v="333"/>
    <n v="54"/>
    <n v="5"/>
    <n v="8"/>
    <n v="4.62"/>
    <x v="57"/>
    <x v="3"/>
    <n v="117"/>
    <n v="4.93"/>
    <n v="108.91"/>
    <n v="1.97"/>
    <n v="4"/>
    <n v="0.77"/>
    <n v="341"/>
    <n v="2.4900000000000002"/>
    <n v="0.55000000000000004"/>
    <d v="2024-04-01T00:00:00"/>
    <n v="166.9"/>
    <n v="0.42"/>
    <n v="36267.03"/>
    <x v="0"/>
    <x v="0"/>
  </r>
  <r>
    <x v="2654"/>
    <x v="0"/>
    <n v="113"/>
    <n v="56"/>
    <n v="5"/>
    <n v="7"/>
    <n v="15.01"/>
    <x v="99"/>
    <x v="0"/>
    <n v="93"/>
    <n v="1.33"/>
    <n v="126.11"/>
    <n v="0.98"/>
    <n v="6"/>
    <n v="0.77"/>
    <n v="94"/>
    <n v="9.17"/>
    <n v="0.91"/>
    <d v="2024-10-16T00:00:00"/>
    <n v="63.75"/>
    <n v="0.64"/>
    <n v="14250.43"/>
    <x v="0"/>
    <x v="1"/>
  </r>
  <r>
    <x v="2655"/>
    <x v="0"/>
    <n v="394"/>
    <n v="88"/>
    <n v="5"/>
    <n v="2"/>
    <n v="18.97"/>
    <x v="40"/>
    <x v="0"/>
    <n v="160"/>
    <n v="2.59"/>
    <n v="163.99"/>
    <n v="1.5"/>
    <n v="9"/>
    <n v="0.93"/>
    <n v="249"/>
    <n v="14.32"/>
    <n v="0.82"/>
    <d v="2024-10-16T00:00:00"/>
    <n v="113.09"/>
    <n v="0.61099999999999999"/>
    <n v="64612.060000000005"/>
    <x v="0"/>
    <x v="0"/>
  </r>
  <r>
    <x v="2656"/>
    <x v="3"/>
    <n v="146"/>
    <n v="35"/>
    <n v="5"/>
    <n v="7"/>
    <n v="31.46"/>
    <x v="90"/>
    <x v="3"/>
    <n v="74"/>
    <n v="3.37"/>
    <n v="159"/>
    <n v="1.73"/>
    <n v="3"/>
    <n v="0.71"/>
    <n v="73"/>
    <n v="9.5"/>
    <n v="0.63"/>
    <d v="2024-12-03T00:00:00"/>
    <n v="281.29000000000002"/>
    <n v="0.56200000000000006"/>
    <n v="23214"/>
    <x v="0"/>
    <x v="1"/>
  </r>
  <r>
    <x v="2657"/>
    <x v="2"/>
    <n v="444"/>
    <n v="23"/>
    <n v="9"/>
    <n v="2"/>
    <n v="4.18"/>
    <x v="32"/>
    <x v="2"/>
    <n v="118"/>
    <n v="4.46"/>
    <n v="16.579999999999998"/>
    <n v="0.52"/>
    <n v="5"/>
    <n v="0.93"/>
    <n v="812"/>
    <n v="11.6"/>
    <n v="0.2"/>
    <d v="2024-03-15T00:00:00"/>
    <n v="269.75"/>
    <n v="0.629"/>
    <n v="7361.5199999999995"/>
    <x v="0"/>
    <x v="0"/>
  </r>
  <r>
    <x v="2658"/>
    <x v="1"/>
    <n v="44"/>
    <n v="63"/>
    <n v="12"/>
    <n v="4"/>
    <n v="26.98"/>
    <x v="70"/>
    <x v="2"/>
    <n v="55"/>
    <n v="3.92"/>
    <n v="15.78"/>
    <n v="1.28"/>
    <n v="1"/>
    <n v="0.86"/>
    <n v="680"/>
    <n v="14.61"/>
    <n v="0.38"/>
    <d v="2024-09-04T00:00:00"/>
    <n v="286.39999999999998"/>
    <n v="0.69499999999999995"/>
    <n v="694.31999999999994"/>
    <x v="1"/>
    <x v="2"/>
  </r>
  <r>
    <x v="2659"/>
    <x v="2"/>
    <n v="353"/>
    <n v="80"/>
    <n v="13"/>
    <n v="5"/>
    <n v="45.17"/>
    <x v="53"/>
    <x v="0"/>
    <n v="75"/>
    <n v="4.59"/>
    <n v="169.4"/>
    <n v="1.1399999999999999"/>
    <n v="9"/>
    <n v="0.98"/>
    <n v="436"/>
    <n v="3.14"/>
    <n v="0.61"/>
    <d v="2024-07-02T00:00:00"/>
    <n v="181.51"/>
    <n v="0.46600000000000003"/>
    <n v="59798.200000000004"/>
    <x v="0"/>
    <x v="0"/>
  </r>
  <r>
    <x v="2660"/>
    <x v="2"/>
    <n v="374"/>
    <n v="55"/>
    <n v="4"/>
    <n v="5"/>
    <n v="35.57"/>
    <x v="29"/>
    <x v="2"/>
    <n v="89"/>
    <n v="3.22"/>
    <n v="119.2"/>
    <n v="1.51"/>
    <n v="2"/>
    <n v="1"/>
    <n v="639"/>
    <n v="7.44"/>
    <n v="0.92"/>
    <d v="2024-01-21T00:00:00"/>
    <n v="155.38"/>
    <n v="0.69199999999999995"/>
    <n v="44580.800000000003"/>
    <x v="0"/>
    <x v="0"/>
  </r>
  <r>
    <x v="2661"/>
    <x v="3"/>
    <n v="135"/>
    <n v="40"/>
    <n v="12"/>
    <n v="9"/>
    <n v="40.06"/>
    <x v="19"/>
    <x v="2"/>
    <n v="159"/>
    <n v="4.3899999999999997"/>
    <n v="191.91"/>
    <n v="1.42"/>
    <n v="1"/>
    <n v="0.9"/>
    <n v="484"/>
    <n v="9.15"/>
    <n v="0.7"/>
    <d v="2024-04-22T00:00:00"/>
    <n v="256.19"/>
    <n v="0.68"/>
    <n v="25907.85"/>
    <x v="0"/>
    <x v="1"/>
  </r>
  <r>
    <x v="2662"/>
    <x v="2"/>
    <n v="67"/>
    <n v="97"/>
    <n v="12"/>
    <n v="2"/>
    <n v="34.4"/>
    <x v="46"/>
    <x v="1"/>
    <n v="149"/>
    <n v="1.69"/>
    <n v="92"/>
    <n v="1.64"/>
    <n v="9"/>
    <n v="0.82"/>
    <n v="291"/>
    <n v="5.51"/>
    <n v="0.53"/>
    <d v="2024-09-06T00:00:00"/>
    <n v="33.1"/>
    <n v="0.39900000000000002"/>
    <n v="6164"/>
    <x v="1"/>
    <x v="2"/>
  </r>
  <r>
    <x v="2663"/>
    <x v="4"/>
    <n v="245"/>
    <n v="68"/>
    <n v="4"/>
    <n v="4"/>
    <n v="11.12"/>
    <x v="75"/>
    <x v="1"/>
    <n v="156"/>
    <n v="2.44"/>
    <n v="43.58"/>
    <n v="0.69"/>
    <n v="1"/>
    <n v="0.84"/>
    <n v="252"/>
    <n v="9.58"/>
    <n v="0.24"/>
    <d v="2024-04-28T00:00:00"/>
    <n v="293.75"/>
    <n v="0.65500000000000003"/>
    <n v="10677.1"/>
    <x v="0"/>
    <x v="1"/>
  </r>
  <r>
    <x v="2664"/>
    <x v="0"/>
    <n v="285"/>
    <n v="38"/>
    <n v="5"/>
    <n v="7"/>
    <n v="6.41"/>
    <x v="71"/>
    <x v="2"/>
    <n v="159"/>
    <n v="4.3"/>
    <n v="99.91"/>
    <n v="0.51"/>
    <n v="6"/>
    <n v="0.76"/>
    <n v="286"/>
    <n v="9.73"/>
    <n v="0.68"/>
    <d v="2024-02-02T00:00:00"/>
    <n v="144.09"/>
    <n v="0.64700000000000002"/>
    <n v="28474.35"/>
    <x v="0"/>
    <x v="0"/>
  </r>
  <r>
    <x v="2665"/>
    <x v="4"/>
    <n v="118"/>
    <n v="26"/>
    <n v="12"/>
    <n v="5"/>
    <n v="41.65"/>
    <x v="20"/>
    <x v="2"/>
    <n v="115"/>
    <n v="1.97"/>
    <n v="92.94"/>
    <n v="1.63"/>
    <n v="4"/>
    <n v="0.73"/>
    <n v="343"/>
    <n v="12.79"/>
    <n v="0.48"/>
    <d v="2024-05-15T00:00:00"/>
    <n v="205.98"/>
    <n v="0.56999999999999995"/>
    <n v="10966.92"/>
    <x v="0"/>
    <x v="1"/>
  </r>
  <r>
    <x v="2666"/>
    <x v="1"/>
    <n v="478"/>
    <n v="23"/>
    <n v="14"/>
    <n v="2"/>
    <n v="35.08"/>
    <x v="18"/>
    <x v="1"/>
    <n v="135"/>
    <n v="4.42"/>
    <n v="108.26"/>
    <n v="0.79"/>
    <n v="5"/>
    <n v="0.87"/>
    <n v="397"/>
    <n v="12.66"/>
    <n v="0.63"/>
    <d v="2024-07-08T00:00:00"/>
    <n v="221.26"/>
    <n v="0.69"/>
    <n v="51748.28"/>
    <x v="0"/>
    <x v="0"/>
  </r>
  <r>
    <x v="2667"/>
    <x v="0"/>
    <n v="30"/>
    <n v="45"/>
    <n v="9"/>
    <n v="9"/>
    <n v="29.18"/>
    <x v="74"/>
    <x v="1"/>
    <n v="154"/>
    <n v="2.13"/>
    <n v="163.51"/>
    <n v="0.65"/>
    <n v="2"/>
    <n v="0.94"/>
    <n v="136"/>
    <n v="3"/>
    <n v="0.81"/>
    <d v="2024-04-29T00:00:00"/>
    <n v="192.36"/>
    <n v="0.68500000000000005"/>
    <n v="4905.2999999999993"/>
    <x v="1"/>
    <x v="2"/>
  </r>
  <r>
    <x v="2668"/>
    <x v="2"/>
    <n v="104"/>
    <n v="67"/>
    <n v="5"/>
    <n v="7"/>
    <n v="10.27"/>
    <x v="67"/>
    <x v="1"/>
    <n v="22"/>
    <n v="2.14"/>
    <n v="134.56"/>
    <n v="0.74"/>
    <n v="9"/>
    <n v="0.78"/>
    <n v="259"/>
    <n v="3.36"/>
    <n v="0.84"/>
    <d v="2024-01-22T00:00:00"/>
    <n v="268.54000000000002"/>
    <n v="0.51500000000000001"/>
    <n v="13994.24"/>
    <x v="0"/>
    <x v="1"/>
  </r>
  <r>
    <x v="2669"/>
    <x v="1"/>
    <n v="424"/>
    <n v="33"/>
    <n v="9"/>
    <n v="4"/>
    <n v="30.56"/>
    <x v="17"/>
    <x v="0"/>
    <n v="37"/>
    <n v="1.89"/>
    <n v="45.2"/>
    <n v="0.23"/>
    <n v="4"/>
    <n v="0.83"/>
    <n v="837"/>
    <n v="4.1100000000000003"/>
    <n v="0.89"/>
    <d v="2024-12-08T00:00:00"/>
    <n v="93.57"/>
    <n v="0.69599999999999995"/>
    <n v="19164.800000000003"/>
    <x v="0"/>
    <x v="0"/>
  </r>
  <r>
    <x v="2670"/>
    <x v="0"/>
    <n v="233"/>
    <n v="72"/>
    <n v="11"/>
    <n v="3"/>
    <n v="2.5299999999999998"/>
    <x v="36"/>
    <x v="0"/>
    <n v="132"/>
    <n v="2.96"/>
    <n v="149.55000000000001"/>
    <n v="1.57"/>
    <n v="4"/>
    <n v="0.87"/>
    <n v="658"/>
    <n v="4.66"/>
    <n v="0.71"/>
    <d v="2024-04-15T00:00:00"/>
    <n v="164.37"/>
    <n v="0.54100000000000004"/>
    <n v="34845.15"/>
    <x v="0"/>
    <x v="1"/>
  </r>
  <r>
    <x v="2671"/>
    <x v="2"/>
    <n v="192"/>
    <n v="34"/>
    <n v="13"/>
    <n v="4"/>
    <n v="6.82"/>
    <x v="36"/>
    <x v="1"/>
    <n v="76"/>
    <n v="1.08"/>
    <n v="122.46"/>
    <n v="1.46"/>
    <n v="3"/>
    <n v="0.97"/>
    <n v="51"/>
    <n v="8.9"/>
    <n v="0.92"/>
    <d v="2024-09-22T00:00:00"/>
    <n v="134.79"/>
    <n v="0.69099999999999995"/>
    <n v="23512.32"/>
    <x v="0"/>
    <x v="1"/>
  </r>
  <r>
    <x v="2672"/>
    <x v="4"/>
    <n v="410"/>
    <n v="68"/>
    <n v="12"/>
    <n v="8"/>
    <n v="16.28"/>
    <x v="14"/>
    <x v="1"/>
    <n v="14"/>
    <n v="0.66"/>
    <n v="119.88"/>
    <n v="1.1499999999999999"/>
    <n v="9"/>
    <n v="0.74"/>
    <n v="278"/>
    <n v="5.58"/>
    <n v="0.75"/>
    <d v="2024-07-03T00:00:00"/>
    <n v="214.2"/>
    <n v="0.47699999999999998"/>
    <n v="49150.799999999996"/>
    <x v="0"/>
    <x v="0"/>
  </r>
  <r>
    <x v="2673"/>
    <x v="0"/>
    <n v="228"/>
    <n v="41"/>
    <n v="14"/>
    <n v="4"/>
    <n v="22.74"/>
    <x v="7"/>
    <x v="1"/>
    <n v="109"/>
    <n v="4.54"/>
    <n v="138.87"/>
    <n v="1.46"/>
    <n v="3"/>
    <n v="0.77"/>
    <n v="459"/>
    <n v="14.34"/>
    <n v="0.83"/>
    <d v="2024-07-17T00:00:00"/>
    <n v="124.58"/>
    <n v="0.70499999999999996"/>
    <n v="31662.36"/>
    <x v="0"/>
    <x v="1"/>
  </r>
  <r>
    <x v="2674"/>
    <x v="2"/>
    <n v="467"/>
    <n v="91"/>
    <n v="13"/>
    <n v="9"/>
    <n v="6.91"/>
    <x v="21"/>
    <x v="0"/>
    <n v="152"/>
    <n v="4.68"/>
    <n v="117.15"/>
    <n v="0.81"/>
    <n v="7"/>
    <n v="0.98"/>
    <n v="292"/>
    <n v="2.66"/>
    <n v="0.75"/>
    <d v="2024-08-28T00:00:00"/>
    <n v="268.93"/>
    <n v="0.56000000000000005"/>
    <n v="54709.05"/>
    <x v="0"/>
    <x v="0"/>
  </r>
  <r>
    <x v="2675"/>
    <x v="4"/>
    <n v="401"/>
    <n v="27"/>
    <n v="6"/>
    <n v="7"/>
    <n v="6.88"/>
    <x v="94"/>
    <x v="0"/>
    <n v="90"/>
    <n v="0.84"/>
    <n v="96.93"/>
    <n v="0.66"/>
    <n v="5"/>
    <n v="0.71"/>
    <n v="819"/>
    <n v="4.45"/>
    <n v="0.9"/>
    <d v="2024-08-20T00:00:00"/>
    <n v="152.22"/>
    <n v="0.61499999999999999"/>
    <n v="38868.93"/>
    <x v="0"/>
    <x v="0"/>
  </r>
  <r>
    <x v="2676"/>
    <x v="1"/>
    <n v="83"/>
    <n v="46"/>
    <n v="9"/>
    <n v="9"/>
    <n v="36.57"/>
    <x v="91"/>
    <x v="2"/>
    <n v="53"/>
    <n v="2.97"/>
    <n v="131.66999999999999"/>
    <n v="1.74"/>
    <n v="1"/>
    <n v="0.9"/>
    <n v="517"/>
    <n v="13.16"/>
    <n v="0.38"/>
    <d v="2024-01-24T00:00:00"/>
    <n v="165.44"/>
    <n v="0.63700000000000001"/>
    <n v="10928.609999999999"/>
    <x v="0"/>
    <x v="2"/>
  </r>
  <r>
    <x v="2677"/>
    <x v="1"/>
    <n v="277"/>
    <n v="35"/>
    <n v="11"/>
    <n v="7"/>
    <n v="28.92"/>
    <x v="93"/>
    <x v="3"/>
    <n v="128"/>
    <n v="2.93"/>
    <n v="147.51"/>
    <n v="0.9"/>
    <n v="1"/>
    <n v="0.89"/>
    <n v="507"/>
    <n v="9.18"/>
    <n v="0.81"/>
    <d v="2024-01-21T00:00:00"/>
    <n v="153.08000000000001"/>
    <n v="0.752"/>
    <n v="40860.269999999997"/>
    <x v="0"/>
    <x v="0"/>
  </r>
  <r>
    <x v="2678"/>
    <x v="1"/>
    <n v="351"/>
    <n v="18"/>
    <n v="10"/>
    <n v="6"/>
    <n v="27.15"/>
    <x v="38"/>
    <x v="2"/>
    <n v="55"/>
    <n v="2.1800000000000002"/>
    <n v="52.9"/>
    <n v="0.47"/>
    <n v="1"/>
    <n v="0.81"/>
    <n v="603"/>
    <n v="8.66"/>
    <n v="0.28999999999999998"/>
    <d v="2024-11-28T00:00:00"/>
    <n v="190.56"/>
    <n v="0.66800000000000004"/>
    <n v="18567.899999999998"/>
    <x v="0"/>
    <x v="0"/>
  </r>
  <r>
    <x v="2679"/>
    <x v="1"/>
    <n v="140"/>
    <n v="73"/>
    <n v="10"/>
    <n v="6"/>
    <n v="23.17"/>
    <x v="30"/>
    <x v="3"/>
    <n v="166"/>
    <n v="3.06"/>
    <n v="104.44"/>
    <n v="1.52"/>
    <n v="5"/>
    <n v="0.84"/>
    <n v="262"/>
    <n v="9.32"/>
    <n v="0.27"/>
    <d v="2024-06-14T00:00:00"/>
    <n v="158.02000000000001"/>
    <n v="0.49399999999999999"/>
    <n v="14621.6"/>
    <x v="0"/>
    <x v="1"/>
  </r>
  <r>
    <x v="2680"/>
    <x v="3"/>
    <n v="317"/>
    <n v="81"/>
    <n v="11"/>
    <n v="7"/>
    <n v="48.85"/>
    <x v="18"/>
    <x v="3"/>
    <n v="77"/>
    <n v="2.56"/>
    <n v="97.05"/>
    <n v="0.74"/>
    <n v="0"/>
    <n v="0.96"/>
    <n v="857"/>
    <n v="4.53"/>
    <n v="0.59"/>
    <d v="2024-02-22T00:00:00"/>
    <n v="281.85000000000002"/>
    <n v="0.69599999999999995"/>
    <n v="30764.85"/>
    <x v="0"/>
    <x v="0"/>
  </r>
  <r>
    <x v="2681"/>
    <x v="0"/>
    <n v="485"/>
    <n v="29"/>
    <n v="7"/>
    <n v="7"/>
    <n v="3.44"/>
    <x v="74"/>
    <x v="3"/>
    <n v="137"/>
    <n v="2.7"/>
    <n v="17.579999999999998"/>
    <n v="0.5"/>
    <n v="2"/>
    <n v="0.75"/>
    <n v="954"/>
    <n v="11.66"/>
    <n v="0.44"/>
    <d v="2024-12-26T00:00:00"/>
    <n v="48.03"/>
    <n v="0.70299999999999996"/>
    <n v="8526.2999999999993"/>
    <x v="0"/>
    <x v="0"/>
  </r>
  <r>
    <x v="2682"/>
    <x v="0"/>
    <n v="73"/>
    <n v="63"/>
    <n v="7"/>
    <n v="3"/>
    <n v="9.85"/>
    <x v="7"/>
    <x v="2"/>
    <n v="58"/>
    <n v="3.9"/>
    <n v="168.54"/>
    <n v="0.15"/>
    <n v="0"/>
    <n v="0.77"/>
    <n v="435"/>
    <n v="7.95"/>
    <n v="0.65"/>
    <d v="2024-09-23T00:00:00"/>
    <n v="13.89"/>
    <n v="0.77500000000000002"/>
    <n v="12303.42"/>
    <x v="0"/>
    <x v="2"/>
  </r>
  <r>
    <x v="2683"/>
    <x v="3"/>
    <n v="350"/>
    <n v="95"/>
    <n v="5"/>
    <n v="3"/>
    <n v="32.729999999999997"/>
    <x v="63"/>
    <x v="0"/>
    <n v="111"/>
    <n v="2.87"/>
    <n v="81.7"/>
    <n v="1.94"/>
    <n v="3"/>
    <n v="0.85"/>
    <n v="461"/>
    <n v="1.6"/>
    <n v="0.74"/>
    <d v="2024-11-20T00:00:00"/>
    <n v="161.32"/>
    <n v="0.48499999999999999"/>
    <n v="28595"/>
    <x v="0"/>
    <x v="0"/>
  </r>
  <r>
    <x v="2684"/>
    <x v="2"/>
    <n v="291"/>
    <n v="92"/>
    <n v="7"/>
    <n v="4"/>
    <n v="7.68"/>
    <x v="99"/>
    <x v="0"/>
    <n v="86"/>
    <n v="1.96"/>
    <n v="23.81"/>
    <n v="0.99"/>
    <n v="0"/>
    <n v="0.82"/>
    <n v="564"/>
    <n v="3.48"/>
    <n v="0.38"/>
    <d v="2024-05-20T00:00:00"/>
    <n v="231.74"/>
    <n v="0.58699999999999997"/>
    <n v="6928.71"/>
    <x v="0"/>
    <x v="0"/>
  </r>
  <r>
    <x v="2685"/>
    <x v="2"/>
    <n v="260"/>
    <n v="39"/>
    <n v="10"/>
    <n v="9"/>
    <n v="29.88"/>
    <x v="66"/>
    <x v="0"/>
    <n v="29"/>
    <n v="3.12"/>
    <n v="97"/>
    <n v="0.41"/>
    <n v="8"/>
    <n v="0.87"/>
    <n v="577"/>
    <n v="12.43"/>
    <n v="0.76"/>
    <d v="2024-05-14T00:00:00"/>
    <n v="197.98"/>
    <n v="0.69099999999999995"/>
    <n v="25220"/>
    <x v="0"/>
    <x v="0"/>
  </r>
  <r>
    <x v="2686"/>
    <x v="1"/>
    <n v="262"/>
    <n v="62"/>
    <n v="14"/>
    <n v="8"/>
    <n v="28.82"/>
    <x v="28"/>
    <x v="0"/>
    <n v="120"/>
    <n v="3.38"/>
    <n v="40.68"/>
    <n v="1.54"/>
    <n v="5"/>
    <n v="0.98"/>
    <n v="437"/>
    <n v="5.83"/>
    <n v="1"/>
    <d v="2024-10-23T00:00:00"/>
    <n v="289.19"/>
    <n v="0.62"/>
    <n v="10658.16"/>
    <x v="0"/>
    <x v="0"/>
  </r>
  <r>
    <x v="2687"/>
    <x v="4"/>
    <n v="37"/>
    <n v="72"/>
    <n v="7"/>
    <n v="9"/>
    <n v="48.58"/>
    <x v="70"/>
    <x v="2"/>
    <n v="155"/>
    <n v="3.48"/>
    <n v="143.84"/>
    <n v="1.79"/>
    <n v="7"/>
    <n v="0.98"/>
    <n v="328"/>
    <n v="11.83"/>
    <n v="0.81"/>
    <d v="2024-10-05T00:00:00"/>
    <n v="62.86"/>
    <n v="0.59699999999999998"/>
    <n v="5322.08"/>
    <x v="1"/>
    <x v="2"/>
  </r>
  <r>
    <x v="2688"/>
    <x v="2"/>
    <n v="206"/>
    <n v="20"/>
    <n v="6"/>
    <n v="5"/>
    <n v="44.29"/>
    <x v="99"/>
    <x v="1"/>
    <n v="124"/>
    <n v="3.28"/>
    <n v="118.64"/>
    <n v="1.1000000000000001"/>
    <n v="1"/>
    <n v="0.77"/>
    <n v="151"/>
    <n v="10.29"/>
    <n v="0.34"/>
    <d v="2024-10-18T00:00:00"/>
    <n v="211.25"/>
    <n v="0.629"/>
    <n v="24439.84"/>
    <x v="0"/>
    <x v="1"/>
  </r>
  <r>
    <x v="2689"/>
    <x v="4"/>
    <n v="365"/>
    <n v="40"/>
    <n v="10"/>
    <n v="9"/>
    <n v="47.33"/>
    <x v="3"/>
    <x v="3"/>
    <n v="179"/>
    <n v="3.49"/>
    <n v="61.32"/>
    <n v="0.15"/>
    <n v="5"/>
    <n v="0.79"/>
    <n v="638"/>
    <n v="5.22"/>
    <n v="0.71"/>
    <d v="2024-03-30T00:00:00"/>
    <n v="246.6"/>
    <n v="0.65500000000000003"/>
    <n v="22381.8"/>
    <x v="0"/>
    <x v="0"/>
  </r>
  <r>
    <x v="2690"/>
    <x v="0"/>
    <n v="163"/>
    <n v="58"/>
    <n v="9"/>
    <n v="8"/>
    <n v="6.57"/>
    <x v="85"/>
    <x v="0"/>
    <n v="21"/>
    <n v="1.9"/>
    <n v="190.59"/>
    <n v="0.79"/>
    <n v="3"/>
    <n v="0.75"/>
    <n v="439"/>
    <n v="2.78"/>
    <n v="0.21"/>
    <d v="2024-07-11T00:00:00"/>
    <n v="274.5"/>
    <n v="0.49"/>
    <n v="31066.170000000002"/>
    <x v="0"/>
    <x v="1"/>
  </r>
  <r>
    <x v="2691"/>
    <x v="4"/>
    <n v="281"/>
    <n v="96"/>
    <n v="8"/>
    <n v="3"/>
    <n v="43.54"/>
    <x v="12"/>
    <x v="0"/>
    <n v="88"/>
    <n v="2.5099999999999998"/>
    <n v="65.430000000000007"/>
    <n v="0.56000000000000005"/>
    <n v="6"/>
    <n v="0.98"/>
    <n v="251"/>
    <n v="12.3"/>
    <n v="0.57999999999999996"/>
    <d v="2024-11-30T00:00:00"/>
    <n v="163.28"/>
    <n v="0.7"/>
    <n v="18385.830000000002"/>
    <x v="0"/>
    <x v="0"/>
  </r>
  <r>
    <x v="2692"/>
    <x v="0"/>
    <n v="460"/>
    <n v="28"/>
    <n v="7"/>
    <n v="4"/>
    <n v="7.33"/>
    <x v="29"/>
    <x v="2"/>
    <n v="128"/>
    <n v="3.51"/>
    <n v="115.45"/>
    <n v="1.31"/>
    <n v="7"/>
    <n v="0.82"/>
    <n v="616"/>
    <n v="10"/>
    <n v="0.63"/>
    <d v="2024-07-12T00:00:00"/>
    <n v="115.3"/>
    <n v="0.55200000000000005"/>
    <n v="53107"/>
    <x v="0"/>
    <x v="0"/>
  </r>
  <r>
    <x v="2693"/>
    <x v="3"/>
    <n v="383"/>
    <n v="21"/>
    <n v="7"/>
    <n v="8"/>
    <n v="32.01"/>
    <x v="17"/>
    <x v="3"/>
    <n v="45"/>
    <n v="3.89"/>
    <n v="162.30000000000001"/>
    <n v="1.0900000000000001"/>
    <n v="5"/>
    <n v="0.83"/>
    <n v="770"/>
    <n v="5.21"/>
    <n v="0.98"/>
    <d v="2024-07-06T00:00:00"/>
    <n v="287.05"/>
    <n v="0.622"/>
    <n v="62160.9"/>
    <x v="0"/>
    <x v="0"/>
  </r>
  <r>
    <x v="2694"/>
    <x v="3"/>
    <n v="450"/>
    <n v="24"/>
    <n v="12"/>
    <n v="9"/>
    <n v="36.28"/>
    <x v="74"/>
    <x v="0"/>
    <n v="17"/>
    <n v="2.4500000000000002"/>
    <n v="107.64"/>
    <n v="0.78"/>
    <n v="0"/>
    <n v="0.94"/>
    <n v="441"/>
    <n v="8.33"/>
    <n v="0.79"/>
    <d v="2024-10-27T00:00:00"/>
    <n v="239.53"/>
    <n v="0.77900000000000003"/>
    <n v="48438"/>
    <x v="0"/>
    <x v="0"/>
  </r>
  <r>
    <x v="2695"/>
    <x v="1"/>
    <n v="258"/>
    <n v="40"/>
    <n v="4"/>
    <n v="2"/>
    <n v="8.8800000000000008"/>
    <x v="39"/>
    <x v="1"/>
    <n v="37"/>
    <n v="2.14"/>
    <n v="192.56"/>
    <n v="1.33"/>
    <n v="7"/>
    <n v="0.85"/>
    <n v="890"/>
    <n v="9.57"/>
    <n v="0.76"/>
    <d v="2024-11-30T00:00:00"/>
    <n v="146.54"/>
    <n v="0.57699999999999996"/>
    <n v="49680.480000000003"/>
    <x v="0"/>
    <x v="0"/>
  </r>
  <r>
    <x v="2696"/>
    <x v="2"/>
    <n v="323"/>
    <n v="52"/>
    <n v="6"/>
    <n v="6"/>
    <n v="32"/>
    <x v="86"/>
    <x v="0"/>
    <n v="125"/>
    <n v="3.72"/>
    <n v="170.33"/>
    <n v="1.21"/>
    <n v="0"/>
    <n v="0.74"/>
    <n v="403"/>
    <n v="1.03"/>
    <n v="0.63"/>
    <d v="2024-02-09T00:00:00"/>
    <n v="198.84"/>
    <n v="0.56699999999999995"/>
    <n v="55016.590000000004"/>
    <x v="0"/>
    <x v="0"/>
  </r>
  <r>
    <x v="2697"/>
    <x v="1"/>
    <n v="317"/>
    <n v="46"/>
    <n v="10"/>
    <n v="8"/>
    <n v="3.57"/>
    <x v="49"/>
    <x v="3"/>
    <n v="95"/>
    <n v="1.5"/>
    <n v="184.99"/>
    <n v="1.82"/>
    <n v="8"/>
    <n v="0.83"/>
    <n v="642"/>
    <n v="10.39"/>
    <n v="0.61"/>
    <d v="2024-09-21T00:00:00"/>
    <n v="90.79"/>
    <n v="0.48499999999999999"/>
    <n v="58641.83"/>
    <x v="0"/>
    <x v="0"/>
  </r>
  <r>
    <x v="2698"/>
    <x v="0"/>
    <n v="95"/>
    <n v="88"/>
    <n v="10"/>
    <n v="5"/>
    <n v="15.37"/>
    <x v="68"/>
    <x v="1"/>
    <n v="58"/>
    <n v="0.54"/>
    <n v="80.81"/>
    <n v="1.23"/>
    <n v="1"/>
    <n v="0.89"/>
    <n v="805"/>
    <n v="10.19"/>
    <n v="0.99"/>
    <d v="2024-05-08T00:00:00"/>
    <n v="188.3"/>
    <n v="0.76900000000000002"/>
    <n v="7676.95"/>
    <x v="0"/>
    <x v="2"/>
  </r>
  <r>
    <x v="2699"/>
    <x v="1"/>
    <n v="207"/>
    <n v="38"/>
    <n v="13"/>
    <n v="4"/>
    <n v="46.14"/>
    <x v="85"/>
    <x v="2"/>
    <n v="175"/>
    <n v="2.62"/>
    <n v="114.19"/>
    <n v="1.06"/>
    <n v="9"/>
    <n v="0.92"/>
    <n v="284"/>
    <n v="2.16"/>
    <n v="0.22"/>
    <d v="2024-07-11T00:00:00"/>
    <n v="166.61"/>
    <n v="0.371"/>
    <n v="23637.329999999998"/>
    <x v="0"/>
    <x v="1"/>
  </r>
  <r>
    <x v="2700"/>
    <x v="4"/>
    <n v="352"/>
    <n v="35"/>
    <n v="3"/>
    <n v="8"/>
    <n v="9.41"/>
    <x v="91"/>
    <x v="1"/>
    <n v="89"/>
    <n v="1.28"/>
    <n v="169.63"/>
    <n v="1.66"/>
    <n v="5"/>
    <n v="0.89"/>
    <n v="163"/>
    <n v="12.03"/>
    <n v="0.44"/>
    <d v="2024-04-24T00:00:00"/>
    <n v="21.38"/>
    <n v="0.56000000000000005"/>
    <n v="59709.759999999995"/>
    <x v="0"/>
    <x v="0"/>
  </r>
  <r>
    <x v="2701"/>
    <x v="0"/>
    <n v="407"/>
    <n v="11"/>
    <n v="4"/>
    <n v="7"/>
    <n v="4.2"/>
    <x v="87"/>
    <x v="3"/>
    <n v="14"/>
    <n v="2.2000000000000002"/>
    <n v="181.67"/>
    <n v="0.48"/>
    <n v="7"/>
    <n v="0.74"/>
    <n v="116"/>
    <n v="12.55"/>
    <n v="0.31"/>
    <d v="2024-09-21T00:00:00"/>
    <n v="261.07"/>
    <n v="0.58899999999999997"/>
    <n v="73939.689999999988"/>
    <x v="0"/>
    <x v="0"/>
  </r>
  <r>
    <x v="2702"/>
    <x v="3"/>
    <n v="265"/>
    <n v="93"/>
    <n v="7"/>
    <n v="9"/>
    <n v="22.74"/>
    <x v="53"/>
    <x v="3"/>
    <n v="55"/>
    <n v="1.81"/>
    <n v="189.43"/>
    <n v="0.56000000000000005"/>
    <n v="4"/>
    <n v="0.79"/>
    <n v="858"/>
    <n v="5.0599999999999996"/>
    <n v="0.45"/>
    <d v="2024-07-26T00:00:00"/>
    <n v="152.16"/>
    <n v="0.57899999999999996"/>
    <n v="50198.950000000004"/>
    <x v="0"/>
    <x v="0"/>
  </r>
  <r>
    <x v="2703"/>
    <x v="2"/>
    <n v="149"/>
    <n v="24"/>
    <n v="11"/>
    <n v="2"/>
    <n v="42.68"/>
    <x v="94"/>
    <x v="1"/>
    <n v="107"/>
    <n v="4"/>
    <n v="177.04"/>
    <n v="1.59"/>
    <n v="1"/>
    <n v="0.92"/>
    <n v="89"/>
    <n v="3.27"/>
    <n v="0.56999999999999995"/>
    <d v="2024-06-29T00:00:00"/>
    <n v="149.12"/>
    <n v="0.56299999999999994"/>
    <n v="26378.959999999999"/>
    <x v="0"/>
    <x v="1"/>
  </r>
  <r>
    <x v="2704"/>
    <x v="0"/>
    <n v="493"/>
    <n v="13"/>
    <n v="12"/>
    <n v="6"/>
    <n v="4.76"/>
    <x v="9"/>
    <x v="0"/>
    <n v="111"/>
    <n v="1.99"/>
    <n v="148.84"/>
    <n v="0.94"/>
    <n v="4"/>
    <n v="0.96"/>
    <n v="782"/>
    <n v="10.61"/>
    <n v="0.47"/>
    <d v="2024-06-25T00:00:00"/>
    <n v="92.19"/>
    <n v="0.65300000000000002"/>
    <n v="73378.12"/>
    <x v="0"/>
    <x v="0"/>
  </r>
  <r>
    <x v="2705"/>
    <x v="0"/>
    <n v="334"/>
    <n v="95"/>
    <n v="13"/>
    <n v="2"/>
    <n v="18.420000000000002"/>
    <x v="1"/>
    <x v="3"/>
    <n v="11"/>
    <n v="3.38"/>
    <n v="14.6"/>
    <n v="0.88"/>
    <n v="0"/>
    <n v="0.71"/>
    <n v="152"/>
    <n v="2.73"/>
    <n v="0.97"/>
    <d v="2024-09-06T00:00:00"/>
    <n v="66.95"/>
    <n v="0.68400000000000005"/>
    <n v="4876.3999999999996"/>
    <x v="0"/>
    <x v="0"/>
  </r>
  <r>
    <x v="2706"/>
    <x v="4"/>
    <n v="430"/>
    <n v="59"/>
    <n v="14"/>
    <n v="4"/>
    <n v="45.09"/>
    <x v="24"/>
    <x v="1"/>
    <n v="34"/>
    <n v="3.53"/>
    <n v="69.84"/>
    <n v="1.79"/>
    <n v="7"/>
    <n v="0.71"/>
    <n v="460"/>
    <n v="13.01"/>
    <n v="0.74"/>
    <d v="2024-09-03T00:00:00"/>
    <n v="94.5"/>
    <n v="0.54400000000000004"/>
    <n v="30031.200000000001"/>
    <x v="0"/>
    <x v="0"/>
  </r>
  <r>
    <x v="2707"/>
    <x v="2"/>
    <n v="302"/>
    <n v="47"/>
    <n v="13"/>
    <n v="9"/>
    <n v="6.79"/>
    <x v="73"/>
    <x v="3"/>
    <n v="10"/>
    <n v="2.5499999999999998"/>
    <n v="34.5"/>
    <n v="1.26"/>
    <n v="7"/>
    <n v="0.89"/>
    <n v="344"/>
    <n v="7.72"/>
    <n v="0.78"/>
    <d v="2024-11-05T00:00:00"/>
    <n v="198.49"/>
    <n v="0.57099999999999995"/>
    <n v="10419"/>
    <x v="0"/>
    <x v="0"/>
  </r>
  <r>
    <x v="2708"/>
    <x v="3"/>
    <n v="98"/>
    <n v="32"/>
    <n v="9"/>
    <n v="3"/>
    <n v="16.22"/>
    <x v="88"/>
    <x v="0"/>
    <n v="177"/>
    <n v="0.86"/>
    <n v="39.4"/>
    <n v="1.63"/>
    <n v="1"/>
    <n v="0.86"/>
    <n v="614"/>
    <n v="13.74"/>
    <n v="0.79"/>
    <d v="2024-01-04T00:00:00"/>
    <n v="38.32"/>
    <n v="0.73"/>
    <n v="3861.2"/>
    <x v="0"/>
    <x v="2"/>
  </r>
  <r>
    <x v="2709"/>
    <x v="0"/>
    <n v="91"/>
    <n v="68"/>
    <n v="12"/>
    <n v="6"/>
    <n v="39.14"/>
    <x v="82"/>
    <x v="0"/>
    <n v="77"/>
    <n v="3.65"/>
    <n v="65.27"/>
    <n v="1.64"/>
    <n v="5"/>
    <n v="0.75"/>
    <n v="857"/>
    <n v="9.99"/>
    <n v="0.92"/>
    <d v="2024-09-13T00:00:00"/>
    <n v="106.53"/>
    <n v="0.60299999999999998"/>
    <n v="5939.57"/>
    <x v="0"/>
    <x v="2"/>
  </r>
  <r>
    <x v="2710"/>
    <x v="0"/>
    <n v="282"/>
    <n v="99"/>
    <n v="7"/>
    <n v="9"/>
    <n v="27.62"/>
    <x v="62"/>
    <x v="1"/>
    <n v="78"/>
    <n v="0.84"/>
    <n v="24.2"/>
    <n v="0.33"/>
    <n v="7"/>
    <n v="0.86"/>
    <n v="613"/>
    <n v="4.99"/>
    <n v="0.81"/>
    <d v="2024-03-12T00:00:00"/>
    <n v="293.83"/>
    <n v="0.628"/>
    <n v="6824.4"/>
    <x v="0"/>
    <x v="0"/>
  </r>
  <r>
    <x v="2711"/>
    <x v="4"/>
    <n v="210"/>
    <n v="84"/>
    <n v="3"/>
    <n v="2"/>
    <n v="41.78"/>
    <x v="44"/>
    <x v="2"/>
    <n v="25"/>
    <n v="0.95"/>
    <n v="56.18"/>
    <n v="1.34"/>
    <n v="9"/>
    <n v="0.99"/>
    <n v="86"/>
    <n v="7.55"/>
    <n v="0.21"/>
    <d v="2024-08-13T00:00:00"/>
    <n v="88.74"/>
    <n v="0.42699999999999999"/>
    <n v="11797.8"/>
    <x v="0"/>
    <x v="1"/>
  </r>
  <r>
    <x v="2712"/>
    <x v="1"/>
    <n v="386"/>
    <n v="37"/>
    <n v="8"/>
    <n v="3"/>
    <n v="6.47"/>
    <x v="2"/>
    <x v="2"/>
    <n v="27"/>
    <n v="1.38"/>
    <n v="191.83"/>
    <n v="1.91"/>
    <n v="7"/>
    <n v="0.89"/>
    <n v="116"/>
    <n v="8.41"/>
    <n v="0.41"/>
    <d v="2024-03-25T00:00:00"/>
    <n v="290.33"/>
    <n v="0.441"/>
    <n v="74046.38"/>
    <x v="0"/>
    <x v="0"/>
  </r>
  <r>
    <x v="2713"/>
    <x v="3"/>
    <n v="394"/>
    <n v="75"/>
    <n v="14"/>
    <n v="5"/>
    <n v="46.11"/>
    <x v="77"/>
    <x v="0"/>
    <n v="116"/>
    <n v="1.76"/>
    <n v="69.27"/>
    <n v="1.01"/>
    <n v="6"/>
    <n v="0.83"/>
    <n v="452"/>
    <n v="12.41"/>
    <n v="0.99"/>
    <d v="2024-04-27T00:00:00"/>
    <n v="40.4"/>
    <n v="0.70799999999999996"/>
    <n v="27292.379999999997"/>
    <x v="0"/>
    <x v="0"/>
  </r>
  <r>
    <x v="2714"/>
    <x v="2"/>
    <n v="449"/>
    <n v="17"/>
    <n v="10"/>
    <n v="4"/>
    <n v="46.81"/>
    <x v="91"/>
    <x v="2"/>
    <n v="26"/>
    <n v="4.3099999999999996"/>
    <n v="40.35"/>
    <n v="1.49"/>
    <n v="2"/>
    <n v="0.95"/>
    <n v="723"/>
    <n v="13.07"/>
    <n v="0.72"/>
    <d v="2024-02-09T00:00:00"/>
    <n v="240.26"/>
    <n v="0.71899999999999997"/>
    <n v="18117.150000000001"/>
    <x v="0"/>
    <x v="0"/>
  </r>
  <r>
    <x v="2715"/>
    <x v="0"/>
    <n v="82"/>
    <n v="38"/>
    <n v="9"/>
    <n v="4"/>
    <n v="8.61"/>
    <x v="35"/>
    <x v="0"/>
    <n v="134"/>
    <n v="3.54"/>
    <n v="146.47999999999999"/>
    <n v="1.18"/>
    <n v="3"/>
    <n v="0.76"/>
    <n v="255"/>
    <n v="10.56"/>
    <n v="0.25"/>
    <d v="2024-09-20T00:00:00"/>
    <n v="137.52000000000001"/>
    <n v="0.56499999999999995"/>
    <n v="12011.359999999999"/>
    <x v="0"/>
    <x v="2"/>
  </r>
  <r>
    <x v="2716"/>
    <x v="0"/>
    <n v="399"/>
    <n v="20"/>
    <n v="4"/>
    <n v="6"/>
    <n v="2.66"/>
    <x v="22"/>
    <x v="2"/>
    <n v="91"/>
    <n v="2.2400000000000002"/>
    <n v="167.42"/>
    <n v="0.49"/>
    <n v="0"/>
    <n v="0.82"/>
    <n v="390"/>
    <n v="5.12"/>
    <n v="0.56999999999999995"/>
    <d v="2024-11-25T00:00:00"/>
    <n v="66.5"/>
    <n v="0.69699999999999995"/>
    <n v="66800.58"/>
    <x v="0"/>
    <x v="0"/>
  </r>
  <r>
    <x v="2717"/>
    <x v="3"/>
    <n v="31"/>
    <n v="27"/>
    <n v="14"/>
    <n v="2"/>
    <n v="49.5"/>
    <x v="64"/>
    <x v="0"/>
    <n v="13"/>
    <n v="4.9000000000000004"/>
    <n v="69.67"/>
    <n v="0.47"/>
    <n v="8"/>
    <n v="0.86"/>
    <n v="883"/>
    <n v="8.4"/>
    <n v="0.98"/>
    <d v="2024-05-23T00:00:00"/>
    <n v="238.35"/>
    <n v="0.67300000000000004"/>
    <n v="2159.77"/>
    <x v="0"/>
    <x v="2"/>
  </r>
  <r>
    <x v="2718"/>
    <x v="1"/>
    <n v="160"/>
    <n v="64"/>
    <n v="7"/>
    <n v="5"/>
    <n v="24.63"/>
    <x v="73"/>
    <x v="3"/>
    <n v="124"/>
    <n v="1.6"/>
    <n v="62.91"/>
    <n v="0.92"/>
    <n v="9"/>
    <n v="0.85"/>
    <n v="955"/>
    <n v="2.83"/>
    <n v="0.99"/>
    <d v="2024-04-18T00:00:00"/>
    <n v="12.02"/>
    <n v="0.53400000000000003"/>
    <n v="10065.599999999999"/>
    <x v="0"/>
    <x v="1"/>
  </r>
  <r>
    <x v="2719"/>
    <x v="0"/>
    <n v="273"/>
    <n v="59"/>
    <n v="13"/>
    <n v="7"/>
    <n v="29.03"/>
    <x v="47"/>
    <x v="1"/>
    <n v="104"/>
    <n v="3.24"/>
    <n v="55.93"/>
    <n v="1.02"/>
    <n v="9"/>
    <n v="0.98"/>
    <n v="101"/>
    <n v="4.22"/>
    <n v="0.55000000000000004"/>
    <d v="2024-03-17T00:00:00"/>
    <n v="110.67"/>
    <n v="0.48"/>
    <n v="15268.89"/>
    <x v="0"/>
    <x v="0"/>
  </r>
  <r>
    <x v="2720"/>
    <x v="3"/>
    <n v="62"/>
    <n v="23"/>
    <n v="6"/>
    <n v="6"/>
    <n v="31.18"/>
    <x v="16"/>
    <x v="1"/>
    <n v="104"/>
    <n v="4.3099999999999996"/>
    <n v="84.72"/>
    <n v="1.06"/>
    <n v="1"/>
    <n v="0.79"/>
    <n v="475"/>
    <n v="5.24"/>
    <n v="0.91"/>
    <d v="2024-04-05T00:00:00"/>
    <n v="185.41"/>
    <n v="0.68400000000000005"/>
    <n v="5252.64"/>
    <x v="0"/>
    <x v="2"/>
  </r>
  <r>
    <x v="2721"/>
    <x v="4"/>
    <n v="36"/>
    <n v="83"/>
    <n v="11"/>
    <n v="9"/>
    <n v="39.69"/>
    <x v="82"/>
    <x v="2"/>
    <n v="146"/>
    <n v="4.1100000000000003"/>
    <n v="26.57"/>
    <n v="1.91"/>
    <n v="9"/>
    <n v="0.72"/>
    <n v="258"/>
    <n v="2.02"/>
    <n v="0.67"/>
    <d v="2024-03-21T00:00:00"/>
    <n v="76.98"/>
    <n v="0.33400000000000002"/>
    <n v="956.52"/>
    <x v="1"/>
    <x v="2"/>
  </r>
  <r>
    <x v="2722"/>
    <x v="1"/>
    <n v="82"/>
    <n v="18"/>
    <n v="12"/>
    <n v="7"/>
    <n v="40.79"/>
    <x v="76"/>
    <x v="1"/>
    <n v="40"/>
    <n v="0.91"/>
    <n v="137.13"/>
    <n v="0.28999999999999998"/>
    <n v="6"/>
    <n v="0.97"/>
    <n v="563"/>
    <n v="13.39"/>
    <n v="0.61"/>
    <d v="2024-07-04T00:00:00"/>
    <n v="106.43"/>
    <n v="0.746"/>
    <n v="11244.66"/>
    <x v="0"/>
    <x v="2"/>
  </r>
  <r>
    <x v="2723"/>
    <x v="2"/>
    <n v="272"/>
    <n v="20"/>
    <n v="3"/>
    <n v="6"/>
    <n v="10.5"/>
    <x v="73"/>
    <x v="2"/>
    <n v="142"/>
    <n v="3.64"/>
    <n v="166.22"/>
    <n v="0.82"/>
    <n v="7"/>
    <n v="0.77"/>
    <n v="690"/>
    <n v="2.72"/>
    <n v="0.53"/>
    <d v="2024-11-04T00:00:00"/>
    <n v="36.520000000000003"/>
    <n v="0.47399999999999998"/>
    <n v="45211.839999999997"/>
    <x v="0"/>
    <x v="0"/>
  </r>
  <r>
    <x v="2724"/>
    <x v="0"/>
    <n v="484"/>
    <n v="72"/>
    <n v="14"/>
    <n v="2"/>
    <n v="12.6"/>
    <x v="97"/>
    <x v="0"/>
    <n v="25"/>
    <n v="1.66"/>
    <n v="136.1"/>
    <n v="1.08"/>
    <n v="3"/>
    <n v="0.81"/>
    <n v="227"/>
    <n v="10.76"/>
    <n v="0.91"/>
    <d v="2024-03-01T00:00:00"/>
    <n v="257.43"/>
    <n v="0.71899999999999997"/>
    <n v="65872.399999999994"/>
    <x v="0"/>
    <x v="0"/>
  </r>
  <r>
    <x v="2725"/>
    <x v="3"/>
    <n v="395"/>
    <n v="85"/>
    <n v="8"/>
    <n v="5"/>
    <n v="43.96"/>
    <x v="60"/>
    <x v="3"/>
    <n v="51"/>
    <n v="2.1"/>
    <n v="90.03"/>
    <n v="1.93"/>
    <n v="9"/>
    <n v="0.86"/>
    <n v="725"/>
    <n v="8.08"/>
    <n v="0.7"/>
    <d v="2024-12-04T00:00:00"/>
    <n v="132.43"/>
    <n v="0.44700000000000001"/>
    <n v="35561.85"/>
    <x v="0"/>
    <x v="0"/>
  </r>
  <r>
    <x v="2726"/>
    <x v="4"/>
    <n v="311"/>
    <n v="76"/>
    <n v="5"/>
    <n v="2"/>
    <n v="41.16"/>
    <x v="79"/>
    <x v="1"/>
    <n v="178"/>
    <n v="2.7"/>
    <n v="64.900000000000006"/>
    <n v="1.06"/>
    <n v="0"/>
    <n v="0.99"/>
    <n v="914"/>
    <n v="12.64"/>
    <n v="0.47"/>
    <d v="2024-04-27T00:00:00"/>
    <n v="52.14"/>
    <n v="0.755"/>
    <n v="20183.900000000001"/>
    <x v="0"/>
    <x v="0"/>
  </r>
  <r>
    <x v="2727"/>
    <x v="2"/>
    <n v="488"/>
    <n v="62"/>
    <n v="13"/>
    <n v="4"/>
    <n v="31.26"/>
    <x v="44"/>
    <x v="3"/>
    <n v="39"/>
    <n v="4.0599999999999996"/>
    <n v="87.79"/>
    <n v="1.57"/>
    <n v="4"/>
    <n v="0.86"/>
    <n v="71"/>
    <n v="11.37"/>
    <n v="0.59"/>
    <d v="2024-07-31T00:00:00"/>
    <n v="67.739999999999995"/>
    <n v="0.60499999999999998"/>
    <n v="42841.520000000004"/>
    <x v="0"/>
    <x v="0"/>
  </r>
  <r>
    <x v="2728"/>
    <x v="3"/>
    <n v="27"/>
    <n v="48"/>
    <n v="11"/>
    <n v="7"/>
    <n v="49.74"/>
    <x v="82"/>
    <x v="1"/>
    <n v="35"/>
    <n v="1.25"/>
    <n v="90.53"/>
    <n v="1.52"/>
    <n v="9"/>
    <n v="0.83"/>
    <n v="418"/>
    <n v="11.64"/>
    <n v="0.56000000000000005"/>
    <d v="2024-06-18T00:00:00"/>
    <n v="89.8"/>
    <n v="0.501"/>
    <n v="2444.31"/>
    <x v="1"/>
    <x v="2"/>
  </r>
  <r>
    <x v="2729"/>
    <x v="3"/>
    <n v="344"/>
    <n v="87"/>
    <n v="7"/>
    <n v="3"/>
    <n v="37.020000000000003"/>
    <x v="45"/>
    <x v="0"/>
    <n v="40"/>
    <n v="0.99"/>
    <n v="136.54"/>
    <n v="1.18"/>
    <n v="9"/>
    <n v="0.88"/>
    <n v="788"/>
    <n v="6.86"/>
    <n v="0.56000000000000005"/>
    <d v="2024-02-28T00:00:00"/>
    <n v="76.55"/>
    <n v="0.48099999999999998"/>
    <n v="46969.759999999995"/>
    <x v="0"/>
    <x v="0"/>
  </r>
  <r>
    <x v="2730"/>
    <x v="2"/>
    <n v="109"/>
    <n v="65"/>
    <n v="8"/>
    <n v="8"/>
    <n v="11.58"/>
    <x v="64"/>
    <x v="1"/>
    <n v="59"/>
    <n v="1.19"/>
    <n v="186.33"/>
    <n v="0.35"/>
    <n v="5"/>
    <n v="0.99"/>
    <n v="131"/>
    <n v="12.68"/>
    <n v="0.45"/>
    <d v="2024-09-03T00:00:00"/>
    <n v="155.96"/>
    <n v="0.72199999999999998"/>
    <n v="20309.97"/>
    <x v="0"/>
    <x v="1"/>
  </r>
  <r>
    <x v="2731"/>
    <x v="4"/>
    <n v="227"/>
    <n v="37"/>
    <n v="13"/>
    <n v="9"/>
    <n v="42.49"/>
    <x v="31"/>
    <x v="1"/>
    <n v="152"/>
    <n v="1.48"/>
    <n v="23.41"/>
    <n v="0.52"/>
    <n v="6"/>
    <n v="0.95"/>
    <n v="213"/>
    <n v="2.33"/>
    <n v="0.71"/>
    <d v="2024-12-11T00:00:00"/>
    <n v="272.51"/>
    <n v="0.59099999999999997"/>
    <n v="5314.07"/>
    <x v="0"/>
    <x v="1"/>
  </r>
  <r>
    <x v="2732"/>
    <x v="4"/>
    <n v="311"/>
    <n v="84"/>
    <n v="11"/>
    <n v="4"/>
    <n v="21.32"/>
    <x v="71"/>
    <x v="0"/>
    <n v="61"/>
    <n v="0.77"/>
    <n v="191.14"/>
    <n v="0.56000000000000005"/>
    <n v="0"/>
    <n v="0.75"/>
    <n v="426"/>
    <n v="7.22"/>
    <n v="0.24"/>
    <d v="2024-09-02T00:00:00"/>
    <n v="63.34"/>
    <n v="0.63800000000000001"/>
    <n v="59444.539999999994"/>
    <x v="0"/>
    <x v="0"/>
  </r>
  <r>
    <x v="2733"/>
    <x v="1"/>
    <n v="303"/>
    <n v="48"/>
    <n v="11"/>
    <n v="4"/>
    <n v="2.77"/>
    <x v="57"/>
    <x v="2"/>
    <n v="175"/>
    <n v="4.67"/>
    <n v="182.94"/>
    <n v="0.17"/>
    <n v="3"/>
    <n v="0.94"/>
    <n v="52"/>
    <n v="14.92"/>
    <n v="0.91"/>
    <d v="2024-09-02T00:00:00"/>
    <n v="141.5"/>
    <n v="0.89200000000000002"/>
    <n v="55430.82"/>
    <x v="0"/>
    <x v="0"/>
  </r>
  <r>
    <x v="2734"/>
    <x v="0"/>
    <n v="137"/>
    <n v="34"/>
    <n v="10"/>
    <n v="7"/>
    <n v="16.75"/>
    <x v="5"/>
    <x v="2"/>
    <n v="47"/>
    <n v="1.94"/>
    <n v="32.369999999999997"/>
    <n v="0.82"/>
    <n v="4"/>
    <n v="0.95"/>
    <n v="733"/>
    <n v="14.27"/>
    <n v="0.53"/>
    <d v="2024-04-17T00:00:00"/>
    <n v="202.54"/>
    <n v="0.72399999999999998"/>
    <n v="4434.6899999999996"/>
    <x v="0"/>
    <x v="1"/>
  </r>
  <r>
    <x v="2735"/>
    <x v="2"/>
    <n v="368"/>
    <n v="30"/>
    <n v="11"/>
    <n v="9"/>
    <n v="38.409999999999997"/>
    <x v="14"/>
    <x v="0"/>
    <n v="29"/>
    <n v="1.3"/>
    <n v="44.88"/>
    <n v="1.26"/>
    <n v="4"/>
    <n v="0.91"/>
    <n v="167"/>
    <n v="2.15"/>
    <n v="0.84"/>
    <d v="2024-10-29T00:00:00"/>
    <n v="63.3"/>
    <n v="0.57299999999999995"/>
    <n v="16515.84"/>
    <x v="0"/>
    <x v="0"/>
  </r>
  <r>
    <x v="2736"/>
    <x v="2"/>
    <n v="194"/>
    <n v="19"/>
    <n v="6"/>
    <n v="6"/>
    <n v="48.05"/>
    <x v="47"/>
    <x v="2"/>
    <n v="108"/>
    <n v="3.37"/>
    <n v="69.2"/>
    <n v="0.37"/>
    <n v="6"/>
    <n v="0.9"/>
    <n v="705"/>
    <n v="9.02"/>
    <n v="0.78"/>
    <d v="2024-03-23T00:00:00"/>
    <n v="54.66"/>
    <n v="0.69899999999999995"/>
    <n v="13424.800000000001"/>
    <x v="0"/>
    <x v="1"/>
  </r>
  <r>
    <x v="2737"/>
    <x v="2"/>
    <n v="95"/>
    <n v="52"/>
    <n v="8"/>
    <n v="4"/>
    <n v="14.53"/>
    <x v="23"/>
    <x v="1"/>
    <n v="53"/>
    <n v="4.04"/>
    <n v="116.34"/>
    <n v="0.43"/>
    <n v="3"/>
    <n v="0.83"/>
    <n v="813"/>
    <n v="5.42"/>
    <n v="0.57999999999999996"/>
    <d v="2024-11-27T00:00:00"/>
    <n v="55.06"/>
    <n v="0.65100000000000002"/>
    <n v="11052.300000000001"/>
    <x v="0"/>
    <x v="2"/>
  </r>
  <r>
    <x v="2738"/>
    <x v="4"/>
    <n v="120"/>
    <n v="24"/>
    <n v="7"/>
    <n v="8"/>
    <n v="13.08"/>
    <x v="1"/>
    <x v="3"/>
    <n v="120"/>
    <n v="3.89"/>
    <n v="35.549999999999997"/>
    <n v="1.44"/>
    <n v="9"/>
    <n v="0.89"/>
    <n v="444"/>
    <n v="11.2"/>
    <n v="0.36"/>
    <d v="2024-07-29T00:00:00"/>
    <n v="265.77999999999997"/>
    <n v="0.47499999999999998"/>
    <n v="4266"/>
    <x v="0"/>
    <x v="1"/>
  </r>
  <r>
    <x v="2739"/>
    <x v="0"/>
    <n v="433"/>
    <n v="92"/>
    <n v="7"/>
    <n v="5"/>
    <n v="28.62"/>
    <x v="48"/>
    <x v="0"/>
    <n v="98"/>
    <n v="3.73"/>
    <n v="48.06"/>
    <n v="0.42"/>
    <n v="6"/>
    <n v="0.92"/>
    <n v="315"/>
    <n v="11.3"/>
    <n v="0.65"/>
    <d v="2024-01-12T00:00:00"/>
    <n v="216.27"/>
    <n v="0.70299999999999996"/>
    <n v="20809.98"/>
    <x v="0"/>
    <x v="0"/>
  </r>
  <r>
    <x v="2740"/>
    <x v="1"/>
    <n v="170"/>
    <n v="57"/>
    <n v="6"/>
    <n v="4"/>
    <n v="40.770000000000003"/>
    <x v="87"/>
    <x v="1"/>
    <n v="72"/>
    <n v="0.73"/>
    <n v="181.51"/>
    <n v="0.36"/>
    <n v="7"/>
    <n v="0.74"/>
    <n v="484"/>
    <n v="1"/>
    <n v="0.96"/>
    <d v="2024-05-04T00:00:00"/>
    <n v="107.55"/>
    <n v="0.57699999999999996"/>
    <n v="30856.699999999997"/>
    <x v="0"/>
    <x v="1"/>
  </r>
  <r>
    <x v="2741"/>
    <x v="3"/>
    <n v="419"/>
    <n v="95"/>
    <n v="4"/>
    <n v="5"/>
    <n v="37.58"/>
    <x v="92"/>
    <x v="0"/>
    <n v="127"/>
    <n v="4.0199999999999996"/>
    <n v="30.77"/>
    <n v="1.96"/>
    <n v="1"/>
    <n v="0.78"/>
    <n v="731"/>
    <n v="12.84"/>
    <n v="0.35"/>
    <d v="2024-01-23T00:00:00"/>
    <n v="271.74"/>
    <n v="0.58099999999999996"/>
    <n v="12892.63"/>
    <x v="0"/>
    <x v="0"/>
  </r>
  <r>
    <x v="2742"/>
    <x v="3"/>
    <n v="289"/>
    <n v="30"/>
    <n v="14"/>
    <n v="2"/>
    <n v="28.44"/>
    <x v="66"/>
    <x v="3"/>
    <n v="159"/>
    <n v="2.76"/>
    <n v="85.79"/>
    <n v="0.13"/>
    <n v="0"/>
    <n v="0.76"/>
    <n v="774"/>
    <n v="4.13"/>
    <n v="0.4"/>
    <d v="2024-03-06T00:00:00"/>
    <n v="286.52999999999997"/>
    <n v="0.67400000000000004"/>
    <n v="24793.31"/>
    <x v="0"/>
    <x v="0"/>
  </r>
  <r>
    <x v="2743"/>
    <x v="2"/>
    <n v="477"/>
    <n v="69"/>
    <n v="8"/>
    <n v="9"/>
    <n v="31.94"/>
    <x v="24"/>
    <x v="1"/>
    <n v="81"/>
    <n v="3.42"/>
    <n v="154.97"/>
    <n v="0.72"/>
    <n v="9"/>
    <n v="0.95"/>
    <n v="842"/>
    <n v="14.52"/>
    <n v="0.99"/>
    <d v="2024-10-20T00:00:00"/>
    <n v="125.5"/>
    <n v="0.73"/>
    <n v="73920.69"/>
    <x v="0"/>
    <x v="0"/>
  </r>
  <r>
    <x v="2744"/>
    <x v="0"/>
    <n v="90"/>
    <n v="59"/>
    <n v="11"/>
    <n v="6"/>
    <n v="12.86"/>
    <x v="30"/>
    <x v="1"/>
    <n v="63"/>
    <n v="4.8"/>
    <n v="178.83"/>
    <n v="0.17"/>
    <n v="9"/>
    <n v="0.9"/>
    <n v="276"/>
    <n v="13.68"/>
    <n v="0.91"/>
    <d v="2024-10-30T00:00:00"/>
    <n v="158.03"/>
    <n v="0.747"/>
    <n v="16094.7"/>
    <x v="0"/>
    <x v="2"/>
  </r>
  <r>
    <x v="2745"/>
    <x v="4"/>
    <n v="199"/>
    <n v="32"/>
    <n v="14"/>
    <n v="5"/>
    <n v="22.2"/>
    <x v="95"/>
    <x v="3"/>
    <n v="146"/>
    <n v="4.1500000000000004"/>
    <n v="73.849999999999994"/>
    <n v="1.69"/>
    <n v="0"/>
    <n v="0.84"/>
    <n v="425"/>
    <n v="3.67"/>
    <n v="0.64"/>
    <d v="2024-03-23T00:00:00"/>
    <n v="113.84"/>
    <n v="0.57599999999999996"/>
    <n v="14696.15"/>
    <x v="0"/>
    <x v="1"/>
  </r>
  <r>
    <x v="2746"/>
    <x v="0"/>
    <n v="143"/>
    <n v="22"/>
    <n v="3"/>
    <n v="4"/>
    <n v="13.51"/>
    <x v="62"/>
    <x v="3"/>
    <n v="152"/>
    <n v="4.21"/>
    <n v="41.24"/>
    <n v="1.21"/>
    <n v="0"/>
    <n v="0.95"/>
    <n v="311"/>
    <n v="9.91"/>
    <n v="0.76"/>
    <d v="2024-03-09T00:00:00"/>
    <n v="75.989999999999995"/>
    <n v="0.753"/>
    <n v="5897.3200000000006"/>
    <x v="0"/>
    <x v="1"/>
  </r>
  <r>
    <x v="2747"/>
    <x v="0"/>
    <n v="400"/>
    <n v="78"/>
    <n v="9"/>
    <n v="6"/>
    <n v="44.34"/>
    <x v="54"/>
    <x v="2"/>
    <n v="57"/>
    <n v="1.32"/>
    <n v="150.03"/>
    <n v="0.19"/>
    <n v="8"/>
    <n v="0.92"/>
    <n v="415"/>
    <n v="5.15"/>
    <n v="0.55000000000000004"/>
    <d v="2024-11-18T00:00:00"/>
    <n v="236.2"/>
    <n v="0.58399999999999996"/>
    <n v="60012"/>
    <x v="0"/>
    <x v="0"/>
  </r>
  <r>
    <x v="2748"/>
    <x v="4"/>
    <n v="312"/>
    <n v="13"/>
    <n v="8"/>
    <n v="8"/>
    <n v="6.52"/>
    <x v="95"/>
    <x v="1"/>
    <n v="157"/>
    <n v="2.64"/>
    <n v="156.79"/>
    <n v="1.27"/>
    <n v="3"/>
    <n v="0.97"/>
    <n v="816"/>
    <n v="2.44"/>
    <n v="0.52"/>
    <d v="2024-09-19T00:00:00"/>
    <n v="198.23"/>
    <n v="0.54400000000000004"/>
    <n v="48918.479999999996"/>
    <x v="0"/>
    <x v="0"/>
  </r>
  <r>
    <x v="2749"/>
    <x v="2"/>
    <n v="304"/>
    <n v="87"/>
    <n v="5"/>
    <n v="6"/>
    <n v="34.31"/>
    <x v="17"/>
    <x v="3"/>
    <n v="172"/>
    <n v="4.7699999999999996"/>
    <n v="196.21"/>
    <n v="0.33"/>
    <n v="8"/>
    <n v="0.72"/>
    <n v="477"/>
    <n v="13.24"/>
    <n v="0.55000000000000004"/>
    <d v="2024-01-21T00:00:00"/>
    <n v="116.4"/>
    <n v="0.63800000000000001"/>
    <n v="59647.840000000004"/>
    <x v="0"/>
    <x v="0"/>
  </r>
  <r>
    <x v="2750"/>
    <x v="0"/>
    <n v="214"/>
    <n v="81"/>
    <n v="3"/>
    <n v="5"/>
    <n v="13.75"/>
    <x v="64"/>
    <x v="3"/>
    <n v="110"/>
    <n v="3.12"/>
    <n v="36.51"/>
    <n v="1.04"/>
    <n v="6"/>
    <n v="0.85"/>
    <n v="57"/>
    <n v="3.53"/>
    <n v="0.53"/>
    <d v="2024-10-20T00:00:00"/>
    <n v="14.17"/>
    <n v="0.499"/>
    <n v="7813.1399999999994"/>
    <x v="0"/>
    <x v="1"/>
  </r>
  <r>
    <x v="2751"/>
    <x v="3"/>
    <n v="418"/>
    <n v="18"/>
    <n v="6"/>
    <n v="9"/>
    <n v="24.3"/>
    <x v="99"/>
    <x v="1"/>
    <n v="69"/>
    <n v="0.96"/>
    <n v="144.79"/>
    <n v="1.37"/>
    <n v="6"/>
    <n v="0.91"/>
    <n v="979"/>
    <n v="6.89"/>
    <n v="0.74"/>
    <d v="2024-03-16T00:00:00"/>
    <n v="231.47"/>
    <n v="0.56499999999999995"/>
    <n v="60522.219999999994"/>
    <x v="0"/>
    <x v="0"/>
  </r>
  <r>
    <x v="2752"/>
    <x v="4"/>
    <n v="247"/>
    <n v="44"/>
    <n v="11"/>
    <n v="5"/>
    <n v="15.67"/>
    <x v="91"/>
    <x v="2"/>
    <n v="107"/>
    <n v="3.79"/>
    <n v="89.29"/>
    <n v="0.38"/>
    <n v="1"/>
    <n v="0.76"/>
    <n v="90"/>
    <n v="13.94"/>
    <n v="0.46"/>
    <d v="2024-01-29T00:00:00"/>
    <n v="148.44"/>
    <n v="0.77200000000000002"/>
    <n v="22054.63"/>
    <x v="0"/>
    <x v="1"/>
  </r>
  <r>
    <x v="2753"/>
    <x v="1"/>
    <n v="450"/>
    <n v="30"/>
    <n v="4"/>
    <n v="3"/>
    <n v="16.84"/>
    <x v="3"/>
    <x v="0"/>
    <n v="171"/>
    <n v="0.69"/>
    <n v="183.78"/>
    <n v="1.04"/>
    <n v="1"/>
    <n v="0.8"/>
    <n v="927"/>
    <n v="2.0499999999999998"/>
    <n v="0.34"/>
    <d v="2024-03-26T00:00:00"/>
    <n v="31.19"/>
    <n v="0.53100000000000003"/>
    <n v="82701"/>
    <x v="0"/>
    <x v="0"/>
  </r>
  <r>
    <x v="2754"/>
    <x v="2"/>
    <n v="449"/>
    <n v="67"/>
    <n v="5"/>
    <n v="3"/>
    <n v="13.76"/>
    <x v="37"/>
    <x v="2"/>
    <n v="109"/>
    <n v="3.84"/>
    <n v="87.49"/>
    <n v="0.97"/>
    <n v="4"/>
    <n v="0.83"/>
    <n v="306"/>
    <n v="8.7100000000000009"/>
    <n v="0.77"/>
    <d v="2024-05-12T00:00:00"/>
    <n v="46.11"/>
    <n v="0.65900000000000003"/>
    <n v="39283.009999999995"/>
    <x v="0"/>
    <x v="0"/>
  </r>
  <r>
    <x v="2755"/>
    <x v="4"/>
    <n v="455"/>
    <n v="27"/>
    <n v="4"/>
    <n v="6"/>
    <n v="37.89"/>
    <x v="65"/>
    <x v="3"/>
    <n v="108"/>
    <n v="4.46"/>
    <n v="94.73"/>
    <n v="1.84"/>
    <n v="9"/>
    <n v="0.94"/>
    <n v="692"/>
    <n v="9.01"/>
    <n v="0.23"/>
    <d v="2024-04-02T00:00:00"/>
    <n v="192.23"/>
    <n v="0.39"/>
    <n v="43102.15"/>
    <x v="0"/>
    <x v="0"/>
  </r>
  <r>
    <x v="2756"/>
    <x v="1"/>
    <n v="294"/>
    <n v="81"/>
    <n v="4"/>
    <n v="7"/>
    <n v="18.920000000000002"/>
    <x v="49"/>
    <x v="0"/>
    <n v="82"/>
    <n v="2.41"/>
    <n v="34.090000000000003"/>
    <n v="1.99"/>
    <n v="0"/>
    <n v="0.85"/>
    <n v="613"/>
    <n v="11.68"/>
    <n v="0.78"/>
    <d v="2024-09-21T00:00:00"/>
    <n v="168.44"/>
    <n v="0.68300000000000005"/>
    <n v="10022.460000000001"/>
    <x v="0"/>
    <x v="0"/>
  </r>
  <r>
    <x v="2757"/>
    <x v="1"/>
    <n v="480"/>
    <n v="90"/>
    <n v="12"/>
    <n v="9"/>
    <n v="36.590000000000003"/>
    <x v="7"/>
    <x v="0"/>
    <n v="128"/>
    <n v="2.36"/>
    <n v="70.98"/>
    <n v="1.34"/>
    <n v="6"/>
    <n v="0.85"/>
    <n v="151"/>
    <n v="12.58"/>
    <n v="0.41"/>
    <d v="2024-07-26T00:00:00"/>
    <n v="79.739999999999995"/>
    <n v="0.56599999999999995"/>
    <n v="34070.400000000001"/>
    <x v="0"/>
    <x v="0"/>
  </r>
  <r>
    <x v="2758"/>
    <x v="0"/>
    <n v="125"/>
    <n v="52"/>
    <n v="13"/>
    <n v="7"/>
    <n v="23.35"/>
    <x v="93"/>
    <x v="2"/>
    <n v="137"/>
    <n v="1.87"/>
    <n v="86.16"/>
    <n v="1.72"/>
    <n v="6"/>
    <n v="0.83"/>
    <n v="268"/>
    <n v="6.94"/>
    <n v="0.35"/>
    <d v="2024-11-02T00:00:00"/>
    <n v="50.56"/>
    <n v="0.437"/>
    <n v="10770"/>
    <x v="0"/>
    <x v="1"/>
  </r>
  <r>
    <x v="2759"/>
    <x v="0"/>
    <n v="40"/>
    <n v="15"/>
    <n v="13"/>
    <n v="3"/>
    <n v="27.82"/>
    <x v="54"/>
    <x v="0"/>
    <n v="149"/>
    <n v="4.45"/>
    <n v="13.33"/>
    <n v="1.33"/>
    <n v="7"/>
    <n v="0.77"/>
    <n v="293"/>
    <n v="11.41"/>
    <n v="0.5"/>
    <d v="2024-10-15T00:00:00"/>
    <n v="266.57"/>
    <n v="0.53300000000000003"/>
    <n v="533.20000000000005"/>
    <x v="0"/>
    <x v="2"/>
  </r>
  <r>
    <x v="2760"/>
    <x v="0"/>
    <n v="83"/>
    <n v="95"/>
    <n v="10"/>
    <n v="4"/>
    <n v="27.62"/>
    <x v="19"/>
    <x v="3"/>
    <n v="97"/>
    <n v="2.97"/>
    <n v="93.14"/>
    <n v="1.76"/>
    <n v="6"/>
    <n v="0.98"/>
    <n v="894"/>
    <n v="13.75"/>
    <n v="0.28999999999999998"/>
    <d v="2024-11-22T00:00:00"/>
    <n v="49.11"/>
    <n v="0.54100000000000004"/>
    <n v="7730.62"/>
    <x v="1"/>
    <x v="2"/>
  </r>
  <r>
    <x v="2761"/>
    <x v="4"/>
    <n v="184"/>
    <n v="87"/>
    <n v="5"/>
    <n v="2"/>
    <n v="48.82"/>
    <x v="63"/>
    <x v="1"/>
    <n v="114"/>
    <n v="3.11"/>
    <n v="73.900000000000006"/>
    <n v="0.92"/>
    <n v="7"/>
    <n v="0.8"/>
    <n v="988"/>
    <n v="13.41"/>
    <n v="0.51"/>
    <d v="2024-01-10T00:00:00"/>
    <n v="34.85"/>
    <n v="0.60899999999999999"/>
    <n v="13597.6"/>
    <x v="0"/>
    <x v="1"/>
  </r>
  <r>
    <x v="2762"/>
    <x v="4"/>
    <n v="46"/>
    <n v="76"/>
    <n v="9"/>
    <n v="6"/>
    <n v="18.989999999999998"/>
    <x v="51"/>
    <x v="1"/>
    <n v="28"/>
    <n v="3.48"/>
    <n v="162.72999999999999"/>
    <n v="1.26"/>
    <n v="2"/>
    <n v="0.87"/>
    <n v="352"/>
    <n v="8.0299999999999994"/>
    <n v="0.28000000000000003"/>
    <d v="2024-12-04T00:00:00"/>
    <n v="189.78"/>
    <n v="0.57099999999999995"/>
    <n v="7485.58"/>
    <x v="1"/>
    <x v="2"/>
  </r>
  <r>
    <x v="2763"/>
    <x v="2"/>
    <n v="330"/>
    <n v="21"/>
    <n v="10"/>
    <n v="2"/>
    <n v="11.18"/>
    <x v="97"/>
    <x v="1"/>
    <n v="89"/>
    <n v="1.85"/>
    <n v="30.35"/>
    <n v="1.71"/>
    <n v="2"/>
    <n v="0.74"/>
    <n v="419"/>
    <n v="9.5"/>
    <n v="0.59"/>
    <d v="2024-05-25T00:00:00"/>
    <n v="83.24"/>
    <n v="0.58199999999999996"/>
    <n v="10015.5"/>
    <x v="0"/>
    <x v="0"/>
  </r>
  <r>
    <x v="2764"/>
    <x v="0"/>
    <n v="304"/>
    <n v="21"/>
    <n v="5"/>
    <n v="3"/>
    <n v="45.68"/>
    <x v="79"/>
    <x v="2"/>
    <n v="35"/>
    <n v="2.4500000000000002"/>
    <n v="154.44"/>
    <n v="1.84"/>
    <n v="7"/>
    <n v="0.83"/>
    <n v="900"/>
    <n v="10.42"/>
    <n v="0.34"/>
    <d v="2024-02-13T00:00:00"/>
    <n v="200.41"/>
    <n v="0.44900000000000001"/>
    <n v="46949.760000000002"/>
    <x v="0"/>
    <x v="0"/>
  </r>
  <r>
    <x v="2765"/>
    <x v="1"/>
    <n v="167"/>
    <n v="75"/>
    <n v="4"/>
    <n v="5"/>
    <n v="9.57"/>
    <x v="31"/>
    <x v="1"/>
    <n v="160"/>
    <n v="3.84"/>
    <n v="145.66"/>
    <n v="0.15"/>
    <n v="8"/>
    <n v="0.97"/>
    <n v="324"/>
    <n v="12.47"/>
    <n v="0.3"/>
    <d v="2024-04-20T00:00:00"/>
    <n v="151.84"/>
    <n v="0.64500000000000002"/>
    <n v="24325.22"/>
    <x v="0"/>
    <x v="1"/>
  </r>
  <r>
    <x v="2766"/>
    <x v="3"/>
    <n v="300"/>
    <n v="11"/>
    <n v="10"/>
    <n v="8"/>
    <n v="41.89"/>
    <x v="66"/>
    <x v="1"/>
    <n v="130"/>
    <n v="4.93"/>
    <n v="55.94"/>
    <n v="0.3"/>
    <n v="9"/>
    <n v="1"/>
    <n v="119"/>
    <n v="8.11"/>
    <n v="0.66"/>
    <d v="2024-08-17T00:00:00"/>
    <n v="71.260000000000005"/>
    <n v="0.63"/>
    <n v="16782"/>
    <x v="0"/>
    <x v="0"/>
  </r>
  <r>
    <x v="2767"/>
    <x v="2"/>
    <n v="345"/>
    <n v="24"/>
    <n v="5"/>
    <n v="6"/>
    <n v="8.36"/>
    <x v="84"/>
    <x v="1"/>
    <n v="42"/>
    <n v="0.65"/>
    <n v="25.82"/>
    <n v="1.87"/>
    <n v="3"/>
    <n v="0.81"/>
    <n v="96"/>
    <n v="2.57"/>
    <n v="0.7"/>
    <d v="2024-11-06T00:00:00"/>
    <n v="30.2"/>
    <n v="0.48899999999999999"/>
    <n v="8907.9"/>
    <x v="0"/>
    <x v="0"/>
  </r>
  <r>
    <x v="2768"/>
    <x v="4"/>
    <n v="338"/>
    <n v="32"/>
    <n v="9"/>
    <n v="3"/>
    <n v="33.28"/>
    <x v="38"/>
    <x v="0"/>
    <n v="115"/>
    <n v="0.69"/>
    <n v="169.95"/>
    <n v="1.18"/>
    <n v="7"/>
    <n v="0.75"/>
    <n v="166"/>
    <n v="6.39"/>
    <n v="0.2"/>
    <d v="2024-08-29T00:00:00"/>
    <n v="30.49"/>
    <n v="0.41699999999999998"/>
    <n v="57443.1"/>
    <x v="0"/>
    <x v="0"/>
  </r>
  <r>
    <x v="2769"/>
    <x v="2"/>
    <n v="183"/>
    <n v="38"/>
    <n v="14"/>
    <n v="9"/>
    <n v="8.3800000000000008"/>
    <x v="39"/>
    <x v="0"/>
    <n v="39"/>
    <n v="2.4300000000000002"/>
    <n v="57.39"/>
    <n v="1.98"/>
    <n v="0"/>
    <n v="0.79"/>
    <n v="639"/>
    <n v="11.08"/>
    <n v="0.51"/>
    <d v="2024-09-03T00:00:00"/>
    <n v="179.9"/>
    <n v="0.61"/>
    <n v="10502.37"/>
    <x v="0"/>
    <x v="1"/>
  </r>
  <r>
    <x v="2770"/>
    <x v="2"/>
    <n v="405"/>
    <n v="90"/>
    <n v="3"/>
    <n v="4"/>
    <n v="46.23"/>
    <x v="29"/>
    <x v="0"/>
    <n v="160"/>
    <n v="3.47"/>
    <n v="37.659999999999997"/>
    <n v="1.61"/>
    <n v="1"/>
    <n v="0.8"/>
    <n v="566"/>
    <n v="9.73"/>
    <n v="0.26"/>
    <d v="2024-03-28T00:00:00"/>
    <n v="229.89"/>
    <n v="0.56100000000000005"/>
    <n v="15252.3"/>
    <x v="0"/>
    <x v="0"/>
  </r>
  <r>
    <x v="2771"/>
    <x v="2"/>
    <n v="425"/>
    <n v="16"/>
    <n v="14"/>
    <n v="8"/>
    <n v="28.69"/>
    <x v="10"/>
    <x v="3"/>
    <n v="135"/>
    <n v="2.2400000000000002"/>
    <n v="78.22"/>
    <n v="1.65"/>
    <n v="9"/>
    <n v="0.89"/>
    <n v="303"/>
    <n v="11.55"/>
    <n v="0.79"/>
    <d v="2024-04-22T00:00:00"/>
    <n v="210"/>
    <n v="0.54500000000000004"/>
    <n v="33243.5"/>
    <x v="0"/>
    <x v="0"/>
  </r>
  <r>
    <x v="2772"/>
    <x v="2"/>
    <n v="243"/>
    <n v="37"/>
    <n v="8"/>
    <n v="6"/>
    <n v="17.13"/>
    <x v="33"/>
    <x v="3"/>
    <n v="45"/>
    <n v="5"/>
    <n v="86.17"/>
    <n v="0.83"/>
    <n v="9"/>
    <n v="0.85"/>
    <n v="881"/>
    <n v="8"/>
    <n v="0.75"/>
    <d v="2024-07-29T00:00:00"/>
    <n v="181.93"/>
    <n v="0.56399999999999995"/>
    <n v="20939.310000000001"/>
    <x v="0"/>
    <x v="1"/>
  </r>
  <r>
    <x v="2773"/>
    <x v="3"/>
    <n v="291"/>
    <n v="23"/>
    <n v="14"/>
    <n v="6"/>
    <n v="7.88"/>
    <x v="9"/>
    <x v="3"/>
    <n v="134"/>
    <n v="1.38"/>
    <n v="71.959999999999994"/>
    <n v="0.59"/>
    <n v="9"/>
    <n v="0.93"/>
    <n v="668"/>
    <n v="3.44"/>
    <n v="0.24"/>
    <d v="2024-11-03T00:00:00"/>
    <n v="71.17"/>
    <n v="0.441"/>
    <n v="20940.359999999997"/>
    <x v="0"/>
    <x v="0"/>
  </r>
  <r>
    <x v="2774"/>
    <x v="0"/>
    <n v="165"/>
    <n v="53"/>
    <n v="14"/>
    <n v="9"/>
    <n v="19.190000000000001"/>
    <x v="52"/>
    <x v="1"/>
    <n v="133"/>
    <n v="0.54"/>
    <n v="195.53"/>
    <n v="1.24"/>
    <n v="8"/>
    <n v="0.91"/>
    <n v="805"/>
    <n v="2.61"/>
    <n v="0.95"/>
    <d v="2024-03-14T00:00:00"/>
    <n v="259.92"/>
    <n v="0.52300000000000002"/>
    <n v="32262.45"/>
    <x v="0"/>
    <x v="1"/>
  </r>
  <r>
    <x v="2775"/>
    <x v="1"/>
    <n v="472"/>
    <n v="39"/>
    <n v="11"/>
    <n v="7"/>
    <n v="35.549999999999997"/>
    <x v="82"/>
    <x v="0"/>
    <n v="127"/>
    <n v="1.36"/>
    <n v="177.36"/>
    <n v="1.77"/>
    <n v="1"/>
    <n v="0.78"/>
    <n v="222"/>
    <n v="7.74"/>
    <n v="0.97"/>
    <d v="2024-10-25T00:00:00"/>
    <n v="192.37"/>
    <n v="0.65600000000000003"/>
    <n v="83713.920000000013"/>
    <x v="0"/>
    <x v="0"/>
  </r>
  <r>
    <x v="2776"/>
    <x v="2"/>
    <n v="457"/>
    <n v="90"/>
    <n v="14"/>
    <n v="5"/>
    <n v="19.86"/>
    <x v="57"/>
    <x v="3"/>
    <n v="132"/>
    <n v="4.49"/>
    <n v="175.87"/>
    <n v="1.48"/>
    <n v="1"/>
    <n v="0.94"/>
    <n v="478"/>
    <n v="3.88"/>
    <n v="0.47"/>
    <d v="2024-04-03T00:00:00"/>
    <n v="211.32"/>
    <n v="0.56599999999999995"/>
    <n v="80372.59"/>
    <x v="0"/>
    <x v="0"/>
  </r>
  <r>
    <x v="2777"/>
    <x v="2"/>
    <n v="375"/>
    <n v="41"/>
    <n v="5"/>
    <n v="6"/>
    <n v="13.06"/>
    <x v="58"/>
    <x v="2"/>
    <n v="46"/>
    <n v="1.1499999999999999"/>
    <n v="85.77"/>
    <n v="1"/>
    <n v="7"/>
    <n v="0.95"/>
    <n v="85"/>
    <n v="14.75"/>
    <n v="0.3"/>
    <d v="2024-11-15T00:00:00"/>
    <n v="74.91"/>
    <n v="0.60699999999999998"/>
    <n v="32163.75"/>
    <x v="0"/>
    <x v="0"/>
  </r>
  <r>
    <x v="2778"/>
    <x v="2"/>
    <n v="49"/>
    <n v="79"/>
    <n v="9"/>
    <n v="5"/>
    <n v="29.29"/>
    <x v="62"/>
    <x v="0"/>
    <n v="70"/>
    <n v="2.66"/>
    <n v="192.95"/>
    <n v="1.53"/>
    <n v="4"/>
    <n v="0.88"/>
    <n v="954"/>
    <n v="3.78"/>
    <n v="0.28999999999999998"/>
    <d v="2024-12-03T00:00:00"/>
    <n v="85.83"/>
    <n v="0.45100000000000001"/>
    <n v="9454.5499999999993"/>
    <x v="1"/>
    <x v="2"/>
  </r>
  <r>
    <x v="2779"/>
    <x v="0"/>
    <n v="64"/>
    <n v="97"/>
    <n v="8"/>
    <n v="3"/>
    <n v="21.47"/>
    <x v="35"/>
    <x v="1"/>
    <n v="105"/>
    <n v="2.39"/>
    <n v="139.96"/>
    <n v="1.41"/>
    <n v="4"/>
    <n v="0.98"/>
    <n v="456"/>
    <n v="8.93"/>
    <n v="0.87"/>
    <d v="2024-09-18T00:00:00"/>
    <n v="273.19"/>
    <n v="0.66800000000000004"/>
    <n v="8957.44"/>
    <x v="1"/>
    <x v="2"/>
  </r>
  <r>
    <x v="2780"/>
    <x v="4"/>
    <n v="294"/>
    <n v="15"/>
    <n v="10"/>
    <n v="4"/>
    <n v="9.1199999999999992"/>
    <x v="99"/>
    <x v="0"/>
    <n v="129"/>
    <n v="3.5"/>
    <n v="168.08"/>
    <n v="1.83"/>
    <n v="5"/>
    <n v="0.93"/>
    <n v="465"/>
    <n v="1.02"/>
    <n v="0.56999999999999995"/>
    <d v="2024-05-15T00:00:00"/>
    <n v="148.06"/>
    <n v="0.43099999999999999"/>
    <n v="49415.520000000004"/>
    <x v="0"/>
    <x v="0"/>
  </r>
  <r>
    <x v="2781"/>
    <x v="4"/>
    <n v="490"/>
    <n v="36"/>
    <n v="5"/>
    <n v="8"/>
    <n v="8.5500000000000007"/>
    <x v="97"/>
    <x v="1"/>
    <n v="21"/>
    <n v="0.75"/>
    <n v="105.17"/>
    <n v="0.6"/>
    <n v="7"/>
    <n v="0.88"/>
    <n v="734"/>
    <n v="4.55"/>
    <n v="0.21"/>
    <d v="2024-03-26T00:00:00"/>
    <n v="170.61"/>
    <n v="0.47899999999999998"/>
    <n v="51533.3"/>
    <x v="0"/>
    <x v="0"/>
  </r>
  <r>
    <x v="2782"/>
    <x v="3"/>
    <n v="53"/>
    <n v="91"/>
    <n v="5"/>
    <n v="8"/>
    <n v="35.67"/>
    <x v="48"/>
    <x v="3"/>
    <n v="131"/>
    <n v="3.46"/>
    <n v="40.520000000000003"/>
    <n v="0.33"/>
    <n v="7"/>
    <n v="0.97"/>
    <n v="461"/>
    <n v="4.63"/>
    <n v="0.94"/>
    <d v="2024-12-17T00:00:00"/>
    <n v="42.12"/>
    <n v="0.67100000000000004"/>
    <n v="2147.56"/>
    <x v="1"/>
    <x v="2"/>
  </r>
  <r>
    <x v="2783"/>
    <x v="4"/>
    <n v="160"/>
    <n v="97"/>
    <n v="6"/>
    <n v="4"/>
    <n v="48.76"/>
    <x v="5"/>
    <x v="1"/>
    <n v="44"/>
    <n v="2.1"/>
    <n v="178.51"/>
    <n v="0.99"/>
    <n v="8"/>
    <n v="0.88"/>
    <n v="537"/>
    <n v="11.33"/>
    <n v="0.67"/>
    <d v="2024-06-24T00:00:00"/>
    <n v="124.43"/>
    <n v="0.60199999999999998"/>
    <n v="28561.599999999999"/>
    <x v="0"/>
    <x v="1"/>
  </r>
  <r>
    <x v="2784"/>
    <x v="2"/>
    <n v="446"/>
    <n v="33"/>
    <n v="5"/>
    <n v="6"/>
    <n v="12.42"/>
    <x v="4"/>
    <x v="1"/>
    <n v="76"/>
    <n v="4.67"/>
    <n v="102.42"/>
    <n v="0.79"/>
    <n v="9"/>
    <n v="0.86"/>
    <n v="741"/>
    <n v="7.94"/>
    <n v="0.75"/>
    <d v="2024-08-20T00:00:00"/>
    <n v="267.24"/>
    <n v="0.56899999999999995"/>
    <n v="45679.32"/>
    <x v="0"/>
    <x v="0"/>
  </r>
  <r>
    <x v="2785"/>
    <x v="2"/>
    <n v="337"/>
    <n v="43"/>
    <n v="11"/>
    <n v="6"/>
    <n v="38.880000000000003"/>
    <x v="19"/>
    <x v="2"/>
    <n v="47"/>
    <n v="4.32"/>
    <n v="194.03"/>
    <n v="1.95"/>
    <n v="2"/>
    <n v="0.81"/>
    <n v="828"/>
    <n v="1.17"/>
    <n v="0.86"/>
    <d v="2024-11-01T00:00:00"/>
    <n v="271.04000000000002"/>
    <n v="0.51500000000000001"/>
    <n v="65388.11"/>
    <x v="0"/>
    <x v="0"/>
  </r>
  <r>
    <x v="2786"/>
    <x v="2"/>
    <n v="393"/>
    <n v="49"/>
    <n v="13"/>
    <n v="3"/>
    <n v="5.29"/>
    <x v="85"/>
    <x v="0"/>
    <n v="33"/>
    <n v="2.2999999999999998"/>
    <n v="58.42"/>
    <n v="0.11"/>
    <n v="8"/>
    <n v="0.96"/>
    <n v="816"/>
    <n v="6.31"/>
    <n v="0.85"/>
    <d v="2024-10-29T00:00:00"/>
    <n v="221.74"/>
    <n v="0.67500000000000004"/>
    <n v="22959.06"/>
    <x v="0"/>
    <x v="0"/>
  </r>
  <r>
    <x v="2787"/>
    <x v="3"/>
    <n v="240"/>
    <n v="56"/>
    <n v="6"/>
    <n v="7"/>
    <n v="19.7"/>
    <x v="6"/>
    <x v="1"/>
    <n v="90"/>
    <n v="4.97"/>
    <n v="198.55"/>
    <n v="1.87"/>
    <n v="2"/>
    <n v="0.74"/>
    <n v="964"/>
    <n v="10.029999999999999"/>
    <n v="0.26"/>
    <d v="2024-02-05T00:00:00"/>
    <n v="168.23"/>
    <n v="0.50700000000000001"/>
    <n v="47652"/>
    <x v="0"/>
    <x v="1"/>
  </r>
  <r>
    <x v="2788"/>
    <x v="2"/>
    <n v="375"/>
    <n v="88"/>
    <n v="8"/>
    <n v="7"/>
    <n v="25.83"/>
    <x v="85"/>
    <x v="2"/>
    <n v="177"/>
    <n v="0.73"/>
    <n v="52.26"/>
    <n v="1.91"/>
    <n v="0"/>
    <n v="0.84"/>
    <n v="881"/>
    <n v="9.91"/>
    <n v="0.66"/>
    <d v="2024-04-27T00:00:00"/>
    <n v="279.94"/>
    <n v="0.64100000000000001"/>
    <n v="19597.5"/>
    <x v="0"/>
    <x v="0"/>
  </r>
  <r>
    <x v="2789"/>
    <x v="4"/>
    <n v="41"/>
    <n v="84"/>
    <n v="10"/>
    <n v="7"/>
    <n v="14.17"/>
    <x v="52"/>
    <x v="2"/>
    <n v="81"/>
    <n v="4.05"/>
    <n v="79.95"/>
    <n v="0.2"/>
    <n v="4"/>
    <n v="0.86"/>
    <n v="370"/>
    <n v="1.75"/>
    <n v="0.76"/>
    <d v="2024-07-12T00:00:00"/>
    <n v="262.83"/>
    <n v="0.64700000000000002"/>
    <n v="3277.9500000000003"/>
    <x v="1"/>
    <x v="2"/>
  </r>
  <r>
    <x v="2790"/>
    <x v="0"/>
    <n v="199"/>
    <n v="95"/>
    <n v="13"/>
    <n v="5"/>
    <n v="26.95"/>
    <x v="98"/>
    <x v="2"/>
    <n v="88"/>
    <n v="2.4500000000000002"/>
    <n v="122.86"/>
    <n v="1.79"/>
    <n v="6"/>
    <n v="0.87"/>
    <n v="122"/>
    <n v="14"/>
    <n v="0.27"/>
    <d v="2024-07-16T00:00:00"/>
    <n v="255.44"/>
    <n v="0.51600000000000001"/>
    <n v="24449.14"/>
    <x v="0"/>
    <x v="1"/>
  </r>
  <r>
    <x v="2791"/>
    <x v="0"/>
    <n v="455"/>
    <n v="33"/>
    <n v="10"/>
    <n v="7"/>
    <n v="44.25"/>
    <x v="49"/>
    <x v="3"/>
    <n v="123"/>
    <n v="2.4500000000000002"/>
    <n v="141.72999999999999"/>
    <n v="0.99"/>
    <n v="2"/>
    <n v="0.9"/>
    <n v="618"/>
    <n v="4.46"/>
    <n v="0.38"/>
    <d v="2024-03-08T00:00:00"/>
    <n v="265.72000000000003"/>
    <n v="0.57599999999999996"/>
    <n v="64487.149999999994"/>
    <x v="0"/>
    <x v="0"/>
  </r>
  <r>
    <x v="2792"/>
    <x v="1"/>
    <n v="386"/>
    <n v="74"/>
    <n v="7"/>
    <n v="4"/>
    <n v="47.28"/>
    <x v="54"/>
    <x v="3"/>
    <n v="54"/>
    <n v="1.27"/>
    <n v="146.85"/>
    <n v="1.56"/>
    <n v="8"/>
    <n v="0.85"/>
    <n v="627"/>
    <n v="13.48"/>
    <n v="0.52"/>
    <d v="2024-02-25T00:00:00"/>
    <n v="141.44"/>
    <n v="0.53800000000000003"/>
    <n v="56684.1"/>
    <x v="0"/>
    <x v="0"/>
  </r>
  <r>
    <x v="2793"/>
    <x v="4"/>
    <n v="439"/>
    <n v="27"/>
    <n v="7"/>
    <n v="8"/>
    <n v="5.93"/>
    <x v="62"/>
    <x v="1"/>
    <n v="134"/>
    <n v="2.82"/>
    <n v="100.49"/>
    <n v="0.25"/>
    <n v="0"/>
    <n v="0.78"/>
    <n v="693"/>
    <n v="3.99"/>
    <n v="0.91"/>
    <d v="2024-01-09T00:00:00"/>
    <n v="162.38999999999999"/>
    <n v="0.76600000000000001"/>
    <n v="44115.11"/>
    <x v="0"/>
    <x v="0"/>
  </r>
  <r>
    <x v="2794"/>
    <x v="2"/>
    <n v="348"/>
    <n v="53"/>
    <n v="8"/>
    <n v="8"/>
    <n v="14.32"/>
    <x v="49"/>
    <x v="0"/>
    <n v="105"/>
    <n v="0.88"/>
    <n v="24.6"/>
    <n v="1.91"/>
    <n v="5"/>
    <n v="0.96"/>
    <n v="462"/>
    <n v="8.9499999999999993"/>
    <n v="0.88"/>
    <d v="2024-04-13T00:00:00"/>
    <n v="132.96"/>
    <n v="0.59599999999999997"/>
    <n v="8560.8000000000011"/>
    <x v="0"/>
    <x v="0"/>
  </r>
  <r>
    <x v="2795"/>
    <x v="0"/>
    <n v="250"/>
    <n v="85"/>
    <n v="12"/>
    <n v="5"/>
    <n v="48.98"/>
    <x v="86"/>
    <x v="3"/>
    <n v="22"/>
    <n v="3.27"/>
    <n v="104.25"/>
    <n v="1.25"/>
    <n v="5"/>
    <n v="0.9"/>
    <n v="821"/>
    <n v="6.69"/>
    <n v="0.83"/>
    <d v="2024-09-24T00:00:00"/>
    <n v="224.62"/>
    <n v="0.61"/>
    <n v="26062.5"/>
    <x v="0"/>
    <x v="0"/>
  </r>
  <r>
    <x v="2796"/>
    <x v="4"/>
    <n v="422"/>
    <n v="66"/>
    <n v="9"/>
    <n v="3"/>
    <n v="14.25"/>
    <x v="66"/>
    <x v="3"/>
    <n v="119"/>
    <n v="1.59"/>
    <n v="73.59"/>
    <n v="1.81"/>
    <n v="7"/>
    <n v="0.96"/>
    <n v="173"/>
    <n v="9.14"/>
    <n v="0.99"/>
    <d v="2024-09-15T00:00:00"/>
    <n v="181.66"/>
    <n v="0.59099999999999997"/>
    <n v="31054.980000000003"/>
    <x v="0"/>
    <x v="0"/>
  </r>
  <r>
    <x v="2797"/>
    <x v="0"/>
    <n v="57"/>
    <n v="37"/>
    <n v="12"/>
    <n v="4"/>
    <n v="34.94"/>
    <x v="97"/>
    <x v="1"/>
    <n v="15"/>
    <n v="3.76"/>
    <n v="134.94999999999999"/>
    <n v="1.38"/>
    <n v="2"/>
    <n v="0.78"/>
    <n v="434"/>
    <n v="7.97"/>
    <n v="0.39"/>
    <d v="2024-12-16T00:00:00"/>
    <n v="30.21"/>
    <n v="0.56200000000000006"/>
    <n v="7692.15"/>
    <x v="0"/>
    <x v="2"/>
  </r>
  <r>
    <x v="2798"/>
    <x v="2"/>
    <n v="89"/>
    <n v="80"/>
    <n v="9"/>
    <n v="8"/>
    <n v="13.42"/>
    <x v="34"/>
    <x v="1"/>
    <n v="106"/>
    <n v="3.23"/>
    <n v="44.63"/>
    <n v="1.1200000000000001"/>
    <n v="4"/>
    <n v="0.89"/>
    <n v="653"/>
    <n v="1.03"/>
    <n v="0.56999999999999995"/>
    <d v="2024-08-02T00:00:00"/>
    <n v="49.61"/>
    <n v="0.51400000000000001"/>
    <n v="3972.07"/>
    <x v="0"/>
    <x v="2"/>
  </r>
  <r>
    <x v="2799"/>
    <x v="0"/>
    <n v="135"/>
    <n v="32"/>
    <n v="6"/>
    <n v="4"/>
    <n v="18.46"/>
    <x v="19"/>
    <x v="3"/>
    <n v="80"/>
    <n v="3.86"/>
    <n v="84.84"/>
    <n v="0.43"/>
    <n v="9"/>
    <n v="0.91"/>
    <n v="835"/>
    <n v="5.92"/>
    <n v="0.56000000000000005"/>
    <d v="2024-03-17T00:00:00"/>
    <n v="65.77"/>
    <n v="0.55000000000000004"/>
    <n v="11453.4"/>
    <x v="0"/>
    <x v="1"/>
  </r>
  <r>
    <x v="2800"/>
    <x v="1"/>
    <n v="258"/>
    <n v="94"/>
    <n v="8"/>
    <n v="8"/>
    <n v="10.37"/>
    <x v="82"/>
    <x v="1"/>
    <n v="56"/>
    <n v="3.87"/>
    <n v="193.56"/>
    <n v="0.44"/>
    <n v="4"/>
    <n v="0.82"/>
    <n v="702"/>
    <n v="1.1599999999999999"/>
    <n v="0.74"/>
    <d v="2024-11-06T00:00:00"/>
    <n v="204.46"/>
    <n v="0.60299999999999998"/>
    <n v="49938.48"/>
    <x v="0"/>
    <x v="0"/>
  </r>
  <r>
    <x v="2801"/>
    <x v="1"/>
    <n v="354"/>
    <n v="43"/>
    <n v="9"/>
    <n v="2"/>
    <n v="42.96"/>
    <x v="4"/>
    <x v="2"/>
    <n v="102"/>
    <n v="1.39"/>
    <n v="26.88"/>
    <n v="1"/>
    <n v="7"/>
    <n v="0.94"/>
    <n v="281"/>
    <n v="10.57"/>
    <n v="0.88"/>
    <d v="2024-02-19T00:00:00"/>
    <n v="41.84"/>
    <n v="0.66500000000000004"/>
    <n v="9515.52"/>
    <x v="0"/>
    <x v="0"/>
  </r>
  <r>
    <x v="2802"/>
    <x v="0"/>
    <n v="460"/>
    <n v="20"/>
    <n v="7"/>
    <n v="3"/>
    <n v="44.25"/>
    <x v="98"/>
    <x v="1"/>
    <n v="110"/>
    <n v="0.5"/>
    <n v="124.44"/>
    <n v="1.75"/>
    <n v="6"/>
    <n v="0.7"/>
    <n v="631"/>
    <n v="12.95"/>
    <n v="0.59"/>
    <d v="2024-03-31T00:00:00"/>
    <n v="166.84"/>
    <n v="0.53600000000000003"/>
    <n v="57242.400000000001"/>
    <x v="0"/>
    <x v="0"/>
  </r>
  <r>
    <x v="2803"/>
    <x v="4"/>
    <n v="167"/>
    <n v="95"/>
    <n v="7"/>
    <n v="3"/>
    <n v="15.55"/>
    <x v="40"/>
    <x v="2"/>
    <n v="53"/>
    <n v="2.15"/>
    <n v="27.22"/>
    <n v="0.32"/>
    <n v="2"/>
    <n v="0.88"/>
    <n v="482"/>
    <n v="6.39"/>
    <n v="0.59"/>
    <d v="2024-08-31T00:00:00"/>
    <n v="253.84"/>
    <n v="0.70699999999999996"/>
    <n v="4545.74"/>
    <x v="0"/>
    <x v="1"/>
  </r>
  <r>
    <x v="2804"/>
    <x v="4"/>
    <n v="28"/>
    <n v="44"/>
    <n v="4"/>
    <n v="9"/>
    <n v="41.36"/>
    <x v="47"/>
    <x v="3"/>
    <n v="41"/>
    <n v="4.6399999999999997"/>
    <n v="39.83"/>
    <n v="2"/>
    <n v="6"/>
    <n v="0.88"/>
    <n v="540"/>
    <n v="8.35"/>
    <n v="0.69"/>
    <d v="2024-11-10T00:00:00"/>
    <n v="284.77999999999997"/>
    <n v="0.505"/>
    <n v="1115.24"/>
    <x v="1"/>
    <x v="2"/>
  </r>
  <r>
    <x v="2805"/>
    <x v="4"/>
    <n v="307"/>
    <n v="51"/>
    <n v="9"/>
    <n v="2"/>
    <n v="18.55"/>
    <x v="9"/>
    <x v="0"/>
    <n v="12"/>
    <n v="3.1"/>
    <n v="124.94"/>
    <n v="1.76"/>
    <n v="9"/>
    <n v="0.86"/>
    <n v="736"/>
    <n v="1.92"/>
    <n v="0.79"/>
    <d v="2024-11-03T00:00:00"/>
    <n v="134.19"/>
    <n v="0.4"/>
    <n v="38356.58"/>
    <x v="0"/>
    <x v="0"/>
  </r>
  <r>
    <x v="2806"/>
    <x v="0"/>
    <n v="407"/>
    <n v="37"/>
    <n v="14"/>
    <n v="5"/>
    <n v="5.85"/>
    <x v="10"/>
    <x v="2"/>
    <n v="93"/>
    <n v="3.77"/>
    <n v="94.36"/>
    <n v="0.85"/>
    <n v="7"/>
    <n v="0.89"/>
    <n v="920"/>
    <n v="6.39"/>
    <n v="0.36"/>
    <d v="2024-01-20T00:00:00"/>
    <n v="164.69"/>
    <n v="0.51"/>
    <n v="38404.519999999997"/>
    <x v="0"/>
    <x v="0"/>
  </r>
  <r>
    <x v="2807"/>
    <x v="4"/>
    <n v="69"/>
    <n v="91"/>
    <n v="8"/>
    <n v="8"/>
    <n v="38.15"/>
    <x v="31"/>
    <x v="0"/>
    <n v="175"/>
    <n v="4.46"/>
    <n v="114.21"/>
    <n v="0.57999999999999996"/>
    <n v="4"/>
    <n v="0.75"/>
    <n v="135"/>
    <n v="2.94"/>
    <n v="0.97"/>
    <d v="2024-09-29T00:00:00"/>
    <n v="251.14"/>
    <n v="0.64500000000000002"/>
    <n v="7880.49"/>
    <x v="1"/>
    <x v="2"/>
  </r>
  <r>
    <x v="2808"/>
    <x v="2"/>
    <n v="357"/>
    <n v="87"/>
    <n v="13"/>
    <n v="9"/>
    <n v="30.23"/>
    <x v="70"/>
    <x v="3"/>
    <n v="13"/>
    <n v="4.58"/>
    <n v="177.18"/>
    <n v="1.85"/>
    <n v="4"/>
    <n v="0.91"/>
    <n v="814"/>
    <n v="1.91"/>
    <n v="0.27"/>
    <d v="2024-09-14T00:00:00"/>
    <n v="281.37"/>
    <n v="0.39600000000000002"/>
    <n v="63253.26"/>
    <x v="0"/>
    <x v="0"/>
  </r>
  <r>
    <x v="2809"/>
    <x v="1"/>
    <n v="24"/>
    <n v="91"/>
    <n v="3"/>
    <n v="8"/>
    <n v="14.44"/>
    <x v="34"/>
    <x v="1"/>
    <n v="154"/>
    <n v="2.88"/>
    <n v="165.28"/>
    <n v="0.33"/>
    <n v="0"/>
    <n v="0.8"/>
    <n v="79"/>
    <n v="3.41"/>
    <n v="0.22"/>
    <d v="2024-03-01T00:00:00"/>
    <n v="123.06"/>
    <n v="0.61599999999999999"/>
    <n v="3966.7200000000003"/>
    <x v="1"/>
    <x v="2"/>
  </r>
  <r>
    <x v="2810"/>
    <x v="2"/>
    <n v="423"/>
    <n v="33"/>
    <n v="6"/>
    <n v="8"/>
    <n v="13.4"/>
    <x v="52"/>
    <x v="2"/>
    <n v="174"/>
    <n v="2.93"/>
    <n v="178.72"/>
    <n v="0.76"/>
    <n v="7"/>
    <n v="0.84"/>
    <n v="716"/>
    <n v="13.19"/>
    <n v="0.49"/>
    <d v="2024-02-17T00:00:00"/>
    <n v="112.39"/>
    <n v="0.626"/>
    <n v="75598.559999999998"/>
    <x v="0"/>
    <x v="0"/>
  </r>
  <r>
    <x v="2811"/>
    <x v="4"/>
    <n v="362"/>
    <n v="17"/>
    <n v="5"/>
    <n v="7"/>
    <n v="48.81"/>
    <x v="71"/>
    <x v="2"/>
    <n v="97"/>
    <n v="4.33"/>
    <n v="127.09"/>
    <n v="0.26"/>
    <n v="5"/>
    <n v="0.8"/>
    <n v="249"/>
    <n v="14.75"/>
    <n v="0.76"/>
    <d v="2024-09-03T00:00:00"/>
    <n v="140.74"/>
    <n v="0.78300000000000003"/>
    <n v="46006.58"/>
    <x v="0"/>
    <x v="0"/>
  </r>
  <r>
    <x v="2812"/>
    <x v="2"/>
    <n v="145"/>
    <n v="62"/>
    <n v="14"/>
    <n v="7"/>
    <n v="43.26"/>
    <x v="43"/>
    <x v="3"/>
    <n v="115"/>
    <n v="4.13"/>
    <n v="103.03"/>
    <n v="1.91"/>
    <n v="5"/>
    <n v="0.84"/>
    <n v="924"/>
    <n v="13.31"/>
    <n v="0.98"/>
    <d v="2024-12-03T00:00:00"/>
    <n v="83.6"/>
    <n v="0.65"/>
    <n v="14939.35"/>
    <x v="0"/>
    <x v="1"/>
  </r>
  <r>
    <x v="2813"/>
    <x v="4"/>
    <n v="94"/>
    <n v="81"/>
    <n v="5"/>
    <n v="7"/>
    <n v="40.68"/>
    <x v="36"/>
    <x v="3"/>
    <n v="114"/>
    <n v="3.64"/>
    <n v="97.25"/>
    <n v="1.27"/>
    <n v="4"/>
    <n v="0.89"/>
    <n v="205"/>
    <n v="14.58"/>
    <n v="0.95"/>
    <d v="2024-03-07T00:00:00"/>
    <n v="259.3"/>
    <n v="0.755"/>
    <n v="9141.5"/>
    <x v="0"/>
    <x v="2"/>
  </r>
  <r>
    <x v="2814"/>
    <x v="0"/>
    <n v="184"/>
    <n v="13"/>
    <n v="9"/>
    <n v="7"/>
    <n v="7.27"/>
    <x v="98"/>
    <x v="1"/>
    <n v="45"/>
    <n v="3.22"/>
    <n v="150.56"/>
    <n v="0.74"/>
    <n v="4"/>
    <n v="0.95"/>
    <n v="806"/>
    <n v="11.23"/>
    <n v="0.75"/>
    <d v="2024-11-04T00:00:00"/>
    <n v="102.28"/>
    <n v="0.73599999999999999"/>
    <n v="27703.040000000001"/>
    <x v="0"/>
    <x v="1"/>
  </r>
  <r>
    <x v="2815"/>
    <x v="2"/>
    <n v="297"/>
    <n v="14"/>
    <n v="13"/>
    <n v="7"/>
    <n v="38"/>
    <x v="21"/>
    <x v="0"/>
    <n v="67"/>
    <n v="3.28"/>
    <n v="109.05"/>
    <n v="0.62"/>
    <n v="2"/>
    <n v="0.85"/>
    <n v="947"/>
    <n v="3.24"/>
    <n v="0.55000000000000004"/>
    <d v="2024-10-03T00:00:00"/>
    <n v="140.34"/>
    <n v="0.621"/>
    <n v="32387.85"/>
    <x v="0"/>
    <x v="0"/>
  </r>
  <r>
    <x v="2816"/>
    <x v="0"/>
    <n v="461"/>
    <n v="58"/>
    <n v="14"/>
    <n v="2"/>
    <n v="11.51"/>
    <x v="41"/>
    <x v="2"/>
    <n v="178"/>
    <n v="2.13"/>
    <n v="30.1"/>
    <n v="0.94"/>
    <n v="2"/>
    <n v="0.8"/>
    <n v="581"/>
    <n v="8.8800000000000008"/>
    <n v="0.68"/>
    <d v="2024-01-01T00:00:00"/>
    <n v="102.79"/>
    <n v="0.68"/>
    <n v="13876.1"/>
    <x v="0"/>
    <x v="0"/>
  </r>
  <r>
    <x v="2817"/>
    <x v="0"/>
    <n v="343"/>
    <n v="39"/>
    <n v="12"/>
    <n v="3"/>
    <n v="48.89"/>
    <x v="34"/>
    <x v="0"/>
    <n v="17"/>
    <n v="4.28"/>
    <n v="36.97"/>
    <n v="0.27"/>
    <n v="1"/>
    <n v="0.85"/>
    <n v="764"/>
    <n v="11.24"/>
    <n v="0.97"/>
    <d v="2024-12-13T00:00:00"/>
    <n v="44.49"/>
    <n v="0.86699999999999999"/>
    <n v="12680.71"/>
    <x v="0"/>
    <x v="0"/>
  </r>
  <r>
    <x v="2818"/>
    <x v="3"/>
    <n v="496"/>
    <n v="81"/>
    <n v="6"/>
    <n v="5"/>
    <n v="3.55"/>
    <x v="92"/>
    <x v="2"/>
    <n v="167"/>
    <n v="3.28"/>
    <n v="77.849999999999994"/>
    <n v="1.79"/>
    <n v="8"/>
    <n v="0.91"/>
    <n v="895"/>
    <n v="8.19"/>
    <n v="0.41"/>
    <d v="2024-11-28T00:00:00"/>
    <n v="185.93"/>
    <n v="0.434"/>
    <n v="38613.599999999999"/>
    <x v="0"/>
    <x v="0"/>
  </r>
  <r>
    <x v="2819"/>
    <x v="4"/>
    <n v="319"/>
    <n v="72"/>
    <n v="14"/>
    <n v="4"/>
    <n v="18.25"/>
    <x v="22"/>
    <x v="2"/>
    <n v="95"/>
    <n v="1.51"/>
    <n v="22.89"/>
    <n v="1.07"/>
    <n v="7"/>
    <n v="0.8"/>
    <n v="201"/>
    <n v="8.77"/>
    <n v="0.57999999999999996"/>
    <d v="2024-08-08T00:00:00"/>
    <n v="180.41"/>
    <n v="0.54600000000000004"/>
    <n v="7301.91"/>
    <x v="0"/>
    <x v="0"/>
  </r>
  <r>
    <x v="2820"/>
    <x v="1"/>
    <n v="309"/>
    <n v="56"/>
    <n v="10"/>
    <n v="7"/>
    <n v="22"/>
    <x v="80"/>
    <x v="1"/>
    <n v="106"/>
    <n v="1.58"/>
    <n v="55.45"/>
    <n v="1.48"/>
    <n v="2"/>
    <n v="0.82"/>
    <n v="126"/>
    <n v="9.2100000000000009"/>
    <n v="0.75"/>
    <d v="2024-09-24T00:00:00"/>
    <n v="95.52"/>
    <n v="0.64900000000000002"/>
    <n v="17134.05"/>
    <x v="0"/>
    <x v="0"/>
  </r>
  <r>
    <x v="2821"/>
    <x v="4"/>
    <n v="96"/>
    <n v="35"/>
    <n v="13"/>
    <n v="2"/>
    <n v="41.39"/>
    <x v="72"/>
    <x v="2"/>
    <n v="162"/>
    <n v="4.38"/>
    <n v="134.72"/>
    <n v="0.54"/>
    <n v="4"/>
    <n v="0.87"/>
    <n v="377"/>
    <n v="7.54"/>
    <n v="0.21"/>
    <d v="2024-08-03T00:00:00"/>
    <n v="19.11"/>
    <n v="0.58299999999999996"/>
    <n v="12933.119999999999"/>
    <x v="0"/>
    <x v="2"/>
  </r>
  <r>
    <x v="2822"/>
    <x v="1"/>
    <n v="317"/>
    <n v="66"/>
    <n v="11"/>
    <n v="9"/>
    <n v="38.54"/>
    <x v="97"/>
    <x v="2"/>
    <n v="68"/>
    <n v="3.32"/>
    <n v="12.36"/>
    <n v="1.06"/>
    <n v="9"/>
    <n v="0.79"/>
    <n v="221"/>
    <n v="5.07"/>
    <n v="0.51"/>
    <d v="2024-07-08T00:00:00"/>
    <n v="281.66000000000003"/>
    <n v="0.442"/>
    <n v="3918.12"/>
    <x v="0"/>
    <x v="0"/>
  </r>
  <r>
    <x v="2823"/>
    <x v="4"/>
    <n v="156"/>
    <n v="46"/>
    <n v="5"/>
    <n v="9"/>
    <n v="19.37"/>
    <x v="15"/>
    <x v="3"/>
    <n v="39"/>
    <n v="2.29"/>
    <n v="124.78"/>
    <n v="0.5"/>
    <n v="4"/>
    <n v="0.76"/>
    <n v="454"/>
    <n v="9.92"/>
    <n v="0.65"/>
    <d v="2024-01-23T00:00:00"/>
    <n v="113.11"/>
    <n v="0.68400000000000005"/>
    <n v="19465.68"/>
    <x v="0"/>
    <x v="1"/>
  </r>
  <r>
    <x v="2824"/>
    <x v="0"/>
    <n v="125"/>
    <n v="16"/>
    <n v="7"/>
    <n v="8"/>
    <n v="28.71"/>
    <x v="20"/>
    <x v="1"/>
    <n v="110"/>
    <n v="1.34"/>
    <n v="156.75"/>
    <n v="1.65"/>
    <n v="7"/>
    <n v="0.74"/>
    <n v="455"/>
    <n v="1.75"/>
    <n v="0.92"/>
    <d v="2024-12-23T00:00:00"/>
    <n v="166.24"/>
    <n v="0.45"/>
    <n v="19593.75"/>
    <x v="0"/>
    <x v="1"/>
  </r>
  <r>
    <x v="2825"/>
    <x v="2"/>
    <n v="114"/>
    <n v="49"/>
    <n v="6"/>
    <n v="5"/>
    <n v="41.94"/>
    <x v="39"/>
    <x v="3"/>
    <n v="76"/>
    <n v="3.25"/>
    <n v="42.33"/>
    <n v="1.57"/>
    <n v="5"/>
    <n v="0.81"/>
    <n v="890"/>
    <n v="3.39"/>
    <n v="0.99"/>
    <d v="2024-09-28T00:00:00"/>
    <n v="51.69"/>
    <n v="0.54800000000000004"/>
    <n v="4825.62"/>
    <x v="0"/>
    <x v="1"/>
  </r>
  <r>
    <x v="2826"/>
    <x v="2"/>
    <n v="154"/>
    <n v="48"/>
    <n v="14"/>
    <n v="9"/>
    <n v="1.89"/>
    <x v="56"/>
    <x v="2"/>
    <n v="141"/>
    <n v="1.33"/>
    <n v="44.38"/>
    <n v="0.38"/>
    <n v="6"/>
    <n v="0.71"/>
    <n v="811"/>
    <n v="13.95"/>
    <n v="0.65"/>
    <d v="2024-08-07T00:00:00"/>
    <n v="82.84"/>
    <n v="0.7"/>
    <n v="6834.52"/>
    <x v="0"/>
    <x v="1"/>
  </r>
  <r>
    <x v="2827"/>
    <x v="3"/>
    <n v="87"/>
    <n v="71"/>
    <n v="12"/>
    <n v="5"/>
    <n v="40.31"/>
    <x v="19"/>
    <x v="1"/>
    <n v="102"/>
    <n v="2.62"/>
    <n v="15.48"/>
    <n v="0.24"/>
    <n v="4"/>
    <n v="0.88"/>
    <n v="747"/>
    <n v="7.84"/>
    <n v="0.96"/>
    <d v="2024-04-27T00:00:00"/>
    <n v="136.22"/>
    <n v="0.76900000000000002"/>
    <n v="1346.76"/>
    <x v="0"/>
    <x v="2"/>
  </r>
  <r>
    <x v="2828"/>
    <x v="1"/>
    <n v="166"/>
    <n v="87"/>
    <n v="8"/>
    <n v="5"/>
    <n v="47.4"/>
    <x v="23"/>
    <x v="2"/>
    <n v="72"/>
    <n v="3.55"/>
    <n v="107.37"/>
    <n v="1.67"/>
    <n v="0"/>
    <n v="0.75"/>
    <n v="411"/>
    <n v="12.5"/>
    <n v="0.28000000000000003"/>
    <d v="2024-09-03T00:00:00"/>
    <n v="173.05"/>
    <n v="0.60599999999999998"/>
    <n v="17823.420000000002"/>
    <x v="0"/>
    <x v="1"/>
  </r>
  <r>
    <x v="2829"/>
    <x v="1"/>
    <n v="497"/>
    <n v="62"/>
    <n v="13"/>
    <n v="2"/>
    <n v="2.57"/>
    <x v="56"/>
    <x v="1"/>
    <n v="41"/>
    <n v="3.04"/>
    <n v="134.37"/>
    <n v="0.31"/>
    <n v="7"/>
    <n v="0.81"/>
    <n v="177"/>
    <n v="11.17"/>
    <n v="0.76"/>
    <d v="2024-07-14T00:00:00"/>
    <n v="257.66000000000003"/>
    <n v="0.69199999999999995"/>
    <n v="66781.89"/>
    <x v="0"/>
    <x v="0"/>
  </r>
  <r>
    <x v="2830"/>
    <x v="1"/>
    <n v="178"/>
    <n v="13"/>
    <n v="12"/>
    <n v="4"/>
    <n v="3.23"/>
    <x v="7"/>
    <x v="0"/>
    <n v="96"/>
    <n v="4.6500000000000004"/>
    <n v="96.81"/>
    <n v="1.1399999999999999"/>
    <n v="3"/>
    <n v="0.78"/>
    <n v="924"/>
    <n v="5.49"/>
    <n v="0.52"/>
    <d v="2024-06-28T00:00:00"/>
    <n v="94.22"/>
    <n v="0.55900000000000005"/>
    <n v="17232.18"/>
    <x v="0"/>
    <x v="1"/>
  </r>
  <r>
    <x v="2831"/>
    <x v="0"/>
    <n v="403"/>
    <n v="91"/>
    <n v="6"/>
    <n v="7"/>
    <n v="17.88"/>
    <x v="8"/>
    <x v="0"/>
    <n v="60"/>
    <n v="0.68"/>
    <n v="84"/>
    <n v="1.1200000000000001"/>
    <n v="4"/>
    <n v="0.89"/>
    <n v="572"/>
    <n v="12.25"/>
    <n v="0.8"/>
    <d v="2024-10-28T00:00:00"/>
    <n v="262.82"/>
    <n v="0.70899999999999996"/>
    <n v="33852"/>
    <x v="0"/>
    <x v="0"/>
  </r>
  <r>
    <x v="2832"/>
    <x v="1"/>
    <n v="182"/>
    <n v="34"/>
    <n v="10"/>
    <n v="5"/>
    <n v="5.3"/>
    <x v="99"/>
    <x v="1"/>
    <n v="72"/>
    <n v="1.76"/>
    <n v="96.34"/>
    <n v="0.49"/>
    <n v="0"/>
    <n v="0.96"/>
    <n v="385"/>
    <n v="2.2799999999999998"/>
    <n v="0.89"/>
    <d v="2024-12-22T00:00:00"/>
    <n v="142.94999999999999"/>
    <n v="0.751"/>
    <n v="17533.88"/>
    <x v="0"/>
    <x v="1"/>
  </r>
  <r>
    <x v="2833"/>
    <x v="2"/>
    <n v="460"/>
    <n v="16"/>
    <n v="5"/>
    <n v="2"/>
    <n v="24.48"/>
    <x v="3"/>
    <x v="2"/>
    <n v="89"/>
    <n v="0.76"/>
    <n v="158.49"/>
    <n v="1.22"/>
    <n v="2"/>
    <n v="0.89"/>
    <n v="803"/>
    <n v="13.25"/>
    <n v="0.24"/>
    <d v="2024-10-21T00:00:00"/>
    <n v="135.47999999999999"/>
    <n v="0.64100000000000001"/>
    <n v="72905.400000000009"/>
    <x v="0"/>
    <x v="0"/>
  </r>
  <r>
    <x v="2834"/>
    <x v="0"/>
    <n v="360"/>
    <n v="37"/>
    <n v="13"/>
    <n v="8"/>
    <n v="36.71"/>
    <x v="12"/>
    <x v="1"/>
    <n v="96"/>
    <n v="1.38"/>
    <n v="16.37"/>
    <n v="1.06"/>
    <n v="1"/>
    <n v="0.86"/>
    <n v="742"/>
    <n v="10.53"/>
    <n v="0.95"/>
    <d v="2024-02-20T00:00:00"/>
    <n v="124.96"/>
    <n v="0.77600000000000002"/>
    <n v="5893.2000000000007"/>
    <x v="0"/>
    <x v="0"/>
  </r>
  <r>
    <x v="2835"/>
    <x v="4"/>
    <n v="208"/>
    <n v="78"/>
    <n v="7"/>
    <n v="3"/>
    <n v="28.78"/>
    <x v="89"/>
    <x v="2"/>
    <n v="119"/>
    <n v="1.06"/>
    <n v="158.93"/>
    <n v="1.07"/>
    <n v="1"/>
    <n v="0.9"/>
    <n v="314"/>
    <n v="13.98"/>
    <n v="0.25"/>
    <d v="2024-08-05T00:00:00"/>
    <n v="266.99"/>
    <n v="0.68899999999999995"/>
    <n v="33057.440000000002"/>
    <x v="0"/>
    <x v="1"/>
  </r>
  <r>
    <x v="2836"/>
    <x v="1"/>
    <n v="434"/>
    <n v="76"/>
    <n v="3"/>
    <n v="8"/>
    <n v="10.63"/>
    <x v="5"/>
    <x v="0"/>
    <n v="110"/>
    <n v="3.8"/>
    <n v="136.61000000000001"/>
    <n v="0.78"/>
    <n v="0"/>
    <n v="0.71"/>
    <n v="244"/>
    <n v="13.54"/>
    <n v="0.8"/>
    <d v="2024-03-09T00:00:00"/>
    <n v="82.79"/>
    <n v="0.80500000000000005"/>
    <n v="59288.740000000005"/>
    <x v="0"/>
    <x v="0"/>
  </r>
  <r>
    <x v="2837"/>
    <x v="1"/>
    <n v="358"/>
    <n v="29"/>
    <n v="8"/>
    <n v="2"/>
    <n v="33.090000000000003"/>
    <x v="76"/>
    <x v="2"/>
    <n v="138"/>
    <n v="2.16"/>
    <n v="55.87"/>
    <n v="1.69"/>
    <n v="5"/>
    <n v="0.74"/>
    <n v="807"/>
    <n v="6.32"/>
    <n v="0.26"/>
    <d v="2024-05-10T00:00:00"/>
    <n v="258.64"/>
    <n v="0.41499999999999998"/>
    <n v="20001.46"/>
    <x v="0"/>
    <x v="0"/>
  </r>
  <r>
    <x v="2838"/>
    <x v="4"/>
    <n v="114"/>
    <n v="92"/>
    <n v="13"/>
    <n v="2"/>
    <n v="34.56"/>
    <x v="55"/>
    <x v="3"/>
    <n v="28"/>
    <n v="4.66"/>
    <n v="109.7"/>
    <n v="0.26"/>
    <n v="7"/>
    <n v="0.73"/>
    <n v="149"/>
    <n v="13"/>
    <n v="0.89"/>
    <d v="2024-09-01T00:00:00"/>
    <n v="35.840000000000003"/>
    <n v="0.73099999999999998"/>
    <n v="12505.800000000001"/>
    <x v="0"/>
    <x v="1"/>
  </r>
  <r>
    <x v="2839"/>
    <x v="1"/>
    <n v="200"/>
    <n v="20"/>
    <n v="7"/>
    <n v="2"/>
    <n v="46.69"/>
    <x v="79"/>
    <x v="0"/>
    <n v="110"/>
    <n v="0.61"/>
    <n v="19.37"/>
    <n v="0.93"/>
    <n v="2"/>
    <n v="0.73"/>
    <n v="613"/>
    <n v="8.8800000000000008"/>
    <n v="0.36"/>
    <d v="2024-04-29T00:00:00"/>
    <n v="287.05"/>
    <n v="0.60299999999999998"/>
    <n v="3874"/>
    <x v="0"/>
    <x v="1"/>
  </r>
  <r>
    <x v="2840"/>
    <x v="4"/>
    <n v="307"/>
    <n v="76"/>
    <n v="10"/>
    <n v="5"/>
    <n v="8.19"/>
    <x v="6"/>
    <x v="3"/>
    <n v="172"/>
    <n v="3.44"/>
    <n v="82.12"/>
    <n v="0.59"/>
    <n v="0"/>
    <n v="0.78"/>
    <n v="420"/>
    <n v="3.2"/>
    <n v="0.55000000000000004"/>
    <d v="2024-02-12T00:00:00"/>
    <n v="155.87"/>
    <n v="0.65"/>
    <n v="25210.84"/>
    <x v="0"/>
    <x v="0"/>
  </r>
  <r>
    <x v="2841"/>
    <x v="0"/>
    <n v="341"/>
    <n v="96"/>
    <n v="11"/>
    <n v="2"/>
    <n v="34.92"/>
    <x v="0"/>
    <x v="0"/>
    <n v="103"/>
    <n v="4.87"/>
    <n v="43.07"/>
    <n v="1.71"/>
    <n v="9"/>
    <n v="0.86"/>
    <n v="958"/>
    <n v="12.61"/>
    <n v="0.95"/>
    <d v="2024-05-25T00:00:00"/>
    <n v="299.68"/>
    <n v="0.57899999999999996"/>
    <n v="14686.87"/>
    <x v="0"/>
    <x v="0"/>
  </r>
  <r>
    <x v="2842"/>
    <x v="2"/>
    <n v="206"/>
    <n v="16"/>
    <n v="10"/>
    <n v="3"/>
    <n v="45.66"/>
    <x v="16"/>
    <x v="0"/>
    <n v="90"/>
    <n v="1.29"/>
    <n v="14.24"/>
    <n v="0.53"/>
    <n v="1"/>
    <n v="0.73"/>
    <n v="946"/>
    <n v="13.71"/>
    <n v="0.83"/>
    <d v="2024-11-02T00:00:00"/>
    <n v="186.3"/>
    <n v="0.82199999999999995"/>
    <n v="2933.44"/>
    <x v="0"/>
    <x v="1"/>
  </r>
  <r>
    <x v="2843"/>
    <x v="4"/>
    <n v="391"/>
    <n v="32"/>
    <n v="10"/>
    <n v="5"/>
    <n v="25.58"/>
    <x v="76"/>
    <x v="3"/>
    <n v="112"/>
    <n v="2.4900000000000002"/>
    <n v="77.849999999999994"/>
    <n v="1.56"/>
    <n v="2"/>
    <n v="0.98"/>
    <n v="477"/>
    <n v="2.1800000000000002"/>
    <n v="0.83"/>
    <d v="2024-10-05T00:00:00"/>
    <n v="44.1"/>
    <n v="0.59499999999999997"/>
    <n v="30439.35"/>
    <x v="0"/>
    <x v="0"/>
  </r>
  <r>
    <x v="2844"/>
    <x v="3"/>
    <n v="157"/>
    <n v="70"/>
    <n v="14"/>
    <n v="8"/>
    <n v="18.73"/>
    <x v="32"/>
    <x v="1"/>
    <n v="122"/>
    <n v="3.66"/>
    <n v="147.96"/>
    <n v="1.26"/>
    <n v="5"/>
    <n v="0.96"/>
    <n v="636"/>
    <n v="14.03"/>
    <n v="0.81"/>
    <d v="2024-07-28T00:00:00"/>
    <n v="27.66"/>
    <n v="0.71499999999999997"/>
    <n v="23229.72"/>
    <x v="0"/>
    <x v="1"/>
  </r>
  <r>
    <x v="2845"/>
    <x v="4"/>
    <n v="149"/>
    <n v="80"/>
    <n v="5"/>
    <n v="3"/>
    <n v="9.3699999999999992"/>
    <x v="95"/>
    <x v="2"/>
    <n v="163"/>
    <n v="3.35"/>
    <n v="184.99"/>
    <n v="1.76"/>
    <n v="2"/>
    <n v="0.99"/>
    <n v="969"/>
    <n v="9.42"/>
    <n v="0.66"/>
    <d v="2024-05-11T00:00:00"/>
    <n v="66.09"/>
    <n v="0.64"/>
    <n v="27563.510000000002"/>
    <x v="0"/>
    <x v="1"/>
  </r>
  <r>
    <x v="2846"/>
    <x v="1"/>
    <n v="213"/>
    <n v="43"/>
    <n v="6"/>
    <n v="9"/>
    <n v="43.47"/>
    <x v="94"/>
    <x v="0"/>
    <n v="22"/>
    <n v="3.05"/>
    <n v="135.83000000000001"/>
    <n v="1.23"/>
    <n v="8"/>
    <n v="0.71"/>
    <n v="182"/>
    <n v="1.36"/>
    <n v="0.96"/>
    <d v="2024-04-06T00:00:00"/>
    <n v="132.13"/>
    <n v="0.46899999999999997"/>
    <n v="28931.79"/>
    <x v="0"/>
    <x v="1"/>
  </r>
  <r>
    <x v="2847"/>
    <x v="0"/>
    <n v="335"/>
    <n v="28"/>
    <n v="13"/>
    <n v="6"/>
    <n v="20.32"/>
    <x v="21"/>
    <x v="2"/>
    <n v="127"/>
    <n v="1.97"/>
    <n v="86.37"/>
    <n v="1.1599999999999999"/>
    <n v="0"/>
    <n v="0.96"/>
    <n v="305"/>
    <n v="8.59"/>
    <n v="0.87"/>
    <d v="2024-01-03T00:00:00"/>
    <n v="226.68"/>
    <n v="0.76500000000000001"/>
    <n v="28933.95"/>
    <x v="0"/>
    <x v="0"/>
  </r>
  <r>
    <x v="2848"/>
    <x v="0"/>
    <n v="491"/>
    <n v="67"/>
    <n v="6"/>
    <n v="8"/>
    <n v="46.32"/>
    <x v="91"/>
    <x v="0"/>
    <n v="95"/>
    <n v="3.78"/>
    <n v="199.9"/>
    <n v="1.62"/>
    <n v="6"/>
    <n v="0.94"/>
    <n v="499"/>
    <n v="12.15"/>
    <n v="0.55000000000000004"/>
    <d v="2024-12-29T00:00:00"/>
    <n v="10.210000000000001"/>
    <n v="0.57799999999999996"/>
    <n v="98150.900000000009"/>
    <x v="0"/>
    <x v="0"/>
  </r>
  <r>
    <x v="2849"/>
    <x v="4"/>
    <n v="292"/>
    <n v="18"/>
    <n v="13"/>
    <n v="2"/>
    <n v="42.54"/>
    <x v="32"/>
    <x v="2"/>
    <n v="32"/>
    <n v="3.44"/>
    <n v="63.76"/>
    <n v="1.17"/>
    <n v="9"/>
    <n v="0.97"/>
    <n v="770"/>
    <n v="8.4600000000000009"/>
    <n v="0.79"/>
    <d v="2024-01-04T00:00:00"/>
    <n v="84.63"/>
    <n v="0.56799999999999995"/>
    <n v="18617.919999999998"/>
    <x v="0"/>
    <x v="0"/>
  </r>
  <r>
    <x v="2850"/>
    <x v="2"/>
    <n v="371"/>
    <n v="57"/>
    <n v="7"/>
    <n v="7"/>
    <n v="19.46"/>
    <x v="57"/>
    <x v="0"/>
    <n v="116"/>
    <n v="1.23"/>
    <n v="45.55"/>
    <n v="1.7"/>
    <n v="7"/>
    <n v="0.86"/>
    <n v="453"/>
    <n v="10.9"/>
    <n v="1"/>
    <d v="2024-10-22T00:00:00"/>
    <n v="180.4"/>
    <n v="0.60699999999999998"/>
    <n v="16899.05"/>
    <x v="0"/>
    <x v="0"/>
  </r>
  <r>
    <x v="2851"/>
    <x v="3"/>
    <n v="163"/>
    <n v="91"/>
    <n v="11"/>
    <n v="7"/>
    <n v="29.12"/>
    <x v="52"/>
    <x v="1"/>
    <n v="172"/>
    <n v="4.84"/>
    <n v="98.1"/>
    <n v="0.19"/>
    <n v="8"/>
    <n v="0.94"/>
    <n v="704"/>
    <n v="13.31"/>
    <n v="0.9"/>
    <d v="2024-09-24T00:00:00"/>
    <n v="96.39"/>
    <n v="0.76600000000000001"/>
    <n v="15990.3"/>
    <x v="0"/>
    <x v="1"/>
  </r>
  <r>
    <x v="2852"/>
    <x v="0"/>
    <n v="35"/>
    <n v="50"/>
    <n v="14"/>
    <n v="5"/>
    <n v="2.33"/>
    <x v="7"/>
    <x v="0"/>
    <n v="21"/>
    <n v="3"/>
    <n v="105.93"/>
    <n v="1.04"/>
    <n v="7"/>
    <n v="0.72"/>
    <n v="629"/>
    <n v="13.18"/>
    <n v="0.2"/>
    <d v="2024-03-01T00:00:00"/>
    <n v="113.51"/>
    <n v="0.51600000000000001"/>
    <n v="3707.55"/>
    <x v="1"/>
    <x v="2"/>
  </r>
  <r>
    <x v="2853"/>
    <x v="1"/>
    <n v="321"/>
    <n v="57"/>
    <n v="11"/>
    <n v="7"/>
    <n v="13.9"/>
    <x v="26"/>
    <x v="1"/>
    <n v="146"/>
    <n v="2.86"/>
    <n v="77.42"/>
    <n v="1.64"/>
    <n v="4"/>
    <n v="0.72"/>
    <n v="103"/>
    <n v="3.5"/>
    <n v="0.79"/>
    <d v="2024-09-23T00:00:00"/>
    <n v="97.22"/>
    <n v="0.505"/>
    <n v="24851.82"/>
    <x v="0"/>
    <x v="0"/>
  </r>
  <r>
    <x v="2854"/>
    <x v="1"/>
    <n v="442"/>
    <n v="54"/>
    <n v="12"/>
    <n v="8"/>
    <n v="35.799999999999997"/>
    <x v="42"/>
    <x v="0"/>
    <n v="87"/>
    <n v="4.32"/>
    <n v="142.13999999999999"/>
    <n v="1.71"/>
    <n v="0"/>
    <n v="0.74"/>
    <n v="828"/>
    <n v="6.98"/>
    <n v="0.92"/>
    <d v="2024-01-04T00:00:00"/>
    <n v="286.42"/>
    <n v="0.65400000000000003"/>
    <n v="62825.88"/>
    <x v="0"/>
    <x v="0"/>
  </r>
  <r>
    <x v="2855"/>
    <x v="2"/>
    <n v="264"/>
    <n v="34"/>
    <n v="14"/>
    <n v="5"/>
    <n v="34.22"/>
    <x v="28"/>
    <x v="2"/>
    <n v="76"/>
    <n v="3.38"/>
    <n v="44.93"/>
    <n v="1.68"/>
    <n v="0"/>
    <n v="0.97"/>
    <n v="456"/>
    <n v="2.56"/>
    <n v="0.46"/>
    <d v="2024-07-11T00:00:00"/>
    <n v="29.09"/>
    <n v="0.55200000000000005"/>
    <n v="11861.52"/>
    <x v="0"/>
    <x v="0"/>
  </r>
  <r>
    <x v="2856"/>
    <x v="0"/>
    <n v="434"/>
    <n v="87"/>
    <n v="3"/>
    <n v="8"/>
    <n v="18.32"/>
    <x v="95"/>
    <x v="3"/>
    <n v="117"/>
    <n v="0.84"/>
    <n v="106.96"/>
    <n v="1.25"/>
    <n v="7"/>
    <n v="0.72"/>
    <n v="434"/>
    <n v="9.33"/>
    <n v="0.98"/>
    <d v="2024-12-01T00:00:00"/>
    <n v="273.18"/>
    <n v="0.59899999999999998"/>
    <n v="46420.639999999999"/>
    <x v="0"/>
    <x v="0"/>
  </r>
  <r>
    <x v="2857"/>
    <x v="4"/>
    <n v="126"/>
    <n v="34"/>
    <n v="10"/>
    <n v="2"/>
    <n v="40.619999999999997"/>
    <x v="22"/>
    <x v="0"/>
    <n v="53"/>
    <n v="2.78"/>
    <n v="105.02"/>
    <n v="1.99"/>
    <n v="6"/>
    <n v="0.73"/>
    <n v="987"/>
    <n v="14.37"/>
    <n v="0.52"/>
    <d v="2024-04-15T00:00:00"/>
    <n v="103.74"/>
    <n v="0.52300000000000002"/>
    <n v="13232.519999999999"/>
    <x v="0"/>
    <x v="1"/>
  </r>
  <r>
    <x v="2858"/>
    <x v="1"/>
    <n v="107"/>
    <n v="28"/>
    <n v="3"/>
    <n v="4"/>
    <n v="12.56"/>
    <x v="91"/>
    <x v="0"/>
    <n v="158"/>
    <n v="4.01"/>
    <n v="166.52"/>
    <n v="0.44"/>
    <n v="4"/>
    <n v="0.98"/>
    <n v="291"/>
    <n v="3.55"/>
    <n v="0.54"/>
    <d v="2024-12-18T00:00:00"/>
    <n v="81.5"/>
    <n v="0.627"/>
    <n v="17817.64"/>
    <x v="0"/>
    <x v="1"/>
  </r>
  <r>
    <x v="2859"/>
    <x v="2"/>
    <n v="148"/>
    <n v="48"/>
    <n v="4"/>
    <n v="4"/>
    <n v="23.6"/>
    <x v="97"/>
    <x v="1"/>
    <n v="16"/>
    <n v="3.65"/>
    <n v="186.12"/>
    <n v="0.43"/>
    <n v="9"/>
    <n v="0.73"/>
    <n v="96"/>
    <n v="6.65"/>
    <n v="0.33"/>
    <d v="2024-06-10T00:00:00"/>
    <n v="266.14999999999998"/>
    <n v="0.47799999999999998"/>
    <n v="27545.760000000002"/>
    <x v="0"/>
    <x v="1"/>
  </r>
  <r>
    <x v="2860"/>
    <x v="0"/>
    <n v="414"/>
    <n v="88"/>
    <n v="9"/>
    <n v="3"/>
    <n v="24.15"/>
    <x v="22"/>
    <x v="2"/>
    <n v="137"/>
    <n v="4.87"/>
    <n v="136.02000000000001"/>
    <n v="0.16"/>
    <n v="2"/>
    <n v="0.96"/>
    <n v="164"/>
    <n v="14.36"/>
    <n v="0.28000000000000003"/>
    <d v="2024-07-28T00:00:00"/>
    <n v="93.25"/>
    <n v="0.78300000000000003"/>
    <n v="56312.280000000006"/>
    <x v="0"/>
    <x v="0"/>
  </r>
  <r>
    <x v="2861"/>
    <x v="0"/>
    <n v="394"/>
    <n v="89"/>
    <n v="10"/>
    <n v="2"/>
    <n v="17.7"/>
    <x v="20"/>
    <x v="1"/>
    <n v="106"/>
    <n v="0.61"/>
    <n v="68.02"/>
    <n v="1.98"/>
    <n v="8"/>
    <n v="0.94"/>
    <n v="757"/>
    <n v="11.5"/>
    <n v="0.63"/>
    <d v="2024-07-04T00:00:00"/>
    <n v="296.37"/>
    <n v="0.50900000000000001"/>
    <n v="26799.879999999997"/>
    <x v="0"/>
    <x v="0"/>
  </r>
  <r>
    <x v="2862"/>
    <x v="0"/>
    <n v="360"/>
    <n v="36"/>
    <n v="3"/>
    <n v="7"/>
    <n v="47.78"/>
    <x v="75"/>
    <x v="2"/>
    <n v="20"/>
    <n v="1.68"/>
    <n v="141.03"/>
    <n v="0.76"/>
    <n v="3"/>
    <n v="0.71"/>
    <n v="855"/>
    <n v="2"/>
    <n v="0.68"/>
    <d v="2024-02-24T00:00:00"/>
    <n v="168.95"/>
    <n v="0.56899999999999995"/>
    <n v="50770.8"/>
    <x v="0"/>
    <x v="0"/>
  </r>
  <r>
    <x v="2863"/>
    <x v="0"/>
    <n v="23"/>
    <n v="83"/>
    <n v="5"/>
    <n v="2"/>
    <n v="35.14"/>
    <x v="98"/>
    <x v="2"/>
    <n v="169"/>
    <n v="2.97"/>
    <n v="57.76"/>
    <n v="1.55"/>
    <n v="5"/>
    <n v="0.71"/>
    <n v="179"/>
    <n v="7"/>
    <n v="0.49"/>
    <d v="2024-03-20T00:00:00"/>
    <n v="148.15"/>
    <n v="0.47799999999999998"/>
    <n v="1328.48"/>
    <x v="1"/>
    <x v="2"/>
  </r>
  <r>
    <x v="2864"/>
    <x v="0"/>
    <n v="346"/>
    <n v="72"/>
    <n v="9"/>
    <n v="6"/>
    <n v="27.42"/>
    <x v="63"/>
    <x v="1"/>
    <n v="115"/>
    <n v="3.29"/>
    <n v="193.64"/>
    <n v="0.21"/>
    <n v="3"/>
    <n v="0.86"/>
    <n v="606"/>
    <n v="14.83"/>
    <n v="0.69"/>
    <d v="2024-08-06T00:00:00"/>
    <n v="293.18"/>
    <n v="0.82699999999999996"/>
    <n v="66999.44"/>
    <x v="0"/>
    <x v="0"/>
  </r>
  <r>
    <x v="2865"/>
    <x v="1"/>
    <n v="429"/>
    <n v="77"/>
    <n v="11"/>
    <n v="4"/>
    <n v="26.02"/>
    <x v="98"/>
    <x v="3"/>
    <n v="92"/>
    <n v="1.73"/>
    <n v="166.25"/>
    <n v="0.67"/>
    <n v="8"/>
    <n v="1"/>
    <n v="204"/>
    <n v="7.35"/>
    <n v="0.52"/>
    <d v="2024-11-29T00:00:00"/>
    <n v="75.760000000000005"/>
    <n v="0.57499999999999996"/>
    <n v="71321.25"/>
    <x v="0"/>
    <x v="0"/>
  </r>
  <r>
    <x v="2866"/>
    <x v="2"/>
    <n v="386"/>
    <n v="28"/>
    <n v="10"/>
    <n v="7"/>
    <n v="8.81"/>
    <x v="58"/>
    <x v="2"/>
    <n v="45"/>
    <n v="4.22"/>
    <n v="91.93"/>
    <n v="1.29"/>
    <n v="3"/>
    <n v="0.96"/>
    <n v="544"/>
    <n v="9.81"/>
    <n v="0.89"/>
    <d v="2024-10-26T00:00:00"/>
    <n v="273.60000000000002"/>
    <n v="0.71199999999999997"/>
    <n v="35484.980000000003"/>
    <x v="0"/>
    <x v="0"/>
  </r>
  <r>
    <x v="2867"/>
    <x v="0"/>
    <n v="325"/>
    <n v="37"/>
    <n v="10"/>
    <n v="8"/>
    <n v="19.239999999999998"/>
    <x v="65"/>
    <x v="3"/>
    <n v="127"/>
    <n v="1.24"/>
    <n v="159.03"/>
    <n v="1.1000000000000001"/>
    <n v="7"/>
    <n v="0.79"/>
    <n v="878"/>
    <n v="10.81"/>
    <n v="0.96"/>
    <d v="2024-05-09T00:00:00"/>
    <n v="181.54"/>
    <n v="0.64400000000000002"/>
    <n v="51684.75"/>
    <x v="0"/>
    <x v="0"/>
  </r>
  <r>
    <x v="2868"/>
    <x v="3"/>
    <n v="415"/>
    <n v="94"/>
    <n v="11"/>
    <n v="8"/>
    <n v="33.97"/>
    <x v="52"/>
    <x v="1"/>
    <n v="174"/>
    <n v="0.5"/>
    <n v="87.64"/>
    <n v="0.49"/>
    <n v="2"/>
    <n v="0.82"/>
    <n v="131"/>
    <n v="10.3"/>
    <n v="0.67"/>
    <d v="2024-05-13T00:00:00"/>
    <n v="228.94"/>
    <n v="0.746"/>
    <n v="36370.6"/>
    <x v="0"/>
    <x v="0"/>
  </r>
  <r>
    <x v="2869"/>
    <x v="3"/>
    <n v="114"/>
    <n v="87"/>
    <n v="12"/>
    <n v="4"/>
    <n v="46.3"/>
    <x v="11"/>
    <x v="3"/>
    <n v="50"/>
    <n v="4.79"/>
    <n v="24.18"/>
    <n v="0.98"/>
    <n v="7"/>
    <n v="0.82"/>
    <n v="828"/>
    <n v="8.26"/>
    <n v="0.87"/>
    <d v="2024-10-01T00:00:00"/>
    <n v="178.79"/>
    <n v="0.61"/>
    <n v="2756.52"/>
    <x v="0"/>
    <x v="1"/>
  </r>
  <r>
    <x v="2870"/>
    <x v="2"/>
    <n v="228"/>
    <n v="42"/>
    <n v="5"/>
    <n v="2"/>
    <n v="41.01"/>
    <x v="22"/>
    <x v="2"/>
    <n v="101"/>
    <n v="2.2599999999999998"/>
    <n v="144.29"/>
    <n v="0.31"/>
    <n v="2"/>
    <n v="0.92"/>
    <n v="718"/>
    <n v="2.86"/>
    <n v="0.88"/>
    <d v="2024-08-04T00:00:00"/>
    <n v="189.41"/>
    <n v="0.72699999999999998"/>
    <n v="32898.119999999995"/>
    <x v="0"/>
    <x v="1"/>
  </r>
  <r>
    <x v="2871"/>
    <x v="4"/>
    <n v="244"/>
    <n v="19"/>
    <n v="10"/>
    <n v="7"/>
    <n v="15.72"/>
    <x v="47"/>
    <x v="1"/>
    <n v="58"/>
    <n v="4.8099999999999996"/>
    <n v="86.88"/>
    <n v="1.1299999999999999"/>
    <n v="4"/>
    <n v="0.8"/>
    <n v="74"/>
    <n v="10.92"/>
    <n v="0.77"/>
    <d v="2024-10-16T00:00:00"/>
    <n v="54.93"/>
    <n v="0.66700000000000004"/>
    <n v="21198.719999999998"/>
    <x v="0"/>
    <x v="1"/>
  </r>
  <r>
    <x v="2872"/>
    <x v="4"/>
    <n v="478"/>
    <n v="92"/>
    <n v="3"/>
    <n v="3"/>
    <n v="22.26"/>
    <x v="16"/>
    <x v="3"/>
    <n v="152"/>
    <n v="1.75"/>
    <n v="186.76"/>
    <n v="0.28000000000000003"/>
    <n v="0"/>
    <n v="0.74"/>
    <n v="383"/>
    <n v="14.07"/>
    <n v="0.35"/>
    <d v="2024-07-06T00:00:00"/>
    <n v="53.98"/>
    <n v="0.77800000000000002"/>
    <n v="89271.28"/>
    <x v="0"/>
    <x v="0"/>
  </r>
  <r>
    <x v="2873"/>
    <x v="4"/>
    <n v="367"/>
    <n v="39"/>
    <n v="10"/>
    <n v="8"/>
    <n v="5.0599999999999996"/>
    <x v="39"/>
    <x v="1"/>
    <n v="150"/>
    <n v="0.79"/>
    <n v="68.25"/>
    <n v="1.31"/>
    <n v="5"/>
    <n v="0.92"/>
    <n v="231"/>
    <n v="14.18"/>
    <n v="0.32"/>
    <d v="2024-11-09T00:00:00"/>
    <n v="125.18"/>
    <n v="0.60599999999999998"/>
    <n v="25047.75"/>
    <x v="0"/>
    <x v="0"/>
  </r>
  <r>
    <x v="2874"/>
    <x v="3"/>
    <n v="499"/>
    <n v="31"/>
    <n v="9"/>
    <n v="2"/>
    <n v="6.01"/>
    <x v="3"/>
    <x v="1"/>
    <n v="62"/>
    <n v="3.98"/>
    <n v="170.23"/>
    <n v="0.4"/>
    <n v="1"/>
    <n v="0.84"/>
    <n v="481"/>
    <n v="9.31"/>
    <n v="0.94"/>
    <d v="2024-05-21T00:00:00"/>
    <n v="110.45"/>
    <n v="0.82"/>
    <n v="84944.76999999999"/>
    <x v="0"/>
    <x v="0"/>
  </r>
  <r>
    <x v="2875"/>
    <x v="4"/>
    <n v="340"/>
    <n v="12"/>
    <n v="10"/>
    <n v="3"/>
    <n v="24.04"/>
    <x v="82"/>
    <x v="3"/>
    <n v="116"/>
    <n v="4.26"/>
    <n v="139.28"/>
    <n v="1.1399999999999999"/>
    <n v="2"/>
    <n v="0.72"/>
    <n v="223"/>
    <n v="7.89"/>
    <n v="0.41"/>
    <d v="2024-12-14T00:00:00"/>
    <n v="216.5"/>
    <n v="0.57699999999999996"/>
    <n v="47355.199999999997"/>
    <x v="0"/>
    <x v="0"/>
  </r>
  <r>
    <x v="2876"/>
    <x v="1"/>
    <n v="66"/>
    <n v="91"/>
    <n v="3"/>
    <n v="9"/>
    <n v="26.98"/>
    <x v="14"/>
    <x v="2"/>
    <n v="42"/>
    <n v="2.71"/>
    <n v="172.13"/>
    <n v="0.35"/>
    <n v="0"/>
    <n v="0.94"/>
    <n v="858"/>
    <n v="5.68"/>
    <n v="0.4"/>
    <d v="2024-07-22T00:00:00"/>
    <n v="219.6"/>
    <n v="0.70899999999999996"/>
    <n v="11360.58"/>
    <x v="1"/>
    <x v="2"/>
  </r>
  <r>
    <x v="2877"/>
    <x v="0"/>
    <n v="495"/>
    <n v="84"/>
    <n v="8"/>
    <n v="7"/>
    <n v="13.94"/>
    <x v="84"/>
    <x v="2"/>
    <n v="128"/>
    <n v="0.83"/>
    <n v="65.459999999999994"/>
    <n v="0.86"/>
    <n v="5"/>
    <n v="0.88"/>
    <n v="90"/>
    <n v="2.4500000000000002"/>
    <n v="0.33"/>
    <d v="2024-04-14T00:00:00"/>
    <n v="173.5"/>
    <n v="0.48899999999999999"/>
    <n v="32402.699999999997"/>
    <x v="0"/>
    <x v="0"/>
  </r>
  <r>
    <x v="2878"/>
    <x v="3"/>
    <n v="200"/>
    <n v="57"/>
    <n v="9"/>
    <n v="4"/>
    <n v="32.5"/>
    <x v="24"/>
    <x v="2"/>
    <n v="41"/>
    <n v="3.44"/>
    <n v="97.66"/>
    <n v="0.77"/>
    <n v="4"/>
    <n v="0.85"/>
    <n v="494"/>
    <n v="13.36"/>
    <n v="0.62"/>
    <d v="2024-07-30T00:00:00"/>
    <n v="126.58"/>
    <n v="0.71499999999999997"/>
    <n v="19532"/>
    <x v="0"/>
    <x v="1"/>
  </r>
  <r>
    <x v="2879"/>
    <x v="2"/>
    <n v="125"/>
    <n v="11"/>
    <n v="13"/>
    <n v="9"/>
    <n v="35.47"/>
    <x v="84"/>
    <x v="2"/>
    <n v="127"/>
    <n v="1.32"/>
    <n v="166.39"/>
    <n v="1.54"/>
    <n v="9"/>
    <n v="0.9"/>
    <n v="918"/>
    <n v="2.92"/>
    <n v="0.74"/>
    <d v="2024-10-09T00:00:00"/>
    <n v="206.27"/>
    <n v="0.433"/>
    <n v="20798.75"/>
    <x v="0"/>
    <x v="1"/>
  </r>
  <r>
    <x v="2880"/>
    <x v="2"/>
    <n v="218"/>
    <n v="85"/>
    <n v="7"/>
    <n v="6"/>
    <n v="15.66"/>
    <x v="14"/>
    <x v="0"/>
    <n v="71"/>
    <n v="4.32"/>
    <n v="132.33000000000001"/>
    <n v="1.32"/>
    <n v="1"/>
    <n v="0.85"/>
    <n v="444"/>
    <n v="5.03"/>
    <n v="0.74"/>
    <d v="2024-10-12T00:00:00"/>
    <n v="209.33"/>
    <n v="0.63300000000000001"/>
    <n v="28847.940000000002"/>
    <x v="0"/>
    <x v="1"/>
  </r>
  <r>
    <x v="2881"/>
    <x v="0"/>
    <n v="405"/>
    <n v="63"/>
    <n v="7"/>
    <n v="9"/>
    <n v="38.159999999999997"/>
    <x v="70"/>
    <x v="1"/>
    <n v="91"/>
    <n v="1.73"/>
    <n v="78.39"/>
    <n v="1.88"/>
    <n v="7"/>
    <n v="0.89"/>
    <n v="989"/>
    <n v="11.37"/>
    <n v="0.41"/>
    <d v="2024-09-04T00:00:00"/>
    <n v="244.64"/>
    <n v="0.48399999999999999"/>
    <n v="31747.95"/>
    <x v="0"/>
    <x v="0"/>
  </r>
  <r>
    <x v="2882"/>
    <x v="3"/>
    <n v="125"/>
    <n v="15"/>
    <n v="9"/>
    <n v="5"/>
    <n v="11.07"/>
    <x v="69"/>
    <x v="1"/>
    <n v="139"/>
    <n v="4.3099999999999996"/>
    <n v="107.28"/>
    <n v="1.85"/>
    <n v="8"/>
    <n v="0.96"/>
    <n v="337"/>
    <n v="10.87"/>
    <n v="0.28000000000000003"/>
    <d v="2024-04-01T00:00:00"/>
    <n v="245.4"/>
    <n v="0.44800000000000001"/>
    <n v="13410"/>
    <x v="0"/>
    <x v="1"/>
  </r>
  <r>
    <x v="2883"/>
    <x v="4"/>
    <n v="299"/>
    <n v="49"/>
    <n v="13"/>
    <n v="4"/>
    <n v="27.67"/>
    <x v="96"/>
    <x v="0"/>
    <n v="86"/>
    <n v="2.42"/>
    <n v="199.26"/>
    <n v="1.48"/>
    <n v="2"/>
    <n v="0.88"/>
    <n v="610"/>
    <n v="10.53"/>
    <n v="0.45"/>
    <d v="2024-07-08T00:00:00"/>
    <n v="30.17"/>
    <n v="0.61799999999999999"/>
    <n v="59578.74"/>
    <x v="0"/>
    <x v="0"/>
  </r>
  <r>
    <x v="2884"/>
    <x v="4"/>
    <n v="279"/>
    <n v="11"/>
    <n v="5"/>
    <n v="3"/>
    <n v="40.409999999999997"/>
    <x v="72"/>
    <x v="1"/>
    <n v="25"/>
    <n v="3.18"/>
    <n v="150.94999999999999"/>
    <n v="1.56"/>
    <n v="5"/>
    <n v="0.9"/>
    <n v="311"/>
    <n v="11.38"/>
    <n v="0.6"/>
    <d v="2024-10-13T00:00:00"/>
    <n v="118.47"/>
    <n v="0.59599999999999997"/>
    <n v="42115.049999999996"/>
    <x v="0"/>
    <x v="0"/>
  </r>
  <r>
    <x v="2885"/>
    <x v="1"/>
    <n v="127"/>
    <n v="82"/>
    <n v="8"/>
    <n v="2"/>
    <n v="27.31"/>
    <x v="43"/>
    <x v="1"/>
    <n v="132"/>
    <n v="4.05"/>
    <n v="126.76"/>
    <n v="1.29"/>
    <n v="5"/>
    <n v="0.88"/>
    <n v="805"/>
    <n v="8.59"/>
    <n v="0.69"/>
    <d v="2024-10-11T00:00:00"/>
    <n v="131.78"/>
    <n v="0.6"/>
    <n v="16098.52"/>
    <x v="0"/>
    <x v="1"/>
  </r>
  <r>
    <x v="2886"/>
    <x v="1"/>
    <n v="38"/>
    <n v="11"/>
    <n v="9"/>
    <n v="9"/>
    <n v="45.49"/>
    <x v="14"/>
    <x v="3"/>
    <n v="17"/>
    <n v="0.68"/>
    <n v="167.3"/>
    <n v="1.41"/>
    <n v="9"/>
    <n v="0.86"/>
    <n v="106"/>
    <n v="3.17"/>
    <n v="0.42"/>
    <d v="2024-09-04T00:00:00"/>
    <n v="255.61"/>
    <n v="0.377"/>
    <n v="6357.4000000000005"/>
    <x v="0"/>
    <x v="2"/>
  </r>
  <r>
    <x v="2887"/>
    <x v="4"/>
    <n v="429"/>
    <n v="83"/>
    <n v="3"/>
    <n v="8"/>
    <n v="3.87"/>
    <x v="81"/>
    <x v="0"/>
    <n v="156"/>
    <n v="4.2"/>
    <n v="93.99"/>
    <n v="1.27"/>
    <n v="5"/>
    <n v="0.75"/>
    <n v="55"/>
    <n v="14.98"/>
    <n v="0.35"/>
    <d v="2024-05-09T00:00:00"/>
    <n v="155.52000000000001"/>
    <n v="0.59299999999999997"/>
    <n v="40321.71"/>
    <x v="0"/>
    <x v="0"/>
  </r>
  <r>
    <x v="2888"/>
    <x v="2"/>
    <n v="478"/>
    <n v="64"/>
    <n v="14"/>
    <n v="7"/>
    <n v="29.83"/>
    <x v="85"/>
    <x v="1"/>
    <n v="169"/>
    <n v="1.1200000000000001"/>
    <n v="190.51"/>
    <n v="0.69"/>
    <n v="7"/>
    <n v="0.8"/>
    <n v="608"/>
    <n v="13.49"/>
    <n v="0.87"/>
    <d v="2024-06-06T00:00:00"/>
    <n v="151.75"/>
    <n v="0.70499999999999996"/>
    <n v="91063.78"/>
    <x v="0"/>
    <x v="0"/>
  </r>
  <r>
    <x v="2889"/>
    <x v="2"/>
    <n v="315"/>
    <n v="81"/>
    <n v="4"/>
    <n v="9"/>
    <n v="28.53"/>
    <x v="68"/>
    <x v="1"/>
    <n v="76"/>
    <n v="2.11"/>
    <n v="114.88"/>
    <n v="0.77"/>
    <n v="4"/>
    <n v="0.91"/>
    <n v="624"/>
    <n v="7.04"/>
    <n v="0.89"/>
    <d v="2024-10-22T00:00:00"/>
    <n v="170.59"/>
    <n v="0.69699999999999995"/>
    <n v="36187.199999999997"/>
    <x v="0"/>
    <x v="0"/>
  </r>
  <r>
    <x v="2890"/>
    <x v="1"/>
    <n v="325"/>
    <n v="69"/>
    <n v="14"/>
    <n v="4"/>
    <n v="33.36"/>
    <x v="18"/>
    <x v="0"/>
    <n v="124"/>
    <n v="2.63"/>
    <n v="72.11"/>
    <n v="1.19"/>
    <n v="9"/>
    <n v="0.83"/>
    <n v="994"/>
    <n v="8.42"/>
    <n v="0.42"/>
    <d v="2024-06-25T00:00:00"/>
    <n v="46.89"/>
    <n v="0.46300000000000002"/>
    <n v="23435.75"/>
    <x v="0"/>
    <x v="0"/>
  </r>
  <r>
    <x v="2891"/>
    <x v="0"/>
    <n v="190"/>
    <n v="15"/>
    <n v="6"/>
    <n v="8"/>
    <n v="41.84"/>
    <x v="8"/>
    <x v="0"/>
    <n v="122"/>
    <n v="4.53"/>
    <n v="26.34"/>
    <n v="1.47"/>
    <n v="9"/>
    <n v="0.82"/>
    <n v="967"/>
    <n v="6.51"/>
    <n v="0.65"/>
    <d v="2024-12-27T00:00:00"/>
    <n v="173.94"/>
    <n v="0.45400000000000001"/>
    <n v="5004.6000000000004"/>
    <x v="0"/>
    <x v="1"/>
  </r>
  <r>
    <x v="2892"/>
    <x v="4"/>
    <n v="350"/>
    <n v="28"/>
    <n v="10"/>
    <n v="8"/>
    <n v="36.57"/>
    <x v="94"/>
    <x v="3"/>
    <n v="41"/>
    <n v="0.6"/>
    <n v="81.38"/>
    <n v="0.87"/>
    <n v="7"/>
    <n v="0.93"/>
    <n v="628"/>
    <n v="9.93"/>
    <n v="0.55000000000000004"/>
    <d v="2024-07-22T00:00:00"/>
    <n v="169.95"/>
    <n v="0.60099999999999998"/>
    <n v="28483"/>
    <x v="0"/>
    <x v="0"/>
  </r>
  <r>
    <x v="2893"/>
    <x v="1"/>
    <n v="214"/>
    <n v="36"/>
    <n v="13"/>
    <n v="6"/>
    <n v="39.72"/>
    <x v="98"/>
    <x v="3"/>
    <n v="114"/>
    <n v="3.02"/>
    <n v="118.04"/>
    <n v="0.37"/>
    <n v="2"/>
    <n v="0.7"/>
    <n v="964"/>
    <n v="11.24"/>
    <n v="0.31"/>
    <d v="2024-03-11T00:00:00"/>
    <n v="228.78"/>
    <n v="0.67500000000000004"/>
    <n v="25260.560000000001"/>
    <x v="0"/>
    <x v="1"/>
  </r>
  <r>
    <x v="2894"/>
    <x v="1"/>
    <n v="31"/>
    <n v="10"/>
    <n v="12"/>
    <n v="7"/>
    <n v="15.15"/>
    <x v="38"/>
    <x v="2"/>
    <n v="34"/>
    <n v="3.39"/>
    <n v="143.62"/>
    <n v="0.97"/>
    <n v="6"/>
    <n v="0.9"/>
    <n v="744"/>
    <n v="4.24"/>
    <n v="0.95"/>
    <d v="2024-12-03T00:00:00"/>
    <n v="193.9"/>
    <n v="0.61"/>
    <n v="4452.22"/>
    <x v="0"/>
    <x v="2"/>
  </r>
  <r>
    <x v="2895"/>
    <x v="4"/>
    <n v="214"/>
    <n v="42"/>
    <n v="8"/>
    <n v="9"/>
    <n v="19.989999999999998"/>
    <x v="58"/>
    <x v="2"/>
    <n v="62"/>
    <n v="1.92"/>
    <n v="176.27"/>
    <n v="1.93"/>
    <n v="0"/>
    <n v="0.85"/>
    <n v="211"/>
    <n v="7.06"/>
    <n v="0.21"/>
    <d v="2024-03-01T00:00:00"/>
    <n v="286.95999999999998"/>
    <n v="0.51300000000000001"/>
    <n v="37721.78"/>
    <x v="0"/>
    <x v="1"/>
  </r>
  <r>
    <x v="2896"/>
    <x v="4"/>
    <n v="302"/>
    <n v="49"/>
    <n v="3"/>
    <n v="3"/>
    <n v="31.71"/>
    <x v="10"/>
    <x v="3"/>
    <n v="90"/>
    <n v="1.81"/>
    <n v="189.35"/>
    <n v="0.51"/>
    <n v="3"/>
    <n v="0.81"/>
    <n v="346"/>
    <n v="9.9600000000000009"/>
    <n v="0.35"/>
    <d v="2024-04-27T00:00:00"/>
    <n v="33.229999999999997"/>
    <n v="0.65400000000000003"/>
    <n v="57183.7"/>
    <x v="0"/>
    <x v="0"/>
  </r>
  <r>
    <x v="2897"/>
    <x v="2"/>
    <n v="388"/>
    <n v="41"/>
    <n v="12"/>
    <n v="7"/>
    <n v="28.12"/>
    <x v="79"/>
    <x v="1"/>
    <n v="34"/>
    <n v="2.71"/>
    <n v="29.47"/>
    <n v="1.33"/>
    <n v="4"/>
    <n v="0.8"/>
    <n v="666"/>
    <n v="14.83"/>
    <n v="0.48"/>
    <d v="2024-08-16T00:00:00"/>
    <n v="233.78"/>
    <n v="0.64100000000000001"/>
    <n v="11434.359999999999"/>
    <x v="0"/>
    <x v="0"/>
  </r>
  <r>
    <x v="2898"/>
    <x v="0"/>
    <n v="201"/>
    <n v="78"/>
    <n v="7"/>
    <n v="9"/>
    <n v="48.09"/>
    <x v="69"/>
    <x v="0"/>
    <n v="42"/>
    <n v="1.34"/>
    <n v="124.17"/>
    <n v="1.97"/>
    <n v="6"/>
    <n v="0.75"/>
    <n v="824"/>
    <n v="5.55"/>
    <n v="0.89"/>
    <d v="2024-12-24T00:00:00"/>
    <n v="227.94"/>
    <n v="0.48499999999999999"/>
    <n v="24958.170000000002"/>
    <x v="0"/>
    <x v="1"/>
  </r>
  <r>
    <x v="2899"/>
    <x v="0"/>
    <n v="469"/>
    <n v="26"/>
    <n v="9"/>
    <n v="7"/>
    <n v="10.15"/>
    <x v="7"/>
    <x v="3"/>
    <n v="40"/>
    <n v="2.61"/>
    <n v="136.65"/>
    <n v="0.81"/>
    <n v="5"/>
    <n v="0.8"/>
    <n v="106"/>
    <n v="11.43"/>
    <n v="0.83"/>
    <d v="2024-03-23T00:00:00"/>
    <n v="88.11"/>
    <n v="0.69699999999999995"/>
    <n v="64088.850000000006"/>
    <x v="0"/>
    <x v="0"/>
  </r>
  <r>
    <x v="2900"/>
    <x v="4"/>
    <n v="324"/>
    <n v="17"/>
    <n v="8"/>
    <n v="2"/>
    <n v="18.21"/>
    <x v="17"/>
    <x v="2"/>
    <n v="45"/>
    <n v="3.94"/>
    <n v="42.69"/>
    <n v="1.79"/>
    <n v="5"/>
    <n v="0.82"/>
    <n v="577"/>
    <n v="5.85"/>
    <n v="0.66"/>
    <d v="2024-02-21T00:00:00"/>
    <n v="212.58"/>
    <n v="0.495"/>
    <n v="13831.56"/>
    <x v="0"/>
    <x v="0"/>
  </r>
  <r>
    <x v="2901"/>
    <x v="3"/>
    <n v="163"/>
    <n v="66"/>
    <n v="14"/>
    <n v="5"/>
    <n v="29.07"/>
    <x v="61"/>
    <x v="0"/>
    <n v="96"/>
    <n v="4.3"/>
    <n v="113.66"/>
    <n v="1.74"/>
    <n v="1"/>
    <n v="0.83"/>
    <n v="108"/>
    <n v="2.29"/>
    <n v="0.76"/>
    <d v="2024-04-19T00:00:00"/>
    <n v="201.2"/>
    <n v="0.55500000000000005"/>
    <n v="18526.579999999998"/>
    <x v="0"/>
    <x v="1"/>
  </r>
  <r>
    <x v="2902"/>
    <x v="1"/>
    <n v="405"/>
    <n v="51"/>
    <n v="11"/>
    <n v="9"/>
    <n v="43.53"/>
    <x v="56"/>
    <x v="2"/>
    <n v="132"/>
    <n v="2.23"/>
    <n v="73.62"/>
    <n v="0.74"/>
    <n v="1"/>
    <n v="0.9"/>
    <n v="215"/>
    <n v="11.78"/>
    <n v="0.47"/>
    <d v="2024-09-17T00:00:00"/>
    <n v="96.62"/>
    <n v="0.73699999999999999"/>
    <n v="29816.100000000002"/>
    <x v="0"/>
    <x v="0"/>
  </r>
  <r>
    <x v="2903"/>
    <x v="1"/>
    <n v="335"/>
    <n v="18"/>
    <n v="10"/>
    <n v="8"/>
    <n v="46.54"/>
    <x v="48"/>
    <x v="1"/>
    <n v="53"/>
    <n v="3.28"/>
    <n v="24.71"/>
    <n v="0.28999999999999998"/>
    <n v="1"/>
    <n v="0.84"/>
    <n v="954"/>
    <n v="10.09"/>
    <n v="0.95"/>
    <d v="2024-07-24T00:00:00"/>
    <n v="219.9"/>
    <n v="0.84399999999999997"/>
    <n v="8277.85"/>
    <x v="0"/>
    <x v="0"/>
  </r>
  <r>
    <x v="2904"/>
    <x v="4"/>
    <n v="201"/>
    <n v="96"/>
    <n v="6"/>
    <n v="3"/>
    <n v="17.47"/>
    <x v="1"/>
    <x v="1"/>
    <n v="57"/>
    <n v="0.5"/>
    <n v="22.51"/>
    <n v="0.44"/>
    <n v="9"/>
    <n v="0.94"/>
    <n v="811"/>
    <n v="8.1999999999999993"/>
    <n v="0.22"/>
    <d v="2024-06-22T00:00:00"/>
    <n v="279.89"/>
    <n v="0.51700000000000002"/>
    <n v="4524.51"/>
    <x v="0"/>
    <x v="1"/>
  </r>
  <r>
    <x v="2905"/>
    <x v="3"/>
    <n v="49"/>
    <n v="44"/>
    <n v="13"/>
    <n v="9"/>
    <n v="4.29"/>
    <x v="94"/>
    <x v="2"/>
    <n v="167"/>
    <n v="2.98"/>
    <n v="154.25"/>
    <n v="0.79"/>
    <n v="7"/>
    <n v="0.89"/>
    <n v="595"/>
    <n v="10.45"/>
    <n v="0.28000000000000003"/>
    <d v="2024-10-08T00:00:00"/>
    <n v="98.51"/>
    <n v="0.55400000000000005"/>
    <n v="7558.25"/>
    <x v="0"/>
    <x v="2"/>
  </r>
  <r>
    <x v="2906"/>
    <x v="2"/>
    <n v="103"/>
    <n v="80"/>
    <n v="14"/>
    <n v="9"/>
    <n v="21.66"/>
    <x v="28"/>
    <x v="0"/>
    <n v="22"/>
    <n v="4.8899999999999997"/>
    <n v="126.94"/>
    <n v="1.92"/>
    <n v="6"/>
    <n v="0.76"/>
    <n v="95"/>
    <n v="13.31"/>
    <n v="0.94"/>
    <d v="2024-11-10T00:00:00"/>
    <n v="294.22000000000003"/>
    <n v="0.60499999999999998"/>
    <n v="13074.82"/>
    <x v="0"/>
    <x v="1"/>
  </r>
  <r>
    <x v="2907"/>
    <x v="4"/>
    <n v="185"/>
    <n v="88"/>
    <n v="7"/>
    <n v="2"/>
    <n v="20.32"/>
    <x v="37"/>
    <x v="2"/>
    <n v="153"/>
    <n v="1.91"/>
    <n v="145.87"/>
    <n v="0.62"/>
    <n v="0"/>
    <n v="0.78"/>
    <n v="982"/>
    <n v="11.59"/>
    <n v="0.96"/>
    <d v="2024-12-22T00:00:00"/>
    <n v="75.040000000000006"/>
    <n v="0.84099999999999997"/>
    <n v="26985.95"/>
    <x v="0"/>
    <x v="1"/>
  </r>
  <r>
    <x v="2908"/>
    <x v="4"/>
    <n v="303"/>
    <n v="62"/>
    <n v="9"/>
    <n v="8"/>
    <n v="49.34"/>
    <x v="38"/>
    <x v="0"/>
    <n v="100"/>
    <n v="3.18"/>
    <n v="140.19999999999999"/>
    <n v="1.86"/>
    <n v="8"/>
    <n v="0.72"/>
    <n v="860"/>
    <n v="13.01"/>
    <n v="0.59"/>
    <d v="2024-12-16T00:00:00"/>
    <n v="49.05"/>
    <n v="0.48899999999999999"/>
    <n v="42480.6"/>
    <x v="0"/>
    <x v="0"/>
  </r>
  <r>
    <x v="2909"/>
    <x v="1"/>
    <n v="300"/>
    <n v="63"/>
    <n v="10"/>
    <n v="5"/>
    <n v="22.12"/>
    <x v="58"/>
    <x v="3"/>
    <n v="163"/>
    <n v="3.93"/>
    <n v="35.520000000000003"/>
    <n v="0.44"/>
    <n v="7"/>
    <n v="0.98"/>
    <n v="96"/>
    <n v="5.0599999999999996"/>
    <n v="0.66"/>
    <d v="2024-12-27T00:00:00"/>
    <n v="32.340000000000003"/>
    <n v="0.61099999999999999"/>
    <n v="10656.000000000002"/>
    <x v="0"/>
    <x v="0"/>
  </r>
  <r>
    <x v="2910"/>
    <x v="4"/>
    <n v="115"/>
    <n v="93"/>
    <n v="7"/>
    <n v="2"/>
    <n v="15.98"/>
    <x v="80"/>
    <x v="2"/>
    <n v="174"/>
    <n v="3.24"/>
    <n v="38.799999999999997"/>
    <n v="1.94"/>
    <n v="8"/>
    <n v="0.97"/>
    <n v="439"/>
    <n v="12.21"/>
    <n v="0.92"/>
    <d v="2024-01-27T00:00:00"/>
    <n v="71.97"/>
    <n v="0.58699999999999997"/>
    <n v="4462"/>
    <x v="0"/>
    <x v="1"/>
  </r>
  <r>
    <x v="2911"/>
    <x v="4"/>
    <n v="400"/>
    <n v="34"/>
    <n v="11"/>
    <n v="5"/>
    <n v="18.899999999999999"/>
    <x v="21"/>
    <x v="2"/>
    <n v="140"/>
    <n v="2.38"/>
    <n v="57.97"/>
    <n v="0.66"/>
    <n v="3"/>
    <n v="0.73"/>
    <n v="301"/>
    <n v="6.04"/>
    <n v="0.88"/>
    <d v="2024-03-23T00:00:00"/>
    <n v="109.33"/>
    <n v="0.67700000000000005"/>
    <n v="23188"/>
    <x v="0"/>
    <x v="0"/>
  </r>
  <r>
    <x v="2912"/>
    <x v="4"/>
    <n v="285"/>
    <n v="76"/>
    <n v="12"/>
    <n v="5"/>
    <n v="20.45"/>
    <x v="96"/>
    <x v="0"/>
    <n v="163"/>
    <n v="1.19"/>
    <n v="85.83"/>
    <n v="1.3"/>
    <n v="4"/>
    <n v="0.87"/>
    <n v="215"/>
    <n v="1.29"/>
    <n v="0.89"/>
    <d v="2024-07-18T00:00:00"/>
    <n v="222.62"/>
    <n v="0.55900000000000005"/>
    <n v="24461.55"/>
    <x v="0"/>
    <x v="0"/>
  </r>
  <r>
    <x v="2913"/>
    <x v="1"/>
    <n v="463"/>
    <n v="71"/>
    <n v="14"/>
    <n v="5"/>
    <n v="41.26"/>
    <x v="81"/>
    <x v="3"/>
    <n v="152"/>
    <n v="2.59"/>
    <n v="188.44"/>
    <n v="0.23"/>
    <n v="4"/>
    <n v="0.99"/>
    <n v="417"/>
    <n v="1.6"/>
    <n v="0.5"/>
    <d v="2024-11-21T00:00:00"/>
    <n v="30.88"/>
    <n v="0.61599999999999999"/>
    <n v="87247.72"/>
    <x v="0"/>
    <x v="0"/>
  </r>
  <r>
    <x v="2914"/>
    <x v="2"/>
    <n v="317"/>
    <n v="64"/>
    <n v="6"/>
    <n v="2"/>
    <n v="4.97"/>
    <x v="3"/>
    <x v="0"/>
    <n v="75"/>
    <n v="1.83"/>
    <n v="138.04"/>
    <n v="0.67"/>
    <n v="8"/>
    <n v="0.92"/>
    <n v="428"/>
    <n v="11.22"/>
    <n v="0.86"/>
    <d v="2024-01-03T00:00:00"/>
    <n v="157.11000000000001"/>
    <n v="0.67900000000000005"/>
    <n v="43758.68"/>
    <x v="0"/>
    <x v="0"/>
  </r>
  <r>
    <x v="2915"/>
    <x v="2"/>
    <n v="315"/>
    <n v="55"/>
    <n v="6"/>
    <n v="7"/>
    <n v="16.510000000000002"/>
    <x v="29"/>
    <x v="0"/>
    <n v="37"/>
    <n v="3.63"/>
    <n v="58.48"/>
    <n v="0.5"/>
    <n v="7"/>
    <n v="0.85"/>
    <n v="366"/>
    <n v="4.8099999999999996"/>
    <n v="0.26"/>
    <d v="2024-02-16T00:00:00"/>
    <n v="160.44"/>
    <n v="0.496"/>
    <n v="18421.2"/>
    <x v="0"/>
    <x v="0"/>
  </r>
  <r>
    <x v="2916"/>
    <x v="4"/>
    <n v="244"/>
    <n v="33"/>
    <n v="10"/>
    <n v="9"/>
    <n v="48.35"/>
    <x v="43"/>
    <x v="2"/>
    <n v="134"/>
    <n v="2.4900000000000002"/>
    <n v="20.64"/>
    <n v="0.11"/>
    <n v="9"/>
    <n v="0.77"/>
    <n v="181"/>
    <n v="5.31"/>
    <n v="0.59"/>
    <d v="2024-03-15T00:00:00"/>
    <n v="76.099999999999994"/>
    <n v="0.55200000000000005"/>
    <n v="5036.16"/>
    <x v="0"/>
    <x v="1"/>
  </r>
  <r>
    <x v="2917"/>
    <x v="1"/>
    <n v="352"/>
    <n v="55"/>
    <n v="3"/>
    <n v="5"/>
    <n v="8.5"/>
    <x v="68"/>
    <x v="2"/>
    <n v="175"/>
    <n v="4.32"/>
    <n v="140"/>
    <n v="0.4"/>
    <n v="5"/>
    <n v="0.78"/>
    <n v="438"/>
    <n v="9.7200000000000006"/>
    <n v="0.39"/>
    <d v="2024-08-29T00:00:00"/>
    <n v="23.18"/>
    <n v="0.624"/>
    <n v="49280"/>
    <x v="0"/>
    <x v="0"/>
  </r>
  <r>
    <x v="2918"/>
    <x v="2"/>
    <n v="380"/>
    <n v="31"/>
    <n v="10"/>
    <n v="7"/>
    <n v="37.39"/>
    <x v="9"/>
    <x v="0"/>
    <n v="89"/>
    <n v="1.37"/>
    <n v="128.81"/>
    <n v="1.23"/>
    <n v="9"/>
    <n v="0.92"/>
    <n v="631"/>
    <n v="11.38"/>
    <n v="0.23"/>
    <d v="2024-11-03T00:00:00"/>
    <n v="75.28"/>
    <n v="0.47899999999999998"/>
    <n v="48947.8"/>
    <x v="0"/>
    <x v="0"/>
  </r>
  <r>
    <x v="2919"/>
    <x v="2"/>
    <n v="393"/>
    <n v="20"/>
    <n v="7"/>
    <n v="9"/>
    <n v="18.46"/>
    <x v="75"/>
    <x v="1"/>
    <n v="141"/>
    <n v="2.38"/>
    <n v="138.4"/>
    <n v="0.84"/>
    <n v="9"/>
    <n v="0.93"/>
    <n v="621"/>
    <n v="8.82"/>
    <n v="0.69"/>
    <d v="2024-08-10T00:00:00"/>
    <n v="76.81"/>
    <n v="0.57799999999999996"/>
    <n v="54391.200000000004"/>
    <x v="0"/>
    <x v="0"/>
  </r>
  <r>
    <x v="2920"/>
    <x v="2"/>
    <n v="61"/>
    <n v="57"/>
    <n v="13"/>
    <n v="8"/>
    <n v="29.51"/>
    <x v="48"/>
    <x v="1"/>
    <n v="81"/>
    <n v="3.01"/>
    <n v="59.62"/>
    <n v="1.47"/>
    <n v="0"/>
    <n v="0.86"/>
    <n v="766"/>
    <n v="10.89"/>
    <n v="0.26"/>
    <d v="2024-02-15T00:00:00"/>
    <n v="209.53"/>
    <n v="0.622"/>
    <n v="3636.8199999999997"/>
    <x v="0"/>
    <x v="2"/>
  </r>
  <r>
    <x v="2921"/>
    <x v="1"/>
    <n v="322"/>
    <n v="17"/>
    <n v="3"/>
    <n v="9"/>
    <n v="5.88"/>
    <x v="84"/>
    <x v="1"/>
    <n v="53"/>
    <n v="1.07"/>
    <n v="108.22"/>
    <n v="1.38"/>
    <n v="6"/>
    <n v="0.74"/>
    <n v="799"/>
    <n v="14.17"/>
    <n v="0.3"/>
    <d v="2024-02-02T00:00:00"/>
    <n v="77.8"/>
    <n v="0.53900000000000003"/>
    <n v="34846.839999999997"/>
    <x v="0"/>
    <x v="0"/>
  </r>
  <r>
    <x v="2922"/>
    <x v="1"/>
    <n v="440"/>
    <n v="48"/>
    <n v="6"/>
    <n v="8"/>
    <n v="16.010000000000002"/>
    <x v="99"/>
    <x v="2"/>
    <n v="128"/>
    <n v="3.15"/>
    <n v="78.72"/>
    <n v="1.62"/>
    <n v="8"/>
    <n v="0.98"/>
    <n v="905"/>
    <n v="12.96"/>
    <n v="0.27"/>
    <d v="2024-05-14T00:00:00"/>
    <n v="108.68"/>
    <n v="0.501"/>
    <n v="34636.800000000003"/>
    <x v="0"/>
    <x v="0"/>
  </r>
  <r>
    <x v="2923"/>
    <x v="4"/>
    <n v="265"/>
    <n v="44"/>
    <n v="4"/>
    <n v="3"/>
    <n v="25.54"/>
    <x v="0"/>
    <x v="2"/>
    <n v="55"/>
    <n v="1.81"/>
    <n v="165.36"/>
    <n v="1.75"/>
    <n v="3"/>
    <n v="0.95"/>
    <n v="397"/>
    <n v="4.37"/>
    <n v="0.98"/>
    <d v="2024-04-23T00:00:00"/>
    <n v="23.75"/>
    <n v="0.60899999999999999"/>
    <n v="43820.4"/>
    <x v="0"/>
    <x v="0"/>
  </r>
  <r>
    <x v="2924"/>
    <x v="0"/>
    <n v="227"/>
    <n v="58"/>
    <n v="6"/>
    <n v="6"/>
    <n v="12.35"/>
    <x v="67"/>
    <x v="3"/>
    <n v="93"/>
    <n v="1.53"/>
    <n v="23.19"/>
    <n v="1.66"/>
    <n v="3"/>
    <n v="0.74"/>
    <n v="894"/>
    <n v="13.7"/>
    <n v="0.23"/>
    <d v="2024-07-08T00:00:00"/>
    <n v="190.94"/>
    <n v="0.55100000000000005"/>
    <n v="5264.13"/>
    <x v="0"/>
    <x v="1"/>
  </r>
  <r>
    <x v="2925"/>
    <x v="2"/>
    <n v="256"/>
    <n v="55"/>
    <n v="10"/>
    <n v="7"/>
    <n v="27.55"/>
    <x v="13"/>
    <x v="2"/>
    <n v="35"/>
    <n v="1.1399999999999999"/>
    <n v="62.33"/>
    <n v="0.95"/>
    <n v="4"/>
    <n v="0.72"/>
    <n v="667"/>
    <n v="5.16"/>
    <n v="0.42"/>
    <d v="2024-02-10T00:00:00"/>
    <n v="147.5"/>
    <n v="0.52200000000000002"/>
    <n v="15956.48"/>
    <x v="0"/>
    <x v="0"/>
  </r>
  <r>
    <x v="2926"/>
    <x v="0"/>
    <n v="41"/>
    <n v="47"/>
    <n v="7"/>
    <n v="9"/>
    <n v="11.77"/>
    <x v="74"/>
    <x v="3"/>
    <n v="105"/>
    <n v="2.0699999999999998"/>
    <n v="124.56"/>
    <n v="0.69"/>
    <n v="7"/>
    <n v="0.86"/>
    <n v="546"/>
    <n v="10.25"/>
    <n v="0.72"/>
    <d v="2024-11-07T00:00:00"/>
    <n v="110.04"/>
    <n v="0.64400000000000002"/>
    <n v="5106.96"/>
    <x v="1"/>
    <x v="2"/>
  </r>
  <r>
    <x v="2927"/>
    <x v="1"/>
    <n v="204"/>
    <n v="17"/>
    <n v="3"/>
    <n v="8"/>
    <n v="32.85"/>
    <x v="63"/>
    <x v="2"/>
    <n v="22"/>
    <n v="4.68"/>
    <n v="48.99"/>
    <n v="1.05"/>
    <n v="4"/>
    <n v="0.79"/>
    <n v="745"/>
    <n v="13.25"/>
    <n v="0.86"/>
    <d v="2024-01-20T00:00:00"/>
    <n v="213.84"/>
    <n v="0.72199999999999998"/>
    <n v="9993.9600000000009"/>
    <x v="0"/>
    <x v="1"/>
  </r>
  <r>
    <x v="2928"/>
    <x v="1"/>
    <n v="487"/>
    <n v="63"/>
    <n v="9"/>
    <n v="6"/>
    <n v="45.31"/>
    <x v="11"/>
    <x v="1"/>
    <n v="134"/>
    <n v="0.64"/>
    <n v="137.82"/>
    <n v="1.1200000000000001"/>
    <n v="3"/>
    <n v="0.78"/>
    <n v="899"/>
    <n v="9.73"/>
    <n v="0.69"/>
    <d v="2024-07-15T00:00:00"/>
    <n v="207.82"/>
    <n v="0.65200000000000002"/>
    <n v="67118.34"/>
    <x v="0"/>
    <x v="0"/>
  </r>
  <r>
    <x v="2929"/>
    <x v="1"/>
    <n v="261"/>
    <n v="46"/>
    <n v="3"/>
    <n v="5"/>
    <n v="5.19"/>
    <x v="67"/>
    <x v="1"/>
    <n v="78"/>
    <n v="4.33"/>
    <n v="35.99"/>
    <n v="0.7"/>
    <n v="7"/>
    <n v="0.73"/>
    <n v="560"/>
    <n v="12.29"/>
    <n v="0.98"/>
    <d v="2024-07-24T00:00:00"/>
    <n v="105.09"/>
    <n v="0.69599999999999995"/>
    <n v="9393.3900000000012"/>
    <x v="0"/>
    <x v="0"/>
  </r>
  <r>
    <x v="2930"/>
    <x v="0"/>
    <n v="382"/>
    <n v="49"/>
    <n v="11"/>
    <n v="6"/>
    <n v="11.61"/>
    <x v="55"/>
    <x v="0"/>
    <n v="60"/>
    <n v="2.29"/>
    <n v="14.33"/>
    <n v="1.1299999999999999"/>
    <n v="4"/>
    <n v="0.99"/>
    <n v="568"/>
    <n v="13.98"/>
    <n v="0.47"/>
    <d v="2024-11-10T00:00:00"/>
    <n v="215.73"/>
    <n v="0.68500000000000005"/>
    <n v="5474.06"/>
    <x v="0"/>
    <x v="0"/>
  </r>
  <r>
    <x v="2931"/>
    <x v="1"/>
    <n v="302"/>
    <n v="43"/>
    <n v="5"/>
    <n v="6"/>
    <n v="42.38"/>
    <x v="32"/>
    <x v="0"/>
    <n v="22"/>
    <n v="3.03"/>
    <n v="174.06"/>
    <n v="0.3"/>
    <n v="7"/>
    <n v="0.95"/>
    <n v="501"/>
    <n v="14.54"/>
    <n v="0.57999999999999996"/>
    <d v="2024-12-01T00:00:00"/>
    <n v="110.98"/>
    <n v="0.73"/>
    <n v="52566.12"/>
    <x v="0"/>
    <x v="0"/>
  </r>
  <r>
    <x v="2932"/>
    <x v="4"/>
    <n v="60"/>
    <n v="88"/>
    <n v="14"/>
    <n v="5"/>
    <n v="31.95"/>
    <x v="96"/>
    <x v="3"/>
    <n v="178"/>
    <n v="2.81"/>
    <n v="73.349999999999994"/>
    <n v="0.54"/>
    <n v="0"/>
    <n v="0.73"/>
    <n v="592"/>
    <n v="6.75"/>
    <n v="0.86"/>
    <d v="2024-09-23T00:00:00"/>
    <n v="74.38"/>
    <n v="0.754"/>
    <n v="4401"/>
    <x v="1"/>
    <x v="2"/>
  </r>
  <r>
    <x v="2933"/>
    <x v="1"/>
    <n v="355"/>
    <n v="26"/>
    <n v="5"/>
    <n v="7"/>
    <n v="4.8600000000000003"/>
    <x v="7"/>
    <x v="3"/>
    <n v="148"/>
    <n v="4.67"/>
    <n v="39.799999999999997"/>
    <n v="1.52"/>
    <n v="2"/>
    <n v="0.96"/>
    <n v="265"/>
    <n v="14.9"/>
    <n v="0.75"/>
    <d v="2024-05-26T00:00:00"/>
    <n v="218.75"/>
    <n v="0.749"/>
    <n v="14128.999999999998"/>
    <x v="0"/>
    <x v="0"/>
  </r>
  <r>
    <x v="2934"/>
    <x v="3"/>
    <n v="181"/>
    <n v="42"/>
    <n v="8"/>
    <n v="9"/>
    <n v="24.83"/>
    <x v="97"/>
    <x v="0"/>
    <n v="174"/>
    <n v="3.97"/>
    <n v="42.81"/>
    <n v="0.45"/>
    <n v="6"/>
    <n v="0.9"/>
    <n v="519"/>
    <n v="4.8"/>
    <n v="0.37"/>
    <d v="2024-12-30T00:00:00"/>
    <n v="221.13"/>
    <n v="0.55300000000000005"/>
    <n v="7748.6100000000006"/>
    <x v="0"/>
    <x v="1"/>
  </r>
  <r>
    <x v="2935"/>
    <x v="0"/>
    <n v="179"/>
    <n v="56"/>
    <n v="12"/>
    <n v="5"/>
    <n v="11.28"/>
    <x v="63"/>
    <x v="3"/>
    <n v="69"/>
    <n v="4.93"/>
    <n v="178.32"/>
    <n v="0.36"/>
    <n v="0"/>
    <n v="0.8"/>
    <n v="902"/>
    <n v="7.47"/>
    <n v="0.6"/>
    <d v="2024-11-01T00:00:00"/>
    <n v="261.07"/>
    <n v="0.74399999999999999"/>
    <n v="31919.279999999999"/>
    <x v="0"/>
    <x v="1"/>
  </r>
  <r>
    <x v="2936"/>
    <x v="3"/>
    <n v="493"/>
    <n v="61"/>
    <n v="8"/>
    <n v="3"/>
    <n v="10.76"/>
    <x v="5"/>
    <x v="2"/>
    <n v="41"/>
    <n v="4.07"/>
    <n v="134.34"/>
    <n v="0.65"/>
    <n v="4"/>
    <n v="0.96"/>
    <n v="353"/>
    <n v="11.65"/>
    <n v="0.98"/>
    <d v="2024-01-30T00:00:00"/>
    <n v="155.27000000000001"/>
    <n v="0.79800000000000004"/>
    <n v="66229.62"/>
    <x v="0"/>
    <x v="0"/>
  </r>
  <r>
    <x v="2937"/>
    <x v="1"/>
    <n v="108"/>
    <n v="89"/>
    <n v="13"/>
    <n v="4"/>
    <n v="47.09"/>
    <x v="26"/>
    <x v="1"/>
    <n v="27"/>
    <n v="1.83"/>
    <n v="191.71"/>
    <n v="0.8"/>
    <n v="5"/>
    <n v="0.88"/>
    <n v="347"/>
    <n v="14.58"/>
    <n v="0.89"/>
    <d v="2024-03-30T00:00:00"/>
    <n v="77.39"/>
    <n v="0.76800000000000002"/>
    <n v="20704.68"/>
    <x v="0"/>
    <x v="1"/>
  </r>
  <r>
    <x v="2938"/>
    <x v="4"/>
    <n v="341"/>
    <n v="18"/>
    <n v="13"/>
    <n v="9"/>
    <n v="38.32"/>
    <x v="35"/>
    <x v="0"/>
    <n v="102"/>
    <n v="4.83"/>
    <n v="162.01"/>
    <n v="0.72"/>
    <n v="0"/>
    <n v="0.95"/>
    <n v="395"/>
    <n v="1.74"/>
    <n v="0.35"/>
    <d v="2024-11-23T00:00:00"/>
    <n v="252.7"/>
    <n v="0.61099999999999999"/>
    <n v="55245.409999999996"/>
    <x v="0"/>
    <x v="0"/>
  </r>
  <r>
    <x v="2939"/>
    <x v="2"/>
    <n v="31"/>
    <n v="42"/>
    <n v="8"/>
    <n v="2"/>
    <n v="35.119999999999997"/>
    <x v="78"/>
    <x v="0"/>
    <n v="157"/>
    <n v="4.93"/>
    <n v="155.83000000000001"/>
    <n v="0.81"/>
    <n v="6"/>
    <n v="0.84"/>
    <n v="335"/>
    <n v="14.24"/>
    <n v="0.34"/>
    <d v="2024-09-10T00:00:00"/>
    <n v="60.65"/>
    <n v="0.625"/>
    <n v="4830.7300000000005"/>
    <x v="1"/>
    <x v="2"/>
  </r>
  <r>
    <x v="2940"/>
    <x v="1"/>
    <n v="443"/>
    <n v="69"/>
    <n v="3"/>
    <n v="5"/>
    <n v="12.71"/>
    <x v="89"/>
    <x v="2"/>
    <n v="53"/>
    <n v="1.05"/>
    <n v="104.97"/>
    <n v="0.37"/>
    <n v="8"/>
    <n v="0.85"/>
    <n v="934"/>
    <n v="14.98"/>
    <n v="0.86"/>
    <d v="2024-08-12T00:00:00"/>
    <n v="282.2"/>
    <n v="0.745"/>
    <n v="46501.71"/>
    <x v="0"/>
    <x v="0"/>
  </r>
  <r>
    <x v="2941"/>
    <x v="4"/>
    <n v="92"/>
    <n v="86"/>
    <n v="7"/>
    <n v="5"/>
    <n v="6.81"/>
    <x v="25"/>
    <x v="3"/>
    <n v="173"/>
    <n v="4.55"/>
    <n v="165.95"/>
    <n v="0.41"/>
    <n v="8"/>
    <n v="0.79"/>
    <n v="175"/>
    <n v="13.73"/>
    <n v="0.36"/>
    <d v="2024-01-06T00:00:00"/>
    <n v="98.93"/>
    <n v="0.61199999999999999"/>
    <n v="15267.4"/>
    <x v="0"/>
    <x v="2"/>
  </r>
  <r>
    <x v="2942"/>
    <x v="0"/>
    <n v="95"/>
    <n v="30"/>
    <n v="14"/>
    <n v="6"/>
    <n v="43.67"/>
    <x v="75"/>
    <x v="0"/>
    <n v="46"/>
    <n v="3.49"/>
    <n v="88.4"/>
    <n v="0.55000000000000004"/>
    <n v="2"/>
    <n v="0.82"/>
    <n v="100"/>
    <n v="2.52"/>
    <n v="0.56000000000000005"/>
    <d v="2024-04-13T00:00:00"/>
    <n v="15.44"/>
    <n v="0.61499999999999999"/>
    <n v="8398"/>
    <x v="0"/>
    <x v="2"/>
  </r>
  <r>
    <x v="2943"/>
    <x v="3"/>
    <n v="365"/>
    <n v="67"/>
    <n v="8"/>
    <n v="3"/>
    <n v="1.29"/>
    <x v="56"/>
    <x v="0"/>
    <n v="170"/>
    <n v="4.6500000000000004"/>
    <n v="167.13"/>
    <n v="0.86"/>
    <n v="3"/>
    <n v="0.87"/>
    <n v="468"/>
    <n v="12.77"/>
    <n v="0.34"/>
    <d v="2024-12-02T00:00:00"/>
    <n v="64.16"/>
    <n v="0.66600000000000004"/>
    <n v="61002.45"/>
    <x v="0"/>
    <x v="0"/>
  </r>
  <r>
    <x v="2944"/>
    <x v="3"/>
    <n v="220"/>
    <n v="94"/>
    <n v="10"/>
    <n v="8"/>
    <n v="20.02"/>
    <x v="94"/>
    <x v="2"/>
    <n v="136"/>
    <n v="4.62"/>
    <n v="153.97"/>
    <n v="0.74"/>
    <n v="0"/>
    <n v="0.98"/>
    <n v="751"/>
    <n v="9.9600000000000009"/>
    <n v="0.21"/>
    <d v="2024-09-22T00:00:00"/>
    <n v="130.29"/>
    <n v="0.69699999999999995"/>
    <n v="33873.4"/>
    <x v="0"/>
    <x v="1"/>
  </r>
  <r>
    <x v="2945"/>
    <x v="3"/>
    <n v="29"/>
    <n v="78"/>
    <n v="3"/>
    <n v="8"/>
    <n v="14.6"/>
    <x v="85"/>
    <x v="1"/>
    <n v="28"/>
    <n v="4.51"/>
    <n v="138.9"/>
    <n v="1.6"/>
    <n v="3"/>
    <n v="0.88"/>
    <n v="100"/>
    <n v="1.1299999999999999"/>
    <n v="0.9"/>
    <d v="2024-05-26T00:00:00"/>
    <n v="26"/>
    <n v="0.55100000000000005"/>
    <n v="4028.1000000000004"/>
    <x v="1"/>
    <x v="2"/>
  </r>
  <r>
    <x v="2946"/>
    <x v="0"/>
    <n v="371"/>
    <n v="19"/>
    <n v="7"/>
    <n v="6"/>
    <n v="28.95"/>
    <x v="73"/>
    <x v="0"/>
    <n v="41"/>
    <n v="4.4800000000000004"/>
    <n v="72.650000000000006"/>
    <n v="1.1000000000000001"/>
    <n v="4"/>
    <n v="0.74"/>
    <n v="520"/>
    <n v="14.78"/>
    <n v="0.82"/>
    <d v="2024-04-09T00:00:00"/>
    <n v="128.76"/>
    <n v="0.71899999999999997"/>
    <n v="26953.15"/>
    <x v="0"/>
    <x v="0"/>
  </r>
  <r>
    <x v="2947"/>
    <x v="4"/>
    <n v="245"/>
    <n v="15"/>
    <n v="5"/>
    <n v="7"/>
    <n v="13.27"/>
    <x v="82"/>
    <x v="0"/>
    <n v="115"/>
    <n v="1.03"/>
    <n v="129.84"/>
    <n v="1.19"/>
    <n v="6"/>
    <n v="0.7"/>
    <n v="425"/>
    <n v="3.11"/>
    <n v="0.57999999999999996"/>
    <d v="2024-01-18T00:00:00"/>
    <n v="68.84"/>
    <n v="0.45800000000000002"/>
    <n v="31810.799999999999"/>
    <x v="0"/>
    <x v="1"/>
  </r>
  <r>
    <x v="2948"/>
    <x v="0"/>
    <n v="195"/>
    <n v="22"/>
    <n v="4"/>
    <n v="9"/>
    <n v="16.25"/>
    <x v="47"/>
    <x v="2"/>
    <n v="31"/>
    <n v="1.1499999999999999"/>
    <n v="106.29"/>
    <n v="1.17"/>
    <n v="4"/>
    <n v="0.96"/>
    <n v="414"/>
    <n v="6.56"/>
    <n v="0.33"/>
    <d v="2024-11-02T00:00:00"/>
    <n v="15.5"/>
    <n v="0.54800000000000004"/>
    <n v="20726.550000000003"/>
    <x v="0"/>
    <x v="1"/>
  </r>
  <r>
    <x v="2949"/>
    <x v="3"/>
    <n v="295"/>
    <n v="74"/>
    <n v="13"/>
    <n v="5"/>
    <n v="42.65"/>
    <x v="81"/>
    <x v="0"/>
    <n v="131"/>
    <n v="1.03"/>
    <n v="97.69"/>
    <n v="0.86"/>
    <n v="7"/>
    <n v="0.81"/>
    <n v="281"/>
    <n v="1.42"/>
    <n v="0.85"/>
    <d v="2024-09-18T00:00:00"/>
    <n v="96.71"/>
    <n v="0.52500000000000002"/>
    <n v="28818.55"/>
    <x v="0"/>
    <x v="0"/>
  </r>
  <r>
    <x v="2950"/>
    <x v="1"/>
    <n v="58"/>
    <n v="29"/>
    <n v="10"/>
    <n v="9"/>
    <n v="30.56"/>
    <x v="35"/>
    <x v="0"/>
    <n v="138"/>
    <n v="0.91"/>
    <n v="198.15"/>
    <n v="1.96"/>
    <n v="6"/>
    <n v="0.79"/>
    <n v="739"/>
    <n v="5.33"/>
    <n v="0.49"/>
    <d v="2024-09-21T00:00:00"/>
    <n v="75.63"/>
    <n v="0.41099999999999998"/>
    <n v="11492.7"/>
    <x v="0"/>
    <x v="2"/>
  </r>
  <r>
    <x v="2951"/>
    <x v="2"/>
    <n v="79"/>
    <n v="66"/>
    <n v="9"/>
    <n v="9"/>
    <n v="8.14"/>
    <x v="22"/>
    <x v="1"/>
    <n v="63"/>
    <n v="2.09"/>
    <n v="105.84"/>
    <n v="0.17"/>
    <n v="0"/>
    <n v="0.94"/>
    <n v="719"/>
    <n v="8.9600000000000009"/>
    <n v="0.73"/>
    <d v="2024-12-23T00:00:00"/>
    <n v="131.72999999999999"/>
    <n v="0.83599999999999997"/>
    <n v="8361.36"/>
    <x v="0"/>
    <x v="2"/>
  </r>
  <r>
    <x v="2952"/>
    <x v="0"/>
    <n v="85"/>
    <n v="55"/>
    <n v="12"/>
    <n v="5"/>
    <n v="36.6"/>
    <x v="46"/>
    <x v="0"/>
    <n v="157"/>
    <n v="3.58"/>
    <n v="16.079999999999998"/>
    <n v="0.51"/>
    <n v="1"/>
    <n v="0.98"/>
    <n v="708"/>
    <n v="14.03"/>
    <n v="0.45"/>
    <d v="2024-04-28T00:00:00"/>
    <n v="230.11"/>
    <n v="0.80200000000000005"/>
    <n v="1366.8"/>
    <x v="0"/>
    <x v="2"/>
  </r>
  <r>
    <x v="2953"/>
    <x v="0"/>
    <n v="340"/>
    <n v="17"/>
    <n v="9"/>
    <n v="6"/>
    <n v="11.17"/>
    <x v="62"/>
    <x v="2"/>
    <n v="67"/>
    <n v="2.1"/>
    <n v="129.03"/>
    <n v="0.64"/>
    <n v="6"/>
    <n v="0.92"/>
    <n v="529"/>
    <n v="14.87"/>
    <n v="0.55000000000000004"/>
    <d v="2024-11-10T00:00:00"/>
    <n v="157.83000000000001"/>
    <n v="0.70799999999999996"/>
    <n v="43870.2"/>
    <x v="0"/>
    <x v="0"/>
  </r>
  <r>
    <x v="2954"/>
    <x v="4"/>
    <n v="454"/>
    <n v="19"/>
    <n v="7"/>
    <n v="9"/>
    <n v="22.22"/>
    <x v="89"/>
    <x v="1"/>
    <n v="172"/>
    <n v="3.74"/>
    <n v="148.32"/>
    <n v="1.77"/>
    <n v="2"/>
    <n v="0.75"/>
    <n v="355"/>
    <n v="6.93"/>
    <n v="0.63"/>
    <d v="2024-03-27T00:00:00"/>
    <n v="232.74"/>
    <n v="0.55100000000000005"/>
    <n v="67337.279999999999"/>
    <x v="0"/>
    <x v="0"/>
  </r>
  <r>
    <x v="2955"/>
    <x v="4"/>
    <n v="143"/>
    <n v="82"/>
    <n v="14"/>
    <n v="5"/>
    <n v="32.68"/>
    <x v="65"/>
    <x v="1"/>
    <n v="79"/>
    <n v="4.1900000000000004"/>
    <n v="178.18"/>
    <n v="1.85"/>
    <n v="1"/>
    <n v="0.82"/>
    <n v="487"/>
    <n v="6.99"/>
    <n v="0.81"/>
    <d v="2024-12-11T00:00:00"/>
    <n v="107.64"/>
    <n v="0.61399999999999999"/>
    <n v="25479.74"/>
    <x v="0"/>
    <x v="1"/>
  </r>
  <r>
    <x v="2956"/>
    <x v="0"/>
    <n v="183"/>
    <n v="76"/>
    <n v="11"/>
    <n v="7"/>
    <n v="14.32"/>
    <x v="55"/>
    <x v="1"/>
    <n v="72"/>
    <n v="3.5"/>
    <n v="130.21"/>
    <n v="1.71"/>
    <n v="8"/>
    <n v="0.93"/>
    <n v="300"/>
    <n v="3.24"/>
    <n v="0.87"/>
    <d v="2024-01-19T00:00:00"/>
    <n v="13.82"/>
    <n v="0.47199999999999998"/>
    <n v="23828.43"/>
    <x v="0"/>
    <x v="1"/>
  </r>
  <r>
    <x v="2957"/>
    <x v="3"/>
    <n v="427"/>
    <n v="20"/>
    <n v="7"/>
    <n v="9"/>
    <n v="19.82"/>
    <x v="40"/>
    <x v="3"/>
    <n v="12"/>
    <n v="2.59"/>
    <n v="13.7"/>
    <n v="0.89"/>
    <n v="9"/>
    <n v="0.97"/>
    <n v="900"/>
    <n v="7.98"/>
    <n v="0.55000000000000004"/>
    <d v="2024-07-03T00:00:00"/>
    <n v="277.43"/>
    <n v="0.54100000000000004"/>
    <n v="5849.9"/>
    <x v="0"/>
    <x v="0"/>
  </r>
  <r>
    <x v="2958"/>
    <x v="2"/>
    <n v="430"/>
    <n v="21"/>
    <n v="4"/>
    <n v="4"/>
    <n v="36.97"/>
    <x v="61"/>
    <x v="2"/>
    <n v="108"/>
    <n v="1.83"/>
    <n v="32.75"/>
    <n v="1.84"/>
    <n v="7"/>
    <n v="1"/>
    <n v="391"/>
    <n v="14.16"/>
    <n v="0.39"/>
    <d v="2024-05-02T00:00:00"/>
    <n v="101.27"/>
    <n v="0.54300000000000004"/>
    <n v="14082.5"/>
    <x v="0"/>
    <x v="0"/>
  </r>
  <r>
    <x v="2959"/>
    <x v="4"/>
    <n v="405"/>
    <n v="19"/>
    <n v="5"/>
    <n v="2"/>
    <n v="46.96"/>
    <x v="88"/>
    <x v="3"/>
    <n v="54"/>
    <n v="1.06"/>
    <n v="40.64"/>
    <n v="0.28999999999999998"/>
    <n v="7"/>
    <n v="0.85"/>
    <n v="181"/>
    <n v="3.32"/>
    <n v="0.32"/>
    <d v="2024-12-01T00:00:00"/>
    <n v="162.79"/>
    <n v="0.50900000000000001"/>
    <n v="16459.2"/>
    <x v="0"/>
    <x v="0"/>
  </r>
  <r>
    <x v="2960"/>
    <x v="3"/>
    <n v="178"/>
    <n v="34"/>
    <n v="6"/>
    <n v="2"/>
    <n v="26.93"/>
    <x v="28"/>
    <x v="0"/>
    <n v="152"/>
    <n v="2.72"/>
    <n v="50.14"/>
    <n v="1.34"/>
    <n v="2"/>
    <n v="0.95"/>
    <n v="798"/>
    <n v="4.7300000000000004"/>
    <n v="0.47"/>
    <d v="2024-01-01T00:00:00"/>
    <n v="146.07"/>
    <n v="0.57299999999999995"/>
    <n v="8924.92"/>
    <x v="0"/>
    <x v="1"/>
  </r>
  <r>
    <x v="2961"/>
    <x v="1"/>
    <n v="76"/>
    <n v="58"/>
    <n v="7"/>
    <n v="2"/>
    <n v="1.49"/>
    <x v="67"/>
    <x v="1"/>
    <n v="26"/>
    <n v="3.74"/>
    <n v="161.96"/>
    <n v="1.88"/>
    <n v="9"/>
    <n v="0.71"/>
    <n v="573"/>
    <n v="13.48"/>
    <n v="0.84"/>
    <d v="2024-03-21T00:00:00"/>
    <n v="179.09"/>
    <n v="0.52200000000000002"/>
    <n v="12308.960000000001"/>
    <x v="0"/>
    <x v="2"/>
  </r>
  <r>
    <x v="2962"/>
    <x v="4"/>
    <n v="97"/>
    <n v="58"/>
    <n v="5"/>
    <n v="4"/>
    <n v="17.579999999999998"/>
    <x v="57"/>
    <x v="3"/>
    <n v="152"/>
    <n v="2.97"/>
    <n v="68.849999999999994"/>
    <n v="1.53"/>
    <n v="8"/>
    <n v="0.79"/>
    <n v="704"/>
    <n v="9.77"/>
    <n v="0.42"/>
    <d v="2024-02-14T00:00:00"/>
    <n v="266.64"/>
    <n v="0.45900000000000002"/>
    <n v="6678.45"/>
    <x v="0"/>
    <x v="2"/>
  </r>
  <r>
    <x v="2963"/>
    <x v="3"/>
    <n v="213"/>
    <n v="98"/>
    <n v="14"/>
    <n v="5"/>
    <n v="20.53"/>
    <x v="17"/>
    <x v="0"/>
    <n v="14"/>
    <n v="3.75"/>
    <n v="69.349999999999994"/>
    <n v="0.63"/>
    <n v="7"/>
    <n v="0.81"/>
    <n v="555"/>
    <n v="5.63"/>
    <n v="0.24"/>
    <d v="2024-05-21T00:00:00"/>
    <n v="261.5"/>
    <n v="0.48199999999999998"/>
    <n v="14771.55"/>
    <x v="0"/>
    <x v="1"/>
  </r>
  <r>
    <x v="2964"/>
    <x v="3"/>
    <n v="304"/>
    <n v="20"/>
    <n v="9"/>
    <n v="6"/>
    <n v="17.62"/>
    <x v="49"/>
    <x v="3"/>
    <n v="20"/>
    <n v="2.0099999999999998"/>
    <n v="153.56"/>
    <n v="1.46"/>
    <n v="1"/>
    <n v="0.99"/>
    <n v="448"/>
    <n v="12.38"/>
    <n v="0.65"/>
    <d v="2024-07-23T00:00:00"/>
    <n v="294.5"/>
    <n v="0.72699999999999998"/>
    <n v="46682.239999999998"/>
    <x v="0"/>
    <x v="0"/>
  </r>
  <r>
    <x v="2965"/>
    <x v="2"/>
    <n v="34"/>
    <n v="71"/>
    <n v="7"/>
    <n v="8"/>
    <n v="22.38"/>
    <x v="52"/>
    <x v="1"/>
    <n v="101"/>
    <n v="0.8"/>
    <n v="88.36"/>
    <n v="0.66"/>
    <n v="6"/>
    <n v="0.7"/>
    <n v="955"/>
    <n v="2.5299999999999998"/>
    <n v="0.23"/>
    <d v="2024-06-29T00:00:00"/>
    <n v="163.22999999999999"/>
    <n v="0.434"/>
    <n v="3004.24"/>
    <x v="1"/>
    <x v="2"/>
  </r>
  <r>
    <x v="2966"/>
    <x v="2"/>
    <n v="31"/>
    <n v="45"/>
    <n v="7"/>
    <n v="3"/>
    <n v="32"/>
    <x v="88"/>
    <x v="0"/>
    <n v="151"/>
    <n v="3.97"/>
    <n v="22.28"/>
    <n v="0.31"/>
    <n v="7"/>
    <n v="0.79"/>
    <n v="167"/>
    <n v="13.02"/>
    <n v="0.91"/>
    <d v="2024-12-08T00:00:00"/>
    <n v="277.51"/>
    <n v="0.74299999999999999"/>
    <n v="690.68000000000006"/>
    <x v="1"/>
    <x v="2"/>
  </r>
  <r>
    <x v="2967"/>
    <x v="1"/>
    <n v="120"/>
    <n v="48"/>
    <n v="8"/>
    <n v="5"/>
    <n v="6.94"/>
    <x v="62"/>
    <x v="1"/>
    <n v="48"/>
    <n v="1.49"/>
    <n v="121.17"/>
    <n v="1.46"/>
    <n v="6"/>
    <n v="0.98"/>
    <n v="110"/>
    <n v="8.25"/>
    <n v="0.74"/>
    <d v="2024-07-21T00:00:00"/>
    <n v="149.91"/>
    <n v="0.58799999999999997"/>
    <n v="14540.4"/>
    <x v="0"/>
    <x v="1"/>
  </r>
  <r>
    <x v="2968"/>
    <x v="3"/>
    <n v="175"/>
    <n v="62"/>
    <n v="9"/>
    <n v="4"/>
    <n v="14.36"/>
    <x v="40"/>
    <x v="1"/>
    <n v="51"/>
    <n v="3.27"/>
    <n v="34.71"/>
    <n v="0.44"/>
    <n v="8"/>
    <n v="0.79"/>
    <n v="964"/>
    <n v="11.6"/>
    <n v="0.41"/>
    <d v="2024-07-26T00:00:00"/>
    <n v="22.88"/>
    <n v="0.59099999999999997"/>
    <n v="6074.25"/>
    <x v="0"/>
    <x v="1"/>
  </r>
  <r>
    <x v="2969"/>
    <x v="3"/>
    <n v="359"/>
    <n v="99"/>
    <n v="12"/>
    <n v="9"/>
    <n v="25.87"/>
    <x v="0"/>
    <x v="3"/>
    <n v="103"/>
    <n v="4.12"/>
    <n v="118.62"/>
    <n v="0.31"/>
    <n v="6"/>
    <n v="0.77"/>
    <n v="230"/>
    <n v="8.26"/>
    <n v="0.57999999999999996"/>
    <d v="2024-10-27T00:00:00"/>
    <n v="52.4"/>
    <n v="0.629"/>
    <n v="42584.58"/>
    <x v="0"/>
    <x v="0"/>
  </r>
  <r>
    <x v="2970"/>
    <x v="2"/>
    <n v="144"/>
    <n v="87"/>
    <n v="12"/>
    <n v="7"/>
    <n v="16.46"/>
    <x v="43"/>
    <x v="2"/>
    <n v="14"/>
    <n v="1.1299999999999999"/>
    <n v="158.13"/>
    <n v="1.1499999999999999"/>
    <n v="6"/>
    <n v="0.92"/>
    <n v="362"/>
    <n v="4.45"/>
    <n v="0.79"/>
    <d v="2024-04-12T00:00:00"/>
    <n v="106.86"/>
    <n v="0.56599999999999995"/>
    <n v="22770.720000000001"/>
    <x v="0"/>
    <x v="1"/>
  </r>
  <r>
    <x v="2971"/>
    <x v="4"/>
    <n v="378"/>
    <n v="65"/>
    <n v="10"/>
    <n v="4"/>
    <n v="49.56"/>
    <x v="53"/>
    <x v="0"/>
    <n v="61"/>
    <n v="3.19"/>
    <n v="186.6"/>
    <n v="1.28"/>
    <n v="0"/>
    <n v="0.92"/>
    <n v="314"/>
    <n v="9.9700000000000006"/>
    <n v="0.93"/>
    <d v="2024-09-22T00:00:00"/>
    <n v="220.38"/>
    <n v="0.77500000000000002"/>
    <n v="70534.8"/>
    <x v="0"/>
    <x v="0"/>
  </r>
  <r>
    <x v="2972"/>
    <x v="4"/>
    <n v="299"/>
    <n v="10"/>
    <n v="11"/>
    <n v="9"/>
    <n v="22.14"/>
    <x v="99"/>
    <x v="0"/>
    <n v="159"/>
    <n v="3.6"/>
    <n v="22.74"/>
    <n v="0.2"/>
    <n v="1"/>
    <n v="0.84"/>
    <n v="78"/>
    <n v="3.17"/>
    <n v="0.9"/>
    <d v="2024-01-08T00:00:00"/>
    <n v="33.6"/>
    <n v="0.75"/>
    <n v="6799.2599999999993"/>
    <x v="0"/>
    <x v="0"/>
  </r>
  <r>
    <x v="2973"/>
    <x v="0"/>
    <n v="424"/>
    <n v="65"/>
    <n v="13"/>
    <n v="8"/>
    <n v="43.62"/>
    <x v="6"/>
    <x v="2"/>
    <n v="53"/>
    <n v="3.86"/>
    <n v="67.75"/>
    <n v="0.11"/>
    <n v="4"/>
    <n v="0.98"/>
    <n v="312"/>
    <n v="4.22"/>
    <n v="0.26"/>
    <d v="2024-12-26T00:00:00"/>
    <n v="114.85"/>
    <n v="0.61299999999999999"/>
    <n v="28726"/>
    <x v="0"/>
    <x v="0"/>
  </r>
  <r>
    <x v="2974"/>
    <x v="2"/>
    <n v="413"/>
    <n v="13"/>
    <n v="6"/>
    <n v="2"/>
    <n v="44.93"/>
    <x v="6"/>
    <x v="0"/>
    <n v="124"/>
    <n v="1.1599999999999999"/>
    <n v="133.97"/>
    <n v="1.78"/>
    <n v="0"/>
    <n v="0.76"/>
    <n v="761"/>
    <n v="8.69"/>
    <n v="0.26"/>
    <d v="2024-02-05T00:00:00"/>
    <n v="294.88"/>
    <n v="0.54200000000000004"/>
    <n v="55329.61"/>
    <x v="0"/>
    <x v="0"/>
  </r>
  <r>
    <x v="2975"/>
    <x v="0"/>
    <n v="129"/>
    <n v="39"/>
    <n v="7"/>
    <n v="5"/>
    <n v="41.96"/>
    <x v="7"/>
    <x v="3"/>
    <n v="162"/>
    <n v="4.21"/>
    <n v="69.94"/>
    <n v="0.32"/>
    <n v="9"/>
    <n v="0.97"/>
    <n v="666"/>
    <n v="6.46"/>
    <n v="0.68"/>
    <d v="2024-02-16T00:00:00"/>
    <n v="237.85"/>
    <n v="0.60399999999999998"/>
    <n v="9022.26"/>
    <x v="0"/>
    <x v="1"/>
  </r>
  <r>
    <x v="2976"/>
    <x v="2"/>
    <n v="353"/>
    <n v="21"/>
    <n v="7"/>
    <n v="8"/>
    <n v="3.3"/>
    <x v="97"/>
    <x v="0"/>
    <n v="136"/>
    <n v="0.92"/>
    <n v="95.69"/>
    <n v="1.21"/>
    <n v="6"/>
    <n v="0.93"/>
    <n v="962"/>
    <n v="11.43"/>
    <n v="0.6"/>
    <d v="2024-10-08T00:00:00"/>
    <n v="175.88"/>
    <n v="0.61699999999999999"/>
    <n v="33778.57"/>
    <x v="0"/>
    <x v="0"/>
  </r>
  <r>
    <x v="2977"/>
    <x v="1"/>
    <n v="376"/>
    <n v="44"/>
    <n v="10"/>
    <n v="2"/>
    <n v="47.44"/>
    <x v="30"/>
    <x v="3"/>
    <n v="125"/>
    <n v="2.84"/>
    <n v="13.82"/>
    <n v="1.91"/>
    <n v="4"/>
    <n v="0.81"/>
    <n v="640"/>
    <n v="9.17"/>
    <n v="0.43"/>
    <d v="2024-05-25T00:00:00"/>
    <n v="27.91"/>
    <n v="0.499"/>
    <n v="5196.32"/>
    <x v="0"/>
    <x v="0"/>
  </r>
  <r>
    <x v="2978"/>
    <x v="3"/>
    <n v="165"/>
    <n v="86"/>
    <n v="11"/>
    <n v="3"/>
    <n v="7.31"/>
    <x v="38"/>
    <x v="0"/>
    <n v="158"/>
    <n v="2.5"/>
    <n v="141.76"/>
    <n v="1.07"/>
    <n v="4"/>
    <n v="0.94"/>
    <n v="705"/>
    <n v="6.34"/>
    <n v="0.98"/>
    <d v="2024-10-13T00:00:00"/>
    <n v="14.24"/>
    <n v="0.68200000000000005"/>
    <n v="23390.399999999998"/>
    <x v="0"/>
    <x v="1"/>
  </r>
  <r>
    <x v="2979"/>
    <x v="1"/>
    <n v="235"/>
    <n v="61"/>
    <n v="9"/>
    <n v="9"/>
    <n v="2.69"/>
    <x v="72"/>
    <x v="3"/>
    <n v="77"/>
    <n v="1.5"/>
    <n v="177.82"/>
    <n v="0.37"/>
    <n v="7"/>
    <n v="0.74"/>
    <n v="760"/>
    <n v="5.57"/>
    <n v="0.8"/>
    <d v="2024-10-25T00:00:00"/>
    <n v="40.520000000000003"/>
    <n v="0.60499999999999998"/>
    <n v="41787.699999999997"/>
    <x v="0"/>
    <x v="1"/>
  </r>
  <r>
    <x v="2980"/>
    <x v="2"/>
    <n v="417"/>
    <n v="40"/>
    <n v="7"/>
    <n v="9"/>
    <n v="21.3"/>
    <x v="18"/>
    <x v="2"/>
    <n v="56"/>
    <n v="1.86"/>
    <n v="195.6"/>
    <n v="0.85"/>
    <n v="8"/>
    <n v="0.74"/>
    <n v="667"/>
    <n v="13.79"/>
    <n v="0.75"/>
    <d v="2024-06-27T00:00:00"/>
    <n v="104.87"/>
    <n v="0.63700000000000001"/>
    <n v="81565.2"/>
    <x v="0"/>
    <x v="0"/>
  </r>
  <r>
    <x v="2981"/>
    <x v="3"/>
    <n v="181"/>
    <n v="96"/>
    <n v="5"/>
    <n v="7"/>
    <n v="10.54"/>
    <x v="53"/>
    <x v="0"/>
    <n v="136"/>
    <n v="1.24"/>
    <n v="167.8"/>
    <n v="1.29"/>
    <n v="9"/>
    <n v="0.98"/>
    <n v="388"/>
    <n v="1.56"/>
    <n v="0.35"/>
    <d v="2024-06-26T00:00:00"/>
    <n v="185.85"/>
    <n v="0.378"/>
    <n v="30371.800000000003"/>
    <x v="0"/>
    <x v="1"/>
  </r>
  <r>
    <x v="2982"/>
    <x v="4"/>
    <n v="147"/>
    <n v="77"/>
    <n v="3"/>
    <n v="2"/>
    <n v="10.029999999999999"/>
    <x v="24"/>
    <x v="3"/>
    <n v="44"/>
    <n v="2.42"/>
    <n v="16.04"/>
    <n v="1.55"/>
    <n v="0"/>
    <n v="0.73"/>
    <n v="471"/>
    <n v="10.67"/>
    <n v="0.43"/>
    <d v="2024-05-21T00:00:00"/>
    <n v="67.27"/>
    <n v="0.61899999999999999"/>
    <n v="2357.8799999999997"/>
    <x v="0"/>
    <x v="1"/>
  </r>
  <r>
    <x v="2983"/>
    <x v="4"/>
    <n v="333"/>
    <n v="61"/>
    <n v="13"/>
    <n v="3"/>
    <n v="15.1"/>
    <x v="23"/>
    <x v="1"/>
    <n v="16"/>
    <n v="0.66"/>
    <n v="133.85"/>
    <n v="1.25"/>
    <n v="9"/>
    <n v="0.7"/>
    <n v="138"/>
    <n v="6.49"/>
    <n v="0.68"/>
    <d v="2024-04-25T00:00:00"/>
    <n v="24.83"/>
    <n v="0.45800000000000002"/>
    <n v="44572.049999999996"/>
    <x v="0"/>
    <x v="0"/>
  </r>
  <r>
    <x v="2984"/>
    <x v="0"/>
    <n v="351"/>
    <n v="89"/>
    <n v="11"/>
    <n v="9"/>
    <n v="13.17"/>
    <x v="42"/>
    <x v="1"/>
    <n v="125"/>
    <n v="4.5"/>
    <n v="104.18"/>
    <n v="0.17"/>
    <n v="3"/>
    <n v="0.82"/>
    <n v="381"/>
    <n v="6.28"/>
    <n v="0.84"/>
    <d v="2024-11-06T00:00:00"/>
    <n v="36.35"/>
    <n v="0.73899999999999999"/>
    <n v="36567.18"/>
    <x v="0"/>
    <x v="0"/>
  </r>
  <r>
    <x v="2985"/>
    <x v="2"/>
    <n v="169"/>
    <n v="16"/>
    <n v="7"/>
    <n v="4"/>
    <n v="34.549999999999997"/>
    <x v="91"/>
    <x v="1"/>
    <n v="61"/>
    <n v="1.24"/>
    <n v="188.2"/>
    <n v="0.37"/>
    <n v="1"/>
    <n v="0.73"/>
    <n v="480"/>
    <n v="10.130000000000001"/>
    <n v="0.94"/>
    <d v="2024-04-09T00:00:00"/>
    <n v="133.77000000000001"/>
    <n v="0.81200000000000006"/>
    <n v="31805.8"/>
    <x v="0"/>
    <x v="1"/>
  </r>
  <r>
    <x v="2986"/>
    <x v="2"/>
    <n v="473"/>
    <n v="31"/>
    <n v="11"/>
    <n v="2"/>
    <n v="10.15"/>
    <x v="75"/>
    <x v="0"/>
    <n v="119"/>
    <n v="4.49"/>
    <n v="181.41"/>
    <n v="0.81"/>
    <n v="8"/>
    <n v="0.96"/>
    <n v="827"/>
    <n v="12.91"/>
    <n v="0.76"/>
    <d v="2024-08-20T00:00:00"/>
    <n v="234.21"/>
    <n v="0.67500000000000004"/>
    <n v="85806.93"/>
    <x v="0"/>
    <x v="0"/>
  </r>
  <r>
    <x v="2987"/>
    <x v="4"/>
    <n v="55"/>
    <n v="84"/>
    <n v="12"/>
    <n v="2"/>
    <n v="27.61"/>
    <x v="39"/>
    <x v="3"/>
    <n v="55"/>
    <n v="4.3899999999999997"/>
    <n v="197.73"/>
    <n v="1.44"/>
    <n v="8"/>
    <n v="0.98"/>
    <n v="812"/>
    <n v="11.14"/>
    <n v="0.53"/>
    <d v="2024-07-25T00:00:00"/>
    <n v="248.12"/>
    <n v="0.54700000000000004"/>
    <n v="10875.15"/>
    <x v="1"/>
    <x v="2"/>
  </r>
  <r>
    <x v="2988"/>
    <x v="1"/>
    <n v="192"/>
    <n v="65"/>
    <n v="14"/>
    <n v="6"/>
    <n v="49.33"/>
    <x v="55"/>
    <x v="1"/>
    <n v="146"/>
    <n v="2.5299999999999998"/>
    <n v="173.77"/>
    <n v="1.21"/>
    <n v="0"/>
    <n v="0.84"/>
    <n v="201"/>
    <n v="10.38"/>
    <n v="0.75"/>
    <d v="2024-10-21T00:00:00"/>
    <n v="94.41"/>
    <n v="0.73499999999999999"/>
    <n v="33363.840000000004"/>
    <x v="0"/>
    <x v="1"/>
  </r>
  <r>
    <x v="2989"/>
    <x v="3"/>
    <n v="439"/>
    <n v="67"/>
    <n v="6"/>
    <n v="7"/>
    <n v="22.19"/>
    <x v="15"/>
    <x v="0"/>
    <n v="32"/>
    <n v="2.74"/>
    <n v="113.91"/>
    <n v="0.18"/>
    <n v="2"/>
    <n v="0.83"/>
    <n v="867"/>
    <n v="7.95"/>
    <n v="0.26"/>
    <d v="2024-01-03T00:00:00"/>
    <n v="202.4"/>
    <n v="0.66600000000000004"/>
    <n v="50006.49"/>
    <x v="0"/>
    <x v="0"/>
  </r>
  <r>
    <x v="2990"/>
    <x v="1"/>
    <n v="41"/>
    <n v="73"/>
    <n v="7"/>
    <n v="7"/>
    <n v="32.450000000000003"/>
    <x v="27"/>
    <x v="3"/>
    <n v="140"/>
    <n v="1.86"/>
    <n v="145.83000000000001"/>
    <n v="1.61"/>
    <n v="9"/>
    <n v="0.86"/>
    <n v="757"/>
    <n v="7.57"/>
    <n v="0.68"/>
    <d v="2024-05-13T00:00:00"/>
    <n v="123.89"/>
    <n v="0.46800000000000003"/>
    <n v="5979.0300000000007"/>
    <x v="1"/>
    <x v="2"/>
  </r>
  <r>
    <x v="2991"/>
    <x v="1"/>
    <n v="225"/>
    <n v="21"/>
    <n v="6"/>
    <n v="8"/>
    <n v="48.5"/>
    <x v="5"/>
    <x v="1"/>
    <n v="136"/>
    <n v="4.99"/>
    <n v="193.29"/>
    <n v="1.25"/>
    <n v="7"/>
    <n v="0.77"/>
    <n v="175"/>
    <n v="7.45"/>
    <n v="0.92"/>
    <d v="2024-03-30T00:00:00"/>
    <n v="292.02999999999997"/>
    <n v="0.57199999999999995"/>
    <n v="43490.25"/>
    <x v="0"/>
    <x v="1"/>
  </r>
  <r>
    <x v="2992"/>
    <x v="4"/>
    <n v="146"/>
    <n v="16"/>
    <n v="4"/>
    <n v="4"/>
    <n v="7.74"/>
    <x v="57"/>
    <x v="1"/>
    <n v="18"/>
    <n v="3.52"/>
    <n v="119.84"/>
    <n v="1.79"/>
    <n v="1"/>
    <n v="0.79"/>
    <n v="92"/>
    <n v="3.04"/>
    <n v="0.71"/>
    <d v="2024-07-27T00:00:00"/>
    <n v="127.44"/>
    <n v="0.54200000000000004"/>
    <n v="17496.64"/>
    <x v="0"/>
    <x v="1"/>
  </r>
  <r>
    <x v="2993"/>
    <x v="4"/>
    <n v="355"/>
    <n v="64"/>
    <n v="14"/>
    <n v="6"/>
    <n v="21.51"/>
    <x v="75"/>
    <x v="0"/>
    <n v="62"/>
    <n v="4.78"/>
    <n v="169.6"/>
    <n v="0.89"/>
    <n v="1"/>
    <n v="0.73"/>
    <n v="470"/>
    <n v="8.83"/>
    <n v="0.21"/>
    <d v="2024-09-16T00:00:00"/>
    <n v="124.81"/>
    <n v="0.59699999999999998"/>
    <n v="60208"/>
    <x v="0"/>
    <x v="0"/>
  </r>
  <r>
    <x v="2994"/>
    <x v="4"/>
    <n v="464"/>
    <n v="71"/>
    <n v="3"/>
    <n v="8"/>
    <n v="42.66"/>
    <x v="77"/>
    <x v="3"/>
    <n v="57"/>
    <n v="2.37"/>
    <n v="189.02"/>
    <n v="1.03"/>
    <n v="1"/>
    <n v="0.83"/>
    <n v="734"/>
    <n v="5.42"/>
    <n v="0.76"/>
    <d v="2024-02-24T00:00:00"/>
    <n v="155.44999999999999"/>
    <n v="0.66700000000000004"/>
    <n v="87705.279999999999"/>
    <x v="0"/>
    <x v="0"/>
  </r>
  <r>
    <x v="2995"/>
    <x v="0"/>
    <n v="375"/>
    <n v="99"/>
    <n v="10"/>
    <n v="3"/>
    <n v="46.68"/>
    <x v="41"/>
    <x v="0"/>
    <n v="132"/>
    <n v="4.47"/>
    <n v="118.4"/>
    <n v="0.87"/>
    <n v="4"/>
    <n v="0.88"/>
    <n v="539"/>
    <n v="9.66"/>
    <n v="0.78"/>
    <d v="2024-10-13T00:00:00"/>
    <n v="17.399999999999999"/>
    <n v="0.69399999999999995"/>
    <n v="44400"/>
    <x v="0"/>
    <x v="0"/>
  </r>
  <r>
    <x v="2996"/>
    <x v="1"/>
    <n v="459"/>
    <n v="82"/>
    <n v="6"/>
    <n v="8"/>
    <n v="30.46"/>
    <x v="79"/>
    <x v="1"/>
    <n v="91"/>
    <n v="2.52"/>
    <n v="40.24"/>
    <n v="1.47"/>
    <n v="8"/>
    <n v="0.98"/>
    <n v="615"/>
    <n v="8.48"/>
    <n v="0.63"/>
    <d v="2024-02-07T00:00:00"/>
    <n v="131.19999999999999"/>
    <n v="0.52800000000000002"/>
    <n v="18470.16"/>
    <x v="0"/>
    <x v="0"/>
  </r>
  <r>
    <x v="2997"/>
    <x v="2"/>
    <n v="236"/>
    <n v="86"/>
    <n v="7"/>
    <n v="3"/>
    <n v="8.0299999999999994"/>
    <x v="25"/>
    <x v="0"/>
    <n v="118"/>
    <n v="4.4000000000000004"/>
    <n v="39.56"/>
    <n v="1.53"/>
    <n v="6"/>
    <n v="0.92"/>
    <n v="302"/>
    <n v="14.16"/>
    <n v="0.85"/>
    <d v="2024-09-14T00:00:00"/>
    <n v="250.33"/>
    <n v="0.67"/>
    <n v="9336.16"/>
    <x v="0"/>
    <x v="1"/>
  </r>
  <r>
    <x v="2998"/>
    <x v="3"/>
    <n v="115"/>
    <n v="64"/>
    <n v="8"/>
    <n v="4"/>
    <n v="45.17"/>
    <x v="79"/>
    <x v="0"/>
    <n v="16"/>
    <n v="1.0900000000000001"/>
    <n v="31.91"/>
    <n v="1.47"/>
    <n v="6"/>
    <n v="0.92"/>
    <n v="860"/>
    <n v="7.09"/>
    <n v="0.36"/>
    <d v="2024-05-30T00:00:00"/>
    <n v="187.5"/>
    <n v="0.48399999999999999"/>
    <n v="3669.65"/>
    <x v="0"/>
    <x v="1"/>
  </r>
  <r>
    <x v="2999"/>
    <x v="0"/>
    <n v="436"/>
    <n v="45"/>
    <n v="10"/>
    <n v="9"/>
    <n v="9.5500000000000007"/>
    <x v="49"/>
    <x v="1"/>
    <n v="108"/>
    <n v="3.37"/>
    <n v="100.5"/>
    <n v="0.65"/>
    <n v="1"/>
    <n v="0.79"/>
    <n v="757"/>
    <n v="10.3"/>
    <n v="0.53"/>
    <d v="2024-06-23T00:00:00"/>
    <n v="291.13"/>
    <n v="0.71599999999999997"/>
    <n v="43818"/>
    <x v="0"/>
    <x v="0"/>
  </r>
  <r>
    <x v="3000"/>
    <x v="2"/>
    <n v="448"/>
    <n v="98"/>
    <n v="13"/>
    <n v="7"/>
    <n v="18.29"/>
    <x v="46"/>
    <x v="1"/>
    <n v="40"/>
    <n v="3.55"/>
    <n v="101.23"/>
    <n v="1.31"/>
    <n v="1"/>
    <n v="0.97"/>
    <n v="533"/>
    <n v="9.3000000000000007"/>
    <n v="0.85"/>
    <d v="2024-02-29T00:00:00"/>
    <n v="104.43"/>
    <n v="0.73699999999999999"/>
    <n v="45351.040000000001"/>
    <x v="0"/>
    <x v="0"/>
  </r>
  <r>
    <x v="3001"/>
    <x v="1"/>
    <n v="183"/>
    <n v="33"/>
    <n v="10"/>
    <n v="9"/>
    <n v="19.399999999999999"/>
    <x v="59"/>
    <x v="3"/>
    <n v="111"/>
    <n v="3.45"/>
    <n v="127.3"/>
    <n v="0.74"/>
    <n v="4"/>
    <n v="0.98"/>
    <n v="342"/>
    <n v="10.58"/>
    <n v="0.68"/>
    <d v="2024-09-19T00:00:00"/>
    <n v="56.84"/>
    <n v="0.71899999999999997"/>
    <n v="23295.899999999998"/>
    <x v="0"/>
    <x v="1"/>
  </r>
  <r>
    <x v="3002"/>
    <x v="4"/>
    <n v="167"/>
    <n v="53"/>
    <n v="9"/>
    <n v="3"/>
    <n v="22.92"/>
    <x v="68"/>
    <x v="3"/>
    <n v="65"/>
    <n v="2.5099999999999998"/>
    <n v="101.75"/>
    <n v="1.68"/>
    <n v="6"/>
    <n v="0.98"/>
    <n v="266"/>
    <n v="4.74"/>
    <n v="1"/>
    <d v="2024-05-11T00:00:00"/>
    <n v="227.67"/>
    <n v="0.57099999999999995"/>
    <n v="16992.25"/>
    <x v="0"/>
    <x v="1"/>
  </r>
  <r>
    <x v="3003"/>
    <x v="1"/>
    <n v="37"/>
    <n v="26"/>
    <n v="6"/>
    <n v="4"/>
    <n v="39.72"/>
    <x v="1"/>
    <x v="1"/>
    <n v="108"/>
    <n v="3.58"/>
    <n v="194.88"/>
    <n v="0.2"/>
    <n v="6"/>
    <n v="0.71"/>
    <n v="218"/>
    <n v="4.5999999999999996"/>
    <n v="0.26"/>
    <d v="2024-10-02T00:00:00"/>
    <n v="22.66"/>
    <n v="0.51500000000000001"/>
    <n v="7210.5599999999995"/>
    <x v="0"/>
    <x v="2"/>
  </r>
  <r>
    <x v="3004"/>
    <x v="3"/>
    <n v="313"/>
    <n v="11"/>
    <n v="8"/>
    <n v="9"/>
    <n v="40.31"/>
    <x v="65"/>
    <x v="1"/>
    <n v="14"/>
    <n v="1.58"/>
    <n v="65.349999999999994"/>
    <n v="0.17"/>
    <n v="8"/>
    <n v="0.88"/>
    <n v="783"/>
    <n v="8.84"/>
    <n v="0.4"/>
    <d v="2024-10-21T00:00:00"/>
    <n v="56.27"/>
    <n v="0.59699999999999998"/>
    <n v="20454.55"/>
    <x v="0"/>
    <x v="0"/>
  </r>
  <r>
    <x v="3005"/>
    <x v="0"/>
    <n v="214"/>
    <n v="22"/>
    <n v="6"/>
    <n v="8"/>
    <n v="36.26"/>
    <x v="42"/>
    <x v="2"/>
    <n v="39"/>
    <n v="3.18"/>
    <n v="176.03"/>
    <n v="0.28999999999999998"/>
    <n v="2"/>
    <n v="0.89"/>
    <n v="689"/>
    <n v="12.89"/>
    <n v="0.36"/>
    <d v="2024-05-08T00:00:00"/>
    <n v="157.02000000000001"/>
    <n v="0.753"/>
    <n v="37670.42"/>
    <x v="0"/>
    <x v="1"/>
  </r>
  <r>
    <x v="3006"/>
    <x v="0"/>
    <n v="170"/>
    <n v="40"/>
    <n v="9"/>
    <n v="3"/>
    <n v="2.08"/>
    <x v="17"/>
    <x v="2"/>
    <n v="31"/>
    <n v="2.99"/>
    <n v="29.06"/>
    <n v="0.48"/>
    <n v="0"/>
    <n v="0.79"/>
    <n v="434"/>
    <n v="11.08"/>
    <n v="0.98"/>
    <d v="2024-12-21T00:00:00"/>
    <n v="228.53"/>
    <n v="0.85399999999999998"/>
    <n v="4940.2"/>
    <x v="0"/>
    <x v="1"/>
  </r>
  <r>
    <x v="3007"/>
    <x v="3"/>
    <n v="499"/>
    <n v="37"/>
    <n v="14"/>
    <n v="5"/>
    <n v="28.68"/>
    <x v="20"/>
    <x v="3"/>
    <n v="154"/>
    <n v="1.93"/>
    <n v="124.36"/>
    <n v="0.17"/>
    <n v="8"/>
    <n v="1"/>
    <n v="910"/>
    <n v="7.85"/>
    <n v="0.9"/>
    <d v="2024-08-14T00:00:00"/>
    <n v="184.28"/>
    <n v="0.70799999999999996"/>
    <n v="62055.64"/>
    <x v="0"/>
    <x v="0"/>
  </r>
  <r>
    <x v="3008"/>
    <x v="2"/>
    <n v="384"/>
    <n v="69"/>
    <n v="14"/>
    <n v="2"/>
    <n v="37.630000000000003"/>
    <x v="47"/>
    <x v="0"/>
    <n v="147"/>
    <n v="4"/>
    <n v="133.18"/>
    <n v="0.24"/>
    <n v="0"/>
    <n v="0.79"/>
    <n v="65"/>
    <n v="4.57"/>
    <n v="0.31"/>
    <d v="2024-07-12T00:00:00"/>
    <n v="298.52"/>
    <n v="0.65700000000000003"/>
    <n v="51141.120000000003"/>
    <x v="0"/>
    <x v="0"/>
  </r>
  <r>
    <x v="3009"/>
    <x v="2"/>
    <n v="142"/>
    <n v="36"/>
    <n v="13"/>
    <n v="8"/>
    <n v="22.79"/>
    <x v="39"/>
    <x v="1"/>
    <n v="179"/>
    <n v="0.86"/>
    <n v="156.72"/>
    <n v="0.68"/>
    <n v="7"/>
    <n v="0.76"/>
    <n v="86"/>
    <n v="11.63"/>
    <n v="0.48"/>
    <d v="2024-10-15T00:00:00"/>
    <n v="199.93"/>
    <n v="0.59499999999999997"/>
    <n v="22254.240000000002"/>
    <x v="0"/>
    <x v="1"/>
  </r>
  <r>
    <x v="3010"/>
    <x v="0"/>
    <n v="419"/>
    <n v="24"/>
    <n v="3"/>
    <n v="7"/>
    <n v="47.3"/>
    <x v="30"/>
    <x v="1"/>
    <n v="36"/>
    <n v="1.27"/>
    <n v="105.57"/>
    <n v="0.28999999999999998"/>
    <n v="4"/>
    <n v="0.85"/>
    <n v="470"/>
    <n v="13.97"/>
    <n v="0.24"/>
    <d v="2024-09-04T00:00:00"/>
    <n v="220.24"/>
    <n v="0.69499999999999995"/>
    <n v="44233.829999999994"/>
    <x v="0"/>
    <x v="0"/>
  </r>
  <r>
    <x v="3011"/>
    <x v="0"/>
    <n v="206"/>
    <n v="88"/>
    <n v="7"/>
    <n v="9"/>
    <n v="41.37"/>
    <x v="60"/>
    <x v="0"/>
    <n v="136"/>
    <n v="2.62"/>
    <n v="47.47"/>
    <n v="1.62"/>
    <n v="7"/>
    <n v="0.8"/>
    <n v="952"/>
    <n v="3.98"/>
    <n v="0.71"/>
    <d v="2024-05-04T00:00:00"/>
    <n v="298.24"/>
    <n v="0.45300000000000001"/>
    <n v="9778.82"/>
    <x v="0"/>
    <x v="1"/>
  </r>
  <r>
    <x v="3012"/>
    <x v="4"/>
    <n v="472"/>
    <n v="42"/>
    <n v="12"/>
    <n v="8"/>
    <n v="32.270000000000003"/>
    <x v="63"/>
    <x v="3"/>
    <n v="144"/>
    <n v="4.51"/>
    <n v="80.11"/>
    <n v="0.2"/>
    <n v="6"/>
    <n v="0.98"/>
    <n v="345"/>
    <n v="12.19"/>
    <n v="0.46"/>
    <d v="2024-06-22T00:00:00"/>
    <n v="181.81"/>
    <n v="0.71099999999999997"/>
    <n v="37811.919999999998"/>
    <x v="0"/>
    <x v="0"/>
  </r>
  <r>
    <x v="3013"/>
    <x v="2"/>
    <n v="471"/>
    <n v="29"/>
    <n v="14"/>
    <n v="5"/>
    <n v="4.0599999999999996"/>
    <x v="93"/>
    <x v="2"/>
    <n v="32"/>
    <n v="3.09"/>
    <n v="61.71"/>
    <n v="1.83"/>
    <n v="8"/>
    <n v="0.83"/>
    <n v="484"/>
    <n v="3.41"/>
    <n v="0.41"/>
    <d v="2024-08-22T00:00:00"/>
    <n v="217.24"/>
    <n v="0.35"/>
    <n v="29065.41"/>
    <x v="0"/>
    <x v="0"/>
  </r>
  <r>
    <x v="3014"/>
    <x v="3"/>
    <n v="168"/>
    <n v="51"/>
    <n v="12"/>
    <n v="4"/>
    <n v="32.96"/>
    <x v="92"/>
    <x v="3"/>
    <n v="84"/>
    <n v="4.29"/>
    <n v="89.63"/>
    <n v="1.75"/>
    <n v="1"/>
    <n v="0.82"/>
    <n v="369"/>
    <n v="13.61"/>
    <n v="0.62"/>
    <d v="2024-12-14T00:00:00"/>
    <n v="96.52"/>
    <n v="0.67400000000000004"/>
    <n v="15057.84"/>
    <x v="0"/>
    <x v="1"/>
  </r>
  <r>
    <x v="3015"/>
    <x v="2"/>
    <n v="123"/>
    <n v="21"/>
    <n v="6"/>
    <n v="4"/>
    <n v="45.67"/>
    <x v="1"/>
    <x v="0"/>
    <n v="126"/>
    <n v="2.83"/>
    <n v="110.69"/>
    <n v="0.5"/>
    <n v="8"/>
    <n v="0.89"/>
    <n v="786"/>
    <n v="9.99"/>
    <n v="0.84"/>
    <d v="2024-08-23T00:00:00"/>
    <n v="165.66"/>
    <n v="0.66900000000000004"/>
    <n v="13614.869999999999"/>
    <x v="0"/>
    <x v="1"/>
  </r>
  <r>
    <x v="3016"/>
    <x v="4"/>
    <n v="262"/>
    <n v="82"/>
    <n v="13"/>
    <n v="8"/>
    <n v="19.59"/>
    <x v="57"/>
    <x v="1"/>
    <n v="145"/>
    <n v="4.03"/>
    <n v="128.76"/>
    <n v="0.24"/>
    <n v="9"/>
    <n v="0.72"/>
    <n v="675"/>
    <n v="3.53"/>
    <n v="0.52"/>
    <d v="2024-10-27T00:00:00"/>
    <n v="274.47000000000003"/>
    <n v="0.49099999999999999"/>
    <n v="33735.119999999995"/>
    <x v="0"/>
    <x v="0"/>
  </r>
  <r>
    <x v="3017"/>
    <x v="0"/>
    <n v="481"/>
    <n v="32"/>
    <n v="9"/>
    <n v="5"/>
    <n v="42.07"/>
    <x v="54"/>
    <x v="2"/>
    <n v="17"/>
    <n v="1.97"/>
    <n v="170.57"/>
    <n v="0.3"/>
    <n v="4"/>
    <n v="0.93"/>
    <n v="583"/>
    <n v="1.51"/>
    <n v="0.81"/>
    <d v="2024-01-15T00:00:00"/>
    <n v="257.45999999999998"/>
    <n v="0.65800000000000003"/>
    <n v="82044.17"/>
    <x v="0"/>
    <x v="0"/>
  </r>
  <r>
    <x v="3018"/>
    <x v="0"/>
    <n v="250"/>
    <n v="81"/>
    <n v="11"/>
    <n v="9"/>
    <n v="16.34"/>
    <x v="21"/>
    <x v="0"/>
    <n v="110"/>
    <n v="4.17"/>
    <n v="182.9"/>
    <n v="1.1599999999999999"/>
    <n v="4"/>
    <n v="0.93"/>
    <n v="348"/>
    <n v="10.72"/>
    <n v="0.56000000000000005"/>
    <d v="2024-09-03T00:00:00"/>
    <n v="98.82"/>
    <n v="0.64500000000000002"/>
    <n v="45725"/>
    <x v="0"/>
    <x v="0"/>
  </r>
  <r>
    <x v="3019"/>
    <x v="4"/>
    <n v="498"/>
    <n v="23"/>
    <n v="7"/>
    <n v="8"/>
    <n v="28.94"/>
    <x v="73"/>
    <x v="1"/>
    <n v="14"/>
    <n v="2.31"/>
    <n v="97.89"/>
    <n v="1.24"/>
    <n v="0"/>
    <n v="0.84"/>
    <n v="623"/>
    <n v="9.49"/>
    <n v="0.37"/>
    <d v="2024-02-29T00:00:00"/>
    <n v="113.59"/>
    <n v="0.64500000000000002"/>
    <n v="48749.22"/>
    <x v="0"/>
    <x v="0"/>
  </r>
  <r>
    <x v="3020"/>
    <x v="3"/>
    <n v="225"/>
    <n v="34"/>
    <n v="6"/>
    <n v="2"/>
    <n v="32.770000000000003"/>
    <x v="86"/>
    <x v="3"/>
    <n v="95"/>
    <n v="3.01"/>
    <n v="26.85"/>
    <n v="0.7"/>
    <n v="5"/>
    <n v="0.99"/>
    <n v="743"/>
    <n v="9.56"/>
    <n v="0.56000000000000005"/>
    <d v="2024-05-12T00:00:00"/>
    <n v="255.45"/>
    <n v="0.66700000000000004"/>
    <n v="6041.25"/>
    <x v="0"/>
    <x v="1"/>
  </r>
  <r>
    <x v="3021"/>
    <x v="0"/>
    <n v="217"/>
    <n v="86"/>
    <n v="11"/>
    <n v="2"/>
    <n v="34.22"/>
    <x v="11"/>
    <x v="2"/>
    <n v="139"/>
    <n v="1.29"/>
    <n v="161.44"/>
    <n v="0.66"/>
    <n v="9"/>
    <n v="0.87"/>
    <n v="972"/>
    <n v="7.75"/>
    <n v="0.63"/>
    <d v="2024-02-04T00:00:00"/>
    <n v="92.56"/>
    <n v="0.55700000000000005"/>
    <n v="35032.479999999996"/>
    <x v="0"/>
    <x v="1"/>
  </r>
  <r>
    <x v="3022"/>
    <x v="1"/>
    <n v="415"/>
    <n v="94"/>
    <n v="7"/>
    <n v="6"/>
    <n v="44.24"/>
    <x v="74"/>
    <x v="1"/>
    <n v="21"/>
    <n v="4.6399999999999997"/>
    <n v="100.66"/>
    <n v="1.1100000000000001"/>
    <n v="9"/>
    <n v="0.91"/>
    <n v="846"/>
    <n v="9.6"/>
    <n v="0.56999999999999995"/>
    <d v="2024-07-14T00:00:00"/>
    <n v="267.41000000000003"/>
    <n v="0.53300000000000003"/>
    <n v="41773.9"/>
    <x v="0"/>
    <x v="0"/>
  </r>
  <r>
    <x v="3023"/>
    <x v="0"/>
    <n v="419"/>
    <n v="40"/>
    <n v="11"/>
    <n v="3"/>
    <n v="12.5"/>
    <x v="25"/>
    <x v="1"/>
    <n v="56"/>
    <n v="3.66"/>
    <n v="113.82"/>
    <n v="0.68"/>
    <n v="9"/>
    <n v="0.98"/>
    <n v="65"/>
    <n v="13.23"/>
    <n v="0.42"/>
    <d v="2024-11-20T00:00:00"/>
    <n v="234.39"/>
    <n v="0.60799999999999998"/>
    <n v="47690.579999999994"/>
    <x v="0"/>
    <x v="0"/>
  </r>
  <r>
    <x v="3024"/>
    <x v="1"/>
    <n v="356"/>
    <n v="63"/>
    <n v="10"/>
    <n v="6"/>
    <n v="13.86"/>
    <x v="65"/>
    <x v="1"/>
    <n v="35"/>
    <n v="4.3600000000000003"/>
    <n v="123.2"/>
    <n v="1.88"/>
    <n v="9"/>
    <n v="0.9"/>
    <n v="444"/>
    <n v="14.33"/>
    <n v="0.35"/>
    <d v="2024-04-22T00:00:00"/>
    <n v="54.18"/>
    <n v="0.47299999999999998"/>
    <n v="43859.200000000004"/>
    <x v="0"/>
    <x v="0"/>
  </r>
  <r>
    <x v="3025"/>
    <x v="4"/>
    <n v="106"/>
    <n v="14"/>
    <n v="6"/>
    <n v="9"/>
    <n v="35.5"/>
    <x v="38"/>
    <x v="1"/>
    <n v="111"/>
    <n v="1.44"/>
    <n v="136.88999999999999"/>
    <n v="0.83"/>
    <n v="2"/>
    <n v="0.83"/>
    <n v="326"/>
    <n v="5.82"/>
    <n v="0.96"/>
    <d v="2024-12-12T00:00:00"/>
    <n v="218.73"/>
    <n v="0.71299999999999997"/>
    <n v="14510.339999999998"/>
    <x v="0"/>
    <x v="1"/>
  </r>
  <r>
    <x v="3026"/>
    <x v="4"/>
    <n v="161"/>
    <n v="22"/>
    <n v="13"/>
    <n v="2"/>
    <n v="9.68"/>
    <x v="90"/>
    <x v="1"/>
    <n v="129"/>
    <n v="0.8"/>
    <n v="179.12"/>
    <n v="0.52"/>
    <n v="9"/>
    <n v="0.71"/>
    <n v="698"/>
    <n v="7.83"/>
    <n v="0.44"/>
    <d v="2024-12-25T00:00:00"/>
    <n v="251.95"/>
    <n v="0.502"/>
    <n v="28838.32"/>
    <x v="0"/>
    <x v="1"/>
  </r>
  <r>
    <x v="3027"/>
    <x v="0"/>
    <n v="336"/>
    <n v="37"/>
    <n v="13"/>
    <n v="5"/>
    <n v="23.75"/>
    <x v="74"/>
    <x v="3"/>
    <n v="79"/>
    <n v="2.02"/>
    <n v="190.91"/>
    <n v="0.38"/>
    <n v="2"/>
    <n v="0.92"/>
    <n v="332"/>
    <n v="4.82"/>
    <n v="0.76"/>
    <d v="2024-04-27T00:00:00"/>
    <n v="51.86"/>
    <n v="0.72199999999999998"/>
    <n v="64145.760000000002"/>
    <x v="0"/>
    <x v="0"/>
  </r>
  <r>
    <x v="3028"/>
    <x v="2"/>
    <n v="218"/>
    <n v="52"/>
    <n v="9"/>
    <n v="3"/>
    <n v="1.98"/>
    <x v="24"/>
    <x v="0"/>
    <n v="11"/>
    <n v="2.83"/>
    <n v="188.63"/>
    <n v="1.3"/>
    <n v="2"/>
    <n v="0.99"/>
    <n v="688"/>
    <n v="6.76"/>
    <n v="0.47"/>
    <d v="2024-06-10T00:00:00"/>
    <n v="142.63"/>
    <n v="0.61199999999999999"/>
    <n v="41121.339999999997"/>
    <x v="0"/>
    <x v="1"/>
  </r>
  <r>
    <x v="3029"/>
    <x v="1"/>
    <n v="65"/>
    <n v="98"/>
    <n v="7"/>
    <n v="9"/>
    <n v="7.91"/>
    <x v="38"/>
    <x v="2"/>
    <n v="35"/>
    <n v="4.1100000000000003"/>
    <n v="163.80000000000001"/>
    <n v="0.72"/>
    <n v="3"/>
    <n v="0.84"/>
    <n v="135"/>
    <n v="12.14"/>
    <n v="0.98"/>
    <d v="2024-07-30T00:00:00"/>
    <n v="260.16000000000003"/>
    <n v="0.79400000000000004"/>
    <n v="10647"/>
    <x v="1"/>
    <x v="2"/>
  </r>
  <r>
    <x v="3030"/>
    <x v="3"/>
    <n v="307"/>
    <n v="56"/>
    <n v="12"/>
    <n v="5"/>
    <n v="34.26"/>
    <x v="68"/>
    <x v="3"/>
    <n v="23"/>
    <n v="2.29"/>
    <n v="178.96"/>
    <n v="0.46"/>
    <n v="8"/>
    <n v="0.8"/>
    <n v="256"/>
    <n v="6.95"/>
    <n v="0.99"/>
    <d v="2024-06-29T00:00:00"/>
    <n v="67.61"/>
    <n v="0.64500000000000002"/>
    <n v="54940.72"/>
    <x v="0"/>
    <x v="0"/>
  </r>
  <r>
    <x v="3031"/>
    <x v="0"/>
    <n v="34"/>
    <n v="80"/>
    <n v="6"/>
    <n v="9"/>
    <n v="37.630000000000003"/>
    <x v="65"/>
    <x v="2"/>
    <n v="91"/>
    <n v="1.71"/>
    <n v="19.43"/>
    <n v="0.62"/>
    <n v="7"/>
    <n v="0.86"/>
    <n v="924"/>
    <n v="6.48"/>
    <n v="0.86"/>
    <d v="2024-09-21T00:00:00"/>
    <n v="140.24"/>
    <n v="0.628"/>
    <n v="660.62"/>
    <x v="1"/>
    <x v="2"/>
  </r>
  <r>
    <x v="3032"/>
    <x v="3"/>
    <n v="63"/>
    <n v="47"/>
    <n v="7"/>
    <n v="6"/>
    <n v="6.65"/>
    <x v="19"/>
    <x v="1"/>
    <n v="111"/>
    <n v="2.1800000000000002"/>
    <n v="171.33"/>
    <n v="0.68"/>
    <n v="5"/>
    <n v="0.92"/>
    <n v="712"/>
    <n v="12.9"/>
    <n v="0.67"/>
    <d v="2024-10-01T00:00:00"/>
    <n v="187.7"/>
    <n v="0.72199999999999998"/>
    <n v="10793.79"/>
    <x v="0"/>
    <x v="2"/>
  </r>
  <r>
    <x v="3033"/>
    <x v="0"/>
    <n v="420"/>
    <n v="76"/>
    <n v="7"/>
    <n v="4"/>
    <n v="12.16"/>
    <x v="61"/>
    <x v="0"/>
    <n v="41"/>
    <n v="3.67"/>
    <n v="23.73"/>
    <n v="1.29"/>
    <n v="7"/>
    <n v="0.7"/>
    <n v="612"/>
    <n v="1.02"/>
    <n v="0.63"/>
    <d v="2024-01-05T00:00:00"/>
    <n v="38.200000000000003"/>
    <n v="0.41099999999999998"/>
    <n v="9966.6"/>
    <x v="0"/>
    <x v="0"/>
  </r>
  <r>
    <x v="3034"/>
    <x v="2"/>
    <n v="188"/>
    <n v="71"/>
    <n v="13"/>
    <n v="5"/>
    <n v="5.85"/>
    <x v="9"/>
    <x v="1"/>
    <n v="71"/>
    <n v="2.0099999999999998"/>
    <n v="151.78"/>
    <n v="0.43"/>
    <n v="7"/>
    <n v="0.97"/>
    <n v="526"/>
    <n v="12.93"/>
    <n v="0.46"/>
    <d v="2024-12-24T00:00:00"/>
    <n v="71.5"/>
    <n v="0.67500000000000004"/>
    <n v="28534.639999999999"/>
    <x v="0"/>
    <x v="1"/>
  </r>
  <r>
    <x v="3035"/>
    <x v="2"/>
    <n v="329"/>
    <n v="48"/>
    <n v="11"/>
    <n v="6"/>
    <n v="22.24"/>
    <x v="88"/>
    <x v="3"/>
    <n v="124"/>
    <n v="4.91"/>
    <n v="42.18"/>
    <n v="1.49"/>
    <n v="0"/>
    <n v="0.97"/>
    <n v="792"/>
    <n v="3.54"/>
    <n v="0.3"/>
    <d v="2024-05-14T00:00:00"/>
    <n v="145.35"/>
    <n v="0.55200000000000005"/>
    <n v="13877.22"/>
    <x v="0"/>
    <x v="0"/>
  </r>
  <r>
    <x v="3036"/>
    <x v="2"/>
    <n v="63"/>
    <n v="46"/>
    <n v="14"/>
    <n v="6"/>
    <n v="7.18"/>
    <x v="82"/>
    <x v="3"/>
    <n v="39"/>
    <n v="1.29"/>
    <n v="78.42"/>
    <n v="0.68"/>
    <n v="8"/>
    <n v="0.86"/>
    <n v="641"/>
    <n v="4.84"/>
    <n v="0.26"/>
    <d v="2024-05-07T00:00:00"/>
    <n v="118.37"/>
    <n v="0.46100000000000002"/>
    <n v="4940.46"/>
    <x v="0"/>
    <x v="2"/>
  </r>
  <r>
    <x v="3037"/>
    <x v="2"/>
    <n v="117"/>
    <n v="95"/>
    <n v="11"/>
    <n v="6"/>
    <n v="22.43"/>
    <x v="87"/>
    <x v="2"/>
    <n v="150"/>
    <n v="3.89"/>
    <n v="44.99"/>
    <n v="1.03"/>
    <n v="0"/>
    <n v="0.74"/>
    <n v="180"/>
    <n v="6.06"/>
    <n v="0.56999999999999995"/>
    <d v="2024-05-27T00:00:00"/>
    <n v="104.19"/>
    <n v="0.64"/>
    <n v="5263.83"/>
    <x v="0"/>
    <x v="1"/>
  </r>
  <r>
    <x v="3038"/>
    <x v="4"/>
    <n v="280"/>
    <n v="17"/>
    <n v="8"/>
    <n v="4"/>
    <n v="36.869999999999997"/>
    <x v="70"/>
    <x v="1"/>
    <n v="177"/>
    <n v="3.15"/>
    <n v="94.26"/>
    <n v="1.34"/>
    <n v="1"/>
    <n v="0.9"/>
    <n v="449"/>
    <n v="13.33"/>
    <n v="0.98"/>
    <d v="2024-02-17T00:00:00"/>
    <n v="17.649999999999999"/>
    <n v="0.8"/>
    <n v="26392.800000000003"/>
    <x v="0"/>
    <x v="0"/>
  </r>
  <r>
    <x v="3039"/>
    <x v="4"/>
    <n v="128"/>
    <n v="90"/>
    <n v="6"/>
    <n v="4"/>
    <n v="34.49"/>
    <x v="80"/>
    <x v="1"/>
    <n v="40"/>
    <n v="1.55"/>
    <n v="88.23"/>
    <n v="1.1299999999999999"/>
    <n v="8"/>
    <n v="0.74"/>
    <n v="185"/>
    <n v="13.72"/>
    <n v="0.4"/>
    <d v="2024-07-23T00:00:00"/>
    <n v="279.10000000000002"/>
    <n v="0.53800000000000003"/>
    <n v="11293.44"/>
    <x v="0"/>
    <x v="1"/>
  </r>
  <r>
    <x v="3040"/>
    <x v="1"/>
    <n v="302"/>
    <n v="61"/>
    <n v="4"/>
    <n v="8"/>
    <n v="14.74"/>
    <x v="26"/>
    <x v="0"/>
    <n v="46"/>
    <n v="3.89"/>
    <n v="19.13"/>
    <n v="1.36"/>
    <n v="6"/>
    <n v="0.85"/>
    <n v="395"/>
    <n v="10.26"/>
    <n v="0.53"/>
    <d v="2024-12-10T00:00:00"/>
    <n v="262.70999999999998"/>
    <n v="0.55700000000000005"/>
    <n v="5777.2599999999993"/>
    <x v="0"/>
    <x v="0"/>
  </r>
  <r>
    <x v="3041"/>
    <x v="3"/>
    <n v="391"/>
    <n v="42"/>
    <n v="5"/>
    <n v="4"/>
    <n v="34.01"/>
    <x v="72"/>
    <x v="0"/>
    <n v="111"/>
    <n v="2.5099999999999998"/>
    <n v="167.79"/>
    <n v="0.71"/>
    <n v="9"/>
    <n v="0.73"/>
    <n v="219"/>
    <n v="7.15"/>
    <n v="0.71"/>
    <d v="2024-06-24T00:00:00"/>
    <n v="123.86"/>
    <n v="0.53200000000000003"/>
    <n v="65605.89"/>
    <x v="0"/>
    <x v="0"/>
  </r>
  <r>
    <x v="3042"/>
    <x v="0"/>
    <n v="362"/>
    <n v="90"/>
    <n v="4"/>
    <n v="3"/>
    <n v="46.46"/>
    <x v="15"/>
    <x v="1"/>
    <n v="137"/>
    <n v="3.57"/>
    <n v="172.3"/>
    <n v="1.93"/>
    <n v="0"/>
    <n v="0.88"/>
    <n v="212"/>
    <n v="8.23"/>
    <n v="0.48"/>
    <d v="2024-02-08T00:00:00"/>
    <n v="62.6"/>
    <n v="0.58899999999999997"/>
    <n v="62372.600000000006"/>
    <x v="0"/>
    <x v="0"/>
  </r>
  <r>
    <x v="3043"/>
    <x v="0"/>
    <n v="123"/>
    <n v="51"/>
    <n v="7"/>
    <n v="4"/>
    <n v="18.03"/>
    <x v="73"/>
    <x v="2"/>
    <n v="95"/>
    <n v="3.48"/>
    <n v="159.63"/>
    <n v="0.97"/>
    <n v="2"/>
    <n v="0.8"/>
    <n v="248"/>
    <n v="9.1300000000000008"/>
    <n v="0.2"/>
    <d v="2024-10-10T00:00:00"/>
    <n v="30.02"/>
    <n v="0.58499999999999996"/>
    <n v="19634.489999999998"/>
    <x v="0"/>
    <x v="1"/>
  </r>
  <r>
    <x v="3044"/>
    <x v="4"/>
    <n v="275"/>
    <n v="85"/>
    <n v="8"/>
    <n v="4"/>
    <n v="17.13"/>
    <x v="59"/>
    <x v="0"/>
    <n v="68"/>
    <n v="1"/>
    <n v="171.05"/>
    <n v="0.71"/>
    <n v="0"/>
    <n v="0.95"/>
    <n v="788"/>
    <n v="14.36"/>
    <n v="0.52"/>
    <d v="2024-04-01T00:00:00"/>
    <n v="45.72"/>
    <n v="0.81399999999999995"/>
    <n v="47038.75"/>
    <x v="0"/>
    <x v="0"/>
  </r>
  <r>
    <x v="3045"/>
    <x v="0"/>
    <n v="398"/>
    <n v="36"/>
    <n v="13"/>
    <n v="4"/>
    <n v="29"/>
    <x v="36"/>
    <x v="1"/>
    <n v="37"/>
    <n v="4.28"/>
    <n v="152.66999999999999"/>
    <n v="0.66"/>
    <n v="4"/>
    <n v="0.94"/>
    <n v="97"/>
    <n v="14.57"/>
    <n v="0.84"/>
    <d v="2024-08-31T00:00:00"/>
    <n v="184.59"/>
    <n v="0.80400000000000005"/>
    <n v="60762.659999999996"/>
    <x v="0"/>
    <x v="0"/>
  </r>
  <r>
    <x v="3046"/>
    <x v="4"/>
    <n v="225"/>
    <n v="17"/>
    <n v="7"/>
    <n v="9"/>
    <n v="13.03"/>
    <x v="13"/>
    <x v="1"/>
    <n v="131"/>
    <n v="3.57"/>
    <n v="188.12"/>
    <n v="0.18"/>
    <n v="3"/>
    <n v="1"/>
    <n v="871"/>
    <n v="12.86"/>
    <n v="0.96"/>
    <d v="2024-06-09T00:00:00"/>
    <n v="222.84"/>
    <n v="0.88500000000000001"/>
    <n v="42327"/>
    <x v="0"/>
    <x v="1"/>
  </r>
  <r>
    <x v="3047"/>
    <x v="1"/>
    <n v="354"/>
    <n v="32"/>
    <n v="4"/>
    <n v="5"/>
    <n v="32.93"/>
    <x v="34"/>
    <x v="1"/>
    <n v="70"/>
    <n v="4.01"/>
    <n v="119.51"/>
    <n v="1.4"/>
    <n v="7"/>
    <n v="0.78"/>
    <n v="814"/>
    <n v="9.17"/>
    <n v="0.42"/>
    <d v="2024-06-30T00:00:00"/>
    <n v="55.36"/>
    <n v="0.48199999999999998"/>
    <n v="42306.54"/>
    <x v="0"/>
    <x v="0"/>
  </r>
  <r>
    <x v="3048"/>
    <x v="3"/>
    <n v="62"/>
    <n v="73"/>
    <n v="14"/>
    <n v="4"/>
    <n v="41.78"/>
    <x v="23"/>
    <x v="3"/>
    <n v="156"/>
    <n v="2.5099999999999998"/>
    <n v="120.7"/>
    <n v="0.6"/>
    <n v="8"/>
    <n v="0.72"/>
    <n v="543"/>
    <n v="6.47"/>
    <n v="0.94"/>
    <d v="2024-04-21T00:00:00"/>
    <n v="42.71"/>
    <n v="0.59799999999999998"/>
    <n v="7483.4000000000005"/>
    <x v="1"/>
    <x v="2"/>
  </r>
  <r>
    <x v="3049"/>
    <x v="1"/>
    <n v="372"/>
    <n v="29"/>
    <n v="7"/>
    <n v="3"/>
    <n v="23.51"/>
    <x v="50"/>
    <x v="2"/>
    <n v="25"/>
    <n v="1.38"/>
    <n v="173.38"/>
    <n v="1.92"/>
    <n v="3"/>
    <n v="0.83"/>
    <n v="152"/>
    <n v="4.22"/>
    <n v="0.89"/>
    <d v="2024-10-20T00:00:00"/>
    <n v="210.41"/>
    <n v="0.54800000000000004"/>
    <n v="64497.36"/>
    <x v="0"/>
    <x v="0"/>
  </r>
  <r>
    <x v="3050"/>
    <x v="2"/>
    <n v="264"/>
    <n v="25"/>
    <n v="11"/>
    <n v="9"/>
    <n v="34.299999999999997"/>
    <x v="10"/>
    <x v="1"/>
    <n v="78"/>
    <n v="1.97"/>
    <n v="76.39"/>
    <n v="0.5"/>
    <n v="2"/>
    <n v="0.73"/>
    <n v="597"/>
    <n v="8.48"/>
    <n v="0.53"/>
    <d v="2024-05-17T00:00:00"/>
    <n v="159.94"/>
    <n v="0.67500000000000004"/>
    <n v="20166.96"/>
    <x v="0"/>
    <x v="0"/>
  </r>
  <r>
    <x v="3051"/>
    <x v="2"/>
    <n v="306"/>
    <n v="26"/>
    <n v="6"/>
    <n v="6"/>
    <n v="32.94"/>
    <x v="65"/>
    <x v="1"/>
    <n v="53"/>
    <n v="4.5599999999999996"/>
    <n v="19.52"/>
    <n v="1.1100000000000001"/>
    <n v="3"/>
    <n v="0.75"/>
    <n v="55"/>
    <n v="5.84"/>
    <n v="0.2"/>
    <d v="2024-04-03T00:00:00"/>
    <n v="117.83"/>
    <n v="0.497"/>
    <n v="5973.12"/>
    <x v="0"/>
    <x v="0"/>
  </r>
  <r>
    <x v="3052"/>
    <x v="2"/>
    <n v="374"/>
    <n v="89"/>
    <n v="14"/>
    <n v="5"/>
    <n v="2.89"/>
    <x v="50"/>
    <x v="1"/>
    <n v="122"/>
    <n v="4.72"/>
    <n v="152.47"/>
    <n v="1.5"/>
    <n v="2"/>
    <n v="0.88"/>
    <n v="760"/>
    <n v="2.02"/>
    <n v="0.88"/>
    <d v="2024-12-15T00:00:00"/>
    <n v="220.24"/>
    <n v="0.58899999999999997"/>
    <n v="57023.78"/>
    <x v="0"/>
    <x v="0"/>
  </r>
  <r>
    <x v="3053"/>
    <x v="1"/>
    <n v="292"/>
    <n v="28"/>
    <n v="12"/>
    <n v="2"/>
    <n v="9.99"/>
    <x v="91"/>
    <x v="0"/>
    <n v="147"/>
    <n v="2.67"/>
    <n v="58.37"/>
    <n v="1.75"/>
    <n v="5"/>
    <n v="0.88"/>
    <n v="61"/>
    <n v="7.67"/>
    <n v="0.43"/>
    <d v="2024-04-07T00:00:00"/>
    <n v="142.15"/>
    <n v="0.48899999999999999"/>
    <n v="17044.04"/>
    <x v="0"/>
    <x v="0"/>
  </r>
  <r>
    <x v="3054"/>
    <x v="0"/>
    <n v="495"/>
    <n v="17"/>
    <n v="4"/>
    <n v="9"/>
    <n v="44.78"/>
    <x v="14"/>
    <x v="1"/>
    <n v="28"/>
    <n v="1.84"/>
    <n v="100.1"/>
    <n v="0.4"/>
    <n v="0"/>
    <n v="0.71"/>
    <n v="152"/>
    <n v="9"/>
    <n v="0.8"/>
    <d v="2024-09-12T00:00:00"/>
    <n v="144.88999999999999"/>
    <n v="0.78200000000000003"/>
    <n v="49549.5"/>
    <x v="0"/>
    <x v="0"/>
  </r>
  <r>
    <x v="3055"/>
    <x v="3"/>
    <n v="102"/>
    <n v="47"/>
    <n v="5"/>
    <n v="4"/>
    <n v="47.01"/>
    <x v="98"/>
    <x v="3"/>
    <n v="93"/>
    <n v="3.79"/>
    <n v="55.68"/>
    <n v="1.97"/>
    <n v="1"/>
    <n v="0.83"/>
    <n v="748"/>
    <n v="9.56"/>
    <n v="0.66"/>
    <d v="2024-04-12T00:00:00"/>
    <n v="14.56"/>
    <n v="0.60799999999999998"/>
    <n v="5679.36"/>
    <x v="0"/>
    <x v="1"/>
  </r>
  <r>
    <x v="3056"/>
    <x v="2"/>
    <n v="129"/>
    <n v="47"/>
    <n v="5"/>
    <n v="9"/>
    <n v="39.24"/>
    <x v="95"/>
    <x v="3"/>
    <n v="102"/>
    <n v="3.95"/>
    <n v="167.15"/>
    <n v="1.82"/>
    <n v="7"/>
    <n v="0.86"/>
    <n v="882"/>
    <n v="2.0299999999999998"/>
    <n v="0.38"/>
    <d v="2024-04-30T00:00:00"/>
    <n v="101.64"/>
    <n v="0.35299999999999998"/>
    <n v="21562.350000000002"/>
    <x v="0"/>
    <x v="1"/>
  </r>
  <r>
    <x v="3057"/>
    <x v="2"/>
    <n v="457"/>
    <n v="62"/>
    <n v="11"/>
    <n v="8"/>
    <n v="46.14"/>
    <x v="96"/>
    <x v="2"/>
    <n v="150"/>
    <n v="4.17"/>
    <n v="192.08"/>
    <n v="1.93"/>
    <n v="2"/>
    <n v="0.78"/>
    <n v="739"/>
    <n v="7.76"/>
    <n v="0.72"/>
    <d v="2024-05-03T00:00:00"/>
    <n v="11.46"/>
    <n v="0.56999999999999995"/>
    <n v="87780.560000000012"/>
    <x v="0"/>
    <x v="0"/>
  </r>
  <r>
    <x v="3058"/>
    <x v="2"/>
    <n v="209"/>
    <n v="99"/>
    <n v="6"/>
    <n v="8"/>
    <n v="16"/>
    <x v="52"/>
    <x v="1"/>
    <n v="153"/>
    <n v="0.64"/>
    <n v="20.45"/>
    <n v="1.72"/>
    <n v="3"/>
    <n v="0.96"/>
    <n v="476"/>
    <n v="10.18"/>
    <n v="0.81"/>
    <d v="2024-05-15T00:00:00"/>
    <n v="277.92"/>
    <n v="0.65800000000000003"/>
    <n v="4274.05"/>
    <x v="0"/>
    <x v="1"/>
  </r>
  <r>
    <x v="3059"/>
    <x v="3"/>
    <n v="490"/>
    <n v="40"/>
    <n v="3"/>
    <n v="9"/>
    <n v="13.14"/>
    <x v="7"/>
    <x v="1"/>
    <n v="172"/>
    <n v="0.54"/>
    <n v="54.34"/>
    <n v="1.77"/>
    <n v="0"/>
    <n v="0.75"/>
    <n v="220"/>
    <n v="14.45"/>
    <n v="0.57999999999999996"/>
    <d v="2024-04-15T00:00:00"/>
    <n v="95.24"/>
    <n v="0.68200000000000005"/>
    <n v="26626.600000000002"/>
    <x v="0"/>
    <x v="0"/>
  </r>
  <r>
    <x v="3060"/>
    <x v="2"/>
    <n v="307"/>
    <n v="53"/>
    <n v="3"/>
    <n v="6"/>
    <n v="19.829999999999998"/>
    <x v="52"/>
    <x v="1"/>
    <n v="109"/>
    <n v="2.11"/>
    <n v="46.02"/>
    <n v="1.24"/>
    <n v="2"/>
    <n v="0.78"/>
    <n v="738"/>
    <n v="1.35"/>
    <n v="0.8"/>
    <d v="2024-04-27T00:00:00"/>
    <n v="62.35"/>
    <n v="0.56999999999999995"/>
    <n v="14128.140000000001"/>
    <x v="0"/>
    <x v="0"/>
  </r>
  <r>
    <x v="3061"/>
    <x v="3"/>
    <n v="443"/>
    <n v="69"/>
    <n v="9"/>
    <n v="6"/>
    <n v="3.71"/>
    <x v="58"/>
    <x v="3"/>
    <n v="48"/>
    <n v="1.19"/>
    <n v="137.91"/>
    <n v="1.71"/>
    <n v="0"/>
    <n v="0.75"/>
    <n v="138"/>
    <n v="10.47"/>
    <n v="0.52"/>
    <d v="2024-04-13T00:00:00"/>
    <n v="36.36"/>
    <n v="0.623"/>
    <n v="61094.13"/>
    <x v="0"/>
    <x v="0"/>
  </r>
  <r>
    <x v="3062"/>
    <x v="2"/>
    <n v="416"/>
    <n v="85"/>
    <n v="9"/>
    <n v="5"/>
    <n v="40.68"/>
    <x v="37"/>
    <x v="0"/>
    <n v="76"/>
    <n v="4.12"/>
    <n v="91.45"/>
    <n v="1.1100000000000001"/>
    <n v="9"/>
    <n v="0.73"/>
    <n v="765"/>
    <n v="1.87"/>
    <n v="0.98"/>
    <d v="2024-05-07T00:00:00"/>
    <n v="23.52"/>
    <n v="0.47599999999999998"/>
    <n v="38043.200000000004"/>
    <x v="0"/>
    <x v="0"/>
  </r>
  <r>
    <x v="3063"/>
    <x v="1"/>
    <n v="270"/>
    <n v="26"/>
    <n v="4"/>
    <n v="8"/>
    <n v="49.22"/>
    <x v="58"/>
    <x v="0"/>
    <n v="82"/>
    <n v="2.9"/>
    <n v="96.69"/>
    <n v="1.1200000000000001"/>
    <n v="4"/>
    <n v="0.96"/>
    <n v="488"/>
    <n v="3.22"/>
    <n v="0.39"/>
    <d v="2024-11-12T00:00:00"/>
    <n v="266.94"/>
    <n v="0.52100000000000002"/>
    <n v="26106.3"/>
    <x v="0"/>
    <x v="0"/>
  </r>
  <r>
    <x v="3064"/>
    <x v="1"/>
    <n v="231"/>
    <n v="88"/>
    <n v="11"/>
    <n v="2"/>
    <n v="41.38"/>
    <x v="24"/>
    <x v="1"/>
    <n v="59"/>
    <n v="4.21"/>
    <n v="39.85"/>
    <n v="1.17"/>
    <n v="0"/>
    <n v="0.78"/>
    <n v="396"/>
    <n v="3.43"/>
    <n v="0.82"/>
    <d v="2024-07-01T00:00:00"/>
    <n v="58.87"/>
    <n v="0.64900000000000002"/>
    <n v="9205.35"/>
    <x v="0"/>
    <x v="1"/>
  </r>
  <r>
    <x v="3065"/>
    <x v="3"/>
    <n v="310"/>
    <n v="82"/>
    <n v="11"/>
    <n v="7"/>
    <n v="28.19"/>
    <x v="53"/>
    <x v="0"/>
    <n v="62"/>
    <n v="1.3"/>
    <n v="88.8"/>
    <n v="1.99"/>
    <n v="8"/>
    <n v="0.92"/>
    <n v="904"/>
    <n v="5.6"/>
    <n v="0.8"/>
    <d v="2024-03-20T00:00:00"/>
    <n v="189.07"/>
    <n v="0.46"/>
    <n v="27528"/>
    <x v="0"/>
    <x v="0"/>
  </r>
  <r>
    <x v="3066"/>
    <x v="1"/>
    <n v="152"/>
    <n v="48"/>
    <n v="7"/>
    <n v="8"/>
    <n v="15.47"/>
    <x v="31"/>
    <x v="2"/>
    <n v="55"/>
    <n v="3.32"/>
    <n v="67.61"/>
    <n v="0.3"/>
    <n v="6"/>
    <n v="0.83"/>
    <n v="260"/>
    <n v="12.64"/>
    <n v="0.62"/>
    <d v="2024-02-24T00:00:00"/>
    <n v="198.85"/>
    <n v="0.70899999999999996"/>
    <n v="10276.719999999999"/>
    <x v="0"/>
    <x v="1"/>
  </r>
  <r>
    <x v="3067"/>
    <x v="3"/>
    <n v="220"/>
    <n v="51"/>
    <n v="5"/>
    <n v="9"/>
    <n v="10.69"/>
    <x v="25"/>
    <x v="3"/>
    <n v="61"/>
    <n v="3.11"/>
    <n v="126.13"/>
    <n v="1.63"/>
    <n v="7"/>
    <n v="0.89"/>
    <n v="774"/>
    <n v="12.99"/>
    <n v="0.48"/>
    <d v="2024-03-02T00:00:00"/>
    <n v="102.09"/>
    <n v="0.54400000000000004"/>
    <n v="27748.6"/>
    <x v="0"/>
    <x v="1"/>
  </r>
  <r>
    <x v="3068"/>
    <x v="1"/>
    <n v="304"/>
    <n v="57"/>
    <n v="5"/>
    <n v="8"/>
    <n v="18.84"/>
    <x v="31"/>
    <x v="1"/>
    <n v="133"/>
    <n v="2.0299999999999998"/>
    <n v="51.28"/>
    <n v="0.62"/>
    <n v="8"/>
    <n v="0.98"/>
    <n v="483"/>
    <n v="6.25"/>
    <n v="0.56000000000000005"/>
    <d v="2024-02-10T00:00:00"/>
    <n v="251.64"/>
    <n v="0.56899999999999995"/>
    <n v="15589.12"/>
    <x v="0"/>
    <x v="0"/>
  </r>
  <r>
    <x v="3069"/>
    <x v="1"/>
    <n v="345"/>
    <n v="21"/>
    <n v="14"/>
    <n v="3"/>
    <n v="33.68"/>
    <x v="31"/>
    <x v="0"/>
    <n v="166"/>
    <n v="2.83"/>
    <n v="126.81"/>
    <n v="0.79"/>
    <n v="9"/>
    <n v="0.95"/>
    <n v="582"/>
    <n v="7.04"/>
    <n v="0.7"/>
    <d v="2024-12-12T00:00:00"/>
    <n v="72.069999999999993"/>
    <n v="0.56499999999999995"/>
    <n v="43749.450000000004"/>
    <x v="0"/>
    <x v="0"/>
  </r>
  <r>
    <x v="3070"/>
    <x v="3"/>
    <n v="428"/>
    <n v="98"/>
    <n v="5"/>
    <n v="7"/>
    <n v="22.91"/>
    <x v="41"/>
    <x v="1"/>
    <n v="14"/>
    <n v="3.15"/>
    <n v="81.77"/>
    <n v="0.25"/>
    <n v="7"/>
    <n v="0.72"/>
    <n v="649"/>
    <n v="4.04"/>
    <n v="0.62"/>
    <d v="2024-12-05T00:00:00"/>
    <n v="30.72"/>
    <n v="0.55700000000000005"/>
    <n v="34997.56"/>
    <x v="0"/>
    <x v="0"/>
  </r>
  <r>
    <x v="3071"/>
    <x v="0"/>
    <n v="114"/>
    <n v="27"/>
    <n v="8"/>
    <n v="6"/>
    <n v="46.77"/>
    <x v="57"/>
    <x v="1"/>
    <n v="83"/>
    <n v="4.5"/>
    <n v="75.8"/>
    <n v="0.77"/>
    <n v="2"/>
    <n v="0.95"/>
    <n v="574"/>
    <n v="7.06"/>
    <n v="0.81"/>
    <d v="2024-09-09T00:00:00"/>
    <n v="29.88"/>
    <n v="0.72899999999999998"/>
    <n v="8641.1999999999989"/>
    <x v="0"/>
    <x v="1"/>
  </r>
  <r>
    <x v="3072"/>
    <x v="1"/>
    <n v="297"/>
    <n v="88"/>
    <n v="6"/>
    <n v="7"/>
    <n v="42.86"/>
    <x v="51"/>
    <x v="3"/>
    <n v="104"/>
    <n v="0.75"/>
    <n v="68.06"/>
    <n v="1.98"/>
    <n v="6"/>
    <n v="0.84"/>
    <n v="475"/>
    <n v="4.8499999999999996"/>
    <n v="0.49"/>
    <d v="2024-11-10T00:00:00"/>
    <n v="97.12"/>
    <n v="0.41299999999999998"/>
    <n v="20213.82"/>
    <x v="0"/>
    <x v="0"/>
  </r>
  <r>
    <x v="3073"/>
    <x v="2"/>
    <n v="469"/>
    <n v="15"/>
    <n v="10"/>
    <n v="8"/>
    <n v="6.02"/>
    <x v="10"/>
    <x v="3"/>
    <n v="84"/>
    <n v="4.21"/>
    <n v="138.03"/>
    <n v="0.85"/>
    <n v="6"/>
    <n v="0.81"/>
    <n v="169"/>
    <n v="3.45"/>
    <n v="0.28999999999999998"/>
    <d v="2024-01-04T00:00:00"/>
    <n v="144.34"/>
    <n v="0.46100000000000002"/>
    <n v="64736.07"/>
    <x v="0"/>
    <x v="0"/>
  </r>
  <r>
    <x v="3074"/>
    <x v="0"/>
    <n v="448"/>
    <n v="52"/>
    <n v="13"/>
    <n v="6"/>
    <n v="7.44"/>
    <x v="7"/>
    <x v="0"/>
    <n v="177"/>
    <n v="4.91"/>
    <n v="116.86"/>
    <n v="1.37"/>
    <n v="6"/>
    <n v="0.9"/>
    <n v="960"/>
    <n v="3.22"/>
    <n v="0.6"/>
    <d v="2024-10-04T00:00:00"/>
    <n v="192.52"/>
    <n v="0.48599999999999999"/>
    <n v="52353.279999999999"/>
    <x v="0"/>
    <x v="0"/>
  </r>
  <r>
    <x v="3075"/>
    <x v="3"/>
    <n v="344"/>
    <n v="44"/>
    <n v="13"/>
    <n v="7"/>
    <n v="34.14"/>
    <x v="22"/>
    <x v="3"/>
    <n v="125"/>
    <n v="3.79"/>
    <n v="171.83"/>
    <n v="0.33"/>
    <n v="7"/>
    <n v="0.99"/>
    <n v="227"/>
    <n v="11.86"/>
    <n v="0.41"/>
    <d v="2024-01-22T00:00:00"/>
    <n v="221.33"/>
    <n v="0.66500000000000004"/>
    <n v="59109.520000000004"/>
    <x v="0"/>
    <x v="0"/>
  </r>
  <r>
    <x v="3076"/>
    <x v="0"/>
    <n v="238"/>
    <n v="63"/>
    <n v="13"/>
    <n v="6"/>
    <n v="12.31"/>
    <x v="34"/>
    <x v="2"/>
    <n v="139"/>
    <n v="3.82"/>
    <n v="55.91"/>
    <n v="1.85"/>
    <n v="3"/>
    <n v="0.73"/>
    <n v="178"/>
    <n v="2.64"/>
    <n v="0.69"/>
    <d v="2024-09-03T00:00:00"/>
    <n v="61.82"/>
    <n v="0.47399999999999998"/>
    <n v="13306.58"/>
    <x v="0"/>
    <x v="1"/>
  </r>
  <r>
    <x v="3077"/>
    <x v="4"/>
    <n v="108"/>
    <n v="71"/>
    <n v="7"/>
    <n v="6"/>
    <n v="39.76"/>
    <x v="40"/>
    <x v="1"/>
    <n v="77"/>
    <n v="1.48"/>
    <n v="17.62"/>
    <n v="1.67"/>
    <n v="5"/>
    <n v="0.93"/>
    <n v="612"/>
    <n v="9.6199999999999992"/>
    <n v="0.62"/>
    <d v="2024-07-09T00:00:00"/>
    <n v="208.34"/>
    <n v="0.57099999999999995"/>
    <n v="1902.96"/>
    <x v="0"/>
    <x v="1"/>
  </r>
  <r>
    <x v="3078"/>
    <x v="4"/>
    <n v="91"/>
    <n v="78"/>
    <n v="3"/>
    <n v="5"/>
    <n v="29.98"/>
    <x v="84"/>
    <x v="3"/>
    <n v="89"/>
    <n v="2.85"/>
    <n v="44.58"/>
    <n v="0.83"/>
    <n v="1"/>
    <n v="0.76"/>
    <n v="467"/>
    <n v="3.34"/>
    <n v="0.82"/>
    <d v="2024-11-13T00:00:00"/>
    <n v="62.94"/>
    <n v="0.65800000000000003"/>
    <n v="4056.7799999999997"/>
    <x v="0"/>
    <x v="2"/>
  </r>
  <r>
    <x v="3079"/>
    <x v="1"/>
    <n v="266"/>
    <n v="91"/>
    <n v="11"/>
    <n v="2"/>
    <n v="12.26"/>
    <x v="39"/>
    <x v="0"/>
    <n v="114"/>
    <n v="3.68"/>
    <n v="75.239999999999995"/>
    <n v="0.76"/>
    <n v="6"/>
    <n v="0.81"/>
    <n v="603"/>
    <n v="12.73"/>
    <n v="0.66"/>
    <d v="2024-06-10T00:00:00"/>
    <n v="299.19"/>
    <n v="0.66800000000000004"/>
    <n v="20013.84"/>
    <x v="0"/>
    <x v="0"/>
  </r>
  <r>
    <x v="3080"/>
    <x v="1"/>
    <n v="148"/>
    <n v="25"/>
    <n v="3"/>
    <n v="6"/>
    <n v="24.46"/>
    <x v="70"/>
    <x v="0"/>
    <n v="78"/>
    <n v="3.21"/>
    <n v="44.13"/>
    <n v="0.92"/>
    <n v="8"/>
    <n v="0.96"/>
    <n v="367"/>
    <n v="4.84"/>
    <n v="0.54"/>
    <d v="2024-09-09T00:00:00"/>
    <n v="288.13"/>
    <n v="0.51300000000000001"/>
    <n v="6531.2400000000007"/>
    <x v="0"/>
    <x v="1"/>
  </r>
  <r>
    <x v="3081"/>
    <x v="2"/>
    <n v="231"/>
    <n v="17"/>
    <n v="8"/>
    <n v="3"/>
    <n v="20.9"/>
    <x v="79"/>
    <x v="0"/>
    <n v="172"/>
    <n v="2.23"/>
    <n v="25.87"/>
    <n v="0.86"/>
    <n v="4"/>
    <n v="0.86"/>
    <n v="656"/>
    <n v="1.63"/>
    <n v="0.3"/>
    <d v="2024-10-21T00:00:00"/>
    <n v="39.700000000000003"/>
    <n v="0.48799999999999999"/>
    <n v="5975.97"/>
    <x v="0"/>
    <x v="1"/>
  </r>
  <r>
    <x v="3082"/>
    <x v="0"/>
    <n v="447"/>
    <n v="98"/>
    <n v="3"/>
    <n v="8"/>
    <n v="43.78"/>
    <x v="90"/>
    <x v="2"/>
    <n v="151"/>
    <n v="4.7300000000000004"/>
    <n v="94.61"/>
    <n v="0.59"/>
    <n v="3"/>
    <n v="0.72"/>
    <n v="291"/>
    <n v="7.33"/>
    <n v="0.3"/>
    <d v="2024-05-20T00:00:00"/>
    <n v="199.98"/>
    <n v="0.58299999999999996"/>
    <n v="42290.67"/>
    <x v="0"/>
    <x v="0"/>
  </r>
  <r>
    <x v="3083"/>
    <x v="4"/>
    <n v="362"/>
    <n v="99"/>
    <n v="5"/>
    <n v="8"/>
    <n v="2.58"/>
    <x v="37"/>
    <x v="3"/>
    <n v="152"/>
    <n v="2.81"/>
    <n v="138.62"/>
    <n v="1.98"/>
    <n v="1"/>
    <n v="0.85"/>
    <n v="977"/>
    <n v="15"/>
    <n v="0.71"/>
    <d v="2024-09-08T00:00:00"/>
    <n v="271.95"/>
    <n v="0.69399999999999995"/>
    <n v="50180.44"/>
    <x v="0"/>
    <x v="0"/>
  </r>
  <r>
    <x v="3084"/>
    <x v="1"/>
    <n v="115"/>
    <n v="95"/>
    <n v="12"/>
    <n v="3"/>
    <n v="44.9"/>
    <x v="6"/>
    <x v="3"/>
    <n v="143"/>
    <n v="4.8600000000000003"/>
    <n v="152.80000000000001"/>
    <n v="1.64"/>
    <n v="6"/>
    <n v="0.94"/>
    <n v="405"/>
    <n v="12.38"/>
    <n v="0.9"/>
    <d v="2024-04-03T00:00:00"/>
    <n v="33.4"/>
    <n v="0.64900000000000002"/>
    <n v="17572"/>
    <x v="0"/>
    <x v="1"/>
  </r>
  <r>
    <x v="3085"/>
    <x v="0"/>
    <n v="94"/>
    <n v="40"/>
    <n v="7"/>
    <n v="4"/>
    <n v="32.950000000000003"/>
    <x v="26"/>
    <x v="2"/>
    <n v="25"/>
    <n v="3.04"/>
    <n v="85.76"/>
    <n v="0.61"/>
    <n v="1"/>
    <n v="0.86"/>
    <n v="622"/>
    <n v="8.98"/>
    <n v="0.53"/>
    <d v="2024-09-18T00:00:00"/>
    <n v="45.95"/>
    <n v="0.71699999999999997"/>
    <n v="8061.4400000000005"/>
    <x v="0"/>
    <x v="2"/>
  </r>
  <r>
    <x v="3086"/>
    <x v="1"/>
    <n v="442"/>
    <n v="19"/>
    <n v="12"/>
    <n v="6"/>
    <n v="37.14"/>
    <x v="75"/>
    <x v="3"/>
    <n v="96"/>
    <n v="4.07"/>
    <n v="100.83"/>
    <n v="1.97"/>
    <n v="1"/>
    <n v="0.75"/>
    <n v="910"/>
    <n v="3.65"/>
    <n v="0.62"/>
    <d v="2024-05-23T00:00:00"/>
    <n v="110.63"/>
    <n v="0.50600000000000001"/>
    <n v="44566.86"/>
    <x v="0"/>
    <x v="0"/>
  </r>
  <r>
    <x v="3087"/>
    <x v="1"/>
    <n v="73"/>
    <n v="65"/>
    <n v="9"/>
    <n v="9"/>
    <n v="1.1299999999999999"/>
    <x v="87"/>
    <x v="3"/>
    <n v="133"/>
    <n v="3.84"/>
    <n v="153.54"/>
    <n v="0.13"/>
    <n v="8"/>
    <n v="0.83"/>
    <n v="487"/>
    <n v="2.65"/>
    <n v="0.67"/>
    <d v="2024-07-22T00:00:00"/>
    <n v="37.76"/>
    <n v="0.56200000000000006"/>
    <n v="11208.42"/>
    <x v="0"/>
    <x v="2"/>
  </r>
  <r>
    <x v="3088"/>
    <x v="4"/>
    <n v="363"/>
    <n v="85"/>
    <n v="12"/>
    <n v="6"/>
    <n v="31.78"/>
    <x v="85"/>
    <x v="3"/>
    <n v="149"/>
    <n v="3.47"/>
    <n v="77.010000000000005"/>
    <n v="0.93"/>
    <n v="1"/>
    <n v="0.98"/>
    <n v="507"/>
    <n v="12.74"/>
    <n v="0.57999999999999996"/>
    <d v="2024-04-23T00:00:00"/>
    <n v="266.82"/>
    <n v="0.76900000000000002"/>
    <n v="27954.63"/>
    <x v="0"/>
    <x v="0"/>
  </r>
  <r>
    <x v="3089"/>
    <x v="4"/>
    <n v="478"/>
    <n v="79"/>
    <n v="10"/>
    <n v="6"/>
    <n v="29.84"/>
    <x v="61"/>
    <x v="2"/>
    <n v="50"/>
    <n v="0.56999999999999995"/>
    <n v="159.11000000000001"/>
    <n v="1.18"/>
    <n v="9"/>
    <n v="0.9"/>
    <n v="491"/>
    <n v="12.03"/>
    <n v="0.25"/>
    <d v="2024-10-22T00:00:00"/>
    <n v="263.91000000000003"/>
    <n v="0.49199999999999999"/>
    <n v="76054.58"/>
    <x v="0"/>
    <x v="0"/>
  </r>
  <r>
    <x v="3090"/>
    <x v="1"/>
    <n v="432"/>
    <n v="29"/>
    <n v="14"/>
    <n v="9"/>
    <n v="27.32"/>
    <x v="9"/>
    <x v="2"/>
    <n v="128"/>
    <n v="0.85"/>
    <n v="193.8"/>
    <n v="0.17"/>
    <n v="2"/>
    <n v="0.92"/>
    <n v="277"/>
    <n v="7.47"/>
    <n v="0.67"/>
    <d v="2024-03-06T00:00:00"/>
    <n v="285.13"/>
    <n v="0.76100000000000001"/>
    <n v="83721.600000000006"/>
    <x v="0"/>
    <x v="0"/>
  </r>
  <r>
    <x v="3091"/>
    <x v="3"/>
    <n v="73"/>
    <n v="14"/>
    <n v="11"/>
    <n v="7"/>
    <n v="39.51"/>
    <x v="82"/>
    <x v="0"/>
    <n v="28"/>
    <n v="3.12"/>
    <n v="177.29"/>
    <n v="0.41"/>
    <n v="2"/>
    <n v="0.94"/>
    <n v="457"/>
    <n v="6.9"/>
    <n v="0.31"/>
    <d v="2024-01-28T00:00:00"/>
    <n v="69.45"/>
    <n v="0.66100000000000003"/>
    <n v="12942.17"/>
    <x v="0"/>
    <x v="2"/>
  </r>
  <r>
    <x v="3092"/>
    <x v="1"/>
    <n v="237"/>
    <n v="32"/>
    <n v="8"/>
    <n v="6"/>
    <n v="28.24"/>
    <x v="10"/>
    <x v="2"/>
    <n v="85"/>
    <n v="4.5999999999999996"/>
    <n v="96.18"/>
    <n v="0.59"/>
    <n v="1"/>
    <n v="0.73"/>
    <n v="972"/>
    <n v="11.48"/>
    <n v="0.64"/>
    <d v="2024-09-26T00:00:00"/>
    <n v="23.15"/>
    <n v="0.748"/>
    <n v="22794.66"/>
    <x v="0"/>
    <x v="1"/>
  </r>
  <r>
    <x v="3093"/>
    <x v="1"/>
    <n v="35"/>
    <n v="18"/>
    <n v="13"/>
    <n v="6"/>
    <n v="43"/>
    <x v="13"/>
    <x v="2"/>
    <n v="118"/>
    <n v="3.21"/>
    <n v="120.11"/>
    <n v="1.47"/>
    <n v="9"/>
    <n v="0.87"/>
    <n v="326"/>
    <n v="8.5"/>
    <n v="0.82"/>
    <d v="2024-08-04T00:00:00"/>
    <n v="138.94"/>
    <n v="0.52400000000000002"/>
    <n v="4203.8500000000004"/>
    <x v="0"/>
    <x v="2"/>
  </r>
  <r>
    <x v="3094"/>
    <x v="2"/>
    <n v="118"/>
    <n v="67"/>
    <n v="11"/>
    <n v="3"/>
    <n v="12.4"/>
    <x v="39"/>
    <x v="0"/>
    <n v="128"/>
    <n v="1.56"/>
    <n v="146.12"/>
    <n v="1.89"/>
    <n v="2"/>
    <n v="0.81"/>
    <n v="67"/>
    <n v="6.66"/>
    <n v="0.2"/>
    <d v="2024-09-01T00:00:00"/>
    <n v="265.36"/>
    <n v="0.46200000000000002"/>
    <n v="17242.16"/>
    <x v="0"/>
    <x v="1"/>
  </r>
  <r>
    <x v="3095"/>
    <x v="2"/>
    <n v="39"/>
    <n v="68"/>
    <n v="10"/>
    <n v="2"/>
    <n v="40.49"/>
    <x v="31"/>
    <x v="2"/>
    <n v="122"/>
    <n v="1.94"/>
    <n v="76.37"/>
    <n v="1.29"/>
    <n v="8"/>
    <n v="0.74"/>
    <n v="805"/>
    <n v="4.5199999999999996"/>
    <n v="0.54"/>
    <d v="2024-10-03T00:00:00"/>
    <n v="195.15"/>
    <n v="0.42699999999999999"/>
    <n v="2978.4300000000003"/>
    <x v="1"/>
    <x v="2"/>
  </r>
  <r>
    <x v="3096"/>
    <x v="2"/>
    <n v="65"/>
    <n v="89"/>
    <n v="11"/>
    <n v="2"/>
    <n v="9.7899999999999991"/>
    <x v="16"/>
    <x v="3"/>
    <n v="11"/>
    <n v="3.3"/>
    <n v="161.86000000000001"/>
    <n v="1.17"/>
    <n v="2"/>
    <n v="0.76"/>
    <n v="360"/>
    <n v="2.72"/>
    <n v="0.8"/>
    <d v="2024-01-17T00:00:00"/>
    <n v="299.51"/>
    <n v="0.59099999999999997"/>
    <n v="10520.900000000001"/>
    <x v="1"/>
    <x v="2"/>
  </r>
  <r>
    <x v="3097"/>
    <x v="3"/>
    <n v="470"/>
    <n v="63"/>
    <n v="12"/>
    <n v="4"/>
    <n v="40.840000000000003"/>
    <x v="5"/>
    <x v="1"/>
    <n v="29"/>
    <n v="3.19"/>
    <n v="93.01"/>
    <n v="1.1200000000000001"/>
    <n v="4"/>
    <n v="0.93"/>
    <n v="373"/>
    <n v="9.33"/>
    <n v="0.62"/>
    <d v="2024-09-14T00:00:00"/>
    <n v="272.64999999999998"/>
    <n v="0.64200000000000002"/>
    <n v="43714.700000000004"/>
    <x v="0"/>
    <x v="0"/>
  </r>
  <r>
    <x v="3098"/>
    <x v="3"/>
    <n v="212"/>
    <n v="55"/>
    <n v="6"/>
    <n v="3"/>
    <n v="47.08"/>
    <x v="38"/>
    <x v="0"/>
    <n v="128"/>
    <n v="4.8"/>
    <n v="170.9"/>
    <n v="0.77"/>
    <n v="6"/>
    <n v="0.75"/>
    <n v="96"/>
    <n v="12.56"/>
    <n v="0.39"/>
    <d v="2024-06-26T00:00:00"/>
    <n v="123.9"/>
    <n v="0.59799999999999998"/>
    <n v="36230.800000000003"/>
    <x v="0"/>
    <x v="1"/>
  </r>
  <r>
    <x v="3099"/>
    <x v="1"/>
    <n v="402"/>
    <n v="31"/>
    <n v="11"/>
    <n v="6"/>
    <n v="17.45"/>
    <x v="34"/>
    <x v="1"/>
    <n v="104"/>
    <n v="2.88"/>
    <n v="58.4"/>
    <n v="1.67"/>
    <n v="0"/>
    <n v="0.79"/>
    <n v="871"/>
    <n v="11.45"/>
    <n v="0.76"/>
    <d v="2024-07-20T00:00:00"/>
    <n v="21.46"/>
    <n v="0.69599999999999995"/>
    <n v="23476.799999999999"/>
    <x v="0"/>
    <x v="0"/>
  </r>
  <r>
    <x v="3100"/>
    <x v="2"/>
    <n v="77"/>
    <n v="73"/>
    <n v="9"/>
    <n v="2"/>
    <n v="26.96"/>
    <x v="30"/>
    <x v="1"/>
    <n v="146"/>
    <n v="2.1"/>
    <n v="12.16"/>
    <n v="1.1299999999999999"/>
    <n v="0"/>
    <n v="0.79"/>
    <n v="579"/>
    <n v="10.75"/>
    <n v="0.83"/>
    <d v="2024-12-17T00:00:00"/>
    <n v="11.5"/>
    <n v="0.754"/>
    <n v="936.32"/>
    <x v="0"/>
    <x v="2"/>
  </r>
  <r>
    <x v="3101"/>
    <x v="3"/>
    <n v="456"/>
    <n v="17"/>
    <n v="7"/>
    <n v="5"/>
    <n v="33.26"/>
    <x v="4"/>
    <x v="0"/>
    <n v="30"/>
    <n v="2.86"/>
    <n v="130.21"/>
    <n v="0.54"/>
    <n v="9"/>
    <n v="0.71"/>
    <n v="945"/>
    <n v="14"/>
    <n v="0.49"/>
    <d v="2024-03-30T00:00:00"/>
    <n v="196.82"/>
    <n v="0.59299999999999997"/>
    <n v="59375.76"/>
    <x v="0"/>
    <x v="0"/>
  </r>
  <r>
    <x v="3102"/>
    <x v="4"/>
    <n v="130"/>
    <n v="29"/>
    <n v="7"/>
    <n v="5"/>
    <n v="4.8899999999999997"/>
    <x v="48"/>
    <x v="1"/>
    <n v="17"/>
    <n v="4.04"/>
    <n v="95.86"/>
    <n v="0.36"/>
    <n v="1"/>
    <n v="0.84"/>
    <n v="762"/>
    <n v="6.52"/>
    <n v="0.44"/>
    <d v="2024-08-22T00:00:00"/>
    <n v="275.57"/>
    <n v="0.68700000000000006"/>
    <n v="12461.8"/>
    <x v="0"/>
    <x v="1"/>
  </r>
  <r>
    <x v="3103"/>
    <x v="1"/>
    <n v="148"/>
    <n v="60"/>
    <n v="3"/>
    <n v="5"/>
    <n v="25.21"/>
    <x v="82"/>
    <x v="1"/>
    <n v="176"/>
    <n v="2.93"/>
    <n v="21.37"/>
    <n v="1.97"/>
    <n v="0"/>
    <n v="0.93"/>
    <n v="549"/>
    <n v="2.92"/>
    <n v="0.64"/>
    <d v="2024-03-02T00:00:00"/>
    <n v="138.83000000000001"/>
    <n v="0.55600000000000005"/>
    <n v="3162.76"/>
    <x v="0"/>
    <x v="1"/>
  </r>
  <r>
    <x v="3104"/>
    <x v="0"/>
    <n v="356"/>
    <n v="87"/>
    <n v="4"/>
    <n v="6"/>
    <n v="18.670000000000002"/>
    <x v="27"/>
    <x v="0"/>
    <n v="174"/>
    <n v="1.97"/>
    <n v="102.65"/>
    <n v="0.13"/>
    <n v="0"/>
    <n v="0.71"/>
    <n v="814"/>
    <n v="2.4300000000000002"/>
    <n v="0.49"/>
    <d v="2024-12-23T00:00:00"/>
    <n v="263.54000000000002"/>
    <n v="0.65900000000000003"/>
    <n v="36543.4"/>
    <x v="0"/>
    <x v="0"/>
  </r>
  <r>
    <x v="3105"/>
    <x v="1"/>
    <n v="213"/>
    <n v="48"/>
    <n v="12"/>
    <n v="6"/>
    <n v="43.75"/>
    <x v="1"/>
    <x v="0"/>
    <n v="38"/>
    <n v="2.02"/>
    <n v="42.03"/>
    <n v="1.87"/>
    <n v="9"/>
    <n v="0.73"/>
    <n v="241"/>
    <n v="14.37"/>
    <n v="0.87"/>
    <d v="2024-09-22T00:00:00"/>
    <n v="174.35"/>
    <n v="0.54500000000000004"/>
    <n v="8952.39"/>
    <x v="0"/>
    <x v="1"/>
  </r>
  <r>
    <x v="3106"/>
    <x v="0"/>
    <n v="432"/>
    <n v="46"/>
    <n v="5"/>
    <n v="9"/>
    <n v="43.96"/>
    <x v="14"/>
    <x v="3"/>
    <n v="44"/>
    <n v="3.91"/>
    <n v="129.65"/>
    <n v="0.51"/>
    <n v="3"/>
    <n v="0.92"/>
    <n v="98"/>
    <n v="9.25"/>
    <n v="0.82"/>
    <d v="2024-08-23T00:00:00"/>
    <n v="38.43"/>
    <n v="0.76"/>
    <n v="56008.800000000003"/>
    <x v="0"/>
    <x v="0"/>
  </r>
  <r>
    <x v="3107"/>
    <x v="2"/>
    <n v="359"/>
    <n v="59"/>
    <n v="10"/>
    <n v="4"/>
    <n v="35.340000000000003"/>
    <x v="51"/>
    <x v="0"/>
    <n v="47"/>
    <n v="0.8"/>
    <n v="94.56"/>
    <n v="1.35"/>
    <n v="9"/>
    <n v="0.88"/>
    <n v="143"/>
    <n v="12.35"/>
    <n v="0.45"/>
    <d v="2024-06-10T00:00:00"/>
    <n v="241.51"/>
    <n v="0.51600000000000001"/>
    <n v="33947.040000000001"/>
    <x v="0"/>
    <x v="0"/>
  </r>
  <r>
    <x v="3108"/>
    <x v="0"/>
    <n v="345"/>
    <n v="43"/>
    <n v="8"/>
    <n v="8"/>
    <n v="33.130000000000003"/>
    <x v="24"/>
    <x v="2"/>
    <n v="99"/>
    <n v="1.74"/>
    <n v="42.51"/>
    <n v="0.67"/>
    <n v="2"/>
    <n v="0.91"/>
    <n v="980"/>
    <n v="8.5"/>
    <n v="0.56999999999999995"/>
    <d v="2024-12-18T00:00:00"/>
    <n v="152.85"/>
    <n v="0.70199999999999996"/>
    <n v="14665.949999999999"/>
    <x v="0"/>
    <x v="0"/>
  </r>
  <r>
    <x v="3109"/>
    <x v="2"/>
    <n v="27"/>
    <n v="84"/>
    <n v="14"/>
    <n v="4"/>
    <n v="36.950000000000003"/>
    <x v="99"/>
    <x v="1"/>
    <n v="172"/>
    <n v="1.19"/>
    <n v="88.27"/>
    <n v="1.73"/>
    <n v="0"/>
    <n v="0.77"/>
    <n v="798"/>
    <n v="6.58"/>
    <n v="0.91"/>
    <d v="2024-01-05T00:00:00"/>
    <n v="24.81"/>
    <n v="0.65100000000000002"/>
    <n v="2383.29"/>
    <x v="1"/>
    <x v="2"/>
  </r>
  <r>
    <x v="3110"/>
    <x v="4"/>
    <n v="48"/>
    <n v="42"/>
    <n v="12"/>
    <n v="4"/>
    <n v="18.93"/>
    <x v="52"/>
    <x v="0"/>
    <n v="77"/>
    <n v="4.75"/>
    <n v="54.21"/>
    <n v="1.1299999999999999"/>
    <n v="2"/>
    <n v="0.94"/>
    <n v="783"/>
    <n v="3.8"/>
    <n v="0.32"/>
    <d v="2024-01-07T00:00:00"/>
    <n v="246.24"/>
    <n v="0.55000000000000004"/>
    <n v="2602.08"/>
    <x v="0"/>
    <x v="2"/>
  </r>
  <r>
    <x v="3111"/>
    <x v="0"/>
    <n v="131"/>
    <n v="40"/>
    <n v="13"/>
    <n v="7"/>
    <n v="20.82"/>
    <x v="87"/>
    <x v="3"/>
    <n v="140"/>
    <n v="0.91"/>
    <n v="134.09"/>
    <n v="0.37"/>
    <n v="0"/>
    <n v="0.84"/>
    <n v="216"/>
    <n v="12.99"/>
    <n v="0.8"/>
    <d v="2024-12-11T00:00:00"/>
    <n v="229.72"/>
    <n v="0.86399999999999999"/>
    <n v="17565.79"/>
    <x v="0"/>
    <x v="1"/>
  </r>
  <r>
    <x v="3112"/>
    <x v="1"/>
    <n v="454"/>
    <n v="63"/>
    <n v="7"/>
    <n v="5"/>
    <n v="28.13"/>
    <x v="89"/>
    <x v="0"/>
    <n v="118"/>
    <n v="3.91"/>
    <n v="66.08"/>
    <n v="0.61"/>
    <n v="2"/>
    <n v="0.88"/>
    <n v="543"/>
    <n v="1.89"/>
    <n v="0.45"/>
    <d v="2024-04-17T00:00:00"/>
    <n v="142.61000000000001"/>
    <n v="0.59"/>
    <n v="30000.32"/>
    <x v="0"/>
    <x v="0"/>
  </r>
  <r>
    <x v="3113"/>
    <x v="2"/>
    <n v="180"/>
    <n v="53"/>
    <n v="3"/>
    <n v="6"/>
    <n v="46.96"/>
    <x v="54"/>
    <x v="1"/>
    <n v="120"/>
    <n v="3.34"/>
    <n v="166.18"/>
    <n v="0.71"/>
    <n v="3"/>
    <n v="0.73"/>
    <n v="303"/>
    <n v="13.6"/>
    <n v="0.3"/>
    <d v="2024-07-13T00:00:00"/>
    <n v="15.64"/>
    <n v="0.65600000000000003"/>
    <n v="29912.400000000001"/>
    <x v="0"/>
    <x v="1"/>
  </r>
  <r>
    <x v="3114"/>
    <x v="1"/>
    <n v="150"/>
    <n v="43"/>
    <n v="14"/>
    <n v="5"/>
    <n v="36.479999999999997"/>
    <x v="50"/>
    <x v="0"/>
    <n v="21"/>
    <n v="3.35"/>
    <n v="12.69"/>
    <n v="1.78"/>
    <n v="7"/>
    <n v="0.76"/>
    <n v="106"/>
    <n v="3.87"/>
    <n v="0.28999999999999998"/>
    <d v="2024-10-24T00:00:00"/>
    <n v="110.61"/>
    <n v="0.34399999999999997"/>
    <n v="1903.5"/>
    <x v="0"/>
    <x v="1"/>
  </r>
  <r>
    <x v="3115"/>
    <x v="3"/>
    <n v="207"/>
    <n v="80"/>
    <n v="13"/>
    <n v="4"/>
    <n v="28"/>
    <x v="32"/>
    <x v="1"/>
    <n v="41"/>
    <n v="3.94"/>
    <n v="86.65"/>
    <n v="1.56"/>
    <n v="2"/>
    <n v="0.93"/>
    <n v="55"/>
    <n v="1.1299999999999999"/>
    <n v="0.42"/>
    <d v="2024-02-21T00:00:00"/>
    <n v="136.13999999999999"/>
    <n v="0.48899999999999999"/>
    <n v="17936.550000000003"/>
    <x v="0"/>
    <x v="1"/>
  </r>
  <r>
    <x v="3116"/>
    <x v="2"/>
    <n v="182"/>
    <n v="71"/>
    <n v="14"/>
    <n v="6"/>
    <n v="38.75"/>
    <x v="77"/>
    <x v="0"/>
    <n v="72"/>
    <n v="2.2999999999999998"/>
    <n v="127.25"/>
    <n v="1.68"/>
    <n v="2"/>
    <n v="0.77"/>
    <n v="287"/>
    <n v="2.4500000000000002"/>
    <n v="0.64"/>
    <d v="2024-06-15T00:00:00"/>
    <n v="57.94"/>
    <n v="0.50700000000000001"/>
    <n v="23159.5"/>
    <x v="0"/>
    <x v="1"/>
  </r>
  <r>
    <x v="3117"/>
    <x v="0"/>
    <n v="216"/>
    <n v="32"/>
    <n v="11"/>
    <n v="3"/>
    <n v="19.170000000000002"/>
    <x v="14"/>
    <x v="3"/>
    <n v="163"/>
    <n v="2.2999999999999998"/>
    <n v="14.3"/>
    <n v="0.2"/>
    <n v="8"/>
    <n v="0.73"/>
    <n v="782"/>
    <n v="13.37"/>
    <n v="0.93"/>
    <d v="2024-07-04T00:00:00"/>
    <n v="56.66"/>
    <n v="0.73"/>
    <n v="3088.8"/>
    <x v="0"/>
    <x v="1"/>
  </r>
  <r>
    <x v="3118"/>
    <x v="2"/>
    <n v="494"/>
    <n v="55"/>
    <n v="5"/>
    <n v="9"/>
    <n v="36.79"/>
    <x v="25"/>
    <x v="2"/>
    <n v="52"/>
    <n v="1.8"/>
    <n v="51.01"/>
    <n v="1.2"/>
    <n v="8"/>
    <n v="0.88"/>
    <n v="273"/>
    <n v="2.0299999999999998"/>
    <n v="0.44"/>
    <d v="2024-11-09T00:00:00"/>
    <n v="58.42"/>
    <n v="0.41099999999999998"/>
    <n v="25198.94"/>
    <x v="0"/>
    <x v="0"/>
  </r>
  <r>
    <x v="3119"/>
    <x v="1"/>
    <n v="383"/>
    <n v="65"/>
    <n v="5"/>
    <n v="2"/>
    <n v="21.12"/>
    <x v="77"/>
    <x v="3"/>
    <n v="116"/>
    <n v="3.19"/>
    <n v="72.209999999999994"/>
    <n v="2"/>
    <n v="5"/>
    <n v="0.86"/>
    <n v="639"/>
    <n v="5.97"/>
    <n v="0.36"/>
    <d v="2024-05-12T00:00:00"/>
    <n v="117.47"/>
    <n v="0.42399999999999999"/>
    <n v="27656.429999999997"/>
    <x v="0"/>
    <x v="0"/>
  </r>
  <r>
    <x v="3120"/>
    <x v="4"/>
    <n v="223"/>
    <n v="16"/>
    <n v="4"/>
    <n v="2"/>
    <n v="14.7"/>
    <x v="9"/>
    <x v="0"/>
    <n v="47"/>
    <n v="4.68"/>
    <n v="14.15"/>
    <n v="1.59"/>
    <n v="9"/>
    <n v="0.88"/>
    <n v="69"/>
    <n v="4.5"/>
    <n v="0.57999999999999996"/>
    <d v="2024-04-05T00:00:00"/>
    <n v="247.09"/>
    <n v="0.41299999999999998"/>
    <n v="3155.4500000000003"/>
    <x v="0"/>
    <x v="1"/>
  </r>
  <r>
    <x v="3121"/>
    <x v="2"/>
    <n v="231"/>
    <n v="98"/>
    <n v="6"/>
    <n v="4"/>
    <n v="30.88"/>
    <x v="49"/>
    <x v="1"/>
    <n v="38"/>
    <n v="4.66"/>
    <n v="113.87"/>
    <n v="0.33"/>
    <n v="3"/>
    <n v="0.89"/>
    <n v="867"/>
    <n v="1.52"/>
    <n v="0.33"/>
    <d v="2024-10-07T00:00:00"/>
    <n v="230.21"/>
    <n v="0.57099999999999995"/>
    <n v="26303.97"/>
    <x v="0"/>
    <x v="1"/>
  </r>
  <r>
    <x v="3122"/>
    <x v="0"/>
    <n v="128"/>
    <n v="70"/>
    <n v="14"/>
    <n v="8"/>
    <n v="34.659999999999997"/>
    <x v="76"/>
    <x v="3"/>
    <n v="64"/>
    <n v="3.66"/>
    <n v="129.86000000000001"/>
    <n v="1.39"/>
    <n v="9"/>
    <n v="0.85"/>
    <n v="826"/>
    <n v="8.44"/>
    <n v="0.42"/>
    <d v="2024-05-14T00:00:00"/>
    <n v="12.93"/>
    <n v="0.44800000000000001"/>
    <n v="16622.080000000002"/>
    <x v="0"/>
    <x v="1"/>
  </r>
  <r>
    <x v="3123"/>
    <x v="3"/>
    <n v="295"/>
    <n v="12"/>
    <n v="4"/>
    <n v="5"/>
    <n v="23.51"/>
    <x v="5"/>
    <x v="2"/>
    <n v="61"/>
    <n v="4.58"/>
    <n v="53.23"/>
    <n v="1.52"/>
    <n v="4"/>
    <n v="0.85"/>
    <n v="253"/>
    <n v="14.98"/>
    <n v="0.99"/>
    <d v="2024-05-01T00:00:00"/>
    <n v="12.8"/>
    <n v="0.73599999999999999"/>
    <n v="15702.849999999999"/>
    <x v="0"/>
    <x v="0"/>
  </r>
  <r>
    <x v="3124"/>
    <x v="4"/>
    <n v="92"/>
    <n v="47"/>
    <n v="11"/>
    <n v="3"/>
    <n v="28.71"/>
    <x v="3"/>
    <x v="2"/>
    <n v="124"/>
    <n v="4.84"/>
    <n v="113.26"/>
    <n v="1.08"/>
    <n v="8"/>
    <n v="0.98"/>
    <n v="191"/>
    <n v="12.94"/>
    <n v="0.65"/>
    <d v="2024-05-17T00:00:00"/>
    <n v="32.53"/>
    <n v="0.63100000000000001"/>
    <n v="10419.92"/>
    <x v="0"/>
    <x v="2"/>
  </r>
  <r>
    <x v="3125"/>
    <x v="3"/>
    <n v="186"/>
    <n v="93"/>
    <n v="14"/>
    <n v="6"/>
    <n v="35.01"/>
    <x v="36"/>
    <x v="1"/>
    <n v="28"/>
    <n v="4.08"/>
    <n v="199.83"/>
    <n v="0.25"/>
    <n v="0"/>
    <n v="0.86"/>
    <n v="425"/>
    <n v="3.36"/>
    <n v="0.83"/>
    <d v="2024-08-29T00:00:00"/>
    <n v="145.31"/>
    <n v="0.75800000000000001"/>
    <n v="37168.380000000005"/>
    <x v="0"/>
    <x v="1"/>
  </r>
  <r>
    <x v="3126"/>
    <x v="2"/>
    <n v="279"/>
    <n v="43"/>
    <n v="12"/>
    <n v="8"/>
    <n v="38.619999999999997"/>
    <x v="67"/>
    <x v="0"/>
    <n v="44"/>
    <n v="2.34"/>
    <n v="178.51"/>
    <n v="0.17"/>
    <n v="6"/>
    <n v="0.89"/>
    <n v="456"/>
    <n v="13.38"/>
    <n v="0.37"/>
    <d v="2024-11-09T00:00:00"/>
    <n v="267.77999999999997"/>
    <n v="0.69299999999999995"/>
    <n v="49804.29"/>
    <x v="0"/>
    <x v="0"/>
  </r>
  <r>
    <x v="3127"/>
    <x v="1"/>
    <n v="262"/>
    <n v="53"/>
    <n v="9"/>
    <n v="5"/>
    <n v="44.88"/>
    <x v="92"/>
    <x v="3"/>
    <n v="57"/>
    <n v="2.67"/>
    <n v="21.15"/>
    <n v="1.88"/>
    <n v="6"/>
    <n v="0.78"/>
    <n v="865"/>
    <n v="7.33"/>
    <n v="0.62"/>
    <d v="2024-06-24T00:00:00"/>
    <n v="62.85"/>
    <n v="0.47"/>
    <n v="5541.2999999999993"/>
    <x v="0"/>
    <x v="0"/>
  </r>
  <r>
    <x v="3128"/>
    <x v="1"/>
    <n v="294"/>
    <n v="39"/>
    <n v="10"/>
    <n v="4"/>
    <n v="18.37"/>
    <x v="16"/>
    <x v="3"/>
    <n v="119"/>
    <n v="4.6900000000000004"/>
    <n v="34.299999999999997"/>
    <n v="0.59"/>
    <n v="9"/>
    <n v="0.96"/>
    <n v="129"/>
    <n v="4.83"/>
    <n v="0.61"/>
    <d v="2024-07-06T00:00:00"/>
    <n v="148.27000000000001"/>
    <n v="0.53900000000000003"/>
    <n v="10084.199999999999"/>
    <x v="0"/>
    <x v="0"/>
  </r>
  <r>
    <x v="3129"/>
    <x v="0"/>
    <n v="121"/>
    <n v="26"/>
    <n v="5"/>
    <n v="5"/>
    <n v="47.62"/>
    <x v="10"/>
    <x v="1"/>
    <n v="40"/>
    <n v="3.52"/>
    <n v="103.94"/>
    <n v="0.82"/>
    <n v="0"/>
    <n v="0.71"/>
    <n v="259"/>
    <n v="9.9600000000000009"/>
    <n v="0.85"/>
    <d v="2024-04-04T00:00:00"/>
    <n v="21.82"/>
    <n v="0.76300000000000001"/>
    <n v="12576.74"/>
    <x v="0"/>
    <x v="1"/>
  </r>
  <r>
    <x v="3130"/>
    <x v="1"/>
    <n v="494"/>
    <n v="68"/>
    <n v="8"/>
    <n v="4"/>
    <n v="32.229999999999997"/>
    <x v="15"/>
    <x v="3"/>
    <n v="12"/>
    <n v="4.1900000000000004"/>
    <n v="56.59"/>
    <n v="1.61"/>
    <n v="0"/>
    <n v="0.87"/>
    <n v="817"/>
    <n v="4.03"/>
    <n v="0.22"/>
    <d v="2024-09-12T00:00:00"/>
    <n v="15.89"/>
    <n v="0.51100000000000001"/>
    <n v="27955.460000000003"/>
    <x v="0"/>
    <x v="0"/>
  </r>
  <r>
    <x v="3131"/>
    <x v="4"/>
    <n v="192"/>
    <n v="19"/>
    <n v="12"/>
    <n v="7"/>
    <n v="39.6"/>
    <x v="75"/>
    <x v="1"/>
    <n v="172"/>
    <n v="1.02"/>
    <n v="25.38"/>
    <n v="1.41"/>
    <n v="8"/>
    <n v="0.82"/>
    <n v="361"/>
    <n v="13.32"/>
    <n v="0.89"/>
    <d v="2024-08-05T00:00:00"/>
    <n v="12.17"/>
    <n v="0.61899999999999999"/>
    <n v="4872.96"/>
    <x v="0"/>
    <x v="1"/>
  </r>
  <r>
    <x v="3132"/>
    <x v="1"/>
    <n v="190"/>
    <n v="93"/>
    <n v="8"/>
    <n v="2"/>
    <n v="35.29"/>
    <x v="64"/>
    <x v="1"/>
    <n v="97"/>
    <n v="1.37"/>
    <n v="58.37"/>
    <n v="1.94"/>
    <n v="6"/>
    <n v="0.88"/>
    <n v="426"/>
    <n v="9.74"/>
    <n v="0.26"/>
    <d v="2024-04-17T00:00:00"/>
    <n v="223.64"/>
    <n v="0.44400000000000001"/>
    <n v="11090.3"/>
    <x v="0"/>
    <x v="1"/>
  </r>
  <r>
    <x v="3133"/>
    <x v="0"/>
    <n v="160"/>
    <n v="27"/>
    <n v="3"/>
    <n v="8"/>
    <n v="11.07"/>
    <x v="65"/>
    <x v="0"/>
    <n v="61"/>
    <n v="2.0499999999999998"/>
    <n v="21.62"/>
    <n v="0.28000000000000003"/>
    <n v="3"/>
    <n v="0.81"/>
    <n v="89"/>
    <n v="2.9"/>
    <n v="0.93"/>
    <d v="2024-08-02T00:00:00"/>
    <n v="16.91"/>
    <n v="0.69899999999999995"/>
    <n v="3459.2000000000003"/>
    <x v="0"/>
    <x v="1"/>
  </r>
  <r>
    <x v="3134"/>
    <x v="2"/>
    <n v="416"/>
    <n v="54"/>
    <n v="8"/>
    <n v="2"/>
    <n v="4.5"/>
    <x v="7"/>
    <x v="1"/>
    <n v="80"/>
    <n v="1.35"/>
    <n v="110.68"/>
    <n v="1.44"/>
    <n v="8"/>
    <n v="0.92"/>
    <n v="402"/>
    <n v="8.99"/>
    <n v="0.31"/>
    <d v="2024-12-24T00:00:00"/>
    <n v="89.41"/>
    <n v="0.46200000000000002"/>
    <n v="46042.880000000005"/>
    <x v="0"/>
    <x v="0"/>
  </r>
  <r>
    <x v="3135"/>
    <x v="2"/>
    <n v="207"/>
    <n v="68"/>
    <n v="5"/>
    <n v="5"/>
    <n v="36.590000000000003"/>
    <x v="17"/>
    <x v="3"/>
    <n v="60"/>
    <n v="4.58"/>
    <n v="103.15"/>
    <n v="0.26"/>
    <n v="4"/>
    <n v="0.71"/>
    <n v="502"/>
    <n v="8.15"/>
    <n v="0.63"/>
    <d v="2024-07-09T00:00:00"/>
    <n v="197.06"/>
    <n v="0.67100000000000004"/>
    <n v="21352.050000000003"/>
    <x v="0"/>
    <x v="1"/>
  </r>
  <r>
    <x v="3136"/>
    <x v="1"/>
    <n v="460"/>
    <n v="71"/>
    <n v="13"/>
    <n v="3"/>
    <n v="26.04"/>
    <x v="43"/>
    <x v="1"/>
    <n v="65"/>
    <n v="1.48"/>
    <n v="11.2"/>
    <n v="0.1"/>
    <n v="2"/>
    <n v="0.82"/>
    <n v="472"/>
    <n v="7.6"/>
    <n v="0.28000000000000003"/>
    <d v="2024-07-05T00:00:00"/>
    <n v="189.41"/>
    <n v="0.67100000000000004"/>
    <n v="5152"/>
    <x v="0"/>
    <x v="0"/>
  </r>
  <r>
    <x v="3137"/>
    <x v="3"/>
    <n v="105"/>
    <n v="68"/>
    <n v="5"/>
    <n v="6"/>
    <n v="35.409999999999997"/>
    <x v="16"/>
    <x v="3"/>
    <n v="108"/>
    <n v="3.01"/>
    <n v="101.68"/>
    <n v="0.33"/>
    <n v="1"/>
    <n v="0.95"/>
    <n v="763"/>
    <n v="6.11"/>
    <n v="0.56000000000000005"/>
    <d v="2024-07-24T00:00:00"/>
    <n v="25.99"/>
    <n v="0.73"/>
    <n v="10676.400000000001"/>
    <x v="0"/>
    <x v="1"/>
  </r>
  <r>
    <x v="3138"/>
    <x v="2"/>
    <n v="495"/>
    <n v="58"/>
    <n v="5"/>
    <n v="4"/>
    <n v="24.37"/>
    <x v="37"/>
    <x v="1"/>
    <n v="30"/>
    <n v="0.88"/>
    <n v="108.76"/>
    <n v="1.27"/>
    <n v="8"/>
    <n v="0.78"/>
    <n v="135"/>
    <n v="7.64"/>
    <n v="0.44"/>
    <d v="2024-05-23T00:00:00"/>
    <n v="84.43"/>
    <n v="0.45900000000000002"/>
    <n v="53836.200000000004"/>
    <x v="0"/>
    <x v="0"/>
  </r>
  <r>
    <x v="3139"/>
    <x v="1"/>
    <n v="71"/>
    <n v="72"/>
    <n v="12"/>
    <n v="6"/>
    <n v="16.3"/>
    <x v="47"/>
    <x v="0"/>
    <n v="138"/>
    <n v="1.2"/>
    <n v="125.08"/>
    <n v="1.38"/>
    <n v="3"/>
    <n v="0.72"/>
    <n v="604"/>
    <n v="9.1999999999999993"/>
    <n v="0.54"/>
    <d v="2024-08-18T00:00:00"/>
    <n v="195.4"/>
    <n v="0.57699999999999996"/>
    <n v="8880.68"/>
    <x v="1"/>
    <x v="2"/>
  </r>
  <r>
    <x v="3140"/>
    <x v="0"/>
    <n v="130"/>
    <n v="96"/>
    <n v="13"/>
    <n v="2"/>
    <n v="14.97"/>
    <x v="66"/>
    <x v="0"/>
    <n v="117"/>
    <n v="1.61"/>
    <n v="194.32"/>
    <n v="0.93"/>
    <n v="6"/>
    <n v="0.85"/>
    <n v="285"/>
    <n v="11.27"/>
    <n v="0.64"/>
    <d v="2024-04-02T00:00:00"/>
    <n v="123.75"/>
    <n v="0.63500000000000001"/>
    <n v="25261.599999999999"/>
    <x v="0"/>
    <x v="1"/>
  </r>
  <r>
    <x v="3141"/>
    <x v="1"/>
    <n v="456"/>
    <n v="41"/>
    <n v="13"/>
    <n v="9"/>
    <n v="36.799999999999997"/>
    <x v="47"/>
    <x v="1"/>
    <n v="62"/>
    <n v="4.92"/>
    <n v="196.71"/>
    <n v="0.19"/>
    <n v="0"/>
    <n v="0.99"/>
    <n v="939"/>
    <n v="13.85"/>
    <n v="0.56999999999999995"/>
    <d v="2024-10-19T00:00:00"/>
    <n v="145.09"/>
    <n v="0.878"/>
    <n v="89699.760000000009"/>
    <x v="0"/>
    <x v="0"/>
  </r>
  <r>
    <x v="3142"/>
    <x v="2"/>
    <n v="384"/>
    <n v="19"/>
    <n v="12"/>
    <n v="3"/>
    <n v="14.56"/>
    <x v="77"/>
    <x v="1"/>
    <n v="15"/>
    <n v="4.09"/>
    <n v="110.12"/>
    <n v="1.3"/>
    <n v="8"/>
    <n v="0.72"/>
    <n v="464"/>
    <n v="1.62"/>
    <n v="0.22"/>
    <d v="2024-03-08T00:00:00"/>
    <n v="70.05"/>
    <n v="0.32"/>
    <n v="42286.080000000002"/>
    <x v="0"/>
    <x v="0"/>
  </r>
  <r>
    <x v="3143"/>
    <x v="0"/>
    <n v="361"/>
    <n v="20"/>
    <n v="13"/>
    <n v="3"/>
    <n v="36.020000000000003"/>
    <x v="52"/>
    <x v="1"/>
    <n v="91"/>
    <n v="3.53"/>
    <n v="170.59"/>
    <n v="0.26"/>
    <n v="8"/>
    <n v="0.72"/>
    <n v="631"/>
    <n v="8.9700000000000006"/>
    <n v="0.89"/>
    <d v="2024-10-21T00:00:00"/>
    <n v="20.95"/>
    <n v="0.65600000000000003"/>
    <n v="61582.99"/>
    <x v="0"/>
    <x v="0"/>
  </r>
  <r>
    <x v="3144"/>
    <x v="1"/>
    <n v="62"/>
    <n v="79"/>
    <n v="10"/>
    <n v="6"/>
    <n v="19.809999999999999"/>
    <x v="9"/>
    <x v="0"/>
    <n v="88"/>
    <n v="4.62"/>
    <n v="26.18"/>
    <n v="0.37"/>
    <n v="9"/>
    <n v="0.88"/>
    <n v="405"/>
    <n v="11.53"/>
    <n v="0.28000000000000003"/>
    <d v="2024-12-17T00:00:00"/>
    <n v="110.11"/>
    <n v="0.56899999999999995"/>
    <n v="1623.16"/>
    <x v="1"/>
    <x v="2"/>
  </r>
  <r>
    <x v="3145"/>
    <x v="4"/>
    <n v="230"/>
    <n v="71"/>
    <n v="7"/>
    <n v="2"/>
    <n v="38.770000000000003"/>
    <x v="63"/>
    <x v="2"/>
    <n v="56"/>
    <n v="4.8"/>
    <n v="110.92"/>
    <n v="1.07"/>
    <n v="5"/>
    <n v="0.78"/>
    <n v="692"/>
    <n v="2.62"/>
    <n v="0.98"/>
    <d v="2024-04-27T00:00:00"/>
    <n v="208.07"/>
    <n v="0.57999999999999996"/>
    <n v="25511.600000000002"/>
    <x v="0"/>
    <x v="1"/>
  </r>
  <r>
    <x v="3146"/>
    <x v="0"/>
    <n v="475"/>
    <n v="56"/>
    <n v="6"/>
    <n v="9"/>
    <n v="8"/>
    <x v="89"/>
    <x v="1"/>
    <n v="105"/>
    <n v="2.54"/>
    <n v="138.99"/>
    <n v="0.75"/>
    <n v="5"/>
    <n v="0.82"/>
    <n v="693"/>
    <n v="13.76"/>
    <n v="0.88"/>
    <d v="2024-02-21T00:00:00"/>
    <n v="232.29"/>
    <n v="0.748"/>
    <n v="66020.25"/>
    <x v="0"/>
    <x v="0"/>
  </r>
  <r>
    <x v="3147"/>
    <x v="4"/>
    <n v="219"/>
    <n v="43"/>
    <n v="11"/>
    <n v="6"/>
    <n v="11.04"/>
    <x v="85"/>
    <x v="2"/>
    <n v="115"/>
    <n v="1.97"/>
    <n v="117.3"/>
    <n v="0.98"/>
    <n v="5"/>
    <n v="0.95"/>
    <n v="297"/>
    <n v="4.43"/>
    <n v="0.65"/>
    <d v="2024-05-18T00:00:00"/>
    <n v="181.83"/>
    <n v="0.58099999999999996"/>
    <n v="25688.7"/>
    <x v="0"/>
    <x v="1"/>
  </r>
  <r>
    <x v="3148"/>
    <x v="3"/>
    <n v="317"/>
    <n v="26"/>
    <n v="11"/>
    <n v="5"/>
    <n v="34.61"/>
    <x v="71"/>
    <x v="1"/>
    <n v="91"/>
    <n v="1.92"/>
    <n v="53.84"/>
    <n v="1.31"/>
    <n v="4"/>
    <n v="0.76"/>
    <n v="716"/>
    <n v="12.67"/>
    <n v="0.4"/>
    <d v="2024-04-30T00:00:00"/>
    <n v="124.03"/>
    <n v="0.59"/>
    <n v="17067.280000000002"/>
    <x v="0"/>
    <x v="0"/>
  </r>
  <r>
    <x v="3149"/>
    <x v="0"/>
    <n v="365"/>
    <n v="63"/>
    <n v="3"/>
    <n v="3"/>
    <n v="28.45"/>
    <x v="51"/>
    <x v="3"/>
    <n v="40"/>
    <n v="0.66"/>
    <n v="21.91"/>
    <n v="0.4"/>
    <n v="0"/>
    <n v="0.92"/>
    <n v="791"/>
    <n v="10.27"/>
    <n v="0.27"/>
    <d v="2024-10-11T00:00:00"/>
    <n v="179.11"/>
    <n v="0.73499999999999999"/>
    <n v="7997.15"/>
    <x v="0"/>
    <x v="0"/>
  </r>
  <r>
    <x v="3150"/>
    <x v="4"/>
    <n v="259"/>
    <n v="85"/>
    <n v="4"/>
    <n v="3"/>
    <n v="10.99"/>
    <x v="93"/>
    <x v="0"/>
    <n v="166"/>
    <n v="1.76"/>
    <n v="83.47"/>
    <n v="1.8"/>
    <n v="3"/>
    <n v="0.85"/>
    <n v="650"/>
    <n v="8.83"/>
    <n v="0.74"/>
    <d v="2024-08-09T00:00:00"/>
    <n v="214.45"/>
    <n v="0.59599999999999997"/>
    <n v="21618.73"/>
    <x v="0"/>
    <x v="0"/>
  </r>
  <r>
    <x v="3151"/>
    <x v="2"/>
    <n v="134"/>
    <n v="94"/>
    <n v="10"/>
    <n v="5"/>
    <n v="45.24"/>
    <x v="6"/>
    <x v="2"/>
    <n v="152"/>
    <n v="2.1"/>
    <n v="133.05000000000001"/>
    <n v="1.1599999999999999"/>
    <n v="9"/>
    <n v="0.97"/>
    <n v="278"/>
    <n v="13.17"/>
    <n v="0.36"/>
    <d v="2024-07-14T00:00:00"/>
    <n v="229.03"/>
    <n v="0.54600000000000004"/>
    <n v="17828.7"/>
    <x v="0"/>
    <x v="1"/>
  </r>
  <r>
    <x v="3152"/>
    <x v="2"/>
    <n v="45"/>
    <n v="49"/>
    <n v="7"/>
    <n v="2"/>
    <n v="14.52"/>
    <x v="95"/>
    <x v="2"/>
    <n v="67"/>
    <n v="0.67"/>
    <n v="198.43"/>
    <n v="0.14000000000000001"/>
    <n v="0"/>
    <n v="0.99"/>
    <n v="588"/>
    <n v="14.57"/>
    <n v="0.79"/>
    <d v="2024-04-10T00:00:00"/>
    <n v="37.4"/>
    <n v="0.93600000000000005"/>
    <n v="8929.35"/>
    <x v="1"/>
    <x v="2"/>
  </r>
  <r>
    <x v="3153"/>
    <x v="3"/>
    <n v="426"/>
    <n v="28"/>
    <n v="9"/>
    <n v="3"/>
    <n v="21.63"/>
    <x v="85"/>
    <x v="0"/>
    <n v="32"/>
    <n v="4.47"/>
    <n v="54.94"/>
    <n v="1.29"/>
    <n v="4"/>
    <n v="0.85"/>
    <n v="410"/>
    <n v="14.96"/>
    <n v="0.87"/>
    <d v="2024-03-15T00:00:00"/>
    <n v="242.87"/>
    <n v="0.73399999999999999"/>
    <n v="23404.44"/>
    <x v="0"/>
    <x v="0"/>
  </r>
  <r>
    <x v="3154"/>
    <x v="0"/>
    <n v="318"/>
    <n v="76"/>
    <n v="3"/>
    <n v="8"/>
    <n v="10.91"/>
    <x v="4"/>
    <x v="2"/>
    <n v="175"/>
    <n v="4.32"/>
    <n v="184.38"/>
    <n v="0.98"/>
    <n v="3"/>
    <n v="0.88"/>
    <n v="917"/>
    <n v="10.57"/>
    <n v="0.99"/>
    <d v="2024-03-17T00:00:00"/>
    <n v="28.41"/>
    <n v="0.75700000000000001"/>
    <n v="58632.84"/>
    <x v="0"/>
    <x v="0"/>
  </r>
  <r>
    <x v="3155"/>
    <x v="0"/>
    <n v="96"/>
    <n v="91"/>
    <n v="14"/>
    <n v="9"/>
    <n v="20.010000000000002"/>
    <x v="65"/>
    <x v="1"/>
    <n v="50"/>
    <n v="1.63"/>
    <n v="22.97"/>
    <n v="1.43"/>
    <n v="7"/>
    <n v="0.92"/>
    <n v="799"/>
    <n v="5.75"/>
    <n v="0.6"/>
    <d v="2024-08-30T00:00:00"/>
    <n v="262.43"/>
    <n v="0.498"/>
    <n v="2205.12"/>
    <x v="0"/>
    <x v="2"/>
  </r>
  <r>
    <x v="3156"/>
    <x v="0"/>
    <n v="431"/>
    <n v="62"/>
    <n v="12"/>
    <n v="7"/>
    <n v="25.09"/>
    <x v="19"/>
    <x v="2"/>
    <n v="24"/>
    <n v="4.1100000000000003"/>
    <n v="186.89"/>
    <n v="1.59"/>
    <n v="0"/>
    <n v="0.8"/>
    <n v="224"/>
    <n v="13.25"/>
    <n v="0.98"/>
    <d v="2024-01-05T00:00:00"/>
    <n v="123.75"/>
    <n v="0.77400000000000002"/>
    <n v="80549.59"/>
    <x v="0"/>
    <x v="0"/>
  </r>
  <r>
    <x v="3157"/>
    <x v="3"/>
    <n v="156"/>
    <n v="73"/>
    <n v="14"/>
    <n v="7"/>
    <n v="15.47"/>
    <x v="12"/>
    <x v="1"/>
    <n v="96"/>
    <n v="4.08"/>
    <n v="168.15"/>
    <n v="1.88"/>
    <n v="7"/>
    <n v="0.77"/>
    <n v="877"/>
    <n v="10.16"/>
    <n v="0.32"/>
    <d v="2024-03-31T00:00:00"/>
    <n v="168.61"/>
    <n v="0.42499999999999999"/>
    <n v="26231.4"/>
    <x v="0"/>
    <x v="1"/>
  </r>
  <r>
    <x v="3158"/>
    <x v="0"/>
    <n v="39"/>
    <n v="92"/>
    <n v="7"/>
    <n v="7"/>
    <n v="38.69"/>
    <x v="3"/>
    <x v="2"/>
    <n v="12"/>
    <n v="2.0099999999999998"/>
    <n v="13.98"/>
    <n v="2"/>
    <n v="7"/>
    <n v="0.99"/>
    <n v="853"/>
    <n v="5.53"/>
    <n v="0.87"/>
    <d v="2024-08-03T00:00:00"/>
    <n v="94.09"/>
    <n v="0.50600000000000001"/>
    <n v="545.22"/>
    <x v="1"/>
    <x v="2"/>
  </r>
  <r>
    <x v="3159"/>
    <x v="2"/>
    <n v="459"/>
    <n v="56"/>
    <n v="13"/>
    <n v="4"/>
    <n v="20.3"/>
    <x v="84"/>
    <x v="3"/>
    <n v="10"/>
    <n v="3.64"/>
    <n v="66.66"/>
    <n v="1.1399999999999999"/>
    <n v="0"/>
    <n v="0.83"/>
    <n v="423"/>
    <n v="14.05"/>
    <n v="0.49"/>
    <d v="2024-09-12T00:00:00"/>
    <n v="133.72999999999999"/>
    <n v="0.73699999999999999"/>
    <n v="30596.94"/>
    <x v="0"/>
    <x v="0"/>
  </r>
  <r>
    <x v="3160"/>
    <x v="4"/>
    <n v="230"/>
    <n v="15"/>
    <n v="14"/>
    <n v="8"/>
    <n v="36.75"/>
    <x v="44"/>
    <x v="2"/>
    <n v="84"/>
    <n v="1.8"/>
    <n v="19.68"/>
    <n v="1.17"/>
    <n v="8"/>
    <n v="0.7"/>
    <n v="991"/>
    <n v="11.47"/>
    <n v="0.49"/>
    <d v="2024-03-09T00:00:00"/>
    <n v="255.11"/>
    <n v="0.51400000000000001"/>
    <n v="4526.3999999999996"/>
    <x v="0"/>
    <x v="1"/>
  </r>
  <r>
    <x v="3161"/>
    <x v="2"/>
    <n v="259"/>
    <n v="25"/>
    <n v="5"/>
    <n v="4"/>
    <n v="11.15"/>
    <x v="9"/>
    <x v="2"/>
    <n v="148"/>
    <n v="0.82"/>
    <n v="199.15"/>
    <n v="0.14000000000000001"/>
    <n v="8"/>
    <n v="0.95"/>
    <n v="110"/>
    <n v="7.34"/>
    <n v="0.41"/>
    <d v="2024-11-18T00:00:00"/>
    <n v="95.75"/>
    <n v="0.59599999999999997"/>
    <n v="51579.85"/>
    <x v="0"/>
    <x v="0"/>
  </r>
  <r>
    <x v="3162"/>
    <x v="2"/>
    <n v="58"/>
    <n v="81"/>
    <n v="12"/>
    <n v="2"/>
    <n v="19.47"/>
    <x v="13"/>
    <x v="1"/>
    <n v="85"/>
    <n v="2.77"/>
    <n v="91.29"/>
    <n v="1.74"/>
    <n v="5"/>
    <n v="0.88"/>
    <n v="219"/>
    <n v="7.36"/>
    <n v="0.34"/>
    <d v="2024-09-21T00:00:00"/>
    <n v="173.61"/>
    <n v="0.46800000000000003"/>
    <n v="5294.8200000000006"/>
    <x v="1"/>
    <x v="2"/>
  </r>
  <r>
    <x v="3163"/>
    <x v="4"/>
    <n v="454"/>
    <n v="27"/>
    <n v="14"/>
    <n v="5"/>
    <n v="1.39"/>
    <x v="19"/>
    <x v="0"/>
    <n v="13"/>
    <n v="2.4700000000000002"/>
    <n v="135.81"/>
    <n v="0.15"/>
    <n v="0"/>
    <n v="0.75"/>
    <n v="556"/>
    <n v="14.94"/>
    <n v="0.55000000000000004"/>
    <d v="2024-09-30T00:00:00"/>
    <n v="197.65"/>
    <n v="0.84399999999999997"/>
    <n v="61657.74"/>
    <x v="0"/>
    <x v="0"/>
  </r>
  <r>
    <x v="3164"/>
    <x v="2"/>
    <n v="287"/>
    <n v="61"/>
    <n v="14"/>
    <n v="6"/>
    <n v="38.17"/>
    <x v="69"/>
    <x v="3"/>
    <n v="34"/>
    <n v="1.1200000000000001"/>
    <n v="54.5"/>
    <n v="1.3"/>
    <n v="6"/>
    <n v="0.71"/>
    <n v="824"/>
    <n v="6.23"/>
    <n v="0.99"/>
    <d v="2024-06-10T00:00:00"/>
    <n v="52.46"/>
    <n v="0.57299999999999995"/>
    <n v="15641.5"/>
    <x v="0"/>
    <x v="0"/>
  </r>
  <r>
    <x v="3165"/>
    <x v="3"/>
    <n v="226"/>
    <n v="57"/>
    <n v="4"/>
    <n v="8"/>
    <n v="31.67"/>
    <x v="76"/>
    <x v="0"/>
    <n v="103"/>
    <n v="2.71"/>
    <n v="187.41"/>
    <n v="0.28999999999999998"/>
    <n v="6"/>
    <n v="0.79"/>
    <n v="463"/>
    <n v="2.3199999999999998"/>
    <n v="0.46"/>
    <d v="2024-09-06T00:00:00"/>
    <n v="235.57"/>
    <n v="0.53200000000000003"/>
    <n v="42354.659999999996"/>
    <x v="0"/>
    <x v="1"/>
  </r>
  <r>
    <x v="3166"/>
    <x v="4"/>
    <n v="498"/>
    <n v="52"/>
    <n v="4"/>
    <n v="9"/>
    <n v="41.07"/>
    <x v="34"/>
    <x v="1"/>
    <n v="177"/>
    <n v="4.7699999999999996"/>
    <n v="62.09"/>
    <n v="0.64"/>
    <n v="8"/>
    <n v="0.98"/>
    <n v="867"/>
    <n v="8.5399999999999991"/>
    <n v="0.56999999999999995"/>
    <d v="2024-06-02T00:00:00"/>
    <n v="299.73"/>
    <n v="0.6"/>
    <n v="30920.820000000003"/>
    <x v="0"/>
    <x v="0"/>
  </r>
  <r>
    <x v="3167"/>
    <x v="2"/>
    <n v="458"/>
    <n v="48"/>
    <n v="11"/>
    <n v="2"/>
    <n v="23.32"/>
    <x v="58"/>
    <x v="3"/>
    <n v="105"/>
    <n v="3.79"/>
    <n v="59.44"/>
    <n v="0.37"/>
    <n v="0"/>
    <n v="0.98"/>
    <n v="165"/>
    <n v="13.39"/>
    <n v="0.38"/>
    <d v="2024-05-08T00:00:00"/>
    <n v="54.97"/>
    <n v="0.81399999999999995"/>
    <n v="27223.52"/>
    <x v="0"/>
    <x v="0"/>
  </r>
  <r>
    <x v="3168"/>
    <x v="1"/>
    <n v="481"/>
    <n v="58"/>
    <n v="6"/>
    <n v="6"/>
    <n v="40.19"/>
    <x v="55"/>
    <x v="2"/>
    <n v="117"/>
    <n v="3.82"/>
    <n v="69.77"/>
    <n v="0.36"/>
    <n v="7"/>
    <n v="0.79"/>
    <n v="224"/>
    <n v="9.18"/>
    <n v="0.47"/>
    <d v="2024-10-14T00:00:00"/>
    <n v="232.69"/>
    <n v="0.59799999999999998"/>
    <n v="33559.369999999995"/>
    <x v="0"/>
    <x v="0"/>
  </r>
  <r>
    <x v="3169"/>
    <x v="2"/>
    <n v="286"/>
    <n v="21"/>
    <n v="6"/>
    <n v="2"/>
    <n v="32.729999999999997"/>
    <x v="31"/>
    <x v="0"/>
    <n v="108"/>
    <n v="3.91"/>
    <n v="97.87"/>
    <n v="0.24"/>
    <n v="7"/>
    <n v="0.95"/>
    <n v="782"/>
    <n v="12.1"/>
    <n v="0.24"/>
    <d v="2024-10-17T00:00:00"/>
    <n v="52.65"/>
    <n v="0.63500000000000001"/>
    <n v="27990.82"/>
    <x v="0"/>
    <x v="0"/>
  </r>
  <r>
    <x v="3170"/>
    <x v="3"/>
    <n v="173"/>
    <n v="19"/>
    <n v="9"/>
    <n v="4"/>
    <n v="1.18"/>
    <x v="79"/>
    <x v="0"/>
    <n v="104"/>
    <n v="3.85"/>
    <n v="13.52"/>
    <n v="0.7"/>
    <n v="6"/>
    <n v="0.83"/>
    <n v="473"/>
    <n v="1.77"/>
    <n v="0.96"/>
    <d v="2024-01-25T00:00:00"/>
    <n v="285.57"/>
    <n v="0.59199999999999997"/>
    <n v="2338.96"/>
    <x v="0"/>
    <x v="1"/>
  </r>
  <r>
    <x v="3171"/>
    <x v="0"/>
    <n v="61"/>
    <n v="80"/>
    <n v="12"/>
    <n v="7"/>
    <n v="13.43"/>
    <x v="66"/>
    <x v="0"/>
    <n v="109"/>
    <n v="0.59"/>
    <n v="123.59"/>
    <n v="0.9"/>
    <n v="5"/>
    <n v="0.9"/>
    <n v="177"/>
    <n v="10.43"/>
    <n v="0.61"/>
    <d v="2024-07-22T00:00:00"/>
    <n v="129.19"/>
    <n v="0.65100000000000002"/>
    <n v="7538.99"/>
    <x v="1"/>
    <x v="2"/>
  </r>
  <r>
    <x v="3172"/>
    <x v="2"/>
    <n v="430"/>
    <n v="64"/>
    <n v="12"/>
    <n v="5"/>
    <n v="25.2"/>
    <x v="23"/>
    <x v="2"/>
    <n v="100"/>
    <n v="4.66"/>
    <n v="16.02"/>
    <n v="0.98"/>
    <n v="0"/>
    <n v="0.8"/>
    <n v="538"/>
    <n v="2.11"/>
    <n v="0.79"/>
    <d v="2024-02-20T00:00:00"/>
    <n v="294.18"/>
    <n v="0.64800000000000002"/>
    <n v="6888.5999999999995"/>
    <x v="0"/>
    <x v="0"/>
  </r>
  <r>
    <x v="3173"/>
    <x v="0"/>
    <n v="30"/>
    <n v="10"/>
    <n v="4"/>
    <n v="4"/>
    <n v="31.32"/>
    <x v="24"/>
    <x v="1"/>
    <n v="53"/>
    <n v="4.24"/>
    <n v="112.45"/>
    <n v="0.94"/>
    <n v="9"/>
    <n v="0.85"/>
    <n v="54"/>
    <n v="8.7899999999999991"/>
    <n v="0.61"/>
    <d v="2024-12-19T00:00:00"/>
    <n v="29.7"/>
    <n v="0.53500000000000003"/>
    <n v="3373.5"/>
    <x v="0"/>
    <x v="2"/>
  </r>
  <r>
    <x v="3174"/>
    <x v="1"/>
    <n v="313"/>
    <n v="58"/>
    <n v="5"/>
    <n v="5"/>
    <n v="4.21"/>
    <x v="95"/>
    <x v="2"/>
    <n v="137"/>
    <n v="1.74"/>
    <n v="97"/>
    <n v="1.1000000000000001"/>
    <n v="7"/>
    <n v="0.79"/>
    <n v="375"/>
    <n v="7.97"/>
    <n v="0.82"/>
    <d v="2024-03-24T00:00:00"/>
    <n v="239.38"/>
    <n v="0.57799999999999996"/>
    <n v="30361"/>
    <x v="0"/>
    <x v="0"/>
  </r>
  <r>
    <x v="3175"/>
    <x v="2"/>
    <n v="117"/>
    <n v="45"/>
    <n v="5"/>
    <n v="8"/>
    <n v="35.549999999999997"/>
    <x v="30"/>
    <x v="2"/>
    <n v="32"/>
    <n v="2.99"/>
    <n v="56.08"/>
    <n v="1.73"/>
    <n v="4"/>
    <n v="0.72"/>
    <n v="747"/>
    <n v="14.24"/>
    <n v="0.63"/>
    <d v="2024-01-31T00:00:00"/>
    <n v="147.28"/>
    <n v="0.60699999999999998"/>
    <n v="6561.36"/>
    <x v="0"/>
    <x v="1"/>
  </r>
  <r>
    <x v="3176"/>
    <x v="4"/>
    <n v="446"/>
    <n v="30"/>
    <n v="8"/>
    <n v="6"/>
    <n v="27.63"/>
    <x v="85"/>
    <x v="1"/>
    <n v="32"/>
    <n v="3.27"/>
    <n v="72.66"/>
    <n v="1.3"/>
    <n v="3"/>
    <n v="0.74"/>
    <n v="221"/>
    <n v="2.85"/>
    <n v="0.76"/>
    <d v="2024-04-20T00:00:00"/>
    <n v="93.95"/>
    <n v="0.54800000000000004"/>
    <n v="32406.359999999997"/>
    <x v="0"/>
    <x v="0"/>
  </r>
  <r>
    <x v="3177"/>
    <x v="0"/>
    <n v="294"/>
    <n v="46"/>
    <n v="5"/>
    <n v="2"/>
    <n v="26.76"/>
    <x v="31"/>
    <x v="1"/>
    <n v="64"/>
    <n v="1.0900000000000001"/>
    <n v="144.08000000000001"/>
    <n v="0.13"/>
    <n v="4"/>
    <n v="0.79"/>
    <n v="248"/>
    <n v="1.1299999999999999"/>
    <n v="0.75"/>
    <d v="2024-05-10T00:00:00"/>
    <n v="226.89"/>
    <n v="0.63"/>
    <n v="42359.520000000004"/>
    <x v="0"/>
    <x v="0"/>
  </r>
  <r>
    <x v="3178"/>
    <x v="1"/>
    <n v="467"/>
    <n v="33"/>
    <n v="13"/>
    <n v="3"/>
    <n v="15.31"/>
    <x v="96"/>
    <x v="2"/>
    <n v="170"/>
    <n v="1.64"/>
    <n v="11.82"/>
    <n v="0.43"/>
    <n v="4"/>
    <n v="0.99"/>
    <n v="280"/>
    <n v="2.92"/>
    <n v="0.63"/>
    <d v="2024-08-31T00:00:00"/>
    <n v="194.25"/>
    <n v="0.64"/>
    <n v="5519.9400000000005"/>
    <x v="0"/>
    <x v="0"/>
  </r>
  <r>
    <x v="3179"/>
    <x v="4"/>
    <n v="409"/>
    <n v="64"/>
    <n v="7"/>
    <n v="3"/>
    <n v="30.15"/>
    <x v="75"/>
    <x v="1"/>
    <n v="86"/>
    <n v="0.6"/>
    <n v="70.16"/>
    <n v="0.76"/>
    <n v="9"/>
    <n v="0.99"/>
    <n v="849"/>
    <n v="3.39"/>
    <n v="0.38"/>
    <d v="2024-11-18T00:00:00"/>
    <n v="271.83999999999997"/>
    <n v="0.46300000000000002"/>
    <n v="28695.439999999999"/>
    <x v="0"/>
    <x v="0"/>
  </r>
  <r>
    <x v="3180"/>
    <x v="4"/>
    <n v="449"/>
    <n v="34"/>
    <n v="6"/>
    <n v="5"/>
    <n v="2.35"/>
    <x v="39"/>
    <x v="0"/>
    <n v="72"/>
    <n v="4.3899999999999997"/>
    <n v="139.26"/>
    <n v="1.9"/>
    <n v="2"/>
    <n v="0.95"/>
    <n v="896"/>
    <n v="4.51"/>
    <n v="0.37"/>
    <d v="2024-02-19T00:00:00"/>
    <n v="82.15"/>
    <n v="0.49399999999999999"/>
    <n v="62527.74"/>
    <x v="0"/>
    <x v="0"/>
  </r>
  <r>
    <x v="3181"/>
    <x v="4"/>
    <n v="391"/>
    <n v="16"/>
    <n v="5"/>
    <n v="7"/>
    <n v="4.17"/>
    <x v="91"/>
    <x v="3"/>
    <n v="112"/>
    <n v="0.61"/>
    <n v="38.93"/>
    <n v="0.25"/>
    <n v="3"/>
    <n v="0.77"/>
    <n v="676"/>
    <n v="12.41"/>
    <n v="0.9"/>
    <d v="2024-08-18T00:00:00"/>
    <n v="282.52999999999997"/>
    <n v="0.81399999999999995"/>
    <n v="15221.63"/>
    <x v="0"/>
    <x v="0"/>
  </r>
  <r>
    <x v="3182"/>
    <x v="4"/>
    <n v="249"/>
    <n v="90"/>
    <n v="10"/>
    <n v="7"/>
    <n v="36.96"/>
    <x v="89"/>
    <x v="1"/>
    <n v="69"/>
    <n v="1.93"/>
    <n v="116.47"/>
    <n v="1.45"/>
    <n v="3"/>
    <n v="0.83"/>
    <n v="382"/>
    <n v="6.28"/>
    <n v="0.3"/>
    <d v="2024-06-20T00:00:00"/>
    <n v="196.14"/>
    <n v="0.505"/>
    <n v="29001.03"/>
    <x v="0"/>
    <x v="1"/>
  </r>
  <r>
    <x v="3183"/>
    <x v="2"/>
    <n v="388"/>
    <n v="80"/>
    <n v="12"/>
    <n v="5"/>
    <n v="16.77"/>
    <x v="6"/>
    <x v="3"/>
    <n v="89"/>
    <n v="0.85"/>
    <n v="42.1"/>
    <n v="0.16"/>
    <n v="7"/>
    <n v="0.83"/>
    <n v="515"/>
    <n v="12.77"/>
    <n v="0.65"/>
    <d v="2024-05-13T00:00:00"/>
    <n v="140.63"/>
    <n v="0.71"/>
    <n v="16334.800000000001"/>
    <x v="0"/>
    <x v="0"/>
  </r>
  <r>
    <x v="3184"/>
    <x v="2"/>
    <n v="445"/>
    <n v="80"/>
    <n v="5"/>
    <n v="4"/>
    <n v="18"/>
    <x v="85"/>
    <x v="0"/>
    <n v="104"/>
    <n v="4.0199999999999996"/>
    <n v="39.4"/>
    <n v="0.79"/>
    <n v="4"/>
    <n v="0.82"/>
    <n v="891"/>
    <n v="4.8099999999999996"/>
    <n v="0.6"/>
    <d v="2024-07-03T00:00:00"/>
    <n v="25.41"/>
    <n v="0.58899999999999997"/>
    <n v="17533"/>
    <x v="0"/>
    <x v="0"/>
  </r>
  <r>
    <x v="3185"/>
    <x v="2"/>
    <n v="239"/>
    <n v="33"/>
    <n v="8"/>
    <n v="3"/>
    <n v="11.21"/>
    <x v="49"/>
    <x v="1"/>
    <n v="78"/>
    <n v="4.66"/>
    <n v="156.72999999999999"/>
    <n v="1.56"/>
    <n v="5"/>
    <n v="0.71"/>
    <n v="473"/>
    <n v="13.05"/>
    <n v="0.84"/>
    <d v="2024-07-03T00:00:00"/>
    <n v="231.9"/>
    <n v="0.628"/>
    <n v="37458.47"/>
    <x v="0"/>
    <x v="1"/>
  </r>
  <r>
    <x v="3186"/>
    <x v="1"/>
    <n v="84"/>
    <n v="20"/>
    <n v="9"/>
    <n v="4"/>
    <n v="22.84"/>
    <x v="71"/>
    <x v="2"/>
    <n v="123"/>
    <n v="3.03"/>
    <n v="60.64"/>
    <n v="0.75"/>
    <n v="9"/>
    <n v="0.86"/>
    <n v="362"/>
    <n v="1.1100000000000001"/>
    <n v="0.31"/>
    <d v="2024-10-13T00:00:00"/>
    <n v="258.94"/>
    <n v="0.39400000000000002"/>
    <n v="5093.76"/>
    <x v="0"/>
    <x v="2"/>
  </r>
  <r>
    <x v="3187"/>
    <x v="1"/>
    <n v="374"/>
    <n v="82"/>
    <n v="9"/>
    <n v="6"/>
    <n v="3.55"/>
    <x v="61"/>
    <x v="2"/>
    <n v="113"/>
    <n v="1.1299999999999999"/>
    <n v="81.400000000000006"/>
    <n v="0.92"/>
    <n v="1"/>
    <n v="0.72"/>
    <n v="572"/>
    <n v="14.08"/>
    <n v="0.75"/>
    <d v="2024-10-12T00:00:00"/>
    <n v="244.78"/>
    <n v="0.77"/>
    <n v="30443.600000000002"/>
    <x v="0"/>
    <x v="0"/>
  </r>
  <r>
    <x v="3188"/>
    <x v="1"/>
    <n v="251"/>
    <n v="21"/>
    <n v="4"/>
    <n v="3"/>
    <n v="15.72"/>
    <x v="65"/>
    <x v="0"/>
    <n v="117"/>
    <n v="3.01"/>
    <n v="148.69999999999999"/>
    <n v="1.82"/>
    <n v="8"/>
    <n v="0.94"/>
    <n v="473"/>
    <n v="11.44"/>
    <n v="0.68"/>
    <d v="2024-05-11T00:00:00"/>
    <n v="223.34"/>
    <n v="0.53500000000000003"/>
    <n v="37323.699999999997"/>
    <x v="0"/>
    <x v="0"/>
  </r>
  <r>
    <x v="3189"/>
    <x v="3"/>
    <n v="347"/>
    <n v="44"/>
    <n v="5"/>
    <n v="6"/>
    <n v="26.83"/>
    <x v="19"/>
    <x v="1"/>
    <n v="98"/>
    <n v="3.97"/>
    <n v="44.11"/>
    <n v="0.23"/>
    <n v="7"/>
    <n v="0.91"/>
    <n v="665"/>
    <n v="6.78"/>
    <n v="0.76"/>
    <d v="2024-06-25T00:00:00"/>
    <n v="291.13"/>
    <n v="0.66100000000000003"/>
    <n v="15306.17"/>
    <x v="0"/>
    <x v="0"/>
  </r>
  <r>
    <x v="3190"/>
    <x v="1"/>
    <n v="462"/>
    <n v="72"/>
    <n v="14"/>
    <n v="2"/>
    <n v="23.82"/>
    <x v="95"/>
    <x v="2"/>
    <n v="30"/>
    <n v="3.73"/>
    <n v="111.03"/>
    <n v="1.1000000000000001"/>
    <n v="7"/>
    <n v="0.81"/>
    <n v="224"/>
    <n v="9.08"/>
    <n v="0.7"/>
    <d v="2024-01-11T00:00:00"/>
    <n v="256.24"/>
    <n v="0.57299999999999995"/>
    <n v="51295.86"/>
    <x v="0"/>
    <x v="0"/>
  </r>
  <r>
    <x v="3191"/>
    <x v="2"/>
    <n v="71"/>
    <n v="77"/>
    <n v="12"/>
    <n v="4"/>
    <n v="49.98"/>
    <x v="24"/>
    <x v="1"/>
    <n v="140"/>
    <n v="3.84"/>
    <n v="184.39"/>
    <n v="0.8"/>
    <n v="9"/>
    <n v="0.89"/>
    <n v="947"/>
    <n v="14.06"/>
    <n v="0.65"/>
    <d v="2024-07-29T00:00:00"/>
    <n v="279.08"/>
    <n v="0.63500000000000001"/>
    <n v="13091.689999999999"/>
    <x v="1"/>
    <x v="2"/>
  </r>
  <r>
    <x v="3192"/>
    <x v="2"/>
    <n v="393"/>
    <n v="66"/>
    <n v="12"/>
    <n v="5"/>
    <n v="20.05"/>
    <x v="19"/>
    <x v="3"/>
    <n v="19"/>
    <n v="1.76"/>
    <n v="115.23"/>
    <n v="1.93"/>
    <n v="4"/>
    <n v="0.77"/>
    <n v="997"/>
    <n v="9.16"/>
    <n v="0.94"/>
    <d v="2024-03-03T00:00:00"/>
    <n v="221.84"/>
    <n v="0.59099999999999997"/>
    <n v="45285.39"/>
    <x v="0"/>
    <x v="0"/>
  </r>
  <r>
    <x v="3193"/>
    <x v="3"/>
    <n v="450"/>
    <n v="22"/>
    <n v="6"/>
    <n v="3"/>
    <n v="19.96"/>
    <x v="79"/>
    <x v="2"/>
    <n v="96"/>
    <n v="0.83"/>
    <n v="19.28"/>
    <n v="1.61"/>
    <n v="4"/>
    <n v="0.78"/>
    <n v="423"/>
    <n v="4.2"/>
    <n v="0.48"/>
    <d v="2024-06-28T00:00:00"/>
    <n v="247.86"/>
    <n v="0.46700000000000003"/>
    <n v="8676"/>
    <x v="0"/>
    <x v="0"/>
  </r>
  <r>
    <x v="3194"/>
    <x v="3"/>
    <n v="395"/>
    <n v="32"/>
    <n v="9"/>
    <n v="4"/>
    <n v="25.68"/>
    <x v="7"/>
    <x v="0"/>
    <n v="179"/>
    <n v="1.17"/>
    <n v="122.04"/>
    <n v="0.33"/>
    <n v="2"/>
    <n v="0.79"/>
    <n v="681"/>
    <n v="9.02"/>
    <n v="0.35"/>
    <d v="2024-12-13T00:00:00"/>
    <n v="93.86"/>
    <n v="0.67500000000000004"/>
    <n v="48205.8"/>
    <x v="0"/>
    <x v="0"/>
  </r>
  <r>
    <x v="3195"/>
    <x v="1"/>
    <n v="282"/>
    <n v="92"/>
    <n v="4"/>
    <n v="5"/>
    <n v="10.32"/>
    <x v="78"/>
    <x v="2"/>
    <n v="100"/>
    <n v="4.8"/>
    <n v="27.13"/>
    <n v="1.86"/>
    <n v="1"/>
    <n v="0.94"/>
    <n v="286"/>
    <n v="13.2"/>
    <n v="0.84"/>
    <d v="2024-11-06T00:00:00"/>
    <n v="203.98"/>
    <n v="0.72599999999999998"/>
    <n v="7650.66"/>
    <x v="0"/>
    <x v="0"/>
  </r>
  <r>
    <x v="3196"/>
    <x v="0"/>
    <n v="286"/>
    <n v="48"/>
    <n v="5"/>
    <n v="2"/>
    <n v="43.94"/>
    <x v="5"/>
    <x v="0"/>
    <n v="146"/>
    <n v="3.26"/>
    <n v="63.6"/>
    <n v="0.5"/>
    <n v="8"/>
    <n v="0.76"/>
    <n v="797"/>
    <n v="14.82"/>
    <n v="0.3"/>
    <d v="2024-04-11T00:00:00"/>
    <n v="69.61"/>
    <n v="0.6"/>
    <n v="18189.600000000002"/>
    <x v="0"/>
    <x v="0"/>
  </r>
  <r>
    <x v="3197"/>
    <x v="3"/>
    <n v="378"/>
    <n v="97"/>
    <n v="9"/>
    <n v="3"/>
    <n v="29.04"/>
    <x v="80"/>
    <x v="0"/>
    <n v="132"/>
    <n v="3.78"/>
    <n v="171.44"/>
    <n v="0.26"/>
    <n v="5"/>
    <n v="0.87"/>
    <n v="866"/>
    <n v="9.18"/>
    <n v="0.74"/>
    <d v="2024-10-22T00:00:00"/>
    <n v="30.09"/>
    <n v="0.71799999999999997"/>
    <n v="64804.32"/>
    <x v="0"/>
    <x v="0"/>
  </r>
  <r>
    <x v="3198"/>
    <x v="4"/>
    <n v="336"/>
    <n v="89"/>
    <n v="9"/>
    <n v="6"/>
    <n v="10.41"/>
    <x v="54"/>
    <x v="3"/>
    <n v="13"/>
    <n v="4.55"/>
    <n v="12.1"/>
    <n v="1.1299999999999999"/>
    <n v="7"/>
    <n v="0.76"/>
    <n v="492"/>
    <n v="3.18"/>
    <n v="0.64"/>
    <d v="2024-10-21T00:00:00"/>
    <n v="177.98"/>
    <n v="0.46899999999999997"/>
    <n v="4065.6"/>
    <x v="0"/>
    <x v="0"/>
  </r>
  <r>
    <x v="3199"/>
    <x v="2"/>
    <n v="343"/>
    <n v="21"/>
    <n v="12"/>
    <n v="2"/>
    <n v="39.880000000000003"/>
    <x v="94"/>
    <x v="3"/>
    <n v="99"/>
    <n v="4.34"/>
    <n v="24.63"/>
    <n v="1.5"/>
    <n v="3"/>
    <n v="0.79"/>
    <n v="87"/>
    <n v="11.8"/>
    <n v="0.2"/>
    <d v="2024-11-28T00:00:00"/>
    <n v="237.04"/>
    <n v="0.54500000000000004"/>
    <n v="8448.09"/>
    <x v="0"/>
    <x v="0"/>
  </r>
  <r>
    <x v="3200"/>
    <x v="4"/>
    <n v="428"/>
    <n v="43"/>
    <n v="5"/>
    <n v="7"/>
    <n v="2.68"/>
    <x v="58"/>
    <x v="0"/>
    <n v="105"/>
    <n v="1.48"/>
    <n v="79.040000000000006"/>
    <n v="1.46"/>
    <n v="4"/>
    <n v="0.77"/>
    <n v="833"/>
    <n v="14.96"/>
    <n v="0.39"/>
    <d v="2024-11-28T00:00:00"/>
    <n v="34"/>
    <n v="0.60499999999999998"/>
    <n v="33829.120000000003"/>
    <x v="0"/>
    <x v="0"/>
  </r>
  <r>
    <x v="3201"/>
    <x v="2"/>
    <n v="415"/>
    <n v="80"/>
    <n v="14"/>
    <n v="5"/>
    <n v="49.15"/>
    <x v="41"/>
    <x v="2"/>
    <n v="38"/>
    <n v="0.76"/>
    <n v="199.89"/>
    <n v="1.1100000000000001"/>
    <n v="9"/>
    <n v="0.89"/>
    <n v="937"/>
    <n v="7.63"/>
    <n v="0.6"/>
    <d v="2024-10-02T00:00:00"/>
    <n v="62.57"/>
    <n v="0.50900000000000001"/>
    <n v="82954.349999999991"/>
    <x v="0"/>
    <x v="0"/>
  </r>
  <r>
    <x v="3202"/>
    <x v="2"/>
    <n v="173"/>
    <n v="84"/>
    <n v="3"/>
    <n v="9"/>
    <n v="43.39"/>
    <x v="25"/>
    <x v="0"/>
    <n v="95"/>
    <n v="4.66"/>
    <n v="65.45"/>
    <n v="1.04"/>
    <n v="4"/>
    <n v="0.86"/>
    <n v="905"/>
    <n v="6.37"/>
    <n v="0.46"/>
    <d v="2024-03-30T00:00:00"/>
    <n v="36.96"/>
    <n v="0.56499999999999995"/>
    <n v="11322.85"/>
    <x v="0"/>
    <x v="1"/>
  </r>
  <r>
    <x v="3203"/>
    <x v="3"/>
    <n v="377"/>
    <n v="40"/>
    <n v="14"/>
    <n v="3"/>
    <n v="29.4"/>
    <x v="53"/>
    <x v="1"/>
    <n v="56"/>
    <n v="4.92"/>
    <n v="39.880000000000003"/>
    <n v="1.94"/>
    <n v="9"/>
    <n v="0.92"/>
    <n v="812"/>
    <n v="8.74"/>
    <n v="0.54"/>
    <d v="2024-05-25T00:00:00"/>
    <n v="193.91"/>
    <n v="0.435"/>
    <n v="15034.7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2AF51-87C1-453F-8700-17570583C048}" name="PivotTable8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26:J32" firstHeaderRow="0" firstDataRow="1" firstDataCol="1"/>
  <pivotFields count="24">
    <pivotField compact="0" outline="0" showAll="0"/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1">
        <item x="26"/>
        <item x="59"/>
        <item x="64"/>
        <item x="41"/>
        <item x="11"/>
        <item x="32"/>
        <item x="8"/>
        <item x="1"/>
        <item x="40"/>
        <item x="90"/>
        <item x="7"/>
        <item x="71"/>
        <item x="81"/>
        <item x="30"/>
        <item x="28"/>
        <item x="60"/>
        <item x="84"/>
        <item x="96"/>
        <item x="48"/>
        <item x="20"/>
        <item x="54"/>
        <item x="15"/>
        <item x="6"/>
        <item x="87"/>
        <item x="16"/>
        <item x="89"/>
        <item x="5"/>
        <item x="80"/>
        <item x="35"/>
        <item x="56"/>
        <item x="4"/>
        <item x="98"/>
        <item x="43"/>
        <item x="85"/>
        <item x="2"/>
        <item x="88"/>
        <item x="66"/>
        <item x="63"/>
        <item x="94"/>
        <item x="29"/>
        <item x="34"/>
        <item x="33"/>
        <item x="46"/>
        <item x="53"/>
        <item x="31"/>
        <item x="14"/>
        <item x="78"/>
        <item x="70"/>
        <item x="67"/>
        <item x="95"/>
        <item x="24"/>
        <item x="13"/>
        <item x="83"/>
        <item x="92"/>
        <item x="25"/>
        <item x="38"/>
        <item x="36"/>
        <item x="61"/>
        <item x="91"/>
        <item x="97"/>
        <item x="86"/>
        <item x="69"/>
        <item x="17"/>
        <item x="74"/>
        <item x="93"/>
        <item x="79"/>
        <item x="39"/>
        <item x="76"/>
        <item x="10"/>
        <item x="42"/>
        <item x="19"/>
        <item x="68"/>
        <item x="47"/>
        <item x="73"/>
        <item x="12"/>
        <item x="77"/>
        <item x="18"/>
        <item x="99"/>
        <item x="65"/>
        <item x="45"/>
        <item x="44"/>
        <item x="0"/>
        <item x="58"/>
        <item x="22"/>
        <item x="51"/>
        <item x="55"/>
        <item x="9"/>
        <item x="57"/>
        <item x="62"/>
        <item x="50"/>
        <item x="23"/>
        <item x="49"/>
        <item x="21"/>
        <item x="82"/>
        <item x="37"/>
        <item x="3"/>
        <item x="72"/>
        <item x="75"/>
        <item x="27"/>
        <item x="52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ock_level" fld="2" subtotal="average" baseField="0" baseItem="0"/>
    <dataField name="Average of forecasted_demand_next_7d" fld="19" subtotal="average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D700B-C797-48A0-B9FB-3FA0EAADD499}" name="PivotTable7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B26" firstHeaderRow="1" firstDataRow="1" firstDataCol="1"/>
  <pivotFields count="24">
    <pivotField compact="0" outline="0" showAll="0">
      <items count="3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t="default"/>
      </items>
    </pivotField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rder_fulfillment_rate" fld="14" subtotal="average" baseField="0" baseItem="0"/>
  </dataFields>
  <formats count="2">
    <format dxfId="27">
      <pivotArea outline="0" fieldPosition="0">
        <references count="1">
          <reference field="1" count="1" selected="0">
            <x v="0"/>
          </reference>
        </references>
      </pivotArea>
    </format>
    <format dxfId="28">
      <pivotArea outline="0" fieldPosition="0">
        <references count="1">
          <reference field="1" count="4" selected="0">
            <x v="1"/>
            <x v="2"/>
            <x v="3"/>
            <x v="4"/>
          </reference>
        </references>
      </pivotArea>
    </format>
  </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4EC09-D0B7-4F7F-951C-B665FD78BE4D}" name="PivotTable2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1:B17" firstHeaderRow="1" firstDataRow="1" firstDataCol="1"/>
  <pivotFields count="24">
    <pivotField compact="0" outline="0" showAll="0"/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ventory Value" fld="21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29F9D-B549-4175-AB2E-5EB402686466}" name="PivotTable6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7:I22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orders_last_month" fld="1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749DB-0995-4718-A314-42724F9405E4}" name="PivotTable5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9:I13" firstHeaderRow="1" firstDataRow="1" firstDataCol="1"/>
  <pivotFields count="2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_id" fld="0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D1C0C-1898-4AF8-AEC3-EC0C3C8603E5}" name="PivotTable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2:I5" firstHeaderRow="1" firstDataRow="1" firstDataCol="1"/>
  <pivotFields count="2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item_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AB6FE-2A25-499C-9357-7287677BE008}" name="PivotTable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8" firstHeaderRow="1" firstDataRow="1" firstDataCol="1"/>
  <pivotFields count="24">
    <pivotField compact="0" outline="0" showAll="0"/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_level" fld="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ADD1FD4-E435-47C0-8894-F9722CDD871C}" sourceName="category">
  <pivotTables>
    <pivotTable tabId="3" name="PivotTable1"/>
  </pivotTables>
  <data>
    <tabular pivotCacheId="1845953214">
      <items count="5">
        <i x="3" s="1"/>
        <i x="1" s="1"/>
        <i x="4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zone" xr10:uid="{53CDBBA9-531F-4215-AF0B-23DC05500926}" sourceName="zone">
  <pivotTables>
    <pivotTable tabId="3" name="PivotTable1"/>
  </pivotTables>
  <data>
    <tabular pivotCacheId="1845953214">
      <items count="4">
        <i x="1" s="1"/>
        <i x="0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014F0622-DB4C-46BC-BBF1-B2E142680C8F}" cache="Slicer_category" caption="category" rowHeight="228600"/>
  <slicer name="zone" xr10:uid="{30E69953-271C-4480-AAAF-3B2366BCF095}" cache="Slicer_zone" caption="zon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D5B7CC-B2C1-477F-9A3F-C46173A30DB3}" name="Table3" displayName="Table3" ref="A2:X3206" totalsRowShown="0" headerRowBorderDxfId="25" tableBorderDxfId="26" totalsRowBorderDxfId="24">
  <autoFilter ref="A2:X3206" xr:uid="{DFD5B7CC-B2C1-477F-9A3F-C46173A30DB3}"/>
  <tableColumns count="24">
    <tableColumn id="1" xr3:uid="{1E975F98-1BC5-43D5-BC2B-02F765A48BCD}" name="item_id" dataDxfId="23"/>
    <tableColumn id="2" xr3:uid="{630E21EE-A3DA-4DB4-9748-23AC02E469EF}" name="category" dataDxfId="22"/>
    <tableColumn id="3" xr3:uid="{0BC3DB1F-98CF-4F3D-83AF-B6BE3426ACEE}" name="stock_level" dataDxfId="21"/>
    <tableColumn id="4" xr3:uid="{B3704242-34F5-4474-9505-8B3C76E03CA9}" name="reorder_point" dataDxfId="20"/>
    <tableColumn id="5" xr3:uid="{0414D970-DDEF-40B8-9588-B9432799454F}" name="reorder_frequency_days" dataDxfId="19"/>
    <tableColumn id="6" xr3:uid="{1CBD437E-2A54-4091-A62F-1BFF8CC87297}" name="lead_time_days" dataDxfId="18"/>
    <tableColumn id="7" xr3:uid="{8A133969-58C9-4C31-871C-36B205110EAC}" name="daily_demand" dataDxfId="17"/>
    <tableColumn id="8" xr3:uid="{F88251D1-6BEF-4F62-A21E-79A0339F1C54}" name="storage_location_id" dataDxfId="16"/>
    <tableColumn id="9" xr3:uid="{5D11C6FE-7833-47C4-BC86-5027C1279DEE}" name="zone" dataDxfId="15"/>
    <tableColumn id="10" xr3:uid="{D8DDC52B-59D6-4754-8D86-040CE6882809}" name="picking_time_seconds" dataDxfId="14"/>
    <tableColumn id="11" xr3:uid="{099C98C9-94F1-4091-8D92-5B9BD61ACBD6}" name="handling_cost_per_unit" dataDxfId="13"/>
    <tableColumn id="12" xr3:uid="{3F7ECB2E-FAB9-4904-ADEC-5B67AA004108}" name="unit_price" dataDxfId="12"/>
    <tableColumn id="13" xr3:uid="{DDBC90A2-5880-424D-B47E-B1DDBF5EFAD7}" name="holding_cost_per_unit_day" dataDxfId="11"/>
    <tableColumn id="14" xr3:uid="{0A73063D-B2A3-4CE6-9E4C-089AF6FF5FB1}" name="stockout_count_last_month" dataDxfId="10"/>
    <tableColumn id="15" xr3:uid="{C8B1B9E2-CBCE-4012-AB0F-1089F2089FA6}" name="order_fulfillment_rate" dataDxfId="9"/>
    <tableColumn id="16" xr3:uid="{AB179FC1-AD22-42BD-A5BC-CF58B5D5D703}" name="total_orders_last_month" dataDxfId="8"/>
    <tableColumn id="17" xr3:uid="{320ADA79-2A38-42AA-8840-FF39751BFADD}" name="turnover_ratio" dataDxfId="7"/>
    <tableColumn id="18" xr3:uid="{EDF548E5-7FF1-4961-B3CD-95231E87D58A}" name="layout_efficiency_score" dataDxfId="6"/>
    <tableColumn id="19" xr3:uid="{515149D1-AB41-4D10-B917-BDFD689EE3DB}" name="last_restock_date" dataDxfId="5"/>
    <tableColumn id="20" xr3:uid="{246245E0-384C-4294-BB84-276BB1632843}" name="forecasted_demand_next_7d" dataDxfId="4"/>
    <tableColumn id="21" xr3:uid="{5337FBBF-4CE4-4001-BB0C-6A0E42FB0F71}" name="KPI_score" dataDxfId="3"/>
    <tableColumn id="22" xr3:uid="{3748DD3D-99D2-4412-A4AA-A9C087C975A1}" name="Inventory Value" dataDxfId="2">
      <calculatedColumnFormula>C3*L3</calculatedColumnFormula>
    </tableColumn>
    <tableColumn id="23" xr3:uid="{595B4015-2614-4AD4-A6D4-E173DE13FA1F}" name="Reorder Status " dataDxfId="1">
      <calculatedColumnFormula>IF(C3&lt;=D3,"Reorder Required","Sufficient")</calculatedColumnFormula>
    </tableColumn>
    <tableColumn id="24" xr3:uid="{815D168E-86BC-4A56-A0F3-509611332F9D}" name="Stock Status" dataDxfId="0">
      <calculatedColumnFormula>IF(C3&lt;100,"LOW",IF(C3&lt;250,"Medium","High"))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486D-6ED2-4BF4-B3B3-EAFF3E20B503}">
  <dimension ref="A2:X3206"/>
  <sheetViews>
    <sheetView topLeftCell="A2" workbookViewId="0">
      <selection activeCell="H14" sqref="H14"/>
    </sheetView>
  </sheetViews>
  <sheetFormatPr defaultRowHeight="15"/>
  <cols>
    <col min="1" max="1" width="10" bestFit="1" customWidth="1"/>
    <col min="2" max="2" width="11.42578125" bestFit="1" customWidth="1"/>
    <col min="3" max="3" width="13.140625" bestFit="1" customWidth="1"/>
    <col min="4" max="4" width="15.7109375" bestFit="1" customWidth="1"/>
    <col min="5" max="5" width="25" bestFit="1" customWidth="1"/>
    <col min="6" max="6" width="17.28515625" bestFit="1" customWidth="1"/>
    <col min="7" max="7" width="15.85546875" bestFit="1" customWidth="1"/>
    <col min="8" max="8" width="20.85546875" bestFit="1" customWidth="1"/>
    <col min="9" max="9" width="7.42578125" bestFit="1" customWidth="1"/>
    <col min="10" max="10" width="22.85546875" bestFit="1" customWidth="1"/>
    <col min="11" max="11" width="24.28515625" bestFit="1" customWidth="1"/>
    <col min="12" max="12" width="12.140625" style="3" bestFit="1" customWidth="1"/>
    <col min="13" max="13" width="27.5703125" bestFit="1" customWidth="1"/>
    <col min="14" max="14" width="28.28515625" bestFit="1" customWidth="1"/>
    <col min="15" max="15" width="23.140625" bestFit="1" customWidth="1"/>
    <col min="16" max="16" width="25.42578125" bestFit="1" customWidth="1"/>
    <col min="17" max="17" width="16.28515625" bestFit="1" customWidth="1"/>
    <col min="18" max="18" width="24.140625" bestFit="1" customWidth="1"/>
    <col min="19" max="19" width="19" bestFit="1" customWidth="1"/>
    <col min="20" max="20" width="29.28515625" bestFit="1" customWidth="1"/>
    <col min="21" max="21" width="11.85546875" bestFit="1" customWidth="1"/>
    <col min="22" max="22" width="17.28515625" bestFit="1" customWidth="1"/>
    <col min="23" max="23" width="16.85546875" bestFit="1" customWidth="1"/>
    <col min="24" max="24" width="14" bestFit="1" customWidth="1"/>
  </cols>
  <sheetData>
    <row r="2" spans="1:24">
      <c r="A2" s="29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5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  <c r="S2" s="24" t="s">
        <v>18</v>
      </c>
      <c r="T2" s="24" t="s">
        <v>19</v>
      </c>
      <c r="U2" s="24" t="s">
        <v>20</v>
      </c>
      <c r="V2" s="26" t="s">
        <v>21</v>
      </c>
      <c r="W2" s="27" t="s">
        <v>22</v>
      </c>
      <c r="X2" s="28" t="s">
        <v>23</v>
      </c>
    </row>
    <row r="3" spans="1:24">
      <c r="A3" s="7" t="s">
        <v>24</v>
      </c>
      <c r="B3" s="1" t="s">
        <v>25</v>
      </c>
      <c r="C3" s="1">
        <v>283</v>
      </c>
      <c r="D3" s="1">
        <v>21</v>
      </c>
      <c r="E3" s="1">
        <v>4</v>
      </c>
      <c r="F3" s="1">
        <v>4</v>
      </c>
      <c r="G3" s="1">
        <v>49.85</v>
      </c>
      <c r="H3" s="1" t="s">
        <v>26</v>
      </c>
      <c r="I3" s="1" t="s">
        <v>27</v>
      </c>
      <c r="J3" s="1">
        <v>106</v>
      </c>
      <c r="K3" s="1">
        <v>3.61</v>
      </c>
      <c r="L3" s="4">
        <v>117.8</v>
      </c>
      <c r="M3" s="1">
        <v>1.1399999999999999</v>
      </c>
      <c r="N3" s="1">
        <v>0</v>
      </c>
      <c r="O3" s="1">
        <v>0.8</v>
      </c>
      <c r="P3" s="1">
        <v>700</v>
      </c>
      <c r="Q3" s="1">
        <v>3.33</v>
      </c>
      <c r="R3" s="1">
        <v>0.33</v>
      </c>
      <c r="S3" s="2">
        <v>45339</v>
      </c>
      <c r="T3" s="1">
        <v>184.37</v>
      </c>
      <c r="U3" s="1">
        <v>0.55600000000000005</v>
      </c>
      <c r="V3" s="6">
        <f>C3*L3</f>
        <v>33337.4</v>
      </c>
      <c r="W3" s="6" t="str">
        <f>IF(C3&lt;=D3,"Reorder Required","Sufficient")</f>
        <v>Sufficient</v>
      </c>
      <c r="X3" s="8" t="str">
        <f>IF(C3&lt;100,"LOW",IF(C3&lt;250,"Medium","High"))</f>
        <v>High</v>
      </c>
    </row>
    <row r="4" spans="1:24">
      <c r="A4" s="7" t="s">
        <v>28</v>
      </c>
      <c r="B4" s="1" t="s">
        <v>29</v>
      </c>
      <c r="C4" s="1">
        <v>301</v>
      </c>
      <c r="D4" s="1">
        <v>52</v>
      </c>
      <c r="E4" s="1">
        <v>9</v>
      </c>
      <c r="F4" s="1">
        <v>6</v>
      </c>
      <c r="G4" s="1">
        <v>23.34</v>
      </c>
      <c r="H4" s="1" t="s">
        <v>30</v>
      </c>
      <c r="I4" s="1" t="s">
        <v>31</v>
      </c>
      <c r="J4" s="1">
        <v>45</v>
      </c>
      <c r="K4" s="1">
        <v>3.54</v>
      </c>
      <c r="L4" s="4">
        <v>178.8</v>
      </c>
      <c r="M4" s="1">
        <v>1.0900000000000001</v>
      </c>
      <c r="N4" s="1">
        <v>3</v>
      </c>
      <c r="O4" s="1">
        <v>0.79</v>
      </c>
      <c r="P4" s="1">
        <v>736</v>
      </c>
      <c r="Q4" s="1">
        <v>10.36</v>
      </c>
      <c r="R4" s="1">
        <v>0.98</v>
      </c>
      <c r="S4" s="2">
        <v>45566</v>
      </c>
      <c r="T4" s="1">
        <v>221.94</v>
      </c>
      <c r="U4" s="1">
        <v>0.72299999999999998</v>
      </c>
      <c r="V4" s="6">
        <f t="shared" ref="V4:V67" si="0">C4*L4</f>
        <v>53818.8</v>
      </c>
      <c r="W4" s="6" t="str">
        <f t="shared" ref="W4:W67" si="1">IF(C4&lt;=D4,"Reorder Required","Sufficient")</f>
        <v>Sufficient</v>
      </c>
      <c r="X4" s="8" t="str">
        <f t="shared" ref="X4:X67" si="2">IF(C4&lt;100,"LOW",IF(C4&lt;250,"Medium","High"))</f>
        <v>High</v>
      </c>
    </row>
    <row r="5" spans="1:24">
      <c r="A5" s="7" t="s">
        <v>32</v>
      </c>
      <c r="B5" s="1" t="s">
        <v>33</v>
      </c>
      <c r="C5" s="1">
        <v>132</v>
      </c>
      <c r="D5" s="1">
        <v>60</v>
      </c>
      <c r="E5" s="1">
        <v>11</v>
      </c>
      <c r="F5" s="1">
        <v>8</v>
      </c>
      <c r="G5" s="1">
        <v>37.69</v>
      </c>
      <c r="H5" s="1" t="s">
        <v>34</v>
      </c>
      <c r="I5" s="1" t="s">
        <v>27</v>
      </c>
      <c r="J5" s="1">
        <v>177</v>
      </c>
      <c r="K5" s="1">
        <v>0.52</v>
      </c>
      <c r="L5" s="4">
        <v>54.05</v>
      </c>
      <c r="M5" s="1">
        <v>0.95</v>
      </c>
      <c r="N5" s="1">
        <v>7</v>
      </c>
      <c r="O5" s="1">
        <v>0.75</v>
      </c>
      <c r="P5" s="1">
        <v>814</v>
      </c>
      <c r="Q5" s="1">
        <v>14.32</v>
      </c>
      <c r="R5" s="1">
        <v>0.87</v>
      </c>
      <c r="S5" s="2">
        <v>45389</v>
      </c>
      <c r="T5" s="1">
        <v>53.85</v>
      </c>
      <c r="U5" s="1">
        <v>0.68</v>
      </c>
      <c r="V5" s="6">
        <f t="shared" si="0"/>
        <v>7134.5999999999995</v>
      </c>
      <c r="W5" s="6" t="str">
        <f t="shared" si="1"/>
        <v>Sufficient</v>
      </c>
      <c r="X5" s="8" t="str">
        <f t="shared" si="2"/>
        <v>Medium</v>
      </c>
    </row>
    <row r="6" spans="1:24">
      <c r="A6" s="7" t="s">
        <v>35</v>
      </c>
      <c r="B6" s="1" t="s">
        <v>29</v>
      </c>
      <c r="C6" s="1">
        <v>346</v>
      </c>
      <c r="D6" s="1">
        <v>46</v>
      </c>
      <c r="E6" s="1">
        <v>13</v>
      </c>
      <c r="F6" s="1">
        <v>5</v>
      </c>
      <c r="G6" s="1">
        <v>33.69</v>
      </c>
      <c r="H6" s="1" t="s">
        <v>36</v>
      </c>
      <c r="I6" s="1" t="s">
        <v>31</v>
      </c>
      <c r="J6" s="1">
        <v>39</v>
      </c>
      <c r="K6" s="1">
        <v>2.64</v>
      </c>
      <c r="L6" s="4">
        <v>31.1</v>
      </c>
      <c r="M6" s="1">
        <v>1.9</v>
      </c>
      <c r="N6" s="1">
        <v>0</v>
      </c>
      <c r="O6" s="1">
        <v>0.96</v>
      </c>
      <c r="P6" s="1">
        <v>994</v>
      </c>
      <c r="Q6" s="1">
        <v>2.08</v>
      </c>
      <c r="R6" s="1">
        <v>0.28999999999999998</v>
      </c>
      <c r="S6" s="2">
        <v>45318</v>
      </c>
      <c r="T6" s="1">
        <v>92.04</v>
      </c>
      <c r="U6" s="1">
        <v>0.48799999999999999</v>
      </c>
      <c r="V6" s="6">
        <f t="shared" si="0"/>
        <v>10760.6</v>
      </c>
      <c r="W6" s="6" t="str">
        <f t="shared" si="1"/>
        <v>Sufficient</v>
      </c>
      <c r="X6" s="8" t="str">
        <f t="shared" si="2"/>
        <v>High</v>
      </c>
    </row>
    <row r="7" spans="1:24">
      <c r="A7" s="7" t="s">
        <v>37</v>
      </c>
      <c r="B7" s="1" t="s">
        <v>29</v>
      </c>
      <c r="C7" s="1">
        <v>49</v>
      </c>
      <c r="D7" s="1">
        <v>55</v>
      </c>
      <c r="E7" s="1">
        <v>4</v>
      </c>
      <c r="F7" s="1">
        <v>6</v>
      </c>
      <c r="G7" s="1">
        <v>49.58</v>
      </c>
      <c r="H7" s="1" t="s">
        <v>38</v>
      </c>
      <c r="I7" s="1" t="s">
        <v>39</v>
      </c>
      <c r="J7" s="1">
        <v>35</v>
      </c>
      <c r="K7" s="1">
        <v>1.4</v>
      </c>
      <c r="L7" s="4">
        <v>104.97</v>
      </c>
      <c r="M7" s="1">
        <v>0.63</v>
      </c>
      <c r="N7" s="1">
        <v>5</v>
      </c>
      <c r="O7" s="1">
        <v>0.83</v>
      </c>
      <c r="P7" s="1">
        <v>299</v>
      </c>
      <c r="Q7" s="1">
        <v>5.65</v>
      </c>
      <c r="R7" s="1">
        <v>0.96</v>
      </c>
      <c r="S7" s="2">
        <v>45429</v>
      </c>
      <c r="T7" s="1">
        <v>194.58</v>
      </c>
      <c r="U7" s="1">
        <v>0.67</v>
      </c>
      <c r="V7" s="6">
        <f t="shared" si="0"/>
        <v>5143.53</v>
      </c>
      <c r="W7" s="6" t="str">
        <f t="shared" si="1"/>
        <v>Reorder Required</v>
      </c>
      <c r="X7" s="8" t="str">
        <f t="shared" si="2"/>
        <v>LOW</v>
      </c>
    </row>
    <row r="8" spans="1:24">
      <c r="A8" s="7" t="s">
        <v>40</v>
      </c>
      <c r="B8" s="1" t="s">
        <v>41</v>
      </c>
      <c r="C8" s="1">
        <v>154</v>
      </c>
      <c r="D8" s="1">
        <v>62</v>
      </c>
      <c r="E8" s="1">
        <v>9</v>
      </c>
      <c r="F8" s="1">
        <v>6</v>
      </c>
      <c r="G8" s="1">
        <v>35.950000000000003</v>
      </c>
      <c r="H8" s="1" t="s">
        <v>42</v>
      </c>
      <c r="I8" s="1" t="s">
        <v>31</v>
      </c>
      <c r="J8" s="1">
        <v>94</v>
      </c>
      <c r="K8" s="1">
        <v>1.96</v>
      </c>
      <c r="L8" s="4">
        <v>164.12</v>
      </c>
      <c r="M8" s="1">
        <v>0.66</v>
      </c>
      <c r="N8" s="1">
        <v>1</v>
      </c>
      <c r="O8" s="1">
        <v>0.99</v>
      </c>
      <c r="P8" s="1">
        <v>477</v>
      </c>
      <c r="Q8" s="1">
        <v>7.61</v>
      </c>
      <c r="R8" s="1">
        <v>0.95</v>
      </c>
      <c r="S8" s="2">
        <v>45485</v>
      </c>
      <c r="T8" s="1">
        <v>180.65</v>
      </c>
      <c r="U8" s="1">
        <v>0.80300000000000005</v>
      </c>
      <c r="V8" s="6">
        <f t="shared" si="0"/>
        <v>25274.48</v>
      </c>
      <c r="W8" s="6" t="str">
        <f t="shared" si="1"/>
        <v>Sufficient</v>
      </c>
      <c r="X8" s="8" t="str">
        <f t="shared" si="2"/>
        <v>Medium</v>
      </c>
    </row>
    <row r="9" spans="1:24">
      <c r="A9" s="7" t="s">
        <v>43</v>
      </c>
      <c r="B9" s="1" t="s">
        <v>33</v>
      </c>
      <c r="C9" s="1">
        <v>86</v>
      </c>
      <c r="D9" s="1">
        <v>97</v>
      </c>
      <c r="E9" s="1">
        <v>6</v>
      </c>
      <c r="F9" s="1">
        <v>4</v>
      </c>
      <c r="G9" s="1">
        <v>9.0399999999999991</v>
      </c>
      <c r="H9" s="1" t="s">
        <v>44</v>
      </c>
      <c r="I9" s="1" t="s">
        <v>45</v>
      </c>
      <c r="J9" s="1">
        <v>110</v>
      </c>
      <c r="K9" s="1">
        <v>4.9000000000000004</v>
      </c>
      <c r="L9" s="4">
        <v>134.38</v>
      </c>
      <c r="M9" s="1">
        <v>0.37</v>
      </c>
      <c r="N9" s="1">
        <v>8</v>
      </c>
      <c r="O9" s="1">
        <v>0.88</v>
      </c>
      <c r="P9" s="1">
        <v>418</v>
      </c>
      <c r="Q9" s="1">
        <v>4.25</v>
      </c>
      <c r="R9" s="1">
        <v>0.45</v>
      </c>
      <c r="S9" s="2">
        <v>45636</v>
      </c>
      <c r="T9" s="1">
        <v>223.69</v>
      </c>
      <c r="U9" s="1">
        <v>0.52600000000000002</v>
      </c>
      <c r="V9" s="6">
        <f t="shared" si="0"/>
        <v>11556.68</v>
      </c>
      <c r="W9" s="6" t="str">
        <f t="shared" si="1"/>
        <v>Reorder Required</v>
      </c>
      <c r="X9" s="8" t="str">
        <f t="shared" si="2"/>
        <v>LOW</v>
      </c>
    </row>
    <row r="10" spans="1:24">
      <c r="A10" s="7" t="s">
        <v>46</v>
      </c>
      <c r="B10" s="1" t="s">
        <v>33</v>
      </c>
      <c r="C10" s="1">
        <v>84</v>
      </c>
      <c r="D10" s="1">
        <v>89</v>
      </c>
      <c r="E10" s="1">
        <v>13</v>
      </c>
      <c r="F10" s="1">
        <v>4</v>
      </c>
      <c r="G10" s="1">
        <v>47.82</v>
      </c>
      <c r="H10" s="1" t="s">
        <v>47</v>
      </c>
      <c r="I10" s="1" t="s">
        <v>39</v>
      </c>
      <c r="J10" s="1">
        <v>130</v>
      </c>
      <c r="K10" s="1">
        <v>0.88</v>
      </c>
      <c r="L10" s="4">
        <v>131.09</v>
      </c>
      <c r="M10" s="1">
        <v>1.42</v>
      </c>
      <c r="N10" s="1">
        <v>7</v>
      </c>
      <c r="O10" s="1">
        <v>0.74</v>
      </c>
      <c r="P10" s="1">
        <v>958</v>
      </c>
      <c r="Q10" s="1">
        <v>11.37</v>
      </c>
      <c r="R10" s="1">
        <v>0.7</v>
      </c>
      <c r="S10" s="2">
        <v>45601</v>
      </c>
      <c r="T10" s="1">
        <v>195.75</v>
      </c>
      <c r="U10" s="1">
        <v>0.55800000000000005</v>
      </c>
      <c r="V10" s="6">
        <f t="shared" si="0"/>
        <v>11011.56</v>
      </c>
      <c r="W10" s="6" t="str">
        <f t="shared" si="1"/>
        <v>Reorder Required</v>
      </c>
      <c r="X10" s="8" t="str">
        <f t="shared" si="2"/>
        <v>LOW</v>
      </c>
    </row>
    <row r="11" spans="1:24">
      <c r="A11" s="7" t="s">
        <v>48</v>
      </c>
      <c r="B11" s="1" t="s">
        <v>33</v>
      </c>
      <c r="C11" s="1">
        <v>311</v>
      </c>
      <c r="D11" s="1">
        <v>22</v>
      </c>
      <c r="E11" s="1">
        <v>4</v>
      </c>
      <c r="F11" s="1">
        <v>9</v>
      </c>
      <c r="G11" s="1">
        <v>33.72</v>
      </c>
      <c r="H11" s="1" t="s">
        <v>36</v>
      </c>
      <c r="I11" s="1" t="s">
        <v>39</v>
      </c>
      <c r="J11" s="1">
        <v>40</v>
      </c>
      <c r="K11" s="1">
        <v>3.75</v>
      </c>
      <c r="L11" s="4">
        <v>13.32</v>
      </c>
      <c r="M11" s="1">
        <v>0.71</v>
      </c>
      <c r="N11" s="1">
        <v>8</v>
      </c>
      <c r="O11" s="1">
        <v>0.86</v>
      </c>
      <c r="P11" s="1">
        <v>697</v>
      </c>
      <c r="Q11" s="1">
        <v>10.64</v>
      </c>
      <c r="R11" s="1">
        <v>0.28999999999999998</v>
      </c>
      <c r="S11" s="2">
        <v>45600</v>
      </c>
      <c r="T11" s="1">
        <v>105.74</v>
      </c>
      <c r="U11" s="1">
        <v>0.54100000000000004</v>
      </c>
      <c r="V11" s="6">
        <f t="shared" si="0"/>
        <v>4142.5200000000004</v>
      </c>
      <c r="W11" s="6" t="str">
        <f t="shared" si="1"/>
        <v>Sufficient</v>
      </c>
      <c r="X11" s="8" t="str">
        <f t="shared" si="2"/>
        <v>High</v>
      </c>
    </row>
    <row r="12" spans="1:24">
      <c r="A12" s="7" t="s">
        <v>49</v>
      </c>
      <c r="B12" s="1" t="s">
        <v>29</v>
      </c>
      <c r="C12" s="1">
        <v>44</v>
      </c>
      <c r="D12" s="1">
        <v>98</v>
      </c>
      <c r="E12" s="1">
        <v>9</v>
      </c>
      <c r="F12" s="1">
        <v>8</v>
      </c>
      <c r="G12" s="1">
        <v>3.91</v>
      </c>
      <c r="H12" s="1" t="s">
        <v>50</v>
      </c>
      <c r="I12" s="1" t="s">
        <v>31</v>
      </c>
      <c r="J12" s="1">
        <v>26</v>
      </c>
      <c r="K12" s="1">
        <v>1.28</v>
      </c>
      <c r="L12" s="4">
        <v>70.319999999999993</v>
      </c>
      <c r="M12" s="1">
        <v>1.63</v>
      </c>
      <c r="N12" s="1">
        <v>8</v>
      </c>
      <c r="O12" s="1">
        <v>1</v>
      </c>
      <c r="P12" s="1">
        <v>496</v>
      </c>
      <c r="Q12" s="1">
        <v>2.65</v>
      </c>
      <c r="R12" s="1">
        <v>0.27</v>
      </c>
      <c r="S12" s="2">
        <v>45312</v>
      </c>
      <c r="T12" s="1">
        <v>154.78</v>
      </c>
      <c r="U12" s="1">
        <v>0.36599999999999999</v>
      </c>
      <c r="V12" s="6">
        <f t="shared" si="0"/>
        <v>3094.08</v>
      </c>
      <c r="W12" s="6" t="str">
        <f t="shared" si="1"/>
        <v>Reorder Required</v>
      </c>
      <c r="X12" s="8" t="str">
        <f t="shared" si="2"/>
        <v>LOW</v>
      </c>
    </row>
    <row r="13" spans="1:24">
      <c r="A13" s="7" t="s">
        <v>51</v>
      </c>
      <c r="B13" s="1" t="s">
        <v>25</v>
      </c>
      <c r="C13" s="1">
        <v>56</v>
      </c>
      <c r="D13" s="1">
        <v>63</v>
      </c>
      <c r="E13" s="1">
        <v>7</v>
      </c>
      <c r="F13" s="1">
        <v>2</v>
      </c>
      <c r="G13" s="1">
        <v>33.22</v>
      </c>
      <c r="H13" s="1" t="s">
        <v>52</v>
      </c>
      <c r="I13" s="1" t="s">
        <v>27</v>
      </c>
      <c r="J13" s="1">
        <v>107</v>
      </c>
      <c r="K13" s="1">
        <v>0.53</v>
      </c>
      <c r="L13" s="4">
        <v>188.5</v>
      </c>
      <c r="M13" s="1">
        <v>1.95</v>
      </c>
      <c r="N13" s="1">
        <v>1</v>
      </c>
      <c r="O13" s="1">
        <v>0.87</v>
      </c>
      <c r="P13" s="1">
        <v>71</v>
      </c>
      <c r="Q13" s="1">
        <v>8.9700000000000006</v>
      </c>
      <c r="R13" s="1">
        <v>0.6</v>
      </c>
      <c r="S13" s="2">
        <v>45329</v>
      </c>
      <c r="T13" s="1">
        <v>266.58</v>
      </c>
      <c r="U13" s="1">
        <v>0.59899999999999998</v>
      </c>
      <c r="V13" s="6">
        <f t="shared" si="0"/>
        <v>10556</v>
      </c>
      <c r="W13" s="6" t="str">
        <f t="shared" si="1"/>
        <v>Reorder Required</v>
      </c>
      <c r="X13" s="8" t="str">
        <f t="shared" si="2"/>
        <v>LOW</v>
      </c>
    </row>
    <row r="14" spans="1:24">
      <c r="A14" s="7" t="s">
        <v>53</v>
      </c>
      <c r="B14" s="1" t="s">
        <v>33</v>
      </c>
      <c r="C14" s="1">
        <v>20</v>
      </c>
      <c r="D14" s="1">
        <v>66</v>
      </c>
      <c r="E14" s="1">
        <v>3</v>
      </c>
      <c r="F14" s="1">
        <v>7</v>
      </c>
      <c r="G14" s="1">
        <v>44.27</v>
      </c>
      <c r="H14" s="1" t="s">
        <v>36</v>
      </c>
      <c r="I14" s="1" t="s">
        <v>31</v>
      </c>
      <c r="J14" s="1">
        <v>135</v>
      </c>
      <c r="K14" s="1">
        <v>2.76</v>
      </c>
      <c r="L14" s="4">
        <v>35.51</v>
      </c>
      <c r="M14" s="1">
        <v>0.18</v>
      </c>
      <c r="N14" s="1">
        <v>1</v>
      </c>
      <c r="O14" s="1">
        <v>0.7</v>
      </c>
      <c r="P14" s="1">
        <v>599</v>
      </c>
      <c r="Q14" s="1">
        <v>6.16</v>
      </c>
      <c r="R14" s="1">
        <v>0.24</v>
      </c>
      <c r="S14" s="2">
        <v>45388</v>
      </c>
      <c r="T14" s="1">
        <v>63.97</v>
      </c>
      <c r="U14" s="1">
        <v>0.63200000000000001</v>
      </c>
      <c r="V14" s="6">
        <f t="shared" si="0"/>
        <v>710.19999999999993</v>
      </c>
      <c r="W14" s="6" t="str">
        <f t="shared" si="1"/>
        <v>Reorder Required</v>
      </c>
      <c r="X14" s="8" t="str">
        <f t="shared" si="2"/>
        <v>LOW</v>
      </c>
    </row>
    <row r="15" spans="1:24">
      <c r="A15" s="7" t="s">
        <v>54</v>
      </c>
      <c r="B15" s="1" t="s">
        <v>29</v>
      </c>
      <c r="C15" s="1">
        <v>418</v>
      </c>
      <c r="D15" s="1">
        <v>13</v>
      </c>
      <c r="E15" s="1">
        <v>7</v>
      </c>
      <c r="F15" s="1">
        <v>3</v>
      </c>
      <c r="G15" s="1">
        <v>29.28</v>
      </c>
      <c r="H15" s="1" t="s">
        <v>55</v>
      </c>
      <c r="I15" s="1" t="s">
        <v>31</v>
      </c>
      <c r="J15" s="1">
        <v>33</v>
      </c>
      <c r="K15" s="1">
        <v>1.23</v>
      </c>
      <c r="L15" s="4">
        <v>148.01</v>
      </c>
      <c r="M15" s="1">
        <v>1.99</v>
      </c>
      <c r="N15" s="1">
        <v>8</v>
      </c>
      <c r="O15" s="1">
        <v>0.98</v>
      </c>
      <c r="P15" s="1">
        <v>588</v>
      </c>
      <c r="Q15" s="1">
        <v>4.2</v>
      </c>
      <c r="R15" s="1">
        <v>0.9</v>
      </c>
      <c r="S15" s="2">
        <v>45592</v>
      </c>
      <c r="T15" s="1">
        <v>119.26</v>
      </c>
      <c r="U15" s="1">
        <v>0.47299999999999998</v>
      </c>
      <c r="V15" s="6">
        <f t="shared" si="0"/>
        <v>61868.179999999993</v>
      </c>
      <c r="W15" s="6" t="str">
        <f t="shared" si="1"/>
        <v>Sufficient</v>
      </c>
      <c r="X15" s="8" t="str">
        <f t="shared" si="2"/>
        <v>High</v>
      </c>
    </row>
    <row r="16" spans="1:24">
      <c r="A16" s="7" t="s">
        <v>56</v>
      </c>
      <c r="B16" s="1" t="s">
        <v>41</v>
      </c>
      <c r="C16" s="1">
        <v>56</v>
      </c>
      <c r="D16" s="1">
        <v>84</v>
      </c>
      <c r="E16" s="1">
        <v>14</v>
      </c>
      <c r="F16" s="1">
        <v>5</v>
      </c>
      <c r="G16" s="1">
        <v>18.350000000000001</v>
      </c>
      <c r="H16" s="1" t="s">
        <v>57</v>
      </c>
      <c r="I16" s="1" t="s">
        <v>39</v>
      </c>
      <c r="J16" s="1">
        <v>131</v>
      </c>
      <c r="K16" s="1">
        <v>4.84</v>
      </c>
      <c r="L16" s="4">
        <v>154.27000000000001</v>
      </c>
      <c r="M16" s="1">
        <v>0.57999999999999996</v>
      </c>
      <c r="N16" s="1">
        <v>1</v>
      </c>
      <c r="O16" s="1">
        <v>0.77</v>
      </c>
      <c r="P16" s="1">
        <v>331</v>
      </c>
      <c r="Q16" s="1">
        <v>12.88</v>
      </c>
      <c r="R16" s="1">
        <v>0.94</v>
      </c>
      <c r="S16" s="2">
        <v>45635</v>
      </c>
      <c r="T16" s="1">
        <v>254.1</v>
      </c>
      <c r="U16" s="1">
        <v>0.83599999999999997</v>
      </c>
      <c r="V16" s="6">
        <f t="shared" si="0"/>
        <v>8639.1200000000008</v>
      </c>
      <c r="W16" s="6" t="str">
        <f t="shared" si="1"/>
        <v>Reorder Required</v>
      </c>
      <c r="X16" s="8" t="str">
        <f t="shared" si="2"/>
        <v>LOW</v>
      </c>
    </row>
    <row r="17" spans="1:24">
      <c r="A17" s="7" t="s">
        <v>58</v>
      </c>
      <c r="B17" s="1" t="s">
        <v>25</v>
      </c>
      <c r="C17" s="1">
        <v>160</v>
      </c>
      <c r="D17" s="1">
        <v>58</v>
      </c>
      <c r="E17" s="1">
        <v>14</v>
      </c>
      <c r="F17" s="1">
        <v>4</v>
      </c>
      <c r="G17" s="1">
        <v>41.22</v>
      </c>
      <c r="H17" s="1" t="s">
        <v>59</v>
      </c>
      <c r="I17" s="1" t="s">
        <v>45</v>
      </c>
      <c r="J17" s="1">
        <v>141</v>
      </c>
      <c r="K17" s="1">
        <v>1.42</v>
      </c>
      <c r="L17" s="4">
        <v>149.24</v>
      </c>
      <c r="M17" s="1">
        <v>0.9</v>
      </c>
      <c r="N17" s="1">
        <v>3</v>
      </c>
      <c r="O17" s="1">
        <v>0.91</v>
      </c>
      <c r="P17" s="1">
        <v>328</v>
      </c>
      <c r="Q17" s="1">
        <v>1.77</v>
      </c>
      <c r="R17" s="1">
        <v>0.25</v>
      </c>
      <c r="S17" s="2">
        <v>45578</v>
      </c>
      <c r="T17" s="1">
        <v>115.62</v>
      </c>
      <c r="U17" s="1">
        <v>0.50600000000000001</v>
      </c>
      <c r="V17" s="6">
        <f t="shared" si="0"/>
        <v>23878.400000000001</v>
      </c>
      <c r="W17" s="6" t="str">
        <f t="shared" si="1"/>
        <v>Sufficient</v>
      </c>
      <c r="X17" s="8" t="str">
        <f t="shared" si="2"/>
        <v>Medium</v>
      </c>
    </row>
    <row r="18" spans="1:24">
      <c r="A18" s="7" t="s">
        <v>60</v>
      </c>
      <c r="B18" s="1" t="s">
        <v>41</v>
      </c>
      <c r="C18" s="1">
        <v>251</v>
      </c>
      <c r="D18" s="1">
        <v>16</v>
      </c>
      <c r="E18" s="1">
        <v>5</v>
      </c>
      <c r="F18" s="1">
        <v>5</v>
      </c>
      <c r="G18" s="1">
        <v>39.340000000000003</v>
      </c>
      <c r="H18" s="1" t="s">
        <v>61</v>
      </c>
      <c r="I18" s="1" t="s">
        <v>27</v>
      </c>
      <c r="J18" s="1">
        <v>146</v>
      </c>
      <c r="K18" s="1">
        <v>1.36</v>
      </c>
      <c r="L18" s="4">
        <v>197.96</v>
      </c>
      <c r="M18" s="1">
        <v>1.58</v>
      </c>
      <c r="N18" s="1">
        <v>1</v>
      </c>
      <c r="O18" s="1">
        <v>0.85</v>
      </c>
      <c r="P18" s="1">
        <v>169</v>
      </c>
      <c r="Q18" s="1">
        <v>7.54</v>
      </c>
      <c r="R18" s="1">
        <v>0.24</v>
      </c>
      <c r="S18" s="2">
        <v>45403</v>
      </c>
      <c r="T18" s="1">
        <v>129.55000000000001</v>
      </c>
      <c r="U18" s="1">
        <v>0.54100000000000004</v>
      </c>
      <c r="V18" s="6">
        <f t="shared" si="0"/>
        <v>49687.96</v>
      </c>
      <c r="W18" s="6" t="str">
        <f t="shared" si="1"/>
        <v>Sufficient</v>
      </c>
      <c r="X18" s="8" t="str">
        <f t="shared" si="2"/>
        <v>High</v>
      </c>
    </row>
    <row r="19" spans="1:24">
      <c r="A19" s="7" t="s">
        <v>62</v>
      </c>
      <c r="B19" s="1" t="s">
        <v>25</v>
      </c>
      <c r="C19" s="1">
        <v>155</v>
      </c>
      <c r="D19" s="1">
        <v>20</v>
      </c>
      <c r="E19" s="1">
        <v>9</v>
      </c>
      <c r="F19" s="1">
        <v>7</v>
      </c>
      <c r="G19" s="1">
        <v>27.66</v>
      </c>
      <c r="H19" s="1" t="s">
        <v>63</v>
      </c>
      <c r="I19" s="1" t="s">
        <v>31</v>
      </c>
      <c r="J19" s="1">
        <v>139</v>
      </c>
      <c r="K19" s="1">
        <v>0.64</v>
      </c>
      <c r="L19" s="4">
        <v>87.75</v>
      </c>
      <c r="M19" s="1">
        <v>1.36</v>
      </c>
      <c r="N19" s="1">
        <v>0</v>
      </c>
      <c r="O19" s="1">
        <v>0.8</v>
      </c>
      <c r="P19" s="1">
        <v>302</v>
      </c>
      <c r="Q19" s="1">
        <v>7.65</v>
      </c>
      <c r="R19" s="1">
        <v>0.38</v>
      </c>
      <c r="S19" s="2">
        <v>45537</v>
      </c>
      <c r="T19" s="1">
        <v>102.57</v>
      </c>
      <c r="U19" s="1">
        <v>0.60199999999999998</v>
      </c>
      <c r="V19" s="6">
        <f t="shared" si="0"/>
        <v>13601.25</v>
      </c>
      <c r="W19" s="6" t="str">
        <f t="shared" si="1"/>
        <v>Sufficient</v>
      </c>
      <c r="X19" s="8" t="str">
        <f t="shared" si="2"/>
        <v>Medium</v>
      </c>
    </row>
    <row r="20" spans="1:24">
      <c r="A20" s="7" t="s">
        <v>64</v>
      </c>
      <c r="B20" s="1" t="s">
        <v>29</v>
      </c>
      <c r="C20" s="1">
        <v>408</v>
      </c>
      <c r="D20" s="1">
        <v>63</v>
      </c>
      <c r="E20" s="1">
        <v>8</v>
      </c>
      <c r="F20" s="1">
        <v>7</v>
      </c>
      <c r="G20" s="1">
        <v>8.56</v>
      </c>
      <c r="H20" s="1" t="s">
        <v>34</v>
      </c>
      <c r="I20" s="1" t="s">
        <v>45</v>
      </c>
      <c r="J20" s="1">
        <v>172</v>
      </c>
      <c r="K20" s="1">
        <v>1.98</v>
      </c>
      <c r="L20" s="4">
        <v>139.62</v>
      </c>
      <c r="M20" s="1">
        <v>1.58</v>
      </c>
      <c r="N20" s="1">
        <v>9</v>
      </c>
      <c r="O20" s="1">
        <v>0.78</v>
      </c>
      <c r="P20" s="1">
        <v>920</v>
      </c>
      <c r="Q20" s="1">
        <v>8.98</v>
      </c>
      <c r="R20" s="1">
        <v>0.94</v>
      </c>
      <c r="S20" s="2">
        <v>45398</v>
      </c>
      <c r="T20" s="1">
        <v>270.86</v>
      </c>
      <c r="U20" s="1">
        <v>0.52600000000000002</v>
      </c>
      <c r="V20" s="6">
        <f t="shared" si="0"/>
        <v>56964.959999999999</v>
      </c>
      <c r="W20" s="6" t="str">
        <f t="shared" si="1"/>
        <v>Sufficient</v>
      </c>
      <c r="X20" s="8" t="str">
        <f t="shared" si="2"/>
        <v>High</v>
      </c>
    </row>
    <row r="21" spans="1:24">
      <c r="A21" s="7" t="s">
        <v>65</v>
      </c>
      <c r="B21" s="1" t="s">
        <v>66</v>
      </c>
      <c r="C21" s="1">
        <v>207</v>
      </c>
      <c r="D21" s="1">
        <v>96</v>
      </c>
      <c r="E21" s="1">
        <v>10</v>
      </c>
      <c r="F21" s="1">
        <v>8</v>
      </c>
      <c r="G21" s="1">
        <v>13.3</v>
      </c>
      <c r="H21" s="1" t="s">
        <v>57</v>
      </c>
      <c r="I21" s="1" t="s">
        <v>45</v>
      </c>
      <c r="J21" s="1">
        <v>132</v>
      </c>
      <c r="K21" s="1">
        <v>0.61</v>
      </c>
      <c r="L21" s="4">
        <v>46.79</v>
      </c>
      <c r="M21" s="1">
        <v>0.99</v>
      </c>
      <c r="N21" s="1">
        <v>6</v>
      </c>
      <c r="O21" s="1">
        <v>0.98</v>
      </c>
      <c r="P21" s="1">
        <v>526</v>
      </c>
      <c r="Q21" s="1">
        <v>3.77</v>
      </c>
      <c r="R21" s="1">
        <v>0.82</v>
      </c>
      <c r="S21" s="2">
        <v>45462</v>
      </c>
      <c r="T21" s="1">
        <v>202.37</v>
      </c>
      <c r="U21" s="1">
        <v>0.59099999999999997</v>
      </c>
      <c r="V21" s="6">
        <f t="shared" si="0"/>
        <v>9685.5300000000007</v>
      </c>
      <c r="W21" s="6" t="str">
        <f t="shared" si="1"/>
        <v>Sufficient</v>
      </c>
      <c r="X21" s="8" t="str">
        <f t="shared" si="2"/>
        <v>Medium</v>
      </c>
    </row>
    <row r="22" spans="1:24">
      <c r="A22" s="7" t="s">
        <v>67</v>
      </c>
      <c r="B22" s="1" t="s">
        <v>25</v>
      </c>
      <c r="C22" s="1">
        <v>147</v>
      </c>
      <c r="D22" s="1">
        <v>54</v>
      </c>
      <c r="E22" s="1">
        <v>7</v>
      </c>
      <c r="F22" s="1">
        <v>6</v>
      </c>
      <c r="G22" s="1">
        <v>37.19</v>
      </c>
      <c r="H22" s="1" t="s">
        <v>68</v>
      </c>
      <c r="I22" s="1" t="s">
        <v>27</v>
      </c>
      <c r="J22" s="1">
        <v>47</v>
      </c>
      <c r="K22" s="1">
        <v>2.74</v>
      </c>
      <c r="L22" s="4">
        <v>85.94</v>
      </c>
      <c r="M22" s="1">
        <v>1.84</v>
      </c>
      <c r="N22" s="1">
        <v>4</v>
      </c>
      <c r="O22" s="1">
        <v>0.97</v>
      </c>
      <c r="P22" s="1">
        <v>114</v>
      </c>
      <c r="Q22" s="1">
        <v>13.2</v>
      </c>
      <c r="R22" s="1">
        <v>0.74</v>
      </c>
      <c r="S22" s="2">
        <v>45447</v>
      </c>
      <c r="T22" s="1">
        <v>70.55</v>
      </c>
      <c r="U22" s="1">
        <v>0.65400000000000003</v>
      </c>
      <c r="V22" s="6">
        <f t="shared" si="0"/>
        <v>12633.18</v>
      </c>
      <c r="W22" s="6" t="str">
        <f t="shared" si="1"/>
        <v>Sufficient</v>
      </c>
      <c r="X22" s="8" t="str">
        <f t="shared" si="2"/>
        <v>Medium</v>
      </c>
    </row>
    <row r="23" spans="1:24">
      <c r="A23" s="7" t="s">
        <v>69</v>
      </c>
      <c r="B23" s="1" t="s">
        <v>41</v>
      </c>
      <c r="C23" s="1">
        <v>220</v>
      </c>
      <c r="D23" s="1">
        <v>32</v>
      </c>
      <c r="E23" s="1">
        <v>4</v>
      </c>
      <c r="F23" s="1">
        <v>8</v>
      </c>
      <c r="G23" s="1">
        <v>40.5</v>
      </c>
      <c r="H23" s="1" t="s">
        <v>70</v>
      </c>
      <c r="I23" s="1" t="s">
        <v>45</v>
      </c>
      <c r="J23" s="1">
        <v>152</v>
      </c>
      <c r="K23" s="1">
        <v>2.78</v>
      </c>
      <c r="L23" s="4">
        <v>103.4</v>
      </c>
      <c r="M23" s="1">
        <v>1.6</v>
      </c>
      <c r="N23" s="1">
        <v>2</v>
      </c>
      <c r="O23" s="1">
        <v>0.85</v>
      </c>
      <c r="P23" s="1">
        <v>635</v>
      </c>
      <c r="Q23" s="1">
        <v>14.51</v>
      </c>
      <c r="R23" s="1">
        <v>0.82</v>
      </c>
      <c r="S23" s="2">
        <v>45299</v>
      </c>
      <c r="T23" s="1">
        <v>227.39</v>
      </c>
      <c r="U23" s="1">
        <v>0.72699999999999998</v>
      </c>
      <c r="V23" s="6">
        <f t="shared" si="0"/>
        <v>22748</v>
      </c>
      <c r="W23" s="6" t="str">
        <f t="shared" si="1"/>
        <v>Sufficient</v>
      </c>
      <c r="X23" s="8" t="str">
        <f t="shared" si="2"/>
        <v>Medium</v>
      </c>
    </row>
    <row r="24" spans="1:24">
      <c r="A24" s="7" t="s">
        <v>71</v>
      </c>
      <c r="B24" s="1" t="s">
        <v>29</v>
      </c>
      <c r="C24" s="1">
        <v>146</v>
      </c>
      <c r="D24" s="1">
        <v>37</v>
      </c>
      <c r="E24" s="1">
        <v>11</v>
      </c>
      <c r="F24" s="1">
        <v>3</v>
      </c>
      <c r="G24" s="1">
        <v>14.68</v>
      </c>
      <c r="H24" s="1" t="s">
        <v>72</v>
      </c>
      <c r="I24" s="1" t="s">
        <v>31</v>
      </c>
      <c r="J24" s="1">
        <v>179</v>
      </c>
      <c r="K24" s="1">
        <v>0.74</v>
      </c>
      <c r="L24" s="4">
        <v>50.82</v>
      </c>
      <c r="M24" s="1">
        <v>0.69</v>
      </c>
      <c r="N24" s="1">
        <v>7</v>
      </c>
      <c r="O24" s="1">
        <v>0.78</v>
      </c>
      <c r="P24" s="1">
        <v>352</v>
      </c>
      <c r="Q24" s="1">
        <v>8.69</v>
      </c>
      <c r="R24" s="1">
        <v>0.36</v>
      </c>
      <c r="S24" s="2">
        <v>45400</v>
      </c>
      <c r="T24" s="1">
        <v>21.17</v>
      </c>
      <c r="U24" s="1">
        <v>0.53500000000000003</v>
      </c>
      <c r="V24" s="6">
        <f t="shared" si="0"/>
        <v>7419.72</v>
      </c>
      <c r="W24" s="6" t="str">
        <f t="shared" si="1"/>
        <v>Sufficient</v>
      </c>
      <c r="X24" s="8" t="str">
        <f t="shared" si="2"/>
        <v>Medium</v>
      </c>
    </row>
    <row r="25" spans="1:24">
      <c r="A25" s="7" t="s">
        <v>73</v>
      </c>
      <c r="B25" s="1" t="s">
        <v>25</v>
      </c>
      <c r="C25" s="1">
        <v>276</v>
      </c>
      <c r="D25" s="1">
        <v>66</v>
      </c>
      <c r="E25" s="1">
        <v>13</v>
      </c>
      <c r="F25" s="1">
        <v>2</v>
      </c>
      <c r="G25" s="1">
        <v>19.03</v>
      </c>
      <c r="H25" s="1" t="s">
        <v>74</v>
      </c>
      <c r="I25" s="1" t="s">
        <v>39</v>
      </c>
      <c r="J25" s="1">
        <v>140</v>
      </c>
      <c r="K25" s="1">
        <v>1.58</v>
      </c>
      <c r="L25" s="4">
        <v>182.29</v>
      </c>
      <c r="M25" s="1">
        <v>1.9</v>
      </c>
      <c r="N25" s="1">
        <v>4</v>
      </c>
      <c r="O25" s="1">
        <v>0.73</v>
      </c>
      <c r="P25" s="1">
        <v>366</v>
      </c>
      <c r="Q25" s="1">
        <v>4.59</v>
      </c>
      <c r="R25" s="1">
        <v>0.41</v>
      </c>
      <c r="S25" s="2">
        <v>45389</v>
      </c>
      <c r="T25" s="1">
        <v>124.96</v>
      </c>
      <c r="U25" s="1">
        <v>0.41899999999999998</v>
      </c>
      <c r="V25" s="6">
        <f t="shared" si="0"/>
        <v>50312.04</v>
      </c>
      <c r="W25" s="6" t="str">
        <f t="shared" si="1"/>
        <v>Sufficient</v>
      </c>
      <c r="X25" s="8" t="str">
        <f t="shared" si="2"/>
        <v>High</v>
      </c>
    </row>
    <row r="26" spans="1:24">
      <c r="A26" s="7" t="s">
        <v>75</v>
      </c>
      <c r="B26" s="1" t="s">
        <v>66</v>
      </c>
      <c r="C26" s="1">
        <v>183</v>
      </c>
      <c r="D26" s="1">
        <v>35</v>
      </c>
      <c r="E26" s="1">
        <v>10</v>
      </c>
      <c r="F26" s="1">
        <v>5</v>
      </c>
      <c r="G26" s="1">
        <v>4.8</v>
      </c>
      <c r="H26" s="1" t="s">
        <v>34</v>
      </c>
      <c r="I26" s="1" t="s">
        <v>45</v>
      </c>
      <c r="J26" s="1">
        <v>168</v>
      </c>
      <c r="K26" s="1">
        <v>4.24</v>
      </c>
      <c r="L26" s="4">
        <v>146.08000000000001</v>
      </c>
      <c r="M26" s="1">
        <v>1.93</v>
      </c>
      <c r="N26" s="1">
        <v>0</v>
      </c>
      <c r="O26" s="1">
        <v>0.75</v>
      </c>
      <c r="P26" s="1">
        <v>223</v>
      </c>
      <c r="Q26" s="1">
        <v>13.28</v>
      </c>
      <c r="R26" s="1">
        <v>0.45</v>
      </c>
      <c r="S26" s="2">
        <v>45352</v>
      </c>
      <c r="T26" s="1">
        <v>273.83</v>
      </c>
      <c r="U26" s="1">
        <v>0.624</v>
      </c>
      <c r="V26" s="6">
        <f t="shared" si="0"/>
        <v>26732.640000000003</v>
      </c>
      <c r="W26" s="6" t="str">
        <f t="shared" si="1"/>
        <v>Sufficient</v>
      </c>
      <c r="X26" s="8" t="str">
        <f t="shared" si="2"/>
        <v>Medium</v>
      </c>
    </row>
    <row r="27" spans="1:24">
      <c r="A27" s="7" t="s">
        <v>76</v>
      </c>
      <c r="B27" s="1" t="s">
        <v>66</v>
      </c>
      <c r="C27" s="1">
        <v>54</v>
      </c>
      <c r="D27" s="1">
        <v>34</v>
      </c>
      <c r="E27" s="1">
        <v>8</v>
      </c>
      <c r="F27" s="1">
        <v>3</v>
      </c>
      <c r="G27" s="1">
        <v>35.96</v>
      </c>
      <c r="H27" s="1" t="s">
        <v>77</v>
      </c>
      <c r="I27" s="1" t="s">
        <v>39</v>
      </c>
      <c r="J27" s="1">
        <v>178</v>
      </c>
      <c r="K27" s="1">
        <v>2.58</v>
      </c>
      <c r="L27" s="4">
        <v>63.91</v>
      </c>
      <c r="M27" s="1">
        <v>0.89</v>
      </c>
      <c r="N27" s="1">
        <v>8</v>
      </c>
      <c r="O27" s="1">
        <v>0.86</v>
      </c>
      <c r="P27" s="1">
        <v>949</v>
      </c>
      <c r="Q27" s="1">
        <v>14.83</v>
      </c>
      <c r="R27" s="1">
        <v>0.68</v>
      </c>
      <c r="S27" s="2">
        <v>45537</v>
      </c>
      <c r="T27" s="1">
        <v>210.04</v>
      </c>
      <c r="U27" s="1">
        <v>0.65700000000000003</v>
      </c>
      <c r="V27" s="6">
        <f t="shared" si="0"/>
        <v>3451.14</v>
      </c>
      <c r="W27" s="6" t="str">
        <f t="shared" si="1"/>
        <v>Sufficient</v>
      </c>
      <c r="X27" s="8" t="str">
        <f t="shared" si="2"/>
        <v>LOW</v>
      </c>
    </row>
    <row r="28" spans="1:24">
      <c r="A28" s="7" t="s">
        <v>78</v>
      </c>
      <c r="B28" s="1" t="s">
        <v>33</v>
      </c>
      <c r="C28" s="1">
        <v>213</v>
      </c>
      <c r="D28" s="1">
        <v>63</v>
      </c>
      <c r="E28" s="1">
        <v>12</v>
      </c>
      <c r="F28" s="1">
        <v>9</v>
      </c>
      <c r="G28" s="1">
        <v>1.18</v>
      </c>
      <c r="H28" s="1" t="s">
        <v>79</v>
      </c>
      <c r="I28" s="1" t="s">
        <v>27</v>
      </c>
      <c r="J28" s="1">
        <v>66</v>
      </c>
      <c r="K28" s="1">
        <v>2.46</v>
      </c>
      <c r="L28" s="4">
        <v>35.64</v>
      </c>
      <c r="M28" s="1">
        <v>1.34</v>
      </c>
      <c r="N28" s="1">
        <v>4</v>
      </c>
      <c r="O28" s="1">
        <v>0.79</v>
      </c>
      <c r="P28" s="1">
        <v>464</v>
      </c>
      <c r="Q28" s="1">
        <v>11.39</v>
      </c>
      <c r="R28" s="1">
        <v>0.69</v>
      </c>
      <c r="S28" s="2">
        <v>45416</v>
      </c>
      <c r="T28" s="1">
        <v>240</v>
      </c>
      <c r="U28" s="1">
        <v>0.63400000000000001</v>
      </c>
      <c r="V28" s="6">
        <f t="shared" si="0"/>
        <v>7591.32</v>
      </c>
      <c r="W28" s="6" t="str">
        <f t="shared" si="1"/>
        <v>Sufficient</v>
      </c>
      <c r="X28" s="8" t="str">
        <f t="shared" si="2"/>
        <v>Medium</v>
      </c>
    </row>
    <row r="29" spans="1:24">
      <c r="A29" s="7" t="s">
        <v>80</v>
      </c>
      <c r="B29" s="1" t="s">
        <v>33</v>
      </c>
      <c r="C29" s="1">
        <v>210</v>
      </c>
      <c r="D29" s="1">
        <v>38</v>
      </c>
      <c r="E29" s="1">
        <v>9</v>
      </c>
      <c r="F29" s="1">
        <v>2</v>
      </c>
      <c r="G29" s="1">
        <v>3.28</v>
      </c>
      <c r="H29" s="1" t="s">
        <v>81</v>
      </c>
      <c r="I29" s="1" t="s">
        <v>27</v>
      </c>
      <c r="J29" s="1">
        <v>51</v>
      </c>
      <c r="K29" s="1">
        <v>3.64</v>
      </c>
      <c r="L29" s="4">
        <v>64.69</v>
      </c>
      <c r="M29" s="1">
        <v>1.65</v>
      </c>
      <c r="N29" s="1">
        <v>2</v>
      </c>
      <c r="O29" s="1">
        <v>0.71</v>
      </c>
      <c r="P29" s="1">
        <v>309</v>
      </c>
      <c r="Q29" s="1">
        <v>5.67</v>
      </c>
      <c r="R29" s="1">
        <v>0.37</v>
      </c>
      <c r="S29" s="2">
        <v>45648</v>
      </c>
      <c r="T29" s="1">
        <v>280.08</v>
      </c>
      <c r="U29" s="1">
        <v>0.48699999999999999</v>
      </c>
      <c r="V29" s="6">
        <f t="shared" si="0"/>
        <v>13584.9</v>
      </c>
      <c r="W29" s="6" t="str">
        <f t="shared" si="1"/>
        <v>Sufficient</v>
      </c>
      <c r="X29" s="8" t="str">
        <f t="shared" si="2"/>
        <v>Medium</v>
      </c>
    </row>
    <row r="30" spans="1:24">
      <c r="A30" s="7" t="s">
        <v>82</v>
      </c>
      <c r="B30" s="1" t="s">
        <v>41</v>
      </c>
      <c r="C30" s="1">
        <v>123</v>
      </c>
      <c r="D30" s="1">
        <v>92</v>
      </c>
      <c r="E30" s="1">
        <v>11</v>
      </c>
      <c r="F30" s="1">
        <v>5</v>
      </c>
      <c r="G30" s="1">
        <v>1.21</v>
      </c>
      <c r="H30" s="1" t="s">
        <v>83</v>
      </c>
      <c r="I30" s="1" t="s">
        <v>45</v>
      </c>
      <c r="J30" s="1">
        <v>62</v>
      </c>
      <c r="K30" s="1">
        <v>3.72</v>
      </c>
      <c r="L30" s="4">
        <v>128.37</v>
      </c>
      <c r="M30" s="1">
        <v>1.65</v>
      </c>
      <c r="N30" s="1">
        <v>5</v>
      </c>
      <c r="O30" s="1">
        <v>0.84</v>
      </c>
      <c r="P30" s="1">
        <v>334</v>
      </c>
      <c r="Q30" s="1">
        <v>4.3</v>
      </c>
      <c r="R30" s="1">
        <v>0.55000000000000004</v>
      </c>
      <c r="S30" s="2">
        <v>45601</v>
      </c>
      <c r="T30" s="1">
        <v>234.62</v>
      </c>
      <c r="U30" s="1">
        <v>0.47</v>
      </c>
      <c r="V30" s="6">
        <f t="shared" si="0"/>
        <v>15789.51</v>
      </c>
      <c r="W30" s="6" t="str">
        <f t="shared" si="1"/>
        <v>Sufficient</v>
      </c>
      <c r="X30" s="8" t="str">
        <f t="shared" si="2"/>
        <v>Medium</v>
      </c>
    </row>
    <row r="31" spans="1:24">
      <c r="A31" s="7" t="s">
        <v>84</v>
      </c>
      <c r="B31" s="1" t="s">
        <v>25</v>
      </c>
      <c r="C31" s="1">
        <v>42</v>
      </c>
      <c r="D31" s="1">
        <v>45</v>
      </c>
      <c r="E31" s="1">
        <v>9</v>
      </c>
      <c r="F31" s="1">
        <v>3</v>
      </c>
      <c r="G31" s="1">
        <v>32.619999999999997</v>
      </c>
      <c r="H31" s="1" t="s">
        <v>85</v>
      </c>
      <c r="I31" s="1" t="s">
        <v>39</v>
      </c>
      <c r="J31" s="1">
        <v>128</v>
      </c>
      <c r="K31" s="1">
        <v>3.93</v>
      </c>
      <c r="L31" s="4">
        <v>167.02</v>
      </c>
      <c r="M31" s="1">
        <v>0.13</v>
      </c>
      <c r="N31" s="1">
        <v>7</v>
      </c>
      <c r="O31" s="1">
        <v>0.92</v>
      </c>
      <c r="P31" s="1">
        <v>122</v>
      </c>
      <c r="Q31" s="1">
        <v>3.19</v>
      </c>
      <c r="R31" s="1">
        <v>0.75</v>
      </c>
      <c r="S31" s="2">
        <v>45652</v>
      </c>
      <c r="T31" s="1">
        <v>35.69</v>
      </c>
      <c r="U31" s="1">
        <v>0.624</v>
      </c>
      <c r="V31" s="6">
        <f t="shared" si="0"/>
        <v>7014.84</v>
      </c>
      <c r="W31" s="6" t="str">
        <f t="shared" si="1"/>
        <v>Reorder Required</v>
      </c>
      <c r="X31" s="8" t="str">
        <f t="shared" si="2"/>
        <v>LOW</v>
      </c>
    </row>
    <row r="32" spans="1:24">
      <c r="A32" s="7" t="s">
        <v>86</v>
      </c>
      <c r="B32" s="1" t="s">
        <v>25</v>
      </c>
      <c r="C32" s="1">
        <v>284</v>
      </c>
      <c r="D32" s="1">
        <v>23</v>
      </c>
      <c r="E32" s="1">
        <v>5</v>
      </c>
      <c r="F32" s="1">
        <v>4</v>
      </c>
      <c r="G32" s="1">
        <v>21.45</v>
      </c>
      <c r="H32" s="1" t="s">
        <v>55</v>
      </c>
      <c r="I32" s="1" t="s">
        <v>31</v>
      </c>
      <c r="J32" s="1">
        <v>130</v>
      </c>
      <c r="K32" s="1">
        <v>4.24</v>
      </c>
      <c r="L32" s="4">
        <v>105.6</v>
      </c>
      <c r="M32" s="1">
        <v>1.3</v>
      </c>
      <c r="N32" s="1">
        <v>1</v>
      </c>
      <c r="O32" s="1">
        <v>0.97</v>
      </c>
      <c r="P32" s="1">
        <v>128</v>
      </c>
      <c r="Q32" s="1">
        <v>4.29</v>
      </c>
      <c r="R32" s="1">
        <v>0.45</v>
      </c>
      <c r="S32" s="2">
        <v>45396</v>
      </c>
      <c r="T32" s="1">
        <v>76.89</v>
      </c>
      <c r="U32" s="1">
        <v>0.59099999999999997</v>
      </c>
      <c r="V32" s="6">
        <f t="shared" si="0"/>
        <v>29990.399999999998</v>
      </c>
      <c r="W32" s="6" t="str">
        <f t="shared" si="1"/>
        <v>Sufficient</v>
      </c>
      <c r="X32" s="8" t="str">
        <f t="shared" si="2"/>
        <v>High</v>
      </c>
    </row>
    <row r="33" spans="1:24">
      <c r="A33" s="7" t="s">
        <v>87</v>
      </c>
      <c r="B33" s="1" t="s">
        <v>33</v>
      </c>
      <c r="C33" s="1">
        <v>309</v>
      </c>
      <c r="D33" s="1">
        <v>87</v>
      </c>
      <c r="E33" s="1">
        <v>8</v>
      </c>
      <c r="F33" s="1">
        <v>5</v>
      </c>
      <c r="G33" s="1">
        <v>15.58</v>
      </c>
      <c r="H33" s="1" t="s">
        <v>88</v>
      </c>
      <c r="I33" s="1" t="s">
        <v>39</v>
      </c>
      <c r="J33" s="1">
        <v>65</v>
      </c>
      <c r="K33" s="1">
        <v>1.55</v>
      </c>
      <c r="L33" s="4">
        <v>29.47</v>
      </c>
      <c r="M33" s="1">
        <v>1.95</v>
      </c>
      <c r="N33" s="1">
        <v>2</v>
      </c>
      <c r="O33" s="1">
        <v>0.88</v>
      </c>
      <c r="P33" s="1">
        <v>93</v>
      </c>
      <c r="Q33" s="1">
        <v>4.18</v>
      </c>
      <c r="R33" s="1">
        <v>0.26</v>
      </c>
      <c r="S33" s="2">
        <v>45495</v>
      </c>
      <c r="T33" s="1">
        <v>155</v>
      </c>
      <c r="U33" s="1">
        <v>0.44900000000000001</v>
      </c>
      <c r="V33" s="6">
        <f t="shared" si="0"/>
        <v>9106.23</v>
      </c>
      <c r="W33" s="6" t="str">
        <f t="shared" si="1"/>
        <v>Sufficient</v>
      </c>
      <c r="X33" s="8" t="str">
        <f t="shared" si="2"/>
        <v>High</v>
      </c>
    </row>
    <row r="34" spans="1:24">
      <c r="A34" s="7" t="s">
        <v>89</v>
      </c>
      <c r="B34" s="1" t="s">
        <v>25</v>
      </c>
      <c r="C34" s="1">
        <v>449</v>
      </c>
      <c r="D34" s="1">
        <v>44</v>
      </c>
      <c r="E34" s="1">
        <v>13</v>
      </c>
      <c r="F34" s="1">
        <v>3</v>
      </c>
      <c r="G34" s="1">
        <v>45.72</v>
      </c>
      <c r="H34" s="1" t="s">
        <v>44</v>
      </c>
      <c r="I34" s="1" t="s">
        <v>45</v>
      </c>
      <c r="J34" s="1">
        <v>96</v>
      </c>
      <c r="K34" s="1">
        <v>0.8</v>
      </c>
      <c r="L34" s="4">
        <v>57.37</v>
      </c>
      <c r="M34" s="1">
        <v>0.54</v>
      </c>
      <c r="N34" s="1">
        <v>6</v>
      </c>
      <c r="O34" s="1">
        <v>0.92</v>
      </c>
      <c r="P34" s="1">
        <v>794</v>
      </c>
      <c r="Q34" s="1">
        <v>14.54</v>
      </c>
      <c r="R34" s="1">
        <v>0.36</v>
      </c>
      <c r="S34" s="2">
        <v>45414</v>
      </c>
      <c r="T34" s="1">
        <v>14.02</v>
      </c>
      <c r="U34" s="1">
        <v>0.67600000000000005</v>
      </c>
      <c r="V34" s="6">
        <f t="shared" si="0"/>
        <v>25759.129999999997</v>
      </c>
      <c r="W34" s="6" t="str">
        <f t="shared" si="1"/>
        <v>Sufficient</v>
      </c>
      <c r="X34" s="8" t="str">
        <f t="shared" si="2"/>
        <v>High</v>
      </c>
    </row>
    <row r="35" spans="1:24">
      <c r="A35" s="7" t="s">
        <v>90</v>
      </c>
      <c r="B35" s="1" t="s">
        <v>25</v>
      </c>
      <c r="C35" s="1">
        <v>481</v>
      </c>
      <c r="D35" s="1">
        <v>39</v>
      </c>
      <c r="E35" s="1">
        <v>13</v>
      </c>
      <c r="F35" s="1">
        <v>7</v>
      </c>
      <c r="G35" s="1">
        <v>10.45</v>
      </c>
      <c r="H35" s="1" t="s">
        <v>91</v>
      </c>
      <c r="I35" s="1" t="s">
        <v>39</v>
      </c>
      <c r="J35" s="1">
        <v>85</v>
      </c>
      <c r="K35" s="1">
        <v>2.21</v>
      </c>
      <c r="L35" s="4">
        <v>75.58</v>
      </c>
      <c r="M35" s="1">
        <v>1.61</v>
      </c>
      <c r="N35" s="1">
        <v>1</v>
      </c>
      <c r="O35" s="1">
        <v>0.81</v>
      </c>
      <c r="P35" s="1">
        <v>52</v>
      </c>
      <c r="Q35" s="1">
        <v>10.01</v>
      </c>
      <c r="R35" s="1">
        <v>0.33</v>
      </c>
      <c r="S35" s="2">
        <v>45574</v>
      </c>
      <c r="T35" s="1">
        <v>191.13</v>
      </c>
      <c r="U35" s="1">
        <v>0.57999999999999996</v>
      </c>
      <c r="V35" s="6">
        <f t="shared" si="0"/>
        <v>36353.979999999996</v>
      </c>
      <c r="W35" s="6" t="str">
        <f t="shared" si="1"/>
        <v>Sufficient</v>
      </c>
      <c r="X35" s="8" t="str">
        <f t="shared" si="2"/>
        <v>High</v>
      </c>
    </row>
    <row r="36" spans="1:24">
      <c r="A36" s="7" t="s">
        <v>92</v>
      </c>
      <c r="B36" s="1" t="s">
        <v>66</v>
      </c>
      <c r="C36" s="1">
        <v>403</v>
      </c>
      <c r="D36" s="1">
        <v>26</v>
      </c>
      <c r="E36" s="1">
        <v>9</v>
      </c>
      <c r="F36" s="1">
        <v>2</v>
      </c>
      <c r="G36" s="1">
        <v>20.079999999999998</v>
      </c>
      <c r="H36" s="1" t="s">
        <v>59</v>
      </c>
      <c r="I36" s="1" t="s">
        <v>39</v>
      </c>
      <c r="J36" s="1">
        <v>94</v>
      </c>
      <c r="K36" s="1">
        <v>4.3499999999999996</v>
      </c>
      <c r="L36" s="4">
        <v>130.87</v>
      </c>
      <c r="M36" s="1">
        <v>1.1200000000000001</v>
      </c>
      <c r="N36" s="1">
        <v>4</v>
      </c>
      <c r="O36" s="1">
        <v>0.85</v>
      </c>
      <c r="P36" s="1">
        <v>492</v>
      </c>
      <c r="Q36" s="1">
        <v>3.34</v>
      </c>
      <c r="R36" s="1">
        <v>0.71</v>
      </c>
      <c r="S36" s="2">
        <v>45456</v>
      </c>
      <c r="T36" s="1">
        <v>200.6</v>
      </c>
      <c r="U36" s="1">
        <v>0.56499999999999995</v>
      </c>
      <c r="V36" s="6">
        <f t="shared" si="0"/>
        <v>52740.61</v>
      </c>
      <c r="W36" s="6" t="str">
        <f t="shared" si="1"/>
        <v>Sufficient</v>
      </c>
      <c r="X36" s="8" t="str">
        <f t="shared" si="2"/>
        <v>High</v>
      </c>
    </row>
    <row r="37" spans="1:24">
      <c r="A37" s="7" t="s">
        <v>93</v>
      </c>
      <c r="B37" s="1" t="s">
        <v>33</v>
      </c>
      <c r="C37" s="1">
        <v>279</v>
      </c>
      <c r="D37" s="1">
        <v>76</v>
      </c>
      <c r="E37" s="1">
        <v>4</v>
      </c>
      <c r="F37" s="1">
        <v>3</v>
      </c>
      <c r="G37" s="1">
        <v>47.08</v>
      </c>
      <c r="H37" s="1" t="s">
        <v>38</v>
      </c>
      <c r="I37" s="1" t="s">
        <v>27</v>
      </c>
      <c r="J37" s="1">
        <v>94</v>
      </c>
      <c r="K37" s="1">
        <v>0.85</v>
      </c>
      <c r="L37" s="4">
        <v>56.86</v>
      </c>
      <c r="M37" s="1">
        <v>0.52</v>
      </c>
      <c r="N37" s="1">
        <v>8</v>
      </c>
      <c r="O37" s="1">
        <v>0.92</v>
      </c>
      <c r="P37" s="1">
        <v>128</v>
      </c>
      <c r="Q37" s="1">
        <v>7.83</v>
      </c>
      <c r="R37" s="1">
        <v>0.25</v>
      </c>
      <c r="S37" s="2">
        <v>45436</v>
      </c>
      <c r="T37" s="1">
        <v>211.97</v>
      </c>
      <c r="U37" s="1">
        <v>0.52600000000000002</v>
      </c>
      <c r="V37" s="6">
        <f t="shared" si="0"/>
        <v>15863.94</v>
      </c>
      <c r="W37" s="6" t="str">
        <f t="shared" si="1"/>
        <v>Sufficient</v>
      </c>
      <c r="X37" s="8" t="str">
        <f t="shared" si="2"/>
        <v>High</v>
      </c>
    </row>
    <row r="38" spans="1:24">
      <c r="A38" s="7" t="s">
        <v>94</v>
      </c>
      <c r="B38" s="1" t="s">
        <v>29</v>
      </c>
      <c r="C38" s="1">
        <v>433</v>
      </c>
      <c r="D38" s="1">
        <v>89</v>
      </c>
      <c r="E38" s="1">
        <v>5</v>
      </c>
      <c r="F38" s="1">
        <v>4</v>
      </c>
      <c r="G38" s="1">
        <v>21.93</v>
      </c>
      <c r="H38" s="1" t="s">
        <v>95</v>
      </c>
      <c r="I38" s="1" t="s">
        <v>45</v>
      </c>
      <c r="J38" s="1">
        <v>169</v>
      </c>
      <c r="K38" s="1">
        <v>3.09</v>
      </c>
      <c r="L38" s="4">
        <v>54.45</v>
      </c>
      <c r="M38" s="1">
        <v>0.2</v>
      </c>
      <c r="N38" s="1">
        <v>6</v>
      </c>
      <c r="O38" s="1">
        <v>0.92</v>
      </c>
      <c r="P38" s="1">
        <v>426</v>
      </c>
      <c r="Q38" s="1">
        <v>3.58</v>
      </c>
      <c r="R38" s="1">
        <v>0.91</v>
      </c>
      <c r="S38" s="2">
        <v>45486</v>
      </c>
      <c r="T38" s="1">
        <v>171.16</v>
      </c>
      <c r="U38" s="1">
        <v>0.67400000000000004</v>
      </c>
      <c r="V38" s="6">
        <f t="shared" si="0"/>
        <v>23576.850000000002</v>
      </c>
      <c r="W38" s="6" t="str">
        <f t="shared" si="1"/>
        <v>Sufficient</v>
      </c>
      <c r="X38" s="8" t="str">
        <f t="shared" si="2"/>
        <v>High</v>
      </c>
    </row>
    <row r="39" spans="1:24">
      <c r="A39" s="7" t="s">
        <v>96</v>
      </c>
      <c r="B39" s="1" t="s">
        <v>33</v>
      </c>
      <c r="C39" s="1">
        <v>498</v>
      </c>
      <c r="D39" s="1">
        <v>39</v>
      </c>
      <c r="E39" s="1">
        <v>6</v>
      </c>
      <c r="F39" s="1">
        <v>8</v>
      </c>
      <c r="G39" s="1">
        <v>28.18</v>
      </c>
      <c r="H39" s="1" t="s">
        <v>97</v>
      </c>
      <c r="I39" s="1" t="s">
        <v>39</v>
      </c>
      <c r="J39" s="1">
        <v>90</v>
      </c>
      <c r="K39" s="1">
        <v>3.65</v>
      </c>
      <c r="L39" s="4">
        <v>64.38</v>
      </c>
      <c r="M39" s="1">
        <v>1.54</v>
      </c>
      <c r="N39" s="1">
        <v>2</v>
      </c>
      <c r="O39" s="1">
        <v>0.83</v>
      </c>
      <c r="P39" s="1">
        <v>742</v>
      </c>
      <c r="Q39" s="1">
        <v>9.48</v>
      </c>
      <c r="R39" s="1">
        <v>0.27</v>
      </c>
      <c r="S39" s="2">
        <v>45530</v>
      </c>
      <c r="T39" s="1">
        <v>141.19</v>
      </c>
      <c r="U39" s="1">
        <v>0.55200000000000005</v>
      </c>
      <c r="V39" s="6">
        <f t="shared" si="0"/>
        <v>32061.239999999998</v>
      </c>
      <c r="W39" s="6" t="str">
        <f t="shared" si="1"/>
        <v>Sufficient</v>
      </c>
      <c r="X39" s="8" t="str">
        <f t="shared" si="2"/>
        <v>High</v>
      </c>
    </row>
    <row r="40" spans="1:24">
      <c r="A40" s="7" t="s">
        <v>98</v>
      </c>
      <c r="B40" s="1" t="s">
        <v>29</v>
      </c>
      <c r="C40" s="1">
        <v>377</v>
      </c>
      <c r="D40" s="1">
        <v>54</v>
      </c>
      <c r="E40" s="1">
        <v>12</v>
      </c>
      <c r="F40" s="1">
        <v>5</v>
      </c>
      <c r="G40" s="1">
        <v>4.9400000000000004</v>
      </c>
      <c r="H40" s="1" t="s">
        <v>99</v>
      </c>
      <c r="I40" s="1" t="s">
        <v>45</v>
      </c>
      <c r="J40" s="1">
        <v>174</v>
      </c>
      <c r="K40" s="1">
        <v>2.67</v>
      </c>
      <c r="L40" s="4">
        <v>122.58</v>
      </c>
      <c r="M40" s="1">
        <v>0.7</v>
      </c>
      <c r="N40" s="1">
        <v>1</v>
      </c>
      <c r="O40" s="1">
        <v>0.86</v>
      </c>
      <c r="P40" s="1">
        <v>188</v>
      </c>
      <c r="Q40" s="1">
        <v>5.78</v>
      </c>
      <c r="R40" s="1">
        <v>0.68</v>
      </c>
      <c r="S40" s="2">
        <v>45565</v>
      </c>
      <c r="T40" s="1">
        <v>258.11</v>
      </c>
      <c r="U40" s="1">
        <v>0.69499999999999995</v>
      </c>
      <c r="V40" s="6">
        <f t="shared" si="0"/>
        <v>46212.659999999996</v>
      </c>
      <c r="W40" s="6" t="str">
        <f t="shared" si="1"/>
        <v>Sufficient</v>
      </c>
      <c r="X40" s="8" t="str">
        <f t="shared" si="2"/>
        <v>High</v>
      </c>
    </row>
    <row r="41" spans="1:24">
      <c r="A41" s="7" t="s">
        <v>100</v>
      </c>
      <c r="B41" s="1" t="s">
        <v>66</v>
      </c>
      <c r="C41" s="1">
        <v>94</v>
      </c>
      <c r="D41" s="1">
        <v>88</v>
      </c>
      <c r="E41" s="1">
        <v>8</v>
      </c>
      <c r="F41" s="1">
        <v>9</v>
      </c>
      <c r="G41" s="1">
        <v>39.72</v>
      </c>
      <c r="H41" s="1" t="s">
        <v>85</v>
      </c>
      <c r="I41" s="1" t="s">
        <v>31</v>
      </c>
      <c r="J41" s="1">
        <v>17</v>
      </c>
      <c r="K41" s="1">
        <v>1.65</v>
      </c>
      <c r="L41" s="4">
        <v>103.6</v>
      </c>
      <c r="M41" s="1">
        <v>0.81</v>
      </c>
      <c r="N41" s="1">
        <v>9</v>
      </c>
      <c r="O41" s="1">
        <v>0.98</v>
      </c>
      <c r="P41" s="1">
        <v>951</v>
      </c>
      <c r="Q41" s="1">
        <v>3.74</v>
      </c>
      <c r="R41" s="1">
        <v>0.94</v>
      </c>
      <c r="S41" s="2">
        <v>45624</v>
      </c>
      <c r="T41" s="1">
        <v>232.53</v>
      </c>
      <c r="U41" s="1">
        <v>0.57299999999999995</v>
      </c>
      <c r="V41" s="6">
        <f t="shared" si="0"/>
        <v>9738.4</v>
      </c>
      <c r="W41" s="6" t="str">
        <f t="shared" si="1"/>
        <v>Sufficient</v>
      </c>
      <c r="X41" s="8" t="str">
        <f t="shared" si="2"/>
        <v>LOW</v>
      </c>
    </row>
    <row r="42" spans="1:24">
      <c r="A42" s="7" t="s">
        <v>101</v>
      </c>
      <c r="B42" s="1" t="s">
        <v>41</v>
      </c>
      <c r="C42" s="1">
        <v>374</v>
      </c>
      <c r="D42" s="1">
        <v>98</v>
      </c>
      <c r="E42" s="1">
        <v>3</v>
      </c>
      <c r="F42" s="1">
        <v>5</v>
      </c>
      <c r="G42" s="1">
        <v>21.72</v>
      </c>
      <c r="H42" s="1" t="s">
        <v>61</v>
      </c>
      <c r="I42" s="1" t="s">
        <v>45</v>
      </c>
      <c r="J42" s="1">
        <v>20</v>
      </c>
      <c r="K42" s="1">
        <v>1.97</v>
      </c>
      <c r="L42" s="4">
        <v>169.91</v>
      </c>
      <c r="M42" s="1">
        <v>1.02</v>
      </c>
      <c r="N42" s="1">
        <v>8</v>
      </c>
      <c r="O42" s="1">
        <v>0.89</v>
      </c>
      <c r="P42" s="1">
        <v>864</v>
      </c>
      <c r="Q42" s="1">
        <v>4.4000000000000004</v>
      </c>
      <c r="R42" s="1">
        <v>0.25</v>
      </c>
      <c r="S42" s="2">
        <v>45475</v>
      </c>
      <c r="T42" s="1">
        <v>187.58</v>
      </c>
      <c r="U42" s="1">
        <v>0.42499999999999999</v>
      </c>
      <c r="V42" s="6">
        <f t="shared" si="0"/>
        <v>63546.34</v>
      </c>
      <c r="W42" s="6" t="str">
        <f t="shared" si="1"/>
        <v>Sufficient</v>
      </c>
      <c r="X42" s="8" t="str">
        <f t="shared" si="2"/>
        <v>High</v>
      </c>
    </row>
    <row r="43" spans="1:24">
      <c r="A43" s="7" t="s">
        <v>102</v>
      </c>
      <c r="B43" s="1" t="s">
        <v>25</v>
      </c>
      <c r="C43" s="1">
        <v>91</v>
      </c>
      <c r="D43" s="1">
        <v>60</v>
      </c>
      <c r="E43" s="1">
        <v>11</v>
      </c>
      <c r="F43" s="1">
        <v>5</v>
      </c>
      <c r="G43" s="1">
        <v>40.229999999999997</v>
      </c>
      <c r="H43" s="1" t="s">
        <v>103</v>
      </c>
      <c r="I43" s="1" t="s">
        <v>31</v>
      </c>
      <c r="J43" s="1">
        <v>147</v>
      </c>
      <c r="K43" s="1">
        <v>0.82</v>
      </c>
      <c r="L43" s="4">
        <v>142.61000000000001</v>
      </c>
      <c r="M43" s="1">
        <v>1.06</v>
      </c>
      <c r="N43" s="1">
        <v>8</v>
      </c>
      <c r="O43" s="1">
        <v>0.89</v>
      </c>
      <c r="P43" s="1">
        <v>56</v>
      </c>
      <c r="Q43" s="1">
        <v>10.45</v>
      </c>
      <c r="R43" s="1">
        <v>0.51</v>
      </c>
      <c r="S43" s="2">
        <v>45449</v>
      </c>
      <c r="T43" s="1">
        <v>23.34</v>
      </c>
      <c r="U43" s="1">
        <v>0.55300000000000005</v>
      </c>
      <c r="V43" s="6">
        <f t="shared" si="0"/>
        <v>12977.510000000002</v>
      </c>
      <c r="W43" s="6" t="str">
        <f t="shared" si="1"/>
        <v>Sufficient</v>
      </c>
      <c r="X43" s="8" t="str">
        <f t="shared" si="2"/>
        <v>LOW</v>
      </c>
    </row>
    <row r="44" spans="1:24">
      <c r="A44" s="7" t="s">
        <v>104</v>
      </c>
      <c r="B44" s="1" t="s">
        <v>66</v>
      </c>
      <c r="C44" s="1">
        <v>278</v>
      </c>
      <c r="D44" s="1">
        <v>56</v>
      </c>
      <c r="E44" s="1">
        <v>7</v>
      </c>
      <c r="F44" s="1">
        <v>4</v>
      </c>
      <c r="G44" s="1">
        <v>13.44</v>
      </c>
      <c r="H44" s="1" t="s">
        <v>38</v>
      </c>
      <c r="I44" s="1" t="s">
        <v>45</v>
      </c>
      <c r="J44" s="1">
        <v>124</v>
      </c>
      <c r="K44" s="1">
        <v>1.82</v>
      </c>
      <c r="L44" s="4">
        <v>136.69999999999999</v>
      </c>
      <c r="M44" s="1">
        <v>0.49</v>
      </c>
      <c r="N44" s="1">
        <v>8</v>
      </c>
      <c r="O44" s="1">
        <v>0.94</v>
      </c>
      <c r="P44" s="1">
        <v>932</v>
      </c>
      <c r="Q44" s="1">
        <v>6.71</v>
      </c>
      <c r="R44" s="1">
        <v>0.46</v>
      </c>
      <c r="S44" s="2">
        <v>45425</v>
      </c>
      <c r="T44" s="1">
        <v>211.24</v>
      </c>
      <c r="U44" s="1">
        <v>0.56000000000000005</v>
      </c>
      <c r="V44" s="6">
        <f t="shared" si="0"/>
        <v>38002.6</v>
      </c>
      <c r="W44" s="6" t="str">
        <f t="shared" si="1"/>
        <v>Sufficient</v>
      </c>
      <c r="X44" s="8" t="str">
        <f t="shared" si="2"/>
        <v>High</v>
      </c>
    </row>
    <row r="45" spans="1:24">
      <c r="A45" s="7" t="s">
        <v>105</v>
      </c>
      <c r="B45" s="1" t="s">
        <v>25</v>
      </c>
      <c r="C45" s="1">
        <v>417</v>
      </c>
      <c r="D45" s="1">
        <v>62</v>
      </c>
      <c r="E45" s="1">
        <v>14</v>
      </c>
      <c r="F45" s="1">
        <v>2</v>
      </c>
      <c r="G45" s="1">
        <v>21.7</v>
      </c>
      <c r="H45" s="1" t="s">
        <v>106</v>
      </c>
      <c r="I45" s="1" t="s">
        <v>45</v>
      </c>
      <c r="J45" s="1">
        <v>90</v>
      </c>
      <c r="K45" s="1">
        <v>0.7</v>
      </c>
      <c r="L45" s="4">
        <v>39.380000000000003</v>
      </c>
      <c r="M45" s="1">
        <v>1.37</v>
      </c>
      <c r="N45" s="1">
        <v>9</v>
      </c>
      <c r="O45" s="1">
        <v>0.73</v>
      </c>
      <c r="P45" s="1">
        <v>927</v>
      </c>
      <c r="Q45" s="1">
        <v>8.18</v>
      </c>
      <c r="R45" s="1">
        <v>0.48</v>
      </c>
      <c r="S45" s="2">
        <v>45476</v>
      </c>
      <c r="T45" s="1">
        <v>171.87</v>
      </c>
      <c r="U45" s="1">
        <v>0.434</v>
      </c>
      <c r="V45" s="6">
        <f t="shared" si="0"/>
        <v>16421.460000000003</v>
      </c>
      <c r="W45" s="6" t="str">
        <f t="shared" si="1"/>
        <v>Sufficient</v>
      </c>
      <c r="X45" s="8" t="str">
        <f t="shared" si="2"/>
        <v>High</v>
      </c>
    </row>
    <row r="46" spans="1:24">
      <c r="A46" s="7" t="s">
        <v>107</v>
      </c>
      <c r="B46" s="1" t="s">
        <v>41</v>
      </c>
      <c r="C46" s="1">
        <v>207</v>
      </c>
      <c r="D46" s="1">
        <v>73</v>
      </c>
      <c r="E46" s="1">
        <v>9</v>
      </c>
      <c r="F46" s="1">
        <v>5</v>
      </c>
      <c r="G46" s="1">
        <v>39.54</v>
      </c>
      <c r="H46" s="1" t="s">
        <v>68</v>
      </c>
      <c r="I46" s="1" t="s">
        <v>39</v>
      </c>
      <c r="J46" s="1">
        <v>96</v>
      </c>
      <c r="K46" s="1">
        <v>3.77</v>
      </c>
      <c r="L46" s="4">
        <v>20.49</v>
      </c>
      <c r="M46" s="1">
        <v>1.42</v>
      </c>
      <c r="N46" s="1">
        <v>2</v>
      </c>
      <c r="O46" s="1">
        <v>0.86</v>
      </c>
      <c r="P46" s="1">
        <v>885</v>
      </c>
      <c r="Q46" s="1">
        <v>12.5</v>
      </c>
      <c r="R46" s="1">
        <v>0.68</v>
      </c>
      <c r="S46" s="2">
        <v>45554</v>
      </c>
      <c r="T46" s="1">
        <v>211.11</v>
      </c>
      <c r="U46" s="1">
        <v>0.69299999999999995</v>
      </c>
      <c r="V46" s="6">
        <f t="shared" si="0"/>
        <v>4241.4299999999994</v>
      </c>
      <c r="W46" s="6" t="str">
        <f t="shared" si="1"/>
        <v>Sufficient</v>
      </c>
      <c r="X46" s="8" t="str">
        <f t="shared" si="2"/>
        <v>Medium</v>
      </c>
    </row>
    <row r="47" spans="1:24">
      <c r="A47" s="7" t="s">
        <v>108</v>
      </c>
      <c r="B47" s="1" t="s">
        <v>41</v>
      </c>
      <c r="C47" s="1">
        <v>480</v>
      </c>
      <c r="D47" s="1">
        <v>47</v>
      </c>
      <c r="E47" s="1">
        <v>11</v>
      </c>
      <c r="F47" s="1">
        <v>2</v>
      </c>
      <c r="G47" s="1">
        <v>48.72</v>
      </c>
      <c r="H47" s="1" t="s">
        <v>97</v>
      </c>
      <c r="I47" s="1" t="s">
        <v>39</v>
      </c>
      <c r="J47" s="1">
        <v>51</v>
      </c>
      <c r="K47" s="1">
        <v>4.54</v>
      </c>
      <c r="L47" s="4">
        <v>106.9</v>
      </c>
      <c r="M47" s="1">
        <v>0.37</v>
      </c>
      <c r="N47" s="1">
        <v>0</v>
      </c>
      <c r="O47" s="1">
        <v>0.99</v>
      </c>
      <c r="P47" s="1">
        <v>774</v>
      </c>
      <c r="Q47" s="1">
        <v>10.18</v>
      </c>
      <c r="R47" s="1">
        <v>0.41</v>
      </c>
      <c r="S47" s="2">
        <v>45546</v>
      </c>
      <c r="T47" s="1">
        <v>100.31</v>
      </c>
      <c r="U47" s="1">
        <v>0.77900000000000003</v>
      </c>
      <c r="V47" s="6">
        <f t="shared" si="0"/>
        <v>51312</v>
      </c>
      <c r="W47" s="6" t="str">
        <f t="shared" si="1"/>
        <v>Sufficient</v>
      </c>
      <c r="X47" s="8" t="str">
        <f t="shared" si="2"/>
        <v>High</v>
      </c>
    </row>
    <row r="48" spans="1:24">
      <c r="A48" s="7" t="s">
        <v>109</v>
      </c>
      <c r="B48" s="1" t="s">
        <v>66</v>
      </c>
      <c r="C48" s="1">
        <v>192</v>
      </c>
      <c r="D48" s="1">
        <v>73</v>
      </c>
      <c r="E48" s="1">
        <v>11</v>
      </c>
      <c r="F48" s="1">
        <v>3</v>
      </c>
      <c r="G48" s="1">
        <v>3.92</v>
      </c>
      <c r="H48" s="1" t="s">
        <v>103</v>
      </c>
      <c r="I48" s="1" t="s">
        <v>31</v>
      </c>
      <c r="J48" s="1">
        <v>46</v>
      </c>
      <c r="K48" s="1">
        <v>3.35</v>
      </c>
      <c r="L48" s="4">
        <v>23.61</v>
      </c>
      <c r="M48" s="1">
        <v>1.1100000000000001</v>
      </c>
      <c r="N48" s="1">
        <v>8</v>
      </c>
      <c r="O48" s="1">
        <v>0.81</v>
      </c>
      <c r="P48" s="1">
        <v>562</v>
      </c>
      <c r="Q48" s="1">
        <v>7.47</v>
      </c>
      <c r="R48" s="1">
        <v>0.22</v>
      </c>
      <c r="S48" s="2">
        <v>45530</v>
      </c>
      <c r="T48" s="1">
        <v>235.33</v>
      </c>
      <c r="U48" s="1">
        <v>0.435</v>
      </c>
      <c r="V48" s="6">
        <f t="shared" si="0"/>
        <v>4533.12</v>
      </c>
      <c r="W48" s="6" t="str">
        <f t="shared" si="1"/>
        <v>Sufficient</v>
      </c>
      <c r="X48" s="8" t="str">
        <f t="shared" si="2"/>
        <v>Medium</v>
      </c>
    </row>
    <row r="49" spans="1:24">
      <c r="A49" s="7" t="s">
        <v>110</v>
      </c>
      <c r="B49" s="1" t="s">
        <v>41</v>
      </c>
      <c r="C49" s="1">
        <v>499</v>
      </c>
      <c r="D49" s="1">
        <v>96</v>
      </c>
      <c r="E49" s="1">
        <v>3</v>
      </c>
      <c r="F49" s="1">
        <v>7</v>
      </c>
      <c r="G49" s="1">
        <v>40.81</v>
      </c>
      <c r="H49" s="1" t="s">
        <v>50</v>
      </c>
      <c r="I49" s="1" t="s">
        <v>31</v>
      </c>
      <c r="J49" s="1">
        <v>101</v>
      </c>
      <c r="K49" s="1">
        <v>3.46</v>
      </c>
      <c r="L49" s="4">
        <v>79.16</v>
      </c>
      <c r="M49" s="1">
        <v>1.26</v>
      </c>
      <c r="N49" s="1">
        <v>6</v>
      </c>
      <c r="O49" s="1">
        <v>0.79</v>
      </c>
      <c r="P49" s="1">
        <v>745</v>
      </c>
      <c r="Q49" s="1">
        <v>14.36</v>
      </c>
      <c r="R49" s="1">
        <v>0.97</v>
      </c>
      <c r="S49" s="2">
        <v>45342</v>
      </c>
      <c r="T49" s="1">
        <v>131.19999999999999</v>
      </c>
      <c r="U49" s="1">
        <v>0.69699999999999995</v>
      </c>
      <c r="V49" s="6">
        <f t="shared" si="0"/>
        <v>39500.839999999997</v>
      </c>
      <c r="W49" s="6" t="str">
        <f t="shared" si="1"/>
        <v>Sufficient</v>
      </c>
      <c r="X49" s="8" t="str">
        <f t="shared" si="2"/>
        <v>High</v>
      </c>
    </row>
    <row r="50" spans="1:24">
      <c r="A50" s="7" t="s">
        <v>111</v>
      </c>
      <c r="B50" s="1" t="s">
        <v>29</v>
      </c>
      <c r="C50" s="1">
        <v>309</v>
      </c>
      <c r="D50" s="1">
        <v>98</v>
      </c>
      <c r="E50" s="1">
        <v>3</v>
      </c>
      <c r="F50" s="1">
        <v>9</v>
      </c>
      <c r="G50" s="1">
        <v>15.73</v>
      </c>
      <c r="H50" s="1" t="s">
        <v>57</v>
      </c>
      <c r="I50" s="1" t="s">
        <v>27</v>
      </c>
      <c r="J50" s="1">
        <v>94</v>
      </c>
      <c r="K50" s="1">
        <v>2.62</v>
      </c>
      <c r="L50" s="4">
        <v>14.96</v>
      </c>
      <c r="M50" s="1">
        <v>0.45</v>
      </c>
      <c r="N50" s="1">
        <v>1</v>
      </c>
      <c r="O50" s="1">
        <v>0.88</v>
      </c>
      <c r="P50" s="1">
        <v>812</v>
      </c>
      <c r="Q50" s="1">
        <v>4</v>
      </c>
      <c r="R50" s="1">
        <v>0.8</v>
      </c>
      <c r="S50" s="2">
        <v>45532</v>
      </c>
      <c r="T50" s="1">
        <v>269.39999999999998</v>
      </c>
      <c r="U50" s="1">
        <v>0.72399999999999998</v>
      </c>
      <c r="V50" s="6">
        <f t="shared" si="0"/>
        <v>4622.6400000000003</v>
      </c>
      <c r="W50" s="6" t="str">
        <f t="shared" si="1"/>
        <v>Sufficient</v>
      </c>
      <c r="X50" s="8" t="str">
        <f t="shared" si="2"/>
        <v>High</v>
      </c>
    </row>
    <row r="51" spans="1:24">
      <c r="A51" s="7" t="s">
        <v>112</v>
      </c>
      <c r="B51" s="1" t="s">
        <v>41</v>
      </c>
      <c r="C51" s="1">
        <v>64</v>
      </c>
      <c r="D51" s="1">
        <v>16</v>
      </c>
      <c r="E51" s="1">
        <v>5</v>
      </c>
      <c r="F51" s="1">
        <v>7</v>
      </c>
      <c r="G51" s="1">
        <v>27.99</v>
      </c>
      <c r="H51" s="1" t="s">
        <v>113</v>
      </c>
      <c r="I51" s="1" t="s">
        <v>39</v>
      </c>
      <c r="J51" s="1">
        <v>68</v>
      </c>
      <c r="K51" s="1">
        <v>1.2</v>
      </c>
      <c r="L51" s="4">
        <v>43.59</v>
      </c>
      <c r="M51" s="1">
        <v>1.8</v>
      </c>
      <c r="N51" s="1">
        <v>5</v>
      </c>
      <c r="O51" s="1">
        <v>0.77</v>
      </c>
      <c r="P51" s="1">
        <v>776</v>
      </c>
      <c r="Q51" s="1">
        <v>5.05</v>
      </c>
      <c r="R51" s="1">
        <v>0.31</v>
      </c>
      <c r="S51" s="2">
        <v>45455</v>
      </c>
      <c r="T51" s="1">
        <v>40.159999999999997</v>
      </c>
      <c r="U51" s="1">
        <v>0.40300000000000002</v>
      </c>
      <c r="V51" s="6">
        <f t="shared" si="0"/>
        <v>2789.76</v>
      </c>
      <c r="W51" s="6" t="str">
        <f t="shared" si="1"/>
        <v>Sufficient</v>
      </c>
      <c r="X51" s="8" t="str">
        <f t="shared" si="2"/>
        <v>LOW</v>
      </c>
    </row>
    <row r="52" spans="1:24">
      <c r="A52" s="7" t="s">
        <v>114</v>
      </c>
      <c r="B52" s="1" t="s">
        <v>25</v>
      </c>
      <c r="C52" s="1">
        <v>80</v>
      </c>
      <c r="D52" s="1">
        <v>31</v>
      </c>
      <c r="E52" s="1">
        <v>8</v>
      </c>
      <c r="F52" s="1">
        <v>2</v>
      </c>
      <c r="G52" s="1">
        <v>15.21</v>
      </c>
      <c r="H52" s="1" t="s">
        <v>115</v>
      </c>
      <c r="I52" s="1" t="s">
        <v>31</v>
      </c>
      <c r="J52" s="1">
        <v>161</v>
      </c>
      <c r="K52" s="1">
        <v>0.53</v>
      </c>
      <c r="L52" s="4">
        <v>30.97</v>
      </c>
      <c r="M52" s="1">
        <v>1.02</v>
      </c>
      <c r="N52" s="1">
        <v>8</v>
      </c>
      <c r="O52" s="1">
        <v>0.87</v>
      </c>
      <c r="P52" s="1">
        <v>126</v>
      </c>
      <c r="Q52" s="1">
        <v>13.76</v>
      </c>
      <c r="R52" s="1">
        <v>0.56000000000000005</v>
      </c>
      <c r="S52" s="2">
        <v>45396</v>
      </c>
      <c r="T52" s="1">
        <v>150.52000000000001</v>
      </c>
      <c r="U52" s="1">
        <v>0.60699999999999998</v>
      </c>
      <c r="V52" s="6">
        <f t="shared" si="0"/>
        <v>2477.6</v>
      </c>
      <c r="W52" s="6" t="str">
        <f t="shared" si="1"/>
        <v>Sufficient</v>
      </c>
      <c r="X52" s="8" t="str">
        <f t="shared" si="2"/>
        <v>LOW</v>
      </c>
    </row>
    <row r="53" spans="1:24">
      <c r="A53" s="7" t="s">
        <v>116</v>
      </c>
      <c r="B53" s="1" t="s">
        <v>25</v>
      </c>
      <c r="C53" s="1">
        <v>102</v>
      </c>
      <c r="D53" s="1">
        <v>90</v>
      </c>
      <c r="E53" s="1">
        <v>4</v>
      </c>
      <c r="F53" s="1">
        <v>2</v>
      </c>
      <c r="G53" s="1">
        <v>31.06</v>
      </c>
      <c r="H53" s="1" t="s">
        <v>117</v>
      </c>
      <c r="I53" s="1" t="s">
        <v>39</v>
      </c>
      <c r="J53" s="1">
        <v>165</v>
      </c>
      <c r="K53" s="1">
        <v>2.0499999999999998</v>
      </c>
      <c r="L53" s="4">
        <v>162.19</v>
      </c>
      <c r="M53" s="1">
        <v>0.32</v>
      </c>
      <c r="N53" s="1">
        <v>7</v>
      </c>
      <c r="O53" s="1">
        <v>0.75</v>
      </c>
      <c r="P53" s="1">
        <v>92</v>
      </c>
      <c r="Q53" s="1">
        <v>12.95</v>
      </c>
      <c r="R53" s="1">
        <v>0.25</v>
      </c>
      <c r="S53" s="2">
        <v>45481</v>
      </c>
      <c r="T53" s="1">
        <v>69.66</v>
      </c>
      <c r="U53" s="1">
        <v>0.60099999999999998</v>
      </c>
      <c r="V53" s="6">
        <f t="shared" si="0"/>
        <v>16543.38</v>
      </c>
      <c r="W53" s="6" t="str">
        <f t="shared" si="1"/>
        <v>Sufficient</v>
      </c>
      <c r="X53" s="8" t="str">
        <f t="shared" si="2"/>
        <v>Medium</v>
      </c>
    </row>
    <row r="54" spans="1:24">
      <c r="A54" s="7" t="s">
        <v>118</v>
      </c>
      <c r="B54" s="1" t="s">
        <v>25</v>
      </c>
      <c r="C54" s="1">
        <v>142</v>
      </c>
      <c r="D54" s="1">
        <v>91</v>
      </c>
      <c r="E54" s="1">
        <v>12</v>
      </c>
      <c r="F54" s="1">
        <v>7</v>
      </c>
      <c r="G54" s="1">
        <v>18.34</v>
      </c>
      <c r="H54" s="1" t="s">
        <v>119</v>
      </c>
      <c r="I54" s="1" t="s">
        <v>45</v>
      </c>
      <c r="J54" s="1">
        <v>46</v>
      </c>
      <c r="K54" s="1">
        <v>3.88</v>
      </c>
      <c r="L54" s="4">
        <v>75.760000000000005</v>
      </c>
      <c r="M54" s="1">
        <v>0.74</v>
      </c>
      <c r="N54" s="1">
        <v>5</v>
      </c>
      <c r="O54" s="1">
        <v>0.87</v>
      </c>
      <c r="P54" s="1">
        <v>973</v>
      </c>
      <c r="Q54" s="1">
        <v>2.82</v>
      </c>
      <c r="R54" s="1">
        <v>0.22</v>
      </c>
      <c r="S54" s="2">
        <v>45452</v>
      </c>
      <c r="T54" s="1">
        <v>141.51</v>
      </c>
      <c r="U54" s="1">
        <v>0.48199999999999998</v>
      </c>
      <c r="V54" s="6">
        <f t="shared" si="0"/>
        <v>10757.92</v>
      </c>
      <c r="W54" s="6" t="str">
        <f t="shared" si="1"/>
        <v>Sufficient</v>
      </c>
      <c r="X54" s="8" t="str">
        <f t="shared" si="2"/>
        <v>Medium</v>
      </c>
    </row>
    <row r="55" spans="1:24">
      <c r="A55" s="7" t="s">
        <v>120</v>
      </c>
      <c r="B55" s="1" t="s">
        <v>25</v>
      </c>
      <c r="C55" s="1">
        <v>377</v>
      </c>
      <c r="D55" s="1">
        <v>50</v>
      </c>
      <c r="E55" s="1">
        <v>14</v>
      </c>
      <c r="F55" s="1">
        <v>5</v>
      </c>
      <c r="G55" s="1">
        <v>17.350000000000001</v>
      </c>
      <c r="H55" s="1" t="s">
        <v>74</v>
      </c>
      <c r="I55" s="1" t="s">
        <v>27</v>
      </c>
      <c r="J55" s="1">
        <v>30</v>
      </c>
      <c r="K55" s="1">
        <v>4.82</v>
      </c>
      <c r="L55" s="4">
        <v>24.98</v>
      </c>
      <c r="M55" s="1">
        <v>1.01</v>
      </c>
      <c r="N55" s="1">
        <v>5</v>
      </c>
      <c r="O55" s="1">
        <v>0.88</v>
      </c>
      <c r="P55" s="1">
        <v>206</v>
      </c>
      <c r="Q55" s="1">
        <v>14.02</v>
      </c>
      <c r="R55" s="1">
        <v>0.24</v>
      </c>
      <c r="S55" s="2">
        <v>45503</v>
      </c>
      <c r="T55" s="1">
        <v>112.59</v>
      </c>
      <c r="U55" s="1">
        <v>0.61</v>
      </c>
      <c r="V55" s="6">
        <f t="shared" si="0"/>
        <v>9417.4600000000009</v>
      </c>
      <c r="W55" s="6" t="str">
        <f t="shared" si="1"/>
        <v>Sufficient</v>
      </c>
      <c r="X55" s="8" t="str">
        <f t="shared" si="2"/>
        <v>High</v>
      </c>
    </row>
    <row r="56" spans="1:24">
      <c r="A56" s="7" t="s">
        <v>121</v>
      </c>
      <c r="B56" s="1" t="s">
        <v>29</v>
      </c>
      <c r="C56" s="1">
        <v>35</v>
      </c>
      <c r="D56" s="1">
        <v>83</v>
      </c>
      <c r="E56" s="1">
        <v>13</v>
      </c>
      <c r="F56" s="1">
        <v>6</v>
      </c>
      <c r="G56" s="1">
        <v>2.86</v>
      </c>
      <c r="H56" s="1" t="s">
        <v>122</v>
      </c>
      <c r="I56" s="1" t="s">
        <v>39</v>
      </c>
      <c r="J56" s="1">
        <v>170</v>
      </c>
      <c r="K56" s="1">
        <v>2.44</v>
      </c>
      <c r="L56" s="4">
        <v>60.44</v>
      </c>
      <c r="M56" s="1">
        <v>0.12</v>
      </c>
      <c r="N56" s="1">
        <v>7</v>
      </c>
      <c r="O56" s="1">
        <v>0.83</v>
      </c>
      <c r="P56" s="1">
        <v>579</v>
      </c>
      <c r="Q56" s="1">
        <v>1.1399999999999999</v>
      </c>
      <c r="R56" s="1">
        <v>0.8</v>
      </c>
      <c r="S56" s="2">
        <v>45315</v>
      </c>
      <c r="T56" s="1">
        <v>243</v>
      </c>
      <c r="U56" s="1">
        <v>0.58899999999999997</v>
      </c>
      <c r="V56" s="6">
        <f t="shared" si="0"/>
        <v>2115.4</v>
      </c>
      <c r="W56" s="6" t="str">
        <f t="shared" si="1"/>
        <v>Reorder Required</v>
      </c>
      <c r="X56" s="8" t="str">
        <f t="shared" si="2"/>
        <v>LOW</v>
      </c>
    </row>
    <row r="57" spans="1:24">
      <c r="A57" s="7" t="s">
        <v>123</v>
      </c>
      <c r="B57" s="1" t="s">
        <v>33</v>
      </c>
      <c r="C57" s="1">
        <v>85</v>
      </c>
      <c r="D57" s="1">
        <v>19</v>
      </c>
      <c r="E57" s="1">
        <v>3</v>
      </c>
      <c r="F57" s="1">
        <v>6</v>
      </c>
      <c r="G57" s="1">
        <v>8.1999999999999993</v>
      </c>
      <c r="H57" s="1" t="s">
        <v>124</v>
      </c>
      <c r="I57" s="1" t="s">
        <v>39</v>
      </c>
      <c r="J57" s="1">
        <v>139</v>
      </c>
      <c r="K57" s="1">
        <v>2.14</v>
      </c>
      <c r="L57" s="4">
        <v>139.72999999999999</v>
      </c>
      <c r="M57" s="1">
        <v>0.16</v>
      </c>
      <c r="N57" s="1">
        <v>8</v>
      </c>
      <c r="O57" s="1">
        <v>0.81</v>
      </c>
      <c r="P57" s="1">
        <v>904</v>
      </c>
      <c r="Q57" s="1">
        <v>12.51</v>
      </c>
      <c r="R57" s="1">
        <v>0.56000000000000005</v>
      </c>
      <c r="S57" s="2">
        <v>45580</v>
      </c>
      <c r="T57" s="1">
        <v>58.48</v>
      </c>
      <c r="U57" s="1">
        <v>0.66500000000000004</v>
      </c>
      <c r="V57" s="6">
        <f t="shared" si="0"/>
        <v>11877.05</v>
      </c>
      <c r="W57" s="6" t="str">
        <f t="shared" si="1"/>
        <v>Sufficient</v>
      </c>
      <c r="X57" s="8" t="str">
        <f t="shared" si="2"/>
        <v>LOW</v>
      </c>
    </row>
    <row r="58" spans="1:24">
      <c r="A58" s="7" t="s">
        <v>125</v>
      </c>
      <c r="B58" s="1" t="s">
        <v>66</v>
      </c>
      <c r="C58" s="1">
        <v>443</v>
      </c>
      <c r="D58" s="1">
        <v>66</v>
      </c>
      <c r="E58" s="1">
        <v>3</v>
      </c>
      <c r="F58" s="1">
        <v>4</v>
      </c>
      <c r="G58" s="1">
        <v>45.94</v>
      </c>
      <c r="H58" s="1" t="s">
        <v>126</v>
      </c>
      <c r="I58" s="1" t="s">
        <v>39</v>
      </c>
      <c r="J58" s="1">
        <v>92</v>
      </c>
      <c r="K58" s="1">
        <v>2.5099999999999998</v>
      </c>
      <c r="L58" s="4">
        <v>151.66999999999999</v>
      </c>
      <c r="M58" s="1">
        <v>0.21</v>
      </c>
      <c r="N58" s="1">
        <v>7</v>
      </c>
      <c r="O58" s="1">
        <v>0.77</v>
      </c>
      <c r="P58" s="1">
        <v>269</v>
      </c>
      <c r="Q58" s="1">
        <v>4.9000000000000004</v>
      </c>
      <c r="R58" s="1">
        <v>0.88</v>
      </c>
      <c r="S58" s="2">
        <v>45405</v>
      </c>
      <c r="T58" s="1">
        <v>183.63</v>
      </c>
      <c r="U58" s="1">
        <v>0.63400000000000001</v>
      </c>
      <c r="V58" s="6">
        <f t="shared" si="0"/>
        <v>67189.81</v>
      </c>
      <c r="W58" s="6" t="str">
        <f t="shared" si="1"/>
        <v>Sufficient</v>
      </c>
      <c r="X58" s="8" t="str">
        <f t="shared" si="2"/>
        <v>High</v>
      </c>
    </row>
    <row r="59" spans="1:24">
      <c r="A59" s="7" t="s">
        <v>127</v>
      </c>
      <c r="B59" s="1" t="s">
        <v>25</v>
      </c>
      <c r="C59" s="1">
        <v>164</v>
      </c>
      <c r="D59" s="1">
        <v>16</v>
      </c>
      <c r="E59" s="1">
        <v>7</v>
      </c>
      <c r="F59" s="1">
        <v>9</v>
      </c>
      <c r="G59" s="1">
        <v>49.92</v>
      </c>
      <c r="H59" s="1" t="s">
        <v>128</v>
      </c>
      <c r="I59" s="1" t="s">
        <v>39</v>
      </c>
      <c r="J59" s="1">
        <v>165</v>
      </c>
      <c r="K59" s="1">
        <v>2.42</v>
      </c>
      <c r="L59" s="4">
        <v>32.770000000000003</v>
      </c>
      <c r="M59" s="1">
        <v>1.1200000000000001</v>
      </c>
      <c r="N59" s="1">
        <v>0</v>
      </c>
      <c r="O59" s="1">
        <v>0.8</v>
      </c>
      <c r="P59" s="1">
        <v>634</v>
      </c>
      <c r="Q59" s="1">
        <v>3.64</v>
      </c>
      <c r="R59" s="1">
        <v>0.44</v>
      </c>
      <c r="S59" s="2">
        <v>45366</v>
      </c>
      <c r="T59" s="1">
        <v>127.88</v>
      </c>
      <c r="U59" s="1">
        <v>0.58499999999999996</v>
      </c>
      <c r="V59" s="6">
        <f t="shared" si="0"/>
        <v>5374.2800000000007</v>
      </c>
      <c r="W59" s="6" t="str">
        <f t="shared" si="1"/>
        <v>Sufficient</v>
      </c>
      <c r="X59" s="8" t="str">
        <f t="shared" si="2"/>
        <v>Medium</v>
      </c>
    </row>
    <row r="60" spans="1:24">
      <c r="A60" s="7" t="s">
        <v>129</v>
      </c>
      <c r="B60" s="1" t="s">
        <v>41</v>
      </c>
      <c r="C60" s="1">
        <v>394</v>
      </c>
      <c r="D60" s="1">
        <v>59</v>
      </c>
      <c r="E60" s="1">
        <v>6</v>
      </c>
      <c r="F60" s="1">
        <v>8</v>
      </c>
      <c r="G60" s="1">
        <v>39.25</v>
      </c>
      <c r="H60" s="1" t="s">
        <v>130</v>
      </c>
      <c r="I60" s="1" t="s">
        <v>31</v>
      </c>
      <c r="J60" s="1">
        <v>152</v>
      </c>
      <c r="K60" s="1">
        <v>3.32</v>
      </c>
      <c r="L60" s="4">
        <v>157.93</v>
      </c>
      <c r="M60" s="1">
        <v>0.74</v>
      </c>
      <c r="N60" s="1">
        <v>1</v>
      </c>
      <c r="O60" s="1">
        <v>0.85</v>
      </c>
      <c r="P60" s="1">
        <v>239</v>
      </c>
      <c r="Q60" s="1">
        <v>7.28</v>
      </c>
      <c r="R60" s="1">
        <v>0.82</v>
      </c>
      <c r="S60" s="2">
        <v>45300</v>
      </c>
      <c r="T60" s="1">
        <v>160.24</v>
      </c>
      <c r="U60" s="1">
        <v>0.73699999999999999</v>
      </c>
      <c r="V60" s="6">
        <f t="shared" si="0"/>
        <v>62224.420000000006</v>
      </c>
      <c r="W60" s="6" t="str">
        <f t="shared" si="1"/>
        <v>Sufficient</v>
      </c>
      <c r="X60" s="8" t="str">
        <f t="shared" si="2"/>
        <v>High</v>
      </c>
    </row>
    <row r="61" spans="1:24">
      <c r="A61" s="7" t="s">
        <v>131</v>
      </c>
      <c r="B61" s="1" t="s">
        <v>25</v>
      </c>
      <c r="C61" s="1">
        <v>181</v>
      </c>
      <c r="D61" s="1">
        <v>61</v>
      </c>
      <c r="E61" s="1">
        <v>3</v>
      </c>
      <c r="F61" s="1">
        <v>7</v>
      </c>
      <c r="G61" s="1">
        <v>15.05</v>
      </c>
      <c r="H61" s="1" t="s">
        <v>132</v>
      </c>
      <c r="I61" s="1" t="s">
        <v>31</v>
      </c>
      <c r="J61" s="1">
        <v>10</v>
      </c>
      <c r="K61" s="1">
        <v>3.8</v>
      </c>
      <c r="L61" s="4">
        <v>80.41</v>
      </c>
      <c r="M61" s="1">
        <v>1.8</v>
      </c>
      <c r="N61" s="1">
        <v>5</v>
      </c>
      <c r="O61" s="1">
        <v>0.77</v>
      </c>
      <c r="P61" s="1">
        <v>924</v>
      </c>
      <c r="Q61" s="1">
        <v>13.56</v>
      </c>
      <c r="R61" s="1">
        <v>0.26</v>
      </c>
      <c r="S61" s="2">
        <v>45425</v>
      </c>
      <c r="T61" s="1">
        <v>217.18</v>
      </c>
      <c r="U61" s="1">
        <v>0.50700000000000001</v>
      </c>
      <c r="V61" s="6">
        <f t="shared" si="0"/>
        <v>14554.21</v>
      </c>
      <c r="W61" s="6" t="str">
        <f t="shared" si="1"/>
        <v>Sufficient</v>
      </c>
      <c r="X61" s="8" t="str">
        <f t="shared" si="2"/>
        <v>Medium</v>
      </c>
    </row>
    <row r="62" spans="1:24">
      <c r="A62" s="7" t="s">
        <v>133</v>
      </c>
      <c r="B62" s="1" t="s">
        <v>41</v>
      </c>
      <c r="C62" s="1">
        <v>253</v>
      </c>
      <c r="D62" s="1">
        <v>42</v>
      </c>
      <c r="E62" s="1">
        <v>6</v>
      </c>
      <c r="F62" s="1">
        <v>7</v>
      </c>
      <c r="G62" s="1">
        <v>20.72</v>
      </c>
      <c r="H62" s="1" t="s">
        <v>113</v>
      </c>
      <c r="I62" s="1" t="s">
        <v>27</v>
      </c>
      <c r="J62" s="1">
        <v>116</v>
      </c>
      <c r="K62" s="1">
        <v>4.03</v>
      </c>
      <c r="L62" s="4">
        <v>139.08000000000001</v>
      </c>
      <c r="M62" s="1">
        <v>1.1599999999999999</v>
      </c>
      <c r="N62" s="1">
        <v>7</v>
      </c>
      <c r="O62" s="1">
        <v>0.93</v>
      </c>
      <c r="P62" s="1">
        <v>311</v>
      </c>
      <c r="Q62" s="1">
        <v>12</v>
      </c>
      <c r="R62" s="1">
        <v>0.71</v>
      </c>
      <c r="S62" s="2">
        <v>45575</v>
      </c>
      <c r="T62" s="1">
        <v>113.56</v>
      </c>
      <c r="U62" s="1">
        <v>0.63200000000000001</v>
      </c>
      <c r="V62" s="6">
        <f t="shared" si="0"/>
        <v>35187.240000000005</v>
      </c>
      <c r="W62" s="6" t="str">
        <f t="shared" si="1"/>
        <v>Sufficient</v>
      </c>
      <c r="X62" s="8" t="str">
        <f t="shared" si="2"/>
        <v>High</v>
      </c>
    </row>
    <row r="63" spans="1:24">
      <c r="A63" s="7" t="s">
        <v>134</v>
      </c>
      <c r="B63" s="1" t="s">
        <v>41</v>
      </c>
      <c r="C63" s="1">
        <v>399</v>
      </c>
      <c r="D63" s="1">
        <v>10</v>
      </c>
      <c r="E63" s="1">
        <v>5</v>
      </c>
      <c r="F63" s="1">
        <v>4</v>
      </c>
      <c r="G63" s="1">
        <v>37.24</v>
      </c>
      <c r="H63" s="1" t="s">
        <v>135</v>
      </c>
      <c r="I63" s="1" t="s">
        <v>45</v>
      </c>
      <c r="J63" s="1">
        <v>37</v>
      </c>
      <c r="K63" s="1">
        <v>3.42</v>
      </c>
      <c r="L63" s="4">
        <v>137.59</v>
      </c>
      <c r="M63" s="1">
        <v>1.54</v>
      </c>
      <c r="N63" s="1">
        <v>3</v>
      </c>
      <c r="O63" s="1">
        <v>0.91</v>
      </c>
      <c r="P63" s="1">
        <v>193</v>
      </c>
      <c r="Q63" s="1">
        <v>14.54</v>
      </c>
      <c r="R63" s="1">
        <v>0.49</v>
      </c>
      <c r="S63" s="2">
        <v>45591</v>
      </c>
      <c r="T63" s="1">
        <v>116.45</v>
      </c>
      <c r="U63" s="1">
        <v>0.66</v>
      </c>
      <c r="V63" s="6">
        <f t="shared" si="0"/>
        <v>54898.41</v>
      </c>
      <c r="W63" s="6" t="str">
        <f t="shared" si="1"/>
        <v>Sufficient</v>
      </c>
      <c r="X63" s="8" t="str">
        <f t="shared" si="2"/>
        <v>High</v>
      </c>
    </row>
    <row r="64" spans="1:24">
      <c r="A64" s="7" t="s">
        <v>136</v>
      </c>
      <c r="B64" s="1" t="s">
        <v>25</v>
      </c>
      <c r="C64" s="1">
        <v>163</v>
      </c>
      <c r="D64" s="1">
        <v>62</v>
      </c>
      <c r="E64" s="1">
        <v>4</v>
      </c>
      <c r="F64" s="1">
        <v>9</v>
      </c>
      <c r="G64" s="1">
        <v>48.46</v>
      </c>
      <c r="H64" s="1" t="s">
        <v>137</v>
      </c>
      <c r="I64" s="1" t="s">
        <v>45</v>
      </c>
      <c r="J64" s="1">
        <v>59</v>
      </c>
      <c r="K64" s="1">
        <v>2.4700000000000002</v>
      </c>
      <c r="L64" s="4">
        <v>160.78</v>
      </c>
      <c r="M64" s="1">
        <v>1.41</v>
      </c>
      <c r="N64" s="1">
        <v>3</v>
      </c>
      <c r="O64" s="1">
        <v>0.78</v>
      </c>
      <c r="P64" s="1">
        <v>534</v>
      </c>
      <c r="Q64" s="1">
        <v>8.57</v>
      </c>
      <c r="R64" s="1">
        <v>0.42</v>
      </c>
      <c r="S64" s="2">
        <v>45588</v>
      </c>
      <c r="T64" s="1">
        <v>32.270000000000003</v>
      </c>
      <c r="U64" s="1">
        <v>0.55300000000000005</v>
      </c>
      <c r="V64" s="6">
        <f t="shared" si="0"/>
        <v>26207.14</v>
      </c>
      <c r="W64" s="6" t="str">
        <f t="shared" si="1"/>
        <v>Sufficient</v>
      </c>
      <c r="X64" s="8" t="str">
        <f t="shared" si="2"/>
        <v>Medium</v>
      </c>
    </row>
    <row r="65" spans="1:24">
      <c r="A65" s="7" t="s">
        <v>138</v>
      </c>
      <c r="B65" s="1" t="s">
        <v>29</v>
      </c>
      <c r="C65" s="1">
        <v>377</v>
      </c>
      <c r="D65" s="1">
        <v>69</v>
      </c>
      <c r="E65" s="1">
        <v>11</v>
      </c>
      <c r="F65" s="1">
        <v>6</v>
      </c>
      <c r="G65" s="1">
        <v>23.32</v>
      </c>
      <c r="H65" s="1" t="s">
        <v>139</v>
      </c>
      <c r="I65" s="1" t="s">
        <v>27</v>
      </c>
      <c r="J65" s="1">
        <v>44</v>
      </c>
      <c r="K65" s="1">
        <v>4.78</v>
      </c>
      <c r="L65" s="4">
        <v>142.46</v>
      </c>
      <c r="M65" s="1">
        <v>1.0900000000000001</v>
      </c>
      <c r="N65" s="1">
        <v>1</v>
      </c>
      <c r="O65" s="1">
        <v>0.73</v>
      </c>
      <c r="P65" s="1">
        <v>690</v>
      </c>
      <c r="Q65" s="1">
        <v>8.15</v>
      </c>
      <c r="R65" s="1">
        <v>0.85</v>
      </c>
      <c r="S65" s="2">
        <v>45505</v>
      </c>
      <c r="T65" s="1">
        <v>170.06</v>
      </c>
      <c r="U65" s="1">
        <v>0.69599999999999995</v>
      </c>
      <c r="V65" s="6">
        <f t="shared" si="0"/>
        <v>53707.420000000006</v>
      </c>
      <c r="W65" s="6" t="str">
        <f t="shared" si="1"/>
        <v>Sufficient</v>
      </c>
      <c r="X65" s="8" t="str">
        <f t="shared" si="2"/>
        <v>High</v>
      </c>
    </row>
    <row r="66" spans="1:24">
      <c r="A66" s="7" t="s">
        <v>140</v>
      </c>
      <c r="B66" s="1" t="s">
        <v>41</v>
      </c>
      <c r="C66" s="1">
        <v>207</v>
      </c>
      <c r="D66" s="1">
        <v>43</v>
      </c>
      <c r="E66" s="1">
        <v>13</v>
      </c>
      <c r="F66" s="1">
        <v>3</v>
      </c>
      <c r="G66" s="1">
        <v>41.65</v>
      </c>
      <c r="H66" s="1" t="s">
        <v>141</v>
      </c>
      <c r="I66" s="1" t="s">
        <v>45</v>
      </c>
      <c r="J66" s="1">
        <v>165</v>
      </c>
      <c r="K66" s="1">
        <v>3.7</v>
      </c>
      <c r="L66" s="4">
        <v>17.38</v>
      </c>
      <c r="M66" s="1">
        <v>1.51</v>
      </c>
      <c r="N66" s="1">
        <v>9</v>
      </c>
      <c r="O66" s="1">
        <v>0.7</v>
      </c>
      <c r="P66" s="1">
        <v>327</v>
      </c>
      <c r="Q66" s="1">
        <v>1.18</v>
      </c>
      <c r="R66" s="1">
        <v>0.24</v>
      </c>
      <c r="S66" s="2">
        <v>45443</v>
      </c>
      <c r="T66" s="1">
        <v>130.9</v>
      </c>
      <c r="U66" s="1">
        <v>0.27300000000000002</v>
      </c>
      <c r="V66" s="6">
        <f t="shared" si="0"/>
        <v>3597.66</v>
      </c>
      <c r="W66" s="6" t="str">
        <f t="shared" si="1"/>
        <v>Sufficient</v>
      </c>
      <c r="X66" s="8" t="str">
        <f t="shared" si="2"/>
        <v>Medium</v>
      </c>
    </row>
    <row r="67" spans="1:24">
      <c r="A67" s="7" t="s">
        <v>142</v>
      </c>
      <c r="B67" s="1" t="s">
        <v>41</v>
      </c>
      <c r="C67" s="1">
        <v>341</v>
      </c>
      <c r="D67" s="1">
        <v>13</v>
      </c>
      <c r="E67" s="1">
        <v>3</v>
      </c>
      <c r="F67" s="1">
        <v>5</v>
      </c>
      <c r="G67" s="1">
        <v>48.78</v>
      </c>
      <c r="H67" s="1" t="s">
        <v>143</v>
      </c>
      <c r="I67" s="1" t="s">
        <v>31</v>
      </c>
      <c r="J67" s="1">
        <v>146</v>
      </c>
      <c r="K67" s="1">
        <v>2.42</v>
      </c>
      <c r="L67" s="4">
        <v>108.7</v>
      </c>
      <c r="M67" s="1">
        <v>1.1299999999999999</v>
      </c>
      <c r="N67" s="1">
        <v>0</v>
      </c>
      <c r="O67" s="1">
        <v>0.88</v>
      </c>
      <c r="P67" s="1">
        <v>863</v>
      </c>
      <c r="Q67" s="1">
        <v>3.53</v>
      </c>
      <c r="R67" s="1">
        <v>0.96</v>
      </c>
      <c r="S67" s="2">
        <v>45370</v>
      </c>
      <c r="T67" s="1">
        <v>245.56</v>
      </c>
      <c r="U67" s="1">
        <v>0.70199999999999996</v>
      </c>
      <c r="V67" s="6">
        <f t="shared" si="0"/>
        <v>37066.700000000004</v>
      </c>
      <c r="W67" s="6" t="str">
        <f t="shared" si="1"/>
        <v>Sufficient</v>
      </c>
      <c r="X67" s="8" t="str">
        <f t="shared" si="2"/>
        <v>High</v>
      </c>
    </row>
    <row r="68" spans="1:24">
      <c r="A68" s="7" t="s">
        <v>144</v>
      </c>
      <c r="B68" s="1" t="s">
        <v>25</v>
      </c>
      <c r="C68" s="1">
        <v>469</v>
      </c>
      <c r="D68" s="1">
        <v>26</v>
      </c>
      <c r="E68" s="1">
        <v>9</v>
      </c>
      <c r="F68" s="1">
        <v>5</v>
      </c>
      <c r="G68" s="1">
        <v>43.8</v>
      </c>
      <c r="H68" s="1" t="s">
        <v>145</v>
      </c>
      <c r="I68" s="1" t="s">
        <v>39</v>
      </c>
      <c r="J68" s="1">
        <v>161</v>
      </c>
      <c r="K68" s="1">
        <v>2.5099999999999998</v>
      </c>
      <c r="L68" s="4">
        <v>41.57</v>
      </c>
      <c r="M68" s="1">
        <v>0.83</v>
      </c>
      <c r="N68" s="1">
        <v>9</v>
      </c>
      <c r="O68" s="1">
        <v>0.76</v>
      </c>
      <c r="P68" s="1">
        <v>751</v>
      </c>
      <c r="Q68" s="1">
        <v>7.97</v>
      </c>
      <c r="R68" s="1">
        <v>0.83</v>
      </c>
      <c r="S68" s="2">
        <v>45392</v>
      </c>
      <c r="T68" s="1">
        <v>137.38999999999999</v>
      </c>
      <c r="U68" s="1">
        <v>0.56100000000000005</v>
      </c>
      <c r="V68" s="6">
        <f t="shared" ref="V68:V131" si="3">C68*L68</f>
        <v>19496.330000000002</v>
      </c>
      <c r="W68" s="6" t="str">
        <f t="shared" ref="W68:W131" si="4">IF(C68&lt;=D68,"Reorder Required","Sufficient")</f>
        <v>Sufficient</v>
      </c>
      <c r="X68" s="8" t="str">
        <f t="shared" ref="X68:X131" si="5">IF(C68&lt;100,"LOW",IF(C68&lt;250,"Medium","High"))</f>
        <v>High</v>
      </c>
    </row>
    <row r="69" spans="1:24">
      <c r="A69" s="7" t="s">
        <v>146</v>
      </c>
      <c r="B69" s="1" t="s">
        <v>41</v>
      </c>
      <c r="C69" s="1">
        <v>493</v>
      </c>
      <c r="D69" s="1">
        <v>13</v>
      </c>
      <c r="E69" s="1">
        <v>6</v>
      </c>
      <c r="F69" s="1">
        <v>3</v>
      </c>
      <c r="G69" s="1">
        <v>12.13</v>
      </c>
      <c r="H69" s="1" t="s">
        <v>147</v>
      </c>
      <c r="I69" s="1" t="s">
        <v>45</v>
      </c>
      <c r="J69" s="1">
        <v>141</v>
      </c>
      <c r="K69" s="1">
        <v>4.18</v>
      </c>
      <c r="L69" s="4">
        <v>194.29</v>
      </c>
      <c r="M69" s="1">
        <v>0.93</v>
      </c>
      <c r="N69" s="1">
        <v>8</v>
      </c>
      <c r="O69" s="1">
        <v>0.7</v>
      </c>
      <c r="P69" s="1">
        <v>712</v>
      </c>
      <c r="Q69" s="1">
        <v>11.54</v>
      </c>
      <c r="R69" s="1">
        <v>0.48</v>
      </c>
      <c r="S69" s="2">
        <v>45460</v>
      </c>
      <c r="T69" s="1">
        <v>291.52999999999997</v>
      </c>
      <c r="U69" s="1">
        <v>0.53700000000000003</v>
      </c>
      <c r="V69" s="6">
        <f t="shared" si="3"/>
        <v>95784.97</v>
      </c>
      <c r="W69" s="6" t="str">
        <f t="shared" si="4"/>
        <v>Sufficient</v>
      </c>
      <c r="X69" s="8" t="str">
        <f t="shared" si="5"/>
        <v>High</v>
      </c>
    </row>
    <row r="70" spans="1:24">
      <c r="A70" s="7" t="s">
        <v>148</v>
      </c>
      <c r="B70" s="1" t="s">
        <v>41</v>
      </c>
      <c r="C70" s="1">
        <v>32</v>
      </c>
      <c r="D70" s="1">
        <v>52</v>
      </c>
      <c r="E70" s="1">
        <v>7</v>
      </c>
      <c r="F70" s="1">
        <v>3</v>
      </c>
      <c r="G70" s="1">
        <v>1.39</v>
      </c>
      <c r="H70" s="1" t="s">
        <v>149</v>
      </c>
      <c r="I70" s="1" t="s">
        <v>39</v>
      </c>
      <c r="J70" s="1">
        <v>50</v>
      </c>
      <c r="K70" s="1">
        <v>2.48</v>
      </c>
      <c r="L70" s="4">
        <v>58.61</v>
      </c>
      <c r="M70" s="1">
        <v>1.69</v>
      </c>
      <c r="N70" s="1">
        <v>6</v>
      </c>
      <c r="O70" s="1">
        <v>0.81</v>
      </c>
      <c r="P70" s="1">
        <v>966</v>
      </c>
      <c r="Q70" s="1">
        <v>12.52</v>
      </c>
      <c r="R70" s="1">
        <v>0.99</v>
      </c>
      <c r="S70" s="2">
        <v>45409</v>
      </c>
      <c r="T70" s="1">
        <v>59.82</v>
      </c>
      <c r="U70" s="1">
        <v>0.63800000000000001</v>
      </c>
      <c r="V70" s="6">
        <f t="shared" si="3"/>
        <v>1875.52</v>
      </c>
      <c r="W70" s="6" t="str">
        <f t="shared" si="4"/>
        <v>Reorder Required</v>
      </c>
      <c r="X70" s="8" t="str">
        <f t="shared" si="5"/>
        <v>LOW</v>
      </c>
    </row>
    <row r="71" spans="1:24">
      <c r="A71" s="7" t="s">
        <v>150</v>
      </c>
      <c r="B71" s="1" t="s">
        <v>25</v>
      </c>
      <c r="C71" s="1">
        <v>203</v>
      </c>
      <c r="D71" s="1">
        <v>99</v>
      </c>
      <c r="E71" s="1">
        <v>12</v>
      </c>
      <c r="F71" s="1">
        <v>9</v>
      </c>
      <c r="G71" s="1">
        <v>25.11</v>
      </c>
      <c r="H71" s="1" t="s">
        <v>151</v>
      </c>
      <c r="I71" s="1" t="s">
        <v>39</v>
      </c>
      <c r="J71" s="1">
        <v>76</v>
      </c>
      <c r="K71" s="1">
        <v>2.82</v>
      </c>
      <c r="L71" s="4">
        <v>89.82</v>
      </c>
      <c r="M71" s="1">
        <v>1.17</v>
      </c>
      <c r="N71" s="1">
        <v>8</v>
      </c>
      <c r="O71" s="1">
        <v>0.99</v>
      </c>
      <c r="P71" s="1">
        <v>356</v>
      </c>
      <c r="Q71" s="1">
        <v>4.97</v>
      </c>
      <c r="R71" s="1">
        <v>0.36</v>
      </c>
      <c r="S71" s="2">
        <v>45486</v>
      </c>
      <c r="T71" s="1">
        <v>87.45</v>
      </c>
      <c r="U71" s="1">
        <v>0.45900000000000002</v>
      </c>
      <c r="V71" s="6">
        <f t="shared" si="3"/>
        <v>18233.46</v>
      </c>
      <c r="W71" s="6" t="str">
        <f t="shared" si="4"/>
        <v>Sufficient</v>
      </c>
      <c r="X71" s="8" t="str">
        <f t="shared" si="5"/>
        <v>Medium</v>
      </c>
    </row>
    <row r="72" spans="1:24">
      <c r="A72" s="7" t="s">
        <v>152</v>
      </c>
      <c r="B72" s="1" t="s">
        <v>25</v>
      </c>
      <c r="C72" s="1">
        <v>130</v>
      </c>
      <c r="D72" s="1">
        <v>13</v>
      </c>
      <c r="E72" s="1">
        <v>7</v>
      </c>
      <c r="F72" s="1">
        <v>6</v>
      </c>
      <c r="G72" s="1">
        <v>27.04</v>
      </c>
      <c r="H72" s="1" t="s">
        <v>153</v>
      </c>
      <c r="I72" s="1" t="s">
        <v>31</v>
      </c>
      <c r="J72" s="1">
        <v>57</v>
      </c>
      <c r="K72" s="1">
        <v>1.81</v>
      </c>
      <c r="L72" s="4">
        <v>47.37</v>
      </c>
      <c r="M72" s="1">
        <v>0.82</v>
      </c>
      <c r="N72" s="1">
        <v>1</v>
      </c>
      <c r="O72" s="1">
        <v>0.91</v>
      </c>
      <c r="P72" s="1">
        <v>945</v>
      </c>
      <c r="Q72" s="1">
        <v>10.97</v>
      </c>
      <c r="R72" s="1">
        <v>0.52</v>
      </c>
      <c r="S72" s="2">
        <v>45583</v>
      </c>
      <c r="T72" s="1">
        <v>123.65</v>
      </c>
      <c r="U72" s="1">
        <v>0.73</v>
      </c>
      <c r="V72" s="6">
        <f t="shared" si="3"/>
        <v>6158.0999999999995</v>
      </c>
      <c r="W72" s="6" t="str">
        <f t="shared" si="4"/>
        <v>Sufficient</v>
      </c>
      <c r="X72" s="8" t="str">
        <f t="shared" si="5"/>
        <v>Medium</v>
      </c>
    </row>
    <row r="73" spans="1:24">
      <c r="A73" s="7" t="s">
        <v>154</v>
      </c>
      <c r="B73" s="1" t="s">
        <v>66</v>
      </c>
      <c r="C73" s="1">
        <v>434</v>
      </c>
      <c r="D73" s="1">
        <v>10</v>
      </c>
      <c r="E73" s="1">
        <v>3</v>
      </c>
      <c r="F73" s="1">
        <v>4</v>
      </c>
      <c r="G73" s="1">
        <v>10.86</v>
      </c>
      <c r="H73" s="1" t="s">
        <v>124</v>
      </c>
      <c r="I73" s="1" t="s">
        <v>39</v>
      </c>
      <c r="J73" s="1">
        <v>95</v>
      </c>
      <c r="K73" s="1">
        <v>4.28</v>
      </c>
      <c r="L73" s="4">
        <v>35.57</v>
      </c>
      <c r="M73" s="1">
        <v>0.44</v>
      </c>
      <c r="N73" s="1">
        <v>9</v>
      </c>
      <c r="O73" s="1">
        <v>0.96</v>
      </c>
      <c r="P73" s="1">
        <v>656</v>
      </c>
      <c r="Q73" s="1">
        <v>12.6</v>
      </c>
      <c r="R73" s="1">
        <v>0.91</v>
      </c>
      <c r="S73" s="2">
        <v>45417</v>
      </c>
      <c r="T73" s="1">
        <v>59.42</v>
      </c>
      <c r="U73" s="1">
        <v>0.71799999999999997</v>
      </c>
      <c r="V73" s="6">
        <f t="shared" si="3"/>
        <v>15437.380000000001</v>
      </c>
      <c r="W73" s="6" t="str">
        <f t="shared" si="4"/>
        <v>Sufficient</v>
      </c>
      <c r="X73" s="8" t="str">
        <f t="shared" si="5"/>
        <v>High</v>
      </c>
    </row>
    <row r="74" spans="1:24">
      <c r="A74" s="7" t="s">
        <v>155</v>
      </c>
      <c r="B74" s="1" t="s">
        <v>29</v>
      </c>
      <c r="C74" s="1">
        <v>309</v>
      </c>
      <c r="D74" s="1">
        <v>80</v>
      </c>
      <c r="E74" s="1">
        <v>8</v>
      </c>
      <c r="F74" s="1">
        <v>3</v>
      </c>
      <c r="G74" s="1">
        <v>14.95</v>
      </c>
      <c r="H74" s="1" t="s">
        <v>156</v>
      </c>
      <c r="I74" s="1" t="s">
        <v>45</v>
      </c>
      <c r="J74" s="1">
        <v>67</v>
      </c>
      <c r="K74" s="1">
        <v>2.85</v>
      </c>
      <c r="L74" s="4">
        <v>124.18</v>
      </c>
      <c r="M74" s="1">
        <v>1.04</v>
      </c>
      <c r="N74" s="1">
        <v>4</v>
      </c>
      <c r="O74" s="1">
        <v>0.74</v>
      </c>
      <c r="P74" s="1">
        <v>599</v>
      </c>
      <c r="Q74" s="1">
        <v>6.25</v>
      </c>
      <c r="R74" s="1">
        <v>1</v>
      </c>
      <c r="S74" s="2">
        <v>45547</v>
      </c>
      <c r="T74" s="1">
        <v>291.97000000000003</v>
      </c>
      <c r="U74" s="1">
        <v>0.64700000000000002</v>
      </c>
      <c r="V74" s="6">
        <f t="shared" si="3"/>
        <v>38371.620000000003</v>
      </c>
      <c r="W74" s="6" t="str">
        <f t="shared" si="4"/>
        <v>Sufficient</v>
      </c>
      <c r="X74" s="8" t="str">
        <f t="shared" si="5"/>
        <v>High</v>
      </c>
    </row>
    <row r="75" spans="1:24">
      <c r="A75" s="7" t="s">
        <v>157</v>
      </c>
      <c r="B75" s="1" t="s">
        <v>29</v>
      </c>
      <c r="C75" s="1">
        <v>314</v>
      </c>
      <c r="D75" s="1">
        <v>59</v>
      </c>
      <c r="E75" s="1">
        <v>11</v>
      </c>
      <c r="F75" s="1">
        <v>4</v>
      </c>
      <c r="G75" s="1">
        <v>38.49</v>
      </c>
      <c r="H75" s="1" t="s">
        <v>70</v>
      </c>
      <c r="I75" s="1" t="s">
        <v>31</v>
      </c>
      <c r="J75" s="1">
        <v>48</v>
      </c>
      <c r="K75" s="1">
        <v>2.99</v>
      </c>
      <c r="L75" s="4">
        <v>103.7</v>
      </c>
      <c r="M75" s="1">
        <v>0.57999999999999996</v>
      </c>
      <c r="N75" s="1">
        <v>1</v>
      </c>
      <c r="O75" s="1">
        <v>0.72</v>
      </c>
      <c r="P75" s="1">
        <v>205</v>
      </c>
      <c r="Q75" s="1">
        <v>10.74</v>
      </c>
      <c r="R75" s="1">
        <v>0.39</v>
      </c>
      <c r="S75" s="2">
        <v>45573</v>
      </c>
      <c r="T75" s="1">
        <v>195.88</v>
      </c>
      <c r="U75" s="1">
        <v>0.68700000000000006</v>
      </c>
      <c r="V75" s="6">
        <f t="shared" si="3"/>
        <v>32561.8</v>
      </c>
      <c r="W75" s="6" t="str">
        <f t="shared" si="4"/>
        <v>Sufficient</v>
      </c>
      <c r="X75" s="8" t="str">
        <f t="shared" si="5"/>
        <v>High</v>
      </c>
    </row>
    <row r="76" spans="1:24">
      <c r="A76" s="7" t="s">
        <v>158</v>
      </c>
      <c r="B76" s="1" t="s">
        <v>41</v>
      </c>
      <c r="C76" s="1">
        <v>470</v>
      </c>
      <c r="D76" s="1">
        <v>82</v>
      </c>
      <c r="E76" s="1">
        <v>4</v>
      </c>
      <c r="F76" s="1">
        <v>9</v>
      </c>
      <c r="G76" s="1">
        <v>24.05</v>
      </c>
      <c r="H76" s="1" t="s">
        <v>159</v>
      </c>
      <c r="I76" s="1" t="s">
        <v>27</v>
      </c>
      <c r="J76" s="1">
        <v>34</v>
      </c>
      <c r="K76" s="1">
        <v>4.46</v>
      </c>
      <c r="L76" s="4">
        <v>81.19</v>
      </c>
      <c r="M76" s="1">
        <v>1.92</v>
      </c>
      <c r="N76" s="1">
        <v>9</v>
      </c>
      <c r="O76" s="1">
        <v>0.7</v>
      </c>
      <c r="P76" s="1">
        <v>349</v>
      </c>
      <c r="Q76" s="1">
        <v>7.12</v>
      </c>
      <c r="R76" s="1">
        <v>0.79</v>
      </c>
      <c r="S76" s="2">
        <v>45627</v>
      </c>
      <c r="T76" s="1">
        <v>13.25</v>
      </c>
      <c r="U76" s="1">
        <v>0.42099999999999999</v>
      </c>
      <c r="V76" s="6">
        <f t="shared" si="3"/>
        <v>38159.299999999996</v>
      </c>
      <c r="W76" s="6" t="str">
        <f t="shared" si="4"/>
        <v>Sufficient</v>
      </c>
      <c r="X76" s="8" t="str">
        <f t="shared" si="5"/>
        <v>High</v>
      </c>
    </row>
    <row r="77" spans="1:24">
      <c r="A77" s="7" t="s">
        <v>160</v>
      </c>
      <c r="B77" s="1" t="s">
        <v>29</v>
      </c>
      <c r="C77" s="1">
        <v>411</v>
      </c>
      <c r="D77" s="1">
        <v>70</v>
      </c>
      <c r="E77" s="1">
        <v>9</v>
      </c>
      <c r="F77" s="1">
        <v>8</v>
      </c>
      <c r="G77" s="1">
        <v>16.55</v>
      </c>
      <c r="H77" s="1" t="s">
        <v>139</v>
      </c>
      <c r="I77" s="1" t="s">
        <v>31</v>
      </c>
      <c r="J77" s="1">
        <v>69</v>
      </c>
      <c r="K77" s="1">
        <v>4.6399999999999997</v>
      </c>
      <c r="L77" s="4">
        <v>26.23</v>
      </c>
      <c r="M77" s="1">
        <v>1.03</v>
      </c>
      <c r="N77" s="1">
        <v>6</v>
      </c>
      <c r="O77" s="1">
        <v>0.99</v>
      </c>
      <c r="P77" s="1">
        <v>396</v>
      </c>
      <c r="Q77" s="1">
        <v>14.8</v>
      </c>
      <c r="R77" s="1">
        <v>0.44</v>
      </c>
      <c r="S77" s="2">
        <v>45642</v>
      </c>
      <c r="T77" s="1">
        <v>177.77</v>
      </c>
      <c r="U77" s="1">
        <v>0.66</v>
      </c>
      <c r="V77" s="6">
        <f t="shared" si="3"/>
        <v>10780.53</v>
      </c>
      <c r="W77" s="6" t="str">
        <f t="shared" si="4"/>
        <v>Sufficient</v>
      </c>
      <c r="X77" s="8" t="str">
        <f t="shared" si="5"/>
        <v>High</v>
      </c>
    </row>
    <row r="78" spans="1:24">
      <c r="A78" s="7" t="s">
        <v>161</v>
      </c>
      <c r="B78" s="1" t="s">
        <v>41</v>
      </c>
      <c r="C78" s="1">
        <v>234</v>
      </c>
      <c r="D78" s="1">
        <v>44</v>
      </c>
      <c r="E78" s="1">
        <v>8</v>
      </c>
      <c r="F78" s="1">
        <v>2</v>
      </c>
      <c r="G78" s="1">
        <v>31.51</v>
      </c>
      <c r="H78" s="1" t="s">
        <v>135</v>
      </c>
      <c r="I78" s="1" t="s">
        <v>45</v>
      </c>
      <c r="J78" s="1">
        <v>126</v>
      </c>
      <c r="K78" s="1">
        <v>4.21</v>
      </c>
      <c r="L78" s="4">
        <v>149.83000000000001</v>
      </c>
      <c r="M78" s="1">
        <v>0.12</v>
      </c>
      <c r="N78" s="1">
        <v>8</v>
      </c>
      <c r="O78" s="1">
        <v>0.79</v>
      </c>
      <c r="P78" s="1">
        <v>472</v>
      </c>
      <c r="Q78" s="1">
        <v>1.0900000000000001</v>
      </c>
      <c r="R78" s="1">
        <v>0.81</v>
      </c>
      <c r="S78" s="2">
        <v>45464</v>
      </c>
      <c r="T78" s="1">
        <v>236.56</v>
      </c>
      <c r="U78" s="1">
        <v>0.56299999999999994</v>
      </c>
      <c r="V78" s="6">
        <f t="shared" si="3"/>
        <v>35060.22</v>
      </c>
      <c r="W78" s="6" t="str">
        <f t="shared" si="4"/>
        <v>Sufficient</v>
      </c>
      <c r="X78" s="8" t="str">
        <f t="shared" si="5"/>
        <v>Medium</v>
      </c>
    </row>
    <row r="79" spans="1:24">
      <c r="A79" s="7" t="s">
        <v>162</v>
      </c>
      <c r="B79" s="1" t="s">
        <v>66</v>
      </c>
      <c r="C79" s="1">
        <v>481</v>
      </c>
      <c r="D79" s="1">
        <v>17</v>
      </c>
      <c r="E79" s="1">
        <v>7</v>
      </c>
      <c r="F79" s="1">
        <v>5</v>
      </c>
      <c r="G79" s="1">
        <v>32.99</v>
      </c>
      <c r="H79" s="1" t="s">
        <v>70</v>
      </c>
      <c r="I79" s="1" t="s">
        <v>31</v>
      </c>
      <c r="J79" s="1">
        <v>95</v>
      </c>
      <c r="K79" s="1">
        <v>0.79</v>
      </c>
      <c r="L79" s="4">
        <v>11.11</v>
      </c>
      <c r="M79" s="1">
        <v>0.28000000000000003</v>
      </c>
      <c r="N79" s="1">
        <v>2</v>
      </c>
      <c r="O79" s="1">
        <v>0.84</v>
      </c>
      <c r="P79" s="1">
        <v>475</v>
      </c>
      <c r="Q79" s="1">
        <v>6.8</v>
      </c>
      <c r="R79" s="1">
        <v>0.3</v>
      </c>
      <c r="S79" s="2">
        <v>45423</v>
      </c>
      <c r="T79" s="1">
        <v>24.88</v>
      </c>
      <c r="U79" s="1">
        <v>0.65100000000000002</v>
      </c>
      <c r="V79" s="6">
        <f t="shared" si="3"/>
        <v>5343.91</v>
      </c>
      <c r="W79" s="6" t="str">
        <f t="shared" si="4"/>
        <v>Sufficient</v>
      </c>
      <c r="X79" s="8" t="str">
        <f t="shared" si="5"/>
        <v>High</v>
      </c>
    </row>
    <row r="80" spans="1:24">
      <c r="A80" s="7" t="s">
        <v>163</v>
      </c>
      <c r="B80" s="1" t="s">
        <v>25</v>
      </c>
      <c r="C80" s="1">
        <v>139</v>
      </c>
      <c r="D80" s="1">
        <v>33</v>
      </c>
      <c r="E80" s="1">
        <v>6</v>
      </c>
      <c r="F80" s="1">
        <v>6</v>
      </c>
      <c r="G80" s="1">
        <v>38.700000000000003</v>
      </c>
      <c r="H80" s="1" t="s">
        <v>115</v>
      </c>
      <c r="I80" s="1" t="s">
        <v>45</v>
      </c>
      <c r="J80" s="1">
        <v>123</v>
      </c>
      <c r="K80" s="1">
        <v>2.5</v>
      </c>
      <c r="L80" s="4">
        <v>96.96</v>
      </c>
      <c r="M80" s="1">
        <v>0.64</v>
      </c>
      <c r="N80" s="1">
        <v>0</v>
      </c>
      <c r="O80" s="1">
        <v>0.82</v>
      </c>
      <c r="P80" s="1">
        <v>91</v>
      </c>
      <c r="Q80" s="1">
        <v>4.6900000000000004</v>
      </c>
      <c r="R80" s="1">
        <v>0.47</v>
      </c>
      <c r="S80" s="2">
        <v>45542</v>
      </c>
      <c r="T80" s="1">
        <v>177.6</v>
      </c>
      <c r="U80" s="1">
        <v>0.65700000000000003</v>
      </c>
      <c r="V80" s="6">
        <f t="shared" si="3"/>
        <v>13477.439999999999</v>
      </c>
      <c r="W80" s="6" t="str">
        <f t="shared" si="4"/>
        <v>Sufficient</v>
      </c>
      <c r="X80" s="8" t="str">
        <f t="shared" si="5"/>
        <v>Medium</v>
      </c>
    </row>
    <row r="81" spans="1:24">
      <c r="A81" s="7" t="s">
        <v>164</v>
      </c>
      <c r="B81" s="1" t="s">
        <v>25</v>
      </c>
      <c r="C81" s="1">
        <v>401</v>
      </c>
      <c r="D81" s="1">
        <v>92</v>
      </c>
      <c r="E81" s="1">
        <v>6</v>
      </c>
      <c r="F81" s="1">
        <v>5</v>
      </c>
      <c r="G81" s="1">
        <v>8.68</v>
      </c>
      <c r="H81" s="1" t="s">
        <v>113</v>
      </c>
      <c r="I81" s="1" t="s">
        <v>45</v>
      </c>
      <c r="J81" s="1">
        <v>93</v>
      </c>
      <c r="K81" s="1">
        <v>2.04</v>
      </c>
      <c r="L81" s="4">
        <v>130.19</v>
      </c>
      <c r="M81" s="1">
        <v>0.28000000000000003</v>
      </c>
      <c r="N81" s="1">
        <v>3</v>
      </c>
      <c r="O81" s="1">
        <v>0.92</v>
      </c>
      <c r="P81" s="1">
        <v>365</v>
      </c>
      <c r="Q81" s="1">
        <v>12.9</v>
      </c>
      <c r="R81" s="1">
        <v>0.26</v>
      </c>
      <c r="S81" s="2">
        <v>45620</v>
      </c>
      <c r="T81" s="1">
        <v>118.55</v>
      </c>
      <c r="U81" s="1">
        <v>0.72</v>
      </c>
      <c r="V81" s="6">
        <f t="shared" si="3"/>
        <v>52206.19</v>
      </c>
      <c r="W81" s="6" t="str">
        <f t="shared" si="4"/>
        <v>Sufficient</v>
      </c>
      <c r="X81" s="8" t="str">
        <f t="shared" si="5"/>
        <v>High</v>
      </c>
    </row>
    <row r="82" spans="1:24">
      <c r="A82" s="7" t="s">
        <v>165</v>
      </c>
      <c r="B82" s="1" t="s">
        <v>25</v>
      </c>
      <c r="C82" s="1">
        <v>74</v>
      </c>
      <c r="D82" s="1">
        <v>45</v>
      </c>
      <c r="E82" s="1">
        <v>8</v>
      </c>
      <c r="F82" s="1">
        <v>6</v>
      </c>
      <c r="G82" s="1">
        <v>37.33</v>
      </c>
      <c r="H82" s="1" t="s">
        <v>38</v>
      </c>
      <c r="I82" s="1" t="s">
        <v>31</v>
      </c>
      <c r="J82" s="1">
        <v>164</v>
      </c>
      <c r="K82" s="1">
        <v>1.46</v>
      </c>
      <c r="L82" s="4">
        <v>91.84</v>
      </c>
      <c r="M82" s="1">
        <v>1.8</v>
      </c>
      <c r="N82" s="1">
        <v>3</v>
      </c>
      <c r="O82" s="1">
        <v>0.79</v>
      </c>
      <c r="P82" s="1">
        <v>687</v>
      </c>
      <c r="Q82" s="1">
        <v>5.0199999999999996</v>
      </c>
      <c r="R82" s="1">
        <v>0.59</v>
      </c>
      <c r="S82" s="2">
        <v>45543</v>
      </c>
      <c r="T82" s="1">
        <v>178.63</v>
      </c>
      <c r="U82" s="1">
        <v>0.503</v>
      </c>
      <c r="V82" s="6">
        <f t="shared" si="3"/>
        <v>6796.16</v>
      </c>
      <c r="W82" s="6" t="str">
        <f t="shared" si="4"/>
        <v>Sufficient</v>
      </c>
      <c r="X82" s="8" t="str">
        <f t="shared" si="5"/>
        <v>LOW</v>
      </c>
    </row>
    <row r="83" spans="1:24">
      <c r="A83" s="7" t="s">
        <v>166</v>
      </c>
      <c r="B83" s="1" t="s">
        <v>29</v>
      </c>
      <c r="C83" s="1">
        <v>46</v>
      </c>
      <c r="D83" s="1">
        <v>59</v>
      </c>
      <c r="E83" s="1">
        <v>6</v>
      </c>
      <c r="F83" s="1">
        <v>9</v>
      </c>
      <c r="G83" s="1">
        <v>30.37</v>
      </c>
      <c r="H83" s="1" t="s">
        <v>128</v>
      </c>
      <c r="I83" s="1" t="s">
        <v>45</v>
      </c>
      <c r="J83" s="1">
        <v>133</v>
      </c>
      <c r="K83" s="1">
        <v>4.59</v>
      </c>
      <c r="L83" s="4">
        <v>33.979999999999997</v>
      </c>
      <c r="M83" s="1">
        <v>1.72</v>
      </c>
      <c r="N83" s="1">
        <v>5</v>
      </c>
      <c r="O83" s="1">
        <v>0.86</v>
      </c>
      <c r="P83" s="1">
        <v>874</v>
      </c>
      <c r="Q83" s="1">
        <v>8.61</v>
      </c>
      <c r="R83" s="1">
        <v>0.76</v>
      </c>
      <c r="S83" s="2">
        <v>45527</v>
      </c>
      <c r="T83" s="1">
        <v>83.26</v>
      </c>
      <c r="U83" s="1">
        <v>0.56699999999999995</v>
      </c>
      <c r="V83" s="6">
        <f t="shared" si="3"/>
        <v>1563.08</v>
      </c>
      <c r="W83" s="6" t="str">
        <f t="shared" si="4"/>
        <v>Reorder Required</v>
      </c>
      <c r="X83" s="8" t="str">
        <f t="shared" si="5"/>
        <v>LOW</v>
      </c>
    </row>
    <row r="84" spans="1:24">
      <c r="A84" s="7" t="s">
        <v>167</v>
      </c>
      <c r="B84" s="1" t="s">
        <v>66</v>
      </c>
      <c r="C84" s="1">
        <v>137</v>
      </c>
      <c r="D84" s="1">
        <v>52</v>
      </c>
      <c r="E84" s="1">
        <v>7</v>
      </c>
      <c r="F84" s="1">
        <v>2</v>
      </c>
      <c r="G84" s="1">
        <v>3.82</v>
      </c>
      <c r="H84" s="1" t="s">
        <v>26</v>
      </c>
      <c r="I84" s="1" t="s">
        <v>27</v>
      </c>
      <c r="J84" s="1">
        <v>120</v>
      </c>
      <c r="K84" s="1">
        <v>4.51</v>
      </c>
      <c r="L84" s="4">
        <v>157.87</v>
      </c>
      <c r="M84" s="1">
        <v>1.94</v>
      </c>
      <c r="N84" s="1">
        <v>4</v>
      </c>
      <c r="O84" s="1">
        <v>1</v>
      </c>
      <c r="P84" s="1">
        <v>126</v>
      </c>
      <c r="Q84" s="1">
        <v>11.36</v>
      </c>
      <c r="R84" s="1">
        <v>0.5</v>
      </c>
      <c r="S84" s="2">
        <v>45378</v>
      </c>
      <c r="T84" s="1">
        <v>203.14</v>
      </c>
      <c r="U84" s="1">
        <v>0.57699999999999996</v>
      </c>
      <c r="V84" s="6">
        <f t="shared" si="3"/>
        <v>21628.190000000002</v>
      </c>
      <c r="W84" s="6" t="str">
        <f t="shared" si="4"/>
        <v>Sufficient</v>
      </c>
      <c r="X84" s="8" t="str">
        <f t="shared" si="5"/>
        <v>Medium</v>
      </c>
    </row>
    <row r="85" spans="1:24">
      <c r="A85" s="7" t="s">
        <v>168</v>
      </c>
      <c r="B85" s="1" t="s">
        <v>29</v>
      </c>
      <c r="C85" s="1">
        <v>240</v>
      </c>
      <c r="D85" s="1">
        <v>36</v>
      </c>
      <c r="E85" s="1">
        <v>8</v>
      </c>
      <c r="F85" s="1">
        <v>5</v>
      </c>
      <c r="G85" s="1">
        <v>39.090000000000003</v>
      </c>
      <c r="H85" s="1" t="s">
        <v>145</v>
      </c>
      <c r="I85" s="1" t="s">
        <v>45</v>
      </c>
      <c r="J85" s="1">
        <v>51</v>
      </c>
      <c r="K85" s="1">
        <v>2.59</v>
      </c>
      <c r="L85" s="4">
        <v>71.55</v>
      </c>
      <c r="M85" s="1">
        <v>1.44</v>
      </c>
      <c r="N85" s="1">
        <v>4</v>
      </c>
      <c r="O85" s="1">
        <v>0.83</v>
      </c>
      <c r="P85" s="1">
        <v>145</v>
      </c>
      <c r="Q85" s="1">
        <v>7.96</v>
      </c>
      <c r="R85" s="1">
        <v>0.69</v>
      </c>
      <c r="S85" s="2">
        <v>45472</v>
      </c>
      <c r="T85" s="1">
        <v>204.69</v>
      </c>
      <c r="U85" s="1">
        <v>0.58599999999999997</v>
      </c>
      <c r="V85" s="6">
        <f t="shared" si="3"/>
        <v>17172</v>
      </c>
      <c r="W85" s="6" t="str">
        <f t="shared" si="4"/>
        <v>Sufficient</v>
      </c>
      <c r="X85" s="8" t="str">
        <f t="shared" si="5"/>
        <v>Medium</v>
      </c>
    </row>
    <row r="86" spans="1:24">
      <c r="A86" s="7" t="s">
        <v>169</v>
      </c>
      <c r="B86" s="1" t="s">
        <v>29</v>
      </c>
      <c r="C86" s="1">
        <v>250</v>
      </c>
      <c r="D86" s="1">
        <v>41</v>
      </c>
      <c r="E86" s="1">
        <v>7</v>
      </c>
      <c r="F86" s="1">
        <v>2</v>
      </c>
      <c r="G86" s="1">
        <v>19.77</v>
      </c>
      <c r="H86" s="1" t="s">
        <v>99</v>
      </c>
      <c r="I86" s="1" t="s">
        <v>27</v>
      </c>
      <c r="J86" s="1">
        <v>61</v>
      </c>
      <c r="K86" s="1">
        <v>1.1100000000000001</v>
      </c>
      <c r="L86" s="4">
        <v>35.6</v>
      </c>
      <c r="M86" s="1">
        <v>1.33</v>
      </c>
      <c r="N86" s="1">
        <v>8</v>
      </c>
      <c r="O86" s="1">
        <v>0.87</v>
      </c>
      <c r="P86" s="1">
        <v>312</v>
      </c>
      <c r="Q86" s="1">
        <v>6.75</v>
      </c>
      <c r="R86" s="1">
        <v>0.66</v>
      </c>
      <c r="S86" s="2">
        <v>45378</v>
      </c>
      <c r="T86" s="1">
        <v>166.46</v>
      </c>
      <c r="U86" s="1">
        <v>0.503</v>
      </c>
      <c r="V86" s="6">
        <f t="shared" si="3"/>
        <v>8900</v>
      </c>
      <c r="W86" s="6" t="str">
        <f t="shared" si="4"/>
        <v>Sufficient</v>
      </c>
      <c r="X86" s="8" t="str">
        <f t="shared" si="5"/>
        <v>High</v>
      </c>
    </row>
    <row r="87" spans="1:24">
      <c r="A87" s="7" t="s">
        <v>170</v>
      </c>
      <c r="B87" s="1" t="s">
        <v>66</v>
      </c>
      <c r="C87" s="1">
        <v>72</v>
      </c>
      <c r="D87" s="1">
        <v>87</v>
      </c>
      <c r="E87" s="1">
        <v>9</v>
      </c>
      <c r="F87" s="1">
        <v>9</v>
      </c>
      <c r="G87" s="1">
        <v>17.190000000000001</v>
      </c>
      <c r="H87" s="1" t="s">
        <v>171</v>
      </c>
      <c r="I87" s="1" t="s">
        <v>27</v>
      </c>
      <c r="J87" s="1">
        <v>57</v>
      </c>
      <c r="K87" s="1">
        <v>0.56000000000000005</v>
      </c>
      <c r="L87" s="4">
        <v>114.55</v>
      </c>
      <c r="M87" s="1">
        <v>1.85</v>
      </c>
      <c r="N87" s="1">
        <v>0</v>
      </c>
      <c r="O87" s="1">
        <v>0.85</v>
      </c>
      <c r="P87" s="1">
        <v>868</v>
      </c>
      <c r="Q87" s="1">
        <v>1.6</v>
      </c>
      <c r="R87" s="1">
        <v>0.44</v>
      </c>
      <c r="S87" s="2">
        <v>45363</v>
      </c>
      <c r="T87" s="1">
        <v>277.89</v>
      </c>
      <c r="U87" s="1">
        <v>0.49399999999999999</v>
      </c>
      <c r="V87" s="6">
        <f t="shared" si="3"/>
        <v>8247.6</v>
      </c>
      <c r="W87" s="6" t="str">
        <f t="shared" si="4"/>
        <v>Reorder Required</v>
      </c>
      <c r="X87" s="8" t="str">
        <f t="shared" si="5"/>
        <v>LOW</v>
      </c>
    </row>
    <row r="88" spans="1:24">
      <c r="A88" s="7" t="s">
        <v>172</v>
      </c>
      <c r="B88" s="1" t="s">
        <v>66</v>
      </c>
      <c r="C88" s="1">
        <v>314</v>
      </c>
      <c r="D88" s="1">
        <v>27</v>
      </c>
      <c r="E88" s="1">
        <v>11</v>
      </c>
      <c r="F88" s="1">
        <v>6</v>
      </c>
      <c r="G88" s="1">
        <v>22.96</v>
      </c>
      <c r="H88" s="1" t="s">
        <v>117</v>
      </c>
      <c r="I88" s="1" t="s">
        <v>45</v>
      </c>
      <c r="J88" s="1">
        <v>41</v>
      </c>
      <c r="K88" s="1">
        <v>2.4700000000000002</v>
      </c>
      <c r="L88" s="4">
        <v>13.64</v>
      </c>
      <c r="M88" s="1">
        <v>1.9</v>
      </c>
      <c r="N88" s="1">
        <v>7</v>
      </c>
      <c r="O88" s="1">
        <v>0.94</v>
      </c>
      <c r="P88" s="1">
        <v>786</v>
      </c>
      <c r="Q88" s="1">
        <v>1.32</v>
      </c>
      <c r="R88" s="1">
        <v>0.59</v>
      </c>
      <c r="S88" s="2">
        <v>45571</v>
      </c>
      <c r="T88" s="1">
        <v>273.75</v>
      </c>
      <c r="U88" s="1">
        <v>0.39400000000000002</v>
      </c>
      <c r="V88" s="6">
        <f t="shared" si="3"/>
        <v>4282.96</v>
      </c>
      <c r="W88" s="6" t="str">
        <f t="shared" si="4"/>
        <v>Sufficient</v>
      </c>
      <c r="X88" s="8" t="str">
        <f t="shared" si="5"/>
        <v>High</v>
      </c>
    </row>
    <row r="89" spans="1:24">
      <c r="A89" s="7" t="s">
        <v>173</v>
      </c>
      <c r="B89" s="1" t="s">
        <v>66</v>
      </c>
      <c r="C89" s="1">
        <v>340</v>
      </c>
      <c r="D89" s="1">
        <v>37</v>
      </c>
      <c r="E89" s="1">
        <v>12</v>
      </c>
      <c r="F89" s="1">
        <v>3</v>
      </c>
      <c r="G89" s="1">
        <v>17.96</v>
      </c>
      <c r="H89" s="1" t="s">
        <v>174</v>
      </c>
      <c r="I89" s="1" t="s">
        <v>39</v>
      </c>
      <c r="J89" s="1">
        <v>161</v>
      </c>
      <c r="K89" s="1">
        <v>0.68</v>
      </c>
      <c r="L89" s="4">
        <v>71.569999999999993</v>
      </c>
      <c r="M89" s="1">
        <v>1.77</v>
      </c>
      <c r="N89" s="1">
        <v>7</v>
      </c>
      <c r="O89" s="1">
        <v>0.78</v>
      </c>
      <c r="P89" s="1">
        <v>672</v>
      </c>
      <c r="Q89" s="1">
        <v>14.4</v>
      </c>
      <c r="R89" s="1">
        <v>0.26</v>
      </c>
      <c r="S89" s="2">
        <v>45542</v>
      </c>
      <c r="T89" s="1">
        <v>23.79</v>
      </c>
      <c r="U89" s="1">
        <v>0.48299999999999998</v>
      </c>
      <c r="V89" s="6">
        <f t="shared" si="3"/>
        <v>24333.8</v>
      </c>
      <c r="W89" s="6" t="str">
        <f t="shared" si="4"/>
        <v>Sufficient</v>
      </c>
      <c r="X89" s="8" t="str">
        <f t="shared" si="5"/>
        <v>High</v>
      </c>
    </row>
    <row r="90" spans="1:24">
      <c r="A90" s="7" t="s">
        <v>175</v>
      </c>
      <c r="B90" s="1" t="s">
        <v>66</v>
      </c>
      <c r="C90" s="1">
        <v>420</v>
      </c>
      <c r="D90" s="1">
        <v>38</v>
      </c>
      <c r="E90" s="1">
        <v>9</v>
      </c>
      <c r="F90" s="1">
        <v>8</v>
      </c>
      <c r="G90" s="1">
        <v>17.579999999999998</v>
      </c>
      <c r="H90" s="1" t="s">
        <v>176</v>
      </c>
      <c r="I90" s="1" t="s">
        <v>27</v>
      </c>
      <c r="J90" s="1">
        <v>140</v>
      </c>
      <c r="K90" s="1">
        <v>3.24</v>
      </c>
      <c r="L90" s="4">
        <v>152.62</v>
      </c>
      <c r="M90" s="1">
        <v>1.74</v>
      </c>
      <c r="N90" s="1">
        <v>7</v>
      </c>
      <c r="O90" s="1">
        <v>0.75</v>
      </c>
      <c r="P90" s="1">
        <v>799</v>
      </c>
      <c r="Q90" s="1">
        <v>10.01</v>
      </c>
      <c r="R90" s="1">
        <v>0.56999999999999995</v>
      </c>
      <c r="S90" s="2">
        <v>45386</v>
      </c>
      <c r="T90" s="1">
        <v>94.07</v>
      </c>
      <c r="U90" s="1">
        <v>0.48299999999999998</v>
      </c>
      <c r="V90" s="6">
        <f t="shared" si="3"/>
        <v>64100.4</v>
      </c>
      <c r="W90" s="6" t="str">
        <f t="shared" si="4"/>
        <v>Sufficient</v>
      </c>
      <c r="X90" s="8" t="str">
        <f t="shared" si="5"/>
        <v>High</v>
      </c>
    </row>
    <row r="91" spans="1:24">
      <c r="A91" s="7" t="s">
        <v>177</v>
      </c>
      <c r="B91" s="1" t="s">
        <v>25</v>
      </c>
      <c r="C91" s="1">
        <v>252</v>
      </c>
      <c r="D91" s="1">
        <v>25</v>
      </c>
      <c r="E91" s="1">
        <v>9</v>
      </c>
      <c r="F91" s="1">
        <v>5</v>
      </c>
      <c r="G91" s="1">
        <v>40.6</v>
      </c>
      <c r="H91" s="1" t="s">
        <v>178</v>
      </c>
      <c r="I91" s="1" t="s">
        <v>27</v>
      </c>
      <c r="J91" s="1">
        <v>127</v>
      </c>
      <c r="K91" s="1">
        <v>3.24</v>
      </c>
      <c r="L91" s="4">
        <v>183.42</v>
      </c>
      <c r="M91" s="1">
        <v>1.38</v>
      </c>
      <c r="N91" s="1">
        <v>2</v>
      </c>
      <c r="O91" s="1">
        <v>0.93</v>
      </c>
      <c r="P91" s="1">
        <v>254</v>
      </c>
      <c r="Q91" s="1">
        <v>12.55</v>
      </c>
      <c r="R91" s="1">
        <v>0.56999999999999995</v>
      </c>
      <c r="S91" s="2">
        <v>45569</v>
      </c>
      <c r="T91" s="1">
        <v>115.64</v>
      </c>
      <c r="U91" s="1">
        <v>0.68899999999999995</v>
      </c>
      <c r="V91" s="6">
        <f t="shared" si="3"/>
        <v>46221.84</v>
      </c>
      <c r="W91" s="6" t="str">
        <f t="shared" si="4"/>
        <v>Sufficient</v>
      </c>
      <c r="X91" s="8" t="str">
        <f t="shared" si="5"/>
        <v>High</v>
      </c>
    </row>
    <row r="92" spans="1:24">
      <c r="A92" s="7" t="s">
        <v>179</v>
      </c>
      <c r="B92" s="1" t="s">
        <v>33</v>
      </c>
      <c r="C92" s="1">
        <v>177</v>
      </c>
      <c r="D92" s="1">
        <v>56</v>
      </c>
      <c r="E92" s="1">
        <v>6</v>
      </c>
      <c r="F92" s="1">
        <v>2</v>
      </c>
      <c r="G92" s="1">
        <v>7.1</v>
      </c>
      <c r="H92" s="1" t="s">
        <v>85</v>
      </c>
      <c r="I92" s="1" t="s">
        <v>31</v>
      </c>
      <c r="J92" s="1">
        <v>164</v>
      </c>
      <c r="K92" s="1">
        <v>4.55</v>
      </c>
      <c r="L92" s="4">
        <v>122.43</v>
      </c>
      <c r="M92" s="1">
        <v>0.1</v>
      </c>
      <c r="N92" s="1">
        <v>9</v>
      </c>
      <c r="O92" s="1">
        <v>0.82</v>
      </c>
      <c r="P92" s="1">
        <v>337</v>
      </c>
      <c r="Q92" s="1">
        <v>7.73</v>
      </c>
      <c r="R92" s="1">
        <v>0.22</v>
      </c>
      <c r="S92" s="2">
        <v>45620</v>
      </c>
      <c r="T92" s="1">
        <v>26.03</v>
      </c>
      <c r="U92" s="1">
        <v>0.52100000000000002</v>
      </c>
      <c r="V92" s="6">
        <f t="shared" si="3"/>
        <v>21670.11</v>
      </c>
      <c r="W92" s="6" t="str">
        <f t="shared" si="4"/>
        <v>Sufficient</v>
      </c>
      <c r="X92" s="8" t="str">
        <f t="shared" si="5"/>
        <v>Medium</v>
      </c>
    </row>
    <row r="93" spans="1:24">
      <c r="A93" s="7" t="s">
        <v>180</v>
      </c>
      <c r="B93" s="1" t="s">
        <v>33</v>
      </c>
      <c r="C93" s="1">
        <v>456</v>
      </c>
      <c r="D93" s="1">
        <v>68</v>
      </c>
      <c r="E93" s="1">
        <v>3</v>
      </c>
      <c r="F93" s="1">
        <v>7</v>
      </c>
      <c r="G93" s="1">
        <v>48.56</v>
      </c>
      <c r="H93" s="1" t="s">
        <v>181</v>
      </c>
      <c r="I93" s="1" t="s">
        <v>27</v>
      </c>
      <c r="J93" s="1">
        <v>177</v>
      </c>
      <c r="K93" s="1">
        <v>1.36</v>
      </c>
      <c r="L93" s="4">
        <v>51.35</v>
      </c>
      <c r="M93" s="1">
        <v>0.92</v>
      </c>
      <c r="N93" s="1">
        <v>7</v>
      </c>
      <c r="O93" s="1">
        <v>0.97</v>
      </c>
      <c r="P93" s="1">
        <v>312</v>
      </c>
      <c r="Q93" s="1">
        <v>4.66</v>
      </c>
      <c r="R93" s="1">
        <v>0.61</v>
      </c>
      <c r="S93" s="2">
        <v>45322</v>
      </c>
      <c r="T93" s="1">
        <v>161.85</v>
      </c>
      <c r="U93" s="1">
        <v>0.54600000000000004</v>
      </c>
      <c r="V93" s="6">
        <f t="shared" si="3"/>
        <v>23415.600000000002</v>
      </c>
      <c r="W93" s="6" t="str">
        <f t="shared" si="4"/>
        <v>Sufficient</v>
      </c>
      <c r="X93" s="8" t="str">
        <f t="shared" si="5"/>
        <v>High</v>
      </c>
    </row>
    <row r="94" spans="1:24">
      <c r="A94" s="7" t="s">
        <v>182</v>
      </c>
      <c r="B94" s="1" t="s">
        <v>66</v>
      </c>
      <c r="C94" s="1">
        <v>288</v>
      </c>
      <c r="D94" s="1">
        <v>40</v>
      </c>
      <c r="E94" s="1">
        <v>10</v>
      </c>
      <c r="F94" s="1">
        <v>5</v>
      </c>
      <c r="G94" s="1">
        <v>28.19</v>
      </c>
      <c r="H94" s="1" t="s">
        <v>183</v>
      </c>
      <c r="I94" s="1" t="s">
        <v>27</v>
      </c>
      <c r="J94" s="1">
        <v>32</v>
      </c>
      <c r="K94" s="1">
        <v>2.17</v>
      </c>
      <c r="L94" s="4">
        <v>51.8</v>
      </c>
      <c r="M94" s="1">
        <v>1.31</v>
      </c>
      <c r="N94" s="1">
        <v>1</v>
      </c>
      <c r="O94" s="1">
        <v>0.89</v>
      </c>
      <c r="P94" s="1">
        <v>637</v>
      </c>
      <c r="Q94" s="1">
        <v>5.12</v>
      </c>
      <c r="R94" s="1">
        <v>0.79</v>
      </c>
      <c r="S94" s="2">
        <v>45560</v>
      </c>
      <c r="T94" s="1">
        <v>17.13</v>
      </c>
      <c r="U94" s="1">
        <v>0.65300000000000002</v>
      </c>
      <c r="V94" s="6">
        <f t="shared" si="3"/>
        <v>14918.4</v>
      </c>
      <c r="W94" s="6" t="str">
        <f t="shared" si="4"/>
        <v>Sufficient</v>
      </c>
      <c r="X94" s="8" t="str">
        <f t="shared" si="5"/>
        <v>High</v>
      </c>
    </row>
    <row r="95" spans="1:24">
      <c r="A95" s="7" t="s">
        <v>184</v>
      </c>
      <c r="B95" s="1" t="s">
        <v>33</v>
      </c>
      <c r="C95" s="1">
        <v>40</v>
      </c>
      <c r="D95" s="1">
        <v>13</v>
      </c>
      <c r="E95" s="1">
        <v>6</v>
      </c>
      <c r="F95" s="1">
        <v>5</v>
      </c>
      <c r="G95" s="1">
        <v>9.9600000000000009</v>
      </c>
      <c r="H95" s="1" t="s">
        <v>185</v>
      </c>
      <c r="I95" s="1" t="s">
        <v>27</v>
      </c>
      <c r="J95" s="1">
        <v>144</v>
      </c>
      <c r="K95" s="1">
        <v>4.37</v>
      </c>
      <c r="L95" s="4">
        <v>124.74</v>
      </c>
      <c r="M95" s="1">
        <v>1.1399999999999999</v>
      </c>
      <c r="N95" s="1">
        <v>7</v>
      </c>
      <c r="O95" s="1">
        <v>0.87</v>
      </c>
      <c r="P95" s="1">
        <v>985</v>
      </c>
      <c r="Q95" s="1">
        <v>1.61</v>
      </c>
      <c r="R95" s="1">
        <v>0.56000000000000005</v>
      </c>
      <c r="S95" s="2">
        <v>45309</v>
      </c>
      <c r="T95" s="1">
        <v>206.64</v>
      </c>
      <c r="U95" s="1">
        <v>0.45300000000000001</v>
      </c>
      <c r="V95" s="6">
        <f t="shared" si="3"/>
        <v>4989.5999999999995</v>
      </c>
      <c r="W95" s="6" t="str">
        <f t="shared" si="4"/>
        <v>Sufficient</v>
      </c>
      <c r="X95" s="8" t="str">
        <f t="shared" si="5"/>
        <v>LOW</v>
      </c>
    </row>
    <row r="96" spans="1:24">
      <c r="A96" s="7" t="s">
        <v>186</v>
      </c>
      <c r="B96" s="1" t="s">
        <v>33</v>
      </c>
      <c r="C96" s="1">
        <v>422</v>
      </c>
      <c r="D96" s="1">
        <v>46</v>
      </c>
      <c r="E96" s="1">
        <v>3</v>
      </c>
      <c r="F96" s="1">
        <v>5</v>
      </c>
      <c r="G96" s="1">
        <v>7.43</v>
      </c>
      <c r="H96" s="1" t="s">
        <v>74</v>
      </c>
      <c r="I96" s="1" t="s">
        <v>27</v>
      </c>
      <c r="J96" s="1">
        <v>136</v>
      </c>
      <c r="K96" s="1">
        <v>2.63</v>
      </c>
      <c r="L96" s="4">
        <v>87.28</v>
      </c>
      <c r="M96" s="1">
        <v>1.66</v>
      </c>
      <c r="N96" s="1">
        <v>7</v>
      </c>
      <c r="O96" s="1">
        <v>0.72</v>
      </c>
      <c r="P96" s="1">
        <v>704</v>
      </c>
      <c r="Q96" s="1">
        <v>12.07</v>
      </c>
      <c r="R96" s="1">
        <v>0.72</v>
      </c>
      <c r="S96" s="2">
        <v>45330</v>
      </c>
      <c r="T96" s="1">
        <v>10.78</v>
      </c>
      <c r="U96" s="1">
        <v>0.54300000000000004</v>
      </c>
      <c r="V96" s="6">
        <f t="shared" si="3"/>
        <v>36832.160000000003</v>
      </c>
      <c r="W96" s="6" t="str">
        <f t="shared" si="4"/>
        <v>Sufficient</v>
      </c>
      <c r="X96" s="8" t="str">
        <f t="shared" si="5"/>
        <v>High</v>
      </c>
    </row>
    <row r="97" spans="1:24">
      <c r="A97" s="7" t="s">
        <v>187</v>
      </c>
      <c r="B97" s="1" t="s">
        <v>66</v>
      </c>
      <c r="C97" s="1">
        <v>72</v>
      </c>
      <c r="D97" s="1">
        <v>26</v>
      </c>
      <c r="E97" s="1">
        <v>7</v>
      </c>
      <c r="F97" s="1">
        <v>4</v>
      </c>
      <c r="G97" s="1">
        <v>29.98</v>
      </c>
      <c r="H97" s="1" t="s">
        <v>26</v>
      </c>
      <c r="I97" s="1" t="s">
        <v>39</v>
      </c>
      <c r="J97" s="1">
        <v>46</v>
      </c>
      <c r="K97" s="1">
        <v>0.77</v>
      </c>
      <c r="L97" s="4">
        <v>43.68</v>
      </c>
      <c r="M97" s="1">
        <v>1.66</v>
      </c>
      <c r="N97" s="1">
        <v>2</v>
      </c>
      <c r="O97" s="1">
        <v>0.92</v>
      </c>
      <c r="P97" s="1">
        <v>364</v>
      </c>
      <c r="Q97" s="1">
        <v>9.14</v>
      </c>
      <c r="R97" s="1">
        <v>0.63</v>
      </c>
      <c r="S97" s="2">
        <v>45634</v>
      </c>
      <c r="T97" s="1">
        <v>19.260000000000002</v>
      </c>
      <c r="U97" s="1">
        <v>0.626</v>
      </c>
      <c r="V97" s="6">
        <f t="shared" si="3"/>
        <v>3144.96</v>
      </c>
      <c r="W97" s="6" t="str">
        <f t="shared" si="4"/>
        <v>Sufficient</v>
      </c>
      <c r="X97" s="8" t="str">
        <f t="shared" si="5"/>
        <v>LOW</v>
      </c>
    </row>
    <row r="98" spans="1:24">
      <c r="A98" s="7" t="s">
        <v>188</v>
      </c>
      <c r="B98" s="1" t="s">
        <v>33</v>
      </c>
      <c r="C98" s="1">
        <v>294</v>
      </c>
      <c r="D98" s="1">
        <v>48</v>
      </c>
      <c r="E98" s="1">
        <v>10</v>
      </c>
      <c r="F98" s="1">
        <v>2</v>
      </c>
      <c r="G98" s="1">
        <v>32.020000000000003</v>
      </c>
      <c r="H98" s="1" t="s">
        <v>189</v>
      </c>
      <c r="I98" s="1" t="s">
        <v>27</v>
      </c>
      <c r="J98" s="1">
        <v>16</v>
      </c>
      <c r="K98" s="1">
        <v>1</v>
      </c>
      <c r="L98" s="4">
        <v>159.61000000000001</v>
      </c>
      <c r="M98" s="1">
        <v>1.24</v>
      </c>
      <c r="N98" s="1">
        <v>3</v>
      </c>
      <c r="O98" s="1">
        <v>0.91</v>
      </c>
      <c r="P98" s="1">
        <v>418</v>
      </c>
      <c r="Q98" s="1">
        <v>7.73</v>
      </c>
      <c r="R98" s="1">
        <v>0.83</v>
      </c>
      <c r="S98" s="2">
        <v>45316</v>
      </c>
      <c r="T98" s="1">
        <v>251.79</v>
      </c>
      <c r="U98" s="1">
        <v>0.66700000000000004</v>
      </c>
      <c r="V98" s="6">
        <f t="shared" si="3"/>
        <v>46925.340000000004</v>
      </c>
      <c r="W98" s="6" t="str">
        <f t="shared" si="4"/>
        <v>Sufficient</v>
      </c>
      <c r="X98" s="8" t="str">
        <f t="shared" si="5"/>
        <v>High</v>
      </c>
    </row>
    <row r="99" spans="1:24">
      <c r="A99" s="7" t="s">
        <v>190</v>
      </c>
      <c r="B99" s="1" t="s">
        <v>29</v>
      </c>
      <c r="C99" s="1">
        <v>332</v>
      </c>
      <c r="D99" s="1">
        <v>57</v>
      </c>
      <c r="E99" s="1">
        <v>6</v>
      </c>
      <c r="F99" s="1">
        <v>2</v>
      </c>
      <c r="G99" s="1">
        <v>3.6</v>
      </c>
      <c r="H99" s="1" t="s">
        <v>130</v>
      </c>
      <c r="I99" s="1" t="s">
        <v>45</v>
      </c>
      <c r="J99" s="1">
        <v>86</v>
      </c>
      <c r="K99" s="1">
        <v>4.16</v>
      </c>
      <c r="L99" s="4">
        <v>48.05</v>
      </c>
      <c r="M99" s="1">
        <v>0.14000000000000001</v>
      </c>
      <c r="N99" s="1">
        <v>8</v>
      </c>
      <c r="O99" s="1">
        <v>0.89</v>
      </c>
      <c r="P99" s="1">
        <v>646</v>
      </c>
      <c r="Q99" s="1">
        <v>12.93</v>
      </c>
      <c r="R99" s="1">
        <v>0.61</v>
      </c>
      <c r="S99" s="2">
        <v>45295</v>
      </c>
      <c r="T99" s="1">
        <v>83.26</v>
      </c>
      <c r="U99" s="1">
        <v>0.69799999999999995</v>
      </c>
      <c r="V99" s="6">
        <f t="shared" si="3"/>
        <v>15952.599999999999</v>
      </c>
      <c r="W99" s="6" t="str">
        <f t="shared" si="4"/>
        <v>Sufficient</v>
      </c>
      <c r="X99" s="8" t="str">
        <f t="shared" si="5"/>
        <v>High</v>
      </c>
    </row>
    <row r="100" spans="1:24">
      <c r="A100" s="7" t="s">
        <v>191</v>
      </c>
      <c r="B100" s="1" t="s">
        <v>41</v>
      </c>
      <c r="C100" s="1">
        <v>300</v>
      </c>
      <c r="D100" s="1">
        <v>55</v>
      </c>
      <c r="E100" s="1">
        <v>14</v>
      </c>
      <c r="F100" s="1">
        <v>5</v>
      </c>
      <c r="G100" s="1">
        <v>12.91</v>
      </c>
      <c r="H100" s="1" t="s">
        <v>126</v>
      </c>
      <c r="I100" s="1" t="s">
        <v>39</v>
      </c>
      <c r="J100" s="1">
        <v>91</v>
      </c>
      <c r="K100" s="1">
        <v>3.85</v>
      </c>
      <c r="L100" s="4">
        <v>71.11</v>
      </c>
      <c r="M100" s="1">
        <v>0.8</v>
      </c>
      <c r="N100" s="1">
        <v>8</v>
      </c>
      <c r="O100" s="1">
        <v>0.78</v>
      </c>
      <c r="P100" s="1">
        <v>957</v>
      </c>
      <c r="Q100" s="1">
        <v>7.23</v>
      </c>
      <c r="R100" s="1">
        <v>0.47</v>
      </c>
      <c r="S100" s="2">
        <v>45503</v>
      </c>
      <c r="T100" s="1">
        <v>33.56</v>
      </c>
      <c r="U100" s="1">
        <v>0.50600000000000001</v>
      </c>
      <c r="V100" s="6">
        <f t="shared" si="3"/>
        <v>21333</v>
      </c>
      <c r="W100" s="6" t="str">
        <f t="shared" si="4"/>
        <v>Sufficient</v>
      </c>
      <c r="X100" s="8" t="str">
        <f t="shared" si="5"/>
        <v>High</v>
      </c>
    </row>
    <row r="101" spans="1:24">
      <c r="A101" s="7" t="s">
        <v>192</v>
      </c>
      <c r="B101" s="1" t="s">
        <v>41</v>
      </c>
      <c r="C101" s="1">
        <v>233</v>
      </c>
      <c r="D101" s="1">
        <v>99</v>
      </c>
      <c r="E101" s="1">
        <v>10</v>
      </c>
      <c r="F101" s="1">
        <v>9</v>
      </c>
      <c r="G101" s="1">
        <v>39.979999999999997</v>
      </c>
      <c r="H101" s="1" t="s">
        <v>42</v>
      </c>
      <c r="I101" s="1" t="s">
        <v>27</v>
      </c>
      <c r="J101" s="1">
        <v>104</v>
      </c>
      <c r="K101" s="1">
        <v>4.4400000000000004</v>
      </c>
      <c r="L101" s="4">
        <v>21.67</v>
      </c>
      <c r="M101" s="1">
        <v>0.53</v>
      </c>
      <c r="N101" s="1">
        <v>9</v>
      </c>
      <c r="O101" s="1">
        <v>0.98</v>
      </c>
      <c r="P101" s="1">
        <v>301</v>
      </c>
      <c r="Q101" s="1">
        <v>14.27</v>
      </c>
      <c r="R101" s="1">
        <v>0.86</v>
      </c>
      <c r="S101" s="2">
        <v>45362</v>
      </c>
      <c r="T101" s="1">
        <v>125.85</v>
      </c>
      <c r="U101" s="1">
        <v>0.72499999999999998</v>
      </c>
      <c r="V101" s="6">
        <f t="shared" si="3"/>
        <v>5049.1100000000006</v>
      </c>
      <c r="W101" s="6" t="str">
        <f t="shared" si="4"/>
        <v>Sufficient</v>
      </c>
      <c r="X101" s="8" t="str">
        <f t="shared" si="5"/>
        <v>Medium</v>
      </c>
    </row>
    <row r="102" spans="1:24">
      <c r="A102" s="7" t="s">
        <v>193</v>
      </c>
      <c r="B102" s="1" t="s">
        <v>66</v>
      </c>
      <c r="C102" s="1">
        <v>50</v>
      </c>
      <c r="D102" s="1">
        <v>57</v>
      </c>
      <c r="E102" s="1">
        <v>10</v>
      </c>
      <c r="F102" s="1">
        <v>9</v>
      </c>
      <c r="G102" s="1">
        <v>3.43</v>
      </c>
      <c r="H102" s="1" t="s">
        <v>99</v>
      </c>
      <c r="I102" s="1" t="s">
        <v>45</v>
      </c>
      <c r="J102" s="1">
        <v>31</v>
      </c>
      <c r="K102" s="1">
        <v>1.03</v>
      </c>
      <c r="L102" s="4">
        <v>143.26</v>
      </c>
      <c r="M102" s="1">
        <v>0.74</v>
      </c>
      <c r="N102" s="1">
        <v>8</v>
      </c>
      <c r="O102" s="1">
        <v>0.8</v>
      </c>
      <c r="P102" s="1">
        <v>382</v>
      </c>
      <c r="Q102" s="1">
        <v>1.19</v>
      </c>
      <c r="R102" s="1">
        <v>0.25</v>
      </c>
      <c r="S102" s="2">
        <v>45614</v>
      </c>
      <c r="T102" s="1">
        <v>24.78</v>
      </c>
      <c r="U102" s="1">
        <v>0.39200000000000002</v>
      </c>
      <c r="V102" s="6">
        <f t="shared" si="3"/>
        <v>7163</v>
      </c>
      <c r="W102" s="6" t="str">
        <f t="shared" si="4"/>
        <v>Reorder Required</v>
      </c>
      <c r="X102" s="8" t="str">
        <f t="shared" si="5"/>
        <v>LOW</v>
      </c>
    </row>
    <row r="103" spans="1:24">
      <c r="A103" s="7" t="s">
        <v>194</v>
      </c>
      <c r="B103" s="1" t="s">
        <v>25</v>
      </c>
      <c r="C103" s="1">
        <v>356</v>
      </c>
      <c r="D103" s="1">
        <v>48</v>
      </c>
      <c r="E103" s="1">
        <v>5</v>
      </c>
      <c r="F103" s="1">
        <v>3</v>
      </c>
      <c r="G103" s="1">
        <v>42.9</v>
      </c>
      <c r="H103" s="1" t="s">
        <v>195</v>
      </c>
      <c r="I103" s="1" t="s">
        <v>45</v>
      </c>
      <c r="J103" s="1">
        <v>87</v>
      </c>
      <c r="K103" s="1">
        <v>3.92</v>
      </c>
      <c r="L103" s="4">
        <v>62.3</v>
      </c>
      <c r="M103" s="1">
        <v>1.27</v>
      </c>
      <c r="N103" s="1">
        <v>9</v>
      </c>
      <c r="O103" s="1">
        <v>0.75</v>
      </c>
      <c r="P103" s="1">
        <v>793</v>
      </c>
      <c r="Q103" s="1">
        <v>14.78</v>
      </c>
      <c r="R103" s="1">
        <v>0.43</v>
      </c>
      <c r="S103" s="2">
        <v>45410</v>
      </c>
      <c r="T103" s="1">
        <v>227.62</v>
      </c>
      <c r="U103" s="1">
        <v>0.52600000000000002</v>
      </c>
      <c r="V103" s="6">
        <f t="shared" si="3"/>
        <v>22178.799999999999</v>
      </c>
      <c r="W103" s="6" t="str">
        <f t="shared" si="4"/>
        <v>Sufficient</v>
      </c>
      <c r="X103" s="8" t="str">
        <f t="shared" si="5"/>
        <v>High</v>
      </c>
    </row>
    <row r="104" spans="1:24">
      <c r="A104" s="7" t="s">
        <v>196</v>
      </c>
      <c r="B104" s="1" t="s">
        <v>66</v>
      </c>
      <c r="C104" s="1">
        <v>202</v>
      </c>
      <c r="D104" s="1">
        <v>13</v>
      </c>
      <c r="E104" s="1">
        <v>11</v>
      </c>
      <c r="F104" s="1">
        <v>5</v>
      </c>
      <c r="G104" s="1">
        <v>33.25</v>
      </c>
      <c r="H104" s="1" t="s">
        <v>113</v>
      </c>
      <c r="I104" s="1" t="s">
        <v>39</v>
      </c>
      <c r="J104" s="1">
        <v>91</v>
      </c>
      <c r="K104" s="1">
        <v>3.45</v>
      </c>
      <c r="L104" s="4">
        <v>54.24</v>
      </c>
      <c r="M104" s="1">
        <v>0.23</v>
      </c>
      <c r="N104" s="1">
        <v>5</v>
      </c>
      <c r="O104" s="1">
        <v>1</v>
      </c>
      <c r="P104" s="1">
        <v>475</v>
      </c>
      <c r="Q104" s="1">
        <v>12.42</v>
      </c>
      <c r="R104" s="1">
        <v>0.67</v>
      </c>
      <c r="S104" s="2">
        <v>45326</v>
      </c>
      <c r="T104" s="1">
        <v>153.30000000000001</v>
      </c>
      <c r="U104" s="1">
        <v>0.77700000000000002</v>
      </c>
      <c r="V104" s="6">
        <f t="shared" si="3"/>
        <v>10956.48</v>
      </c>
      <c r="W104" s="6" t="str">
        <f t="shared" si="4"/>
        <v>Sufficient</v>
      </c>
      <c r="X104" s="8" t="str">
        <f t="shared" si="5"/>
        <v>Medium</v>
      </c>
    </row>
    <row r="105" spans="1:24">
      <c r="A105" s="7" t="s">
        <v>197</v>
      </c>
      <c r="B105" s="1" t="s">
        <v>25</v>
      </c>
      <c r="C105" s="1">
        <v>42</v>
      </c>
      <c r="D105" s="1">
        <v>39</v>
      </c>
      <c r="E105" s="1">
        <v>5</v>
      </c>
      <c r="F105" s="1">
        <v>4</v>
      </c>
      <c r="G105" s="1">
        <v>22.29</v>
      </c>
      <c r="H105" s="1" t="s">
        <v>178</v>
      </c>
      <c r="I105" s="1" t="s">
        <v>39</v>
      </c>
      <c r="J105" s="1">
        <v>154</v>
      </c>
      <c r="K105" s="1">
        <v>1.55</v>
      </c>
      <c r="L105" s="4">
        <v>67.64</v>
      </c>
      <c r="M105" s="1">
        <v>0.14000000000000001</v>
      </c>
      <c r="N105" s="1">
        <v>0</v>
      </c>
      <c r="O105" s="1">
        <v>0.92</v>
      </c>
      <c r="P105" s="1">
        <v>344</v>
      </c>
      <c r="Q105" s="1">
        <v>5.97</v>
      </c>
      <c r="R105" s="1">
        <v>0.88</v>
      </c>
      <c r="S105" s="2">
        <v>45654</v>
      </c>
      <c r="T105" s="1">
        <v>170.06</v>
      </c>
      <c r="U105" s="1">
        <v>0.82599999999999996</v>
      </c>
      <c r="V105" s="6">
        <f t="shared" si="3"/>
        <v>2840.88</v>
      </c>
      <c r="W105" s="6" t="str">
        <f t="shared" si="4"/>
        <v>Sufficient</v>
      </c>
      <c r="X105" s="8" t="str">
        <f t="shared" si="5"/>
        <v>LOW</v>
      </c>
    </row>
    <row r="106" spans="1:24">
      <c r="A106" s="7" t="s">
        <v>198</v>
      </c>
      <c r="B106" s="1" t="s">
        <v>41</v>
      </c>
      <c r="C106" s="1">
        <v>51</v>
      </c>
      <c r="D106" s="1">
        <v>39</v>
      </c>
      <c r="E106" s="1">
        <v>3</v>
      </c>
      <c r="F106" s="1">
        <v>6</v>
      </c>
      <c r="G106" s="1">
        <v>17.98</v>
      </c>
      <c r="H106" s="1" t="s">
        <v>26</v>
      </c>
      <c r="I106" s="1" t="s">
        <v>45</v>
      </c>
      <c r="J106" s="1">
        <v>28</v>
      </c>
      <c r="K106" s="1">
        <v>4.88</v>
      </c>
      <c r="L106" s="4">
        <v>176.08</v>
      </c>
      <c r="M106" s="1">
        <v>0.93</v>
      </c>
      <c r="N106" s="1">
        <v>7</v>
      </c>
      <c r="O106" s="1">
        <v>0.82</v>
      </c>
      <c r="P106" s="1">
        <v>880</v>
      </c>
      <c r="Q106" s="1">
        <v>9.34</v>
      </c>
      <c r="R106" s="1">
        <v>0.26</v>
      </c>
      <c r="S106" s="2">
        <v>45369</v>
      </c>
      <c r="T106" s="1">
        <v>228.37</v>
      </c>
      <c r="U106" s="1">
        <v>0.50800000000000001</v>
      </c>
      <c r="V106" s="6">
        <f t="shared" si="3"/>
        <v>8980.08</v>
      </c>
      <c r="W106" s="6" t="str">
        <f t="shared" si="4"/>
        <v>Sufficient</v>
      </c>
      <c r="X106" s="8" t="str">
        <f t="shared" si="5"/>
        <v>LOW</v>
      </c>
    </row>
    <row r="107" spans="1:24">
      <c r="A107" s="7" t="s">
        <v>199</v>
      </c>
      <c r="B107" s="1" t="s">
        <v>66</v>
      </c>
      <c r="C107" s="1">
        <v>465</v>
      </c>
      <c r="D107" s="1">
        <v>31</v>
      </c>
      <c r="E107" s="1">
        <v>4</v>
      </c>
      <c r="F107" s="1">
        <v>4</v>
      </c>
      <c r="G107" s="1">
        <v>1.94</v>
      </c>
      <c r="H107" s="1" t="s">
        <v>200</v>
      </c>
      <c r="I107" s="1" t="s">
        <v>39</v>
      </c>
      <c r="J107" s="1">
        <v>104</v>
      </c>
      <c r="K107" s="1">
        <v>3.07</v>
      </c>
      <c r="L107" s="4">
        <v>108.42</v>
      </c>
      <c r="M107" s="1">
        <v>1.61</v>
      </c>
      <c r="N107" s="1">
        <v>8</v>
      </c>
      <c r="O107" s="1">
        <v>0.98</v>
      </c>
      <c r="P107" s="1">
        <v>691</v>
      </c>
      <c r="Q107" s="1">
        <v>13.1</v>
      </c>
      <c r="R107" s="1">
        <v>0.28000000000000003</v>
      </c>
      <c r="S107" s="2">
        <v>45296</v>
      </c>
      <c r="T107" s="1">
        <v>237.49</v>
      </c>
      <c r="U107" s="1">
        <v>0.50600000000000001</v>
      </c>
      <c r="V107" s="6">
        <f t="shared" si="3"/>
        <v>50415.3</v>
      </c>
      <c r="W107" s="6" t="str">
        <f t="shared" si="4"/>
        <v>Sufficient</v>
      </c>
      <c r="X107" s="8" t="str">
        <f t="shared" si="5"/>
        <v>High</v>
      </c>
    </row>
    <row r="108" spans="1:24">
      <c r="A108" s="7" t="s">
        <v>201</v>
      </c>
      <c r="B108" s="1" t="s">
        <v>29</v>
      </c>
      <c r="C108" s="1">
        <v>93</v>
      </c>
      <c r="D108" s="1">
        <v>84</v>
      </c>
      <c r="E108" s="1">
        <v>8</v>
      </c>
      <c r="F108" s="1">
        <v>9</v>
      </c>
      <c r="G108" s="1">
        <v>41.44</v>
      </c>
      <c r="H108" s="1" t="s">
        <v>77</v>
      </c>
      <c r="I108" s="1" t="s">
        <v>39</v>
      </c>
      <c r="J108" s="1">
        <v>48</v>
      </c>
      <c r="K108" s="1">
        <v>4.58</v>
      </c>
      <c r="L108" s="4">
        <v>40</v>
      </c>
      <c r="M108" s="1">
        <v>0.16</v>
      </c>
      <c r="N108" s="1">
        <v>7</v>
      </c>
      <c r="O108" s="1">
        <v>0.73</v>
      </c>
      <c r="P108" s="1">
        <v>334</v>
      </c>
      <c r="Q108" s="1">
        <v>7.74</v>
      </c>
      <c r="R108" s="1">
        <v>0.43</v>
      </c>
      <c r="S108" s="2">
        <v>45403</v>
      </c>
      <c r="T108" s="1">
        <v>49.51</v>
      </c>
      <c r="U108" s="1">
        <v>0.57899999999999996</v>
      </c>
      <c r="V108" s="6">
        <f t="shared" si="3"/>
        <v>3720</v>
      </c>
      <c r="W108" s="6" t="str">
        <f t="shared" si="4"/>
        <v>Sufficient</v>
      </c>
      <c r="X108" s="8" t="str">
        <f t="shared" si="5"/>
        <v>LOW</v>
      </c>
    </row>
    <row r="109" spans="1:24">
      <c r="A109" s="7" t="s">
        <v>202</v>
      </c>
      <c r="B109" s="1" t="s">
        <v>33</v>
      </c>
      <c r="C109" s="1">
        <v>29</v>
      </c>
      <c r="D109" s="1">
        <v>75</v>
      </c>
      <c r="E109" s="1">
        <v>14</v>
      </c>
      <c r="F109" s="1">
        <v>3</v>
      </c>
      <c r="G109" s="1">
        <v>7.99</v>
      </c>
      <c r="H109" s="1" t="s">
        <v>44</v>
      </c>
      <c r="I109" s="1" t="s">
        <v>31</v>
      </c>
      <c r="J109" s="1">
        <v>126</v>
      </c>
      <c r="K109" s="1">
        <v>4.37</v>
      </c>
      <c r="L109" s="4">
        <v>157.15</v>
      </c>
      <c r="M109" s="1">
        <v>1.71</v>
      </c>
      <c r="N109" s="1">
        <v>0</v>
      </c>
      <c r="O109" s="1">
        <v>0.73</v>
      </c>
      <c r="P109" s="1">
        <v>366</v>
      </c>
      <c r="Q109" s="1">
        <v>1.71</v>
      </c>
      <c r="R109" s="1">
        <v>0.48</v>
      </c>
      <c r="S109" s="2">
        <v>45550</v>
      </c>
      <c r="T109" s="1">
        <v>91.28</v>
      </c>
      <c r="U109" s="1">
        <v>0.49399999999999999</v>
      </c>
      <c r="V109" s="6">
        <f t="shared" si="3"/>
        <v>4557.3500000000004</v>
      </c>
      <c r="W109" s="6" t="str">
        <f t="shared" si="4"/>
        <v>Reorder Required</v>
      </c>
      <c r="X109" s="8" t="str">
        <f t="shared" si="5"/>
        <v>LOW</v>
      </c>
    </row>
    <row r="110" spans="1:24">
      <c r="A110" s="7" t="s">
        <v>203</v>
      </c>
      <c r="B110" s="1" t="s">
        <v>25</v>
      </c>
      <c r="C110" s="1">
        <v>475</v>
      </c>
      <c r="D110" s="1">
        <v>21</v>
      </c>
      <c r="E110" s="1">
        <v>12</v>
      </c>
      <c r="F110" s="1">
        <v>9</v>
      </c>
      <c r="G110" s="1">
        <v>16.170000000000002</v>
      </c>
      <c r="H110" s="1" t="s">
        <v>181</v>
      </c>
      <c r="I110" s="1" t="s">
        <v>39</v>
      </c>
      <c r="J110" s="1">
        <v>45</v>
      </c>
      <c r="K110" s="1">
        <v>2</v>
      </c>
      <c r="L110" s="4">
        <v>49.61</v>
      </c>
      <c r="M110" s="1">
        <v>0.83</v>
      </c>
      <c r="N110" s="1">
        <v>5</v>
      </c>
      <c r="O110" s="1">
        <v>0.9</v>
      </c>
      <c r="P110" s="1">
        <v>561</v>
      </c>
      <c r="Q110" s="1">
        <v>13.65</v>
      </c>
      <c r="R110" s="1">
        <v>0.87</v>
      </c>
      <c r="S110" s="2">
        <v>45525</v>
      </c>
      <c r="T110" s="1">
        <v>60.94</v>
      </c>
      <c r="U110" s="1">
        <v>0.753</v>
      </c>
      <c r="V110" s="6">
        <f t="shared" si="3"/>
        <v>23564.75</v>
      </c>
      <c r="W110" s="6" t="str">
        <f t="shared" si="4"/>
        <v>Sufficient</v>
      </c>
      <c r="X110" s="8" t="str">
        <f t="shared" si="5"/>
        <v>High</v>
      </c>
    </row>
    <row r="111" spans="1:24">
      <c r="A111" s="7" t="s">
        <v>204</v>
      </c>
      <c r="B111" s="1" t="s">
        <v>33</v>
      </c>
      <c r="C111" s="1">
        <v>73</v>
      </c>
      <c r="D111" s="1">
        <v>45</v>
      </c>
      <c r="E111" s="1">
        <v>4</v>
      </c>
      <c r="F111" s="1">
        <v>9</v>
      </c>
      <c r="G111" s="1">
        <v>28.89</v>
      </c>
      <c r="H111" s="1" t="s">
        <v>205</v>
      </c>
      <c r="I111" s="1" t="s">
        <v>31</v>
      </c>
      <c r="J111" s="1">
        <v>24</v>
      </c>
      <c r="K111" s="1">
        <v>2.91</v>
      </c>
      <c r="L111" s="4">
        <v>88.37</v>
      </c>
      <c r="M111" s="1">
        <v>0.32</v>
      </c>
      <c r="N111" s="1">
        <v>8</v>
      </c>
      <c r="O111" s="1">
        <v>0.75</v>
      </c>
      <c r="P111" s="1">
        <v>78</v>
      </c>
      <c r="Q111" s="1">
        <v>8.24</v>
      </c>
      <c r="R111" s="1">
        <v>0.97</v>
      </c>
      <c r="S111" s="2">
        <v>45483</v>
      </c>
      <c r="T111" s="1">
        <v>25.67</v>
      </c>
      <c r="U111" s="1">
        <v>0.66200000000000003</v>
      </c>
      <c r="V111" s="6">
        <f t="shared" si="3"/>
        <v>6451.01</v>
      </c>
      <c r="W111" s="6" t="str">
        <f t="shared" si="4"/>
        <v>Sufficient</v>
      </c>
      <c r="X111" s="8" t="str">
        <f t="shared" si="5"/>
        <v>LOW</v>
      </c>
    </row>
    <row r="112" spans="1:24">
      <c r="A112" s="7" t="s">
        <v>206</v>
      </c>
      <c r="B112" s="1" t="s">
        <v>33</v>
      </c>
      <c r="C112" s="1">
        <v>71</v>
      </c>
      <c r="D112" s="1">
        <v>27</v>
      </c>
      <c r="E112" s="1">
        <v>8</v>
      </c>
      <c r="F112" s="1">
        <v>9</v>
      </c>
      <c r="G112" s="1">
        <v>13.05</v>
      </c>
      <c r="H112" s="1" t="s">
        <v>159</v>
      </c>
      <c r="I112" s="1" t="s">
        <v>39</v>
      </c>
      <c r="J112" s="1">
        <v>166</v>
      </c>
      <c r="K112" s="1">
        <v>2.44</v>
      </c>
      <c r="L112" s="4">
        <v>117.93</v>
      </c>
      <c r="M112" s="1">
        <v>1.18</v>
      </c>
      <c r="N112" s="1">
        <v>8</v>
      </c>
      <c r="O112" s="1">
        <v>0.98</v>
      </c>
      <c r="P112" s="1">
        <v>789</v>
      </c>
      <c r="Q112" s="1">
        <v>8.6300000000000008</v>
      </c>
      <c r="R112" s="1">
        <v>0.21</v>
      </c>
      <c r="S112" s="2">
        <v>45322</v>
      </c>
      <c r="T112" s="1">
        <v>165.88</v>
      </c>
      <c r="U112" s="1">
        <v>0.47499999999999998</v>
      </c>
      <c r="V112" s="6">
        <f t="shared" si="3"/>
        <v>8373.0300000000007</v>
      </c>
      <c r="W112" s="6" t="str">
        <f t="shared" si="4"/>
        <v>Sufficient</v>
      </c>
      <c r="X112" s="8" t="str">
        <f t="shared" si="5"/>
        <v>LOW</v>
      </c>
    </row>
    <row r="113" spans="1:24">
      <c r="A113" s="7" t="s">
        <v>207</v>
      </c>
      <c r="B113" s="1" t="s">
        <v>66</v>
      </c>
      <c r="C113" s="1">
        <v>167</v>
      </c>
      <c r="D113" s="1">
        <v>99</v>
      </c>
      <c r="E113" s="1">
        <v>3</v>
      </c>
      <c r="F113" s="1">
        <v>5</v>
      </c>
      <c r="G113" s="1">
        <v>25.36</v>
      </c>
      <c r="H113" s="1" t="s">
        <v>208</v>
      </c>
      <c r="I113" s="1" t="s">
        <v>39</v>
      </c>
      <c r="J113" s="1">
        <v>69</v>
      </c>
      <c r="K113" s="1">
        <v>3.69</v>
      </c>
      <c r="L113" s="4">
        <v>121.04</v>
      </c>
      <c r="M113" s="1">
        <v>1.91</v>
      </c>
      <c r="N113" s="1">
        <v>6</v>
      </c>
      <c r="O113" s="1">
        <v>0.95</v>
      </c>
      <c r="P113" s="1">
        <v>343</v>
      </c>
      <c r="Q113" s="1">
        <v>1.19</v>
      </c>
      <c r="R113" s="1">
        <v>0.21</v>
      </c>
      <c r="S113" s="2">
        <v>45608</v>
      </c>
      <c r="T113" s="1">
        <v>82.44</v>
      </c>
      <c r="U113" s="1">
        <v>0.33700000000000002</v>
      </c>
      <c r="V113" s="6">
        <f t="shared" si="3"/>
        <v>20213.68</v>
      </c>
      <c r="W113" s="6" t="str">
        <f t="shared" si="4"/>
        <v>Sufficient</v>
      </c>
      <c r="X113" s="8" t="str">
        <f t="shared" si="5"/>
        <v>Medium</v>
      </c>
    </row>
    <row r="114" spans="1:24">
      <c r="A114" s="7" t="s">
        <v>209</v>
      </c>
      <c r="B114" s="1" t="s">
        <v>33</v>
      </c>
      <c r="C114" s="1">
        <v>179</v>
      </c>
      <c r="D114" s="1">
        <v>62</v>
      </c>
      <c r="E114" s="1">
        <v>13</v>
      </c>
      <c r="F114" s="1">
        <v>9</v>
      </c>
      <c r="G114" s="1">
        <v>40.659999999999997</v>
      </c>
      <c r="H114" s="1" t="s">
        <v>210</v>
      </c>
      <c r="I114" s="1" t="s">
        <v>45</v>
      </c>
      <c r="J114" s="1">
        <v>177</v>
      </c>
      <c r="K114" s="1">
        <v>3.15</v>
      </c>
      <c r="L114" s="4">
        <v>23.12</v>
      </c>
      <c r="M114" s="1">
        <v>1.1299999999999999</v>
      </c>
      <c r="N114" s="1">
        <v>6</v>
      </c>
      <c r="O114" s="1">
        <v>0.79</v>
      </c>
      <c r="P114" s="1">
        <v>56</v>
      </c>
      <c r="Q114" s="1">
        <v>2.4</v>
      </c>
      <c r="R114" s="1">
        <v>0.89</v>
      </c>
      <c r="S114" s="2">
        <v>45618</v>
      </c>
      <c r="T114" s="1">
        <v>54.65</v>
      </c>
      <c r="U114" s="1">
        <v>0.53500000000000003</v>
      </c>
      <c r="V114" s="6">
        <f t="shared" si="3"/>
        <v>4138.4800000000005</v>
      </c>
      <c r="W114" s="6" t="str">
        <f t="shared" si="4"/>
        <v>Sufficient</v>
      </c>
      <c r="X114" s="8" t="str">
        <f t="shared" si="5"/>
        <v>Medium</v>
      </c>
    </row>
    <row r="115" spans="1:24">
      <c r="A115" s="7" t="s">
        <v>211</v>
      </c>
      <c r="B115" s="1" t="s">
        <v>29</v>
      </c>
      <c r="C115" s="1">
        <v>389</v>
      </c>
      <c r="D115" s="1">
        <v>80</v>
      </c>
      <c r="E115" s="1">
        <v>3</v>
      </c>
      <c r="F115" s="1">
        <v>2</v>
      </c>
      <c r="G115" s="1">
        <v>24.06</v>
      </c>
      <c r="H115" s="1" t="s">
        <v>70</v>
      </c>
      <c r="I115" s="1" t="s">
        <v>31</v>
      </c>
      <c r="J115" s="1">
        <v>153</v>
      </c>
      <c r="K115" s="1">
        <v>4.03</v>
      </c>
      <c r="L115" s="4">
        <v>168.99</v>
      </c>
      <c r="M115" s="1">
        <v>1.4</v>
      </c>
      <c r="N115" s="1">
        <v>3</v>
      </c>
      <c r="O115" s="1">
        <v>0.97</v>
      </c>
      <c r="P115" s="1">
        <v>591</v>
      </c>
      <c r="Q115" s="1">
        <v>11.88</v>
      </c>
      <c r="R115" s="1">
        <v>0.31</v>
      </c>
      <c r="S115" s="2">
        <v>45633</v>
      </c>
      <c r="T115" s="1">
        <v>157.94</v>
      </c>
      <c r="U115" s="1">
        <v>0.61399999999999999</v>
      </c>
      <c r="V115" s="6">
        <f t="shared" si="3"/>
        <v>65737.11</v>
      </c>
      <c r="W115" s="6" t="str">
        <f t="shared" si="4"/>
        <v>Sufficient</v>
      </c>
      <c r="X115" s="8" t="str">
        <f t="shared" si="5"/>
        <v>High</v>
      </c>
    </row>
    <row r="116" spans="1:24">
      <c r="A116" s="7" t="s">
        <v>212</v>
      </c>
      <c r="B116" s="1" t="s">
        <v>33</v>
      </c>
      <c r="C116" s="1">
        <v>33</v>
      </c>
      <c r="D116" s="1">
        <v>10</v>
      </c>
      <c r="E116" s="1">
        <v>7</v>
      </c>
      <c r="F116" s="1">
        <v>8</v>
      </c>
      <c r="G116" s="1">
        <v>47.5</v>
      </c>
      <c r="H116" s="1" t="s">
        <v>63</v>
      </c>
      <c r="I116" s="1" t="s">
        <v>39</v>
      </c>
      <c r="J116" s="1">
        <v>170</v>
      </c>
      <c r="K116" s="1">
        <v>0.55000000000000004</v>
      </c>
      <c r="L116" s="4">
        <v>101.09</v>
      </c>
      <c r="M116" s="1">
        <v>1.65</v>
      </c>
      <c r="N116" s="1">
        <v>6</v>
      </c>
      <c r="O116" s="1">
        <v>0.71</v>
      </c>
      <c r="P116" s="1">
        <v>264</v>
      </c>
      <c r="Q116" s="1">
        <v>7.09</v>
      </c>
      <c r="R116" s="1">
        <v>0.47</v>
      </c>
      <c r="S116" s="2">
        <v>45607</v>
      </c>
      <c r="T116" s="1">
        <v>193.86</v>
      </c>
      <c r="U116" s="1">
        <v>0.44600000000000001</v>
      </c>
      <c r="V116" s="6">
        <f t="shared" si="3"/>
        <v>3335.9700000000003</v>
      </c>
      <c r="W116" s="6" t="str">
        <f t="shared" si="4"/>
        <v>Sufficient</v>
      </c>
      <c r="X116" s="8" t="str">
        <f t="shared" si="5"/>
        <v>LOW</v>
      </c>
    </row>
    <row r="117" spans="1:24">
      <c r="A117" s="7" t="s">
        <v>213</v>
      </c>
      <c r="B117" s="1" t="s">
        <v>66</v>
      </c>
      <c r="C117" s="1">
        <v>197</v>
      </c>
      <c r="D117" s="1">
        <v>67</v>
      </c>
      <c r="E117" s="1">
        <v>12</v>
      </c>
      <c r="F117" s="1">
        <v>7</v>
      </c>
      <c r="G117" s="1">
        <v>42.53</v>
      </c>
      <c r="H117" s="1" t="s">
        <v>214</v>
      </c>
      <c r="I117" s="1" t="s">
        <v>27</v>
      </c>
      <c r="J117" s="1">
        <v>98</v>
      </c>
      <c r="K117" s="1">
        <v>3.6</v>
      </c>
      <c r="L117" s="4">
        <v>197.96</v>
      </c>
      <c r="M117" s="1">
        <v>1.62</v>
      </c>
      <c r="N117" s="1">
        <v>9</v>
      </c>
      <c r="O117" s="1">
        <v>0.86</v>
      </c>
      <c r="P117" s="1">
        <v>676</v>
      </c>
      <c r="Q117" s="1">
        <v>14.97</v>
      </c>
      <c r="R117" s="1">
        <v>0.42</v>
      </c>
      <c r="S117" s="2">
        <v>45539</v>
      </c>
      <c r="T117" s="1">
        <v>233.91</v>
      </c>
      <c r="U117" s="1">
        <v>0.51400000000000001</v>
      </c>
      <c r="V117" s="6">
        <f t="shared" si="3"/>
        <v>38998.120000000003</v>
      </c>
      <c r="W117" s="6" t="str">
        <f t="shared" si="4"/>
        <v>Sufficient</v>
      </c>
      <c r="X117" s="8" t="str">
        <f t="shared" si="5"/>
        <v>Medium</v>
      </c>
    </row>
    <row r="118" spans="1:24">
      <c r="A118" s="7" t="s">
        <v>215</v>
      </c>
      <c r="B118" s="1" t="s">
        <v>29</v>
      </c>
      <c r="C118" s="1">
        <v>431</v>
      </c>
      <c r="D118" s="1">
        <v>99</v>
      </c>
      <c r="E118" s="1">
        <v>13</v>
      </c>
      <c r="F118" s="1">
        <v>5</v>
      </c>
      <c r="G118" s="1">
        <v>17.32</v>
      </c>
      <c r="H118" s="1" t="s">
        <v>216</v>
      </c>
      <c r="I118" s="1" t="s">
        <v>39</v>
      </c>
      <c r="J118" s="1">
        <v>25</v>
      </c>
      <c r="K118" s="1">
        <v>1.94</v>
      </c>
      <c r="L118" s="4">
        <v>146.31</v>
      </c>
      <c r="M118" s="1">
        <v>0.24</v>
      </c>
      <c r="N118" s="1">
        <v>4</v>
      </c>
      <c r="O118" s="1">
        <v>0.98</v>
      </c>
      <c r="P118" s="1">
        <v>264</v>
      </c>
      <c r="Q118" s="1">
        <v>10.74</v>
      </c>
      <c r="R118" s="1">
        <v>0.43</v>
      </c>
      <c r="S118" s="2">
        <v>45629</v>
      </c>
      <c r="T118" s="1">
        <v>15.07</v>
      </c>
      <c r="U118" s="1">
        <v>0.72099999999999997</v>
      </c>
      <c r="V118" s="6">
        <f t="shared" si="3"/>
        <v>63059.61</v>
      </c>
      <c r="W118" s="6" t="str">
        <f t="shared" si="4"/>
        <v>Sufficient</v>
      </c>
      <c r="X118" s="8" t="str">
        <f t="shared" si="5"/>
        <v>High</v>
      </c>
    </row>
    <row r="119" spans="1:24">
      <c r="A119" s="7" t="s">
        <v>217</v>
      </c>
      <c r="B119" s="1" t="s">
        <v>41</v>
      </c>
      <c r="C119" s="1">
        <v>385</v>
      </c>
      <c r="D119" s="1">
        <v>96</v>
      </c>
      <c r="E119" s="1">
        <v>11</v>
      </c>
      <c r="F119" s="1">
        <v>3</v>
      </c>
      <c r="G119" s="1">
        <v>20.6</v>
      </c>
      <c r="H119" s="1" t="s">
        <v>178</v>
      </c>
      <c r="I119" s="1" t="s">
        <v>45</v>
      </c>
      <c r="J119" s="1">
        <v>167</v>
      </c>
      <c r="K119" s="1">
        <v>1.51</v>
      </c>
      <c r="L119" s="4">
        <v>198.59</v>
      </c>
      <c r="M119" s="1">
        <v>1.51</v>
      </c>
      <c r="N119" s="1">
        <v>9</v>
      </c>
      <c r="O119" s="1">
        <v>0.96</v>
      </c>
      <c r="P119" s="1">
        <v>213</v>
      </c>
      <c r="Q119" s="1">
        <v>14.29</v>
      </c>
      <c r="R119" s="1">
        <v>0.46</v>
      </c>
      <c r="S119" s="2">
        <v>45541</v>
      </c>
      <c r="T119" s="1">
        <v>162.62</v>
      </c>
      <c r="U119" s="1">
        <v>0.54400000000000004</v>
      </c>
      <c r="V119" s="6">
        <f t="shared" si="3"/>
        <v>76457.149999999994</v>
      </c>
      <c r="W119" s="6" t="str">
        <f t="shared" si="4"/>
        <v>Sufficient</v>
      </c>
      <c r="X119" s="8" t="str">
        <f t="shared" si="5"/>
        <v>High</v>
      </c>
    </row>
    <row r="120" spans="1:24">
      <c r="A120" s="7" t="s">
        <v>218</v>
      </c>
      <c r="B120" s="1" t="s">
        <v>33</v>
      </c>
      <c r="C120" s="1">
        <v>72</v>
      </c>
      <c r="D120" s="1">
        <v>99</v>
      </c>
      <c r="E120" s="1">
        <v>10</v>
      </c>
      <c r="F120" s="1">
        <v>2</v>
      </c>
      <c r="G120" s="1">
        <v>21.74</v>
      </c>
      <c r="H120" s="1" t="s">
        <v>153</v>
      </c>
      <c r="I120" s="1" t="s">
        <v>45</v>
      </c>
      <c r="J120" s="1">
        <v>107</v>
      </c>
      <c r="K120" s="1">
        <v>4.1100000000000003</v>
      </c>
      <c r="L120" s="4">
        <v>96.16</v>
      </c>
      <c r="M120" s="1">
        <v>1.9</v>
      </c>
      <c r="N120" s="1">
        <v>4</v>
      </c>
      <c r="O120" s="1">
        <v>0.81</v>
      </c>
      <c r="P120" s="1">
        <v>219</v>
      </c>
      <c r="Q120" s="1">
        <v>4.91</v>
      </c>
      <c r="R120" s="1">
        <v>0.47</v>
      </c>
      <c r="S120" s="2">
        <v>45300</v>
      </c>
      <c r="T120" s="1">
        <v>87.45</v>
      </c>
      <c r="U120" s="1">
        <v>0.45100000000000001</v>
      </c>
      <c r="V120" s="6">
        <f t="shared" si="3"/>
        <v>6923.5199999999995</v>
      </c>
      <c r="W120" s="6" t="str">
        <f t="shared" si="4"/>
        <v>Reorder Required</v>
      </c>
      <c r="X120" s="8" t="str">
        <f t="shared" si="5"/>
        <v>LOW</v>
      </c>
    </row>
    <row r="121" spans="1:24">
      <c r="A121" s="7" t="s">
        <v>219</v>
      </c>
      <c r="B121" s="1" t="s">
        <v>66</v>
      </c>
      <c r="C121" s="1">
        <v>427</v>
      </c>
      <c r="D121" s="1">
        <v>15</v>
      </c>
      <c r="E121" s="1">
        <v>5</v>
      </c>
      <c r="F121" s="1">
        <v>4</v>
      </c>
      <c r="G121" s="1">
        <v>31.68</v>
      </c>
      <c r="H121" s="1" t="s">
        <v>68</v>
      </c>
      <c r="I121" s="1" t="s">
        <v>45</v>
      </c>
      <c r="J121" s="1">
        <v>113</v>
      </c>
      <c r="K121" s="1">
        <v>0.9</v>
      </c>
      <c r="L121" s="4">
        <v>36.75</v>
      </c>
      <c r="M121" s="1">
        <v>1.43</v>
      </c>
      <c r="N121" s="1">
        <v>0</v>
      </c>
      <c r="O121" s="1">
        <v>0.75</v>
      </c>
      <c r="P121" s="1">
        <v>270</v>
      </c>
      <c r="Q121" s="1">
        <v>3.47</v>
      </c>
      <c r="R121" s="1">
        <v>0.7</v>
      </c>
      <c r="S121" s="2">
        <v>45295</v>
      </c>
      <c r="T121" s="1">
        <v>297.56</v>
      </c>
      <c r="U121" s="1">
        <v>0.59299999999999997</v>
      </c>
      <c r="V121" s="6">
        <f t="shared" si="3"/>
        <v>15692.25</v>
      </c>
      <c r="W121" s="6" t="str">
        <f t="shared" si="4"/>
        <v>Sufficient</v>
      </c>
      <c r="X121" s="8" t="str">
        <f t="shared" si="5"/>
        <v>High</v>
      </c>
    </row>
    <row r="122" spans="1:24">
      <c r="A122" s="7" t="s">
        <v>220</v>
      </c>
      <c r="B122" s="1" t="s">
        <v>41</v>
      </c>
      <c r="C122" s="1">
        <v>354</v>
      </c>
      <c r="D122" s="1">
        <v>79</v>
      </c>
      <c r="E122" s="1">
        <v>5</v>
      </c>
      <c r="F122" s="1">
        <v>9</v>
      </c>
      <c r="G122" s="1">
        <v>15.05</v>
      </c>
      <c r="H122" s="1" t="s">
        <v>221</v>
      </c>
      <c r="I122" s="1" t="s">
        <v>31</v>
      </c>
      <c r="J122" s="1">
        <v>53</v>
      </c>
      <c r="K122" s="1">
        <v>1.53</v>
      </c>
      <c r="L122" s="4">
        <v>148.19</v>
      </c>
      <c r="M122" s="1">
        <v>1.69</v>
      </c>
      <c r="N122" s="1">
        <v>1</v>
      </c>
      <c r="O122" s="1">
        <v>0.76</v>
      </c>
      <c r="P122" s="1">
        <v>309</v>
      </c>
      <c r="Q122" s="1">
        <v>6.27</v>
      </c>
      <c r="R122" s="1">
        <v>0.7</v>
      </c>
      <c r="S122" s="2">
        <v>45564</v>
      </c>
      <c r="T122" s="1">
        <v>55.51</v>
      </c>
      <c r="U122" s="1">
        <v>0.58699999999999997</v>
      </c>
      <c r="V122" s="6">
        <f t="shared" si="3"/>
        <v>52459.26</v>
      </c>
      <c r="W122" s="6" t="str">
        <f t="shared" si="4"/>
        <v>Sufficient</v>
      </c>
      <c r="X122" s="8" t="str">
        <f t="shared" si="5"/>
        <v>High</v>
      </c>
    </row>
    <row r="123" spans="1:24">
      <c r="A123" s="7" t="s">
        <v>222</v>
      </c>
      <c r="B123" s="1" t="s">
        <v>41</v>
      </c>
      <c r="C123" s="1">
        <v>41</v>
      </c>
      <c r="D123" s="1">
        <v>53</v>
      </c>
      <c r="E123" s="1">
        <v>3</v>
      </c>
      <c r="F123" s="1">
        <v>6</v>
      </c>
      <c r="G123" s="1">
        <v>48.49</v>
      </c>
      <c r="H123" s="1" t="s">
        <v>81</v>
      </c>
      <c r="I123" s="1" t="s">
        <v>31</v>
      </c>
      <c r="J123" s="1">
        <v>175</v>
      </c>
      <c r="K123" s="1">
        <v>1.42</v>
      </c>
      <c r="L123" s="4">
        <v>157.77000000000001</v>
      </c>
      <c r="M123" s="1">
        <v>1.02</v>
      </c>
      <c r="N123" s="1">
        <v>8</v>
      </c>
      <c r="O123" s="1">
        <v>0.85</v>
      </c>
      <c r="P123" s="1">
        <v>773</v>
      </c>
      <c r="Q123" s="1">
        <v>4.71</v>
      </c>
      <c r="R123" s="1">
        <v>0.62</v>
      </c>
      <c r="S123" s="2">
        <v>45574</v>
      </c>
      <c r="T123" s="1">
        <v>136.97999999999999</v>
      </c>
      <c r="U123" s="1">
        <v>0.495</v>
      </c>
      <c r="V123" s="6">
        <f t="shared" si="3"/>
        <v>6468.5700000000006</v>
      </c>
      <c r="W123" s="6" t="str">
        <f t="shared" si="4"/>
        <v>Reorder Required</v>
      </c>
      <c r="X123" s="8" t="str">
        <f t="shared" si="5"/>
        <v>LOW</v>
      </c>
    </row>
    <row r="124" spans="1:24">
      <c r="A124" s="7" t="s">
        <v>223</v>
      </c>
      <c r="B124" s="1" t="s">
        <v>25</v>
      </c>
      <c r="C124" s="1">
        <v>49</v>
      </c>
      <c r="D124" s="1">
        <v>81</v>
      </c>
      <c r="E124" s="1">
        <v>5</v>
      </c>
      <c r="F124" s="1">
        <v>6</v>
      </c>
      <c r="G124" s="1">
        <v>30.83</v>
      </c>
      <c r="H124" s="1" t="s">
        <v>214</v>
      </c>
      <c r="I124" s="1" t="s">
        <v>31</v>
      </c>
      <c r="J124" s="1">
        <v>60</v>
      </c>
      <c r="K124" s="1">
        <v>2.39</v>
      </c>
      <c r="L124" s="4">
        <v>172.04</v>
      </c>
      <c r="M124" s="1">
        <v>0.71</v>
      </c>
      <c r="N124" s="1">
        <v>1</v>
      </c>
      <c r="O124" s="1">
        <v>0.88</v>
      </c>
      <c r="P124" s="1">
        <v>310</v>
      </c>
      <c r="Q124" s="1">
        <v>9.59</v>
      </c>
      <c r="R124" s="1">
        <v>0.89</v>
      </c>
      <c r="S124" s="2">
        <v>45502</v>
      </c>
      <c r="T124" s="1">
        <v>291.31</v>
      </c>
      <c r="U124" s="1">
        <v>0.79100000000000004</v>
      </c>
      <c r="V124" s="6">
        <f t="shared" si="3"/>
        <v>8429.9599999999991</v>
      </c>
      <c r="W124" s="6" t="str">
        <f t="shared" si="4"/>
        <v>Reorder Required</v>
      </c>
      <c r="X124" s="8" t="str">
        <f t="shared" si="5"/>
        <v>LOW</v>
      </c>
    </row>
    <row r="125" spans="1:24">
      <c r="A125" s="7" t="s">
        <v>224</v>
      </c>
      <c r="B125" s="1" t="s">
        <v>29</v>
      </c>
      <c r="C125" s="1">
        <v>210</v>
      </c>
      <c r="D125" s="1">
        <v>33</v>
      </c>
      <c r="E125" s="1">
        <v>14</v>
      </c>
      <c r="F125" s="1">
        <v>8</v>
      </c>
      <c r="G125" s="1">
        <v>20.57</v>
      </c>
      <c r="H125" s="1" t="s">
        <v>68</v>
      </c>
      <c r="I125" s="1" t="s">
        <v>27</v>
      </c>
      <c r="J125" s="1">
        <v>27</v>
      </c>
      <c r="K125" s="1">
        <v>1.95</v>
      </c>
      <c r="L125" s="4">
        <v>67.28</v>
      </c>
      <c r="M125" s="1">
        <v>1.38</v>
      </c>
      <c r="N125" s="1">
        <v>9</v>
      </c>
      <c r="O125" s="1">
        <v>0.71</v>
      </c>
      <c r="P125" s="1">
        <v>863</v>
      </c>
      <c r="Q125" s="1">
        <v>11.42</v>
      </c>
      <c r="R125" s="1">
        <v>0.88</v>
      </c>
      <c r="S125" s="2">
        <v>45298</v>
      </c>
      <c r="T125" s="1">
        <v>71.8</v>
      </c>
      <c r="U125" s="1">
        <v>0.55200000000000005</v>
      </c>
      <c r="V125" s="6">
        <f t="shared" si="3"/>
        <v>14128.800000000001</v>
      </c>
      <c r="W125" s="6" t="str">
        <f t="shared" si="4"/>
        <v>Sufficient</v>
      </c>
      <c r="X125" s="8" t="str">
        <f t="shared" si="5"/>
        <v>Medium</v>
      </c>
    </row>
    <row r="126" spans="1:24">
      <c r="A126" s="7" t="s">
        <v>225</v>
      </c>
      <c r="B126" s="1" t="s">
        <v>33</v>
      </c>
      <c r="C126" s="1">
        <v>279</v>
      </c>
      <c r="D126" s="1">
        <v>95</v>
      </c>
      <c r="E126" s="1">
        <v>14</v>
      </c>
      <c r="F126" s="1">
        <v>5</v>
      </c>
      <c r="G126" s="1">
        <v>32.61</v>
      </c>
      <c r="H126" s="1" t="s">
        <v>83</v>
      </c>
      <c r="I126" s="1" t="s">
        <v>31</v>
      </c>
      <c r="J126" s="1">
        <v>14</v>
      </c>
      <c r="K126" s="1">
        <v>3.74</v>
      </c>
      <c r="L126" s="4">
        <v>107.03</v>
      </c>
      <c r="M126" s="1">
        <v>1.04</v>
      </c>
      <c r="N126" s="1">
        <v>1</v>
      </c>
      <c r="O126" s="1">
        <v>0.82</v>
      </c>
      <c r="P126" s="1">
        <v>892</v>
      </c>
      <c r="Q126" s="1">
        <v>6.63</v>
      </c>
      <c r="R126" s="1">
        <v>0.37</v>
      </c>
      <c r="S126" s="2">
        <v>45300</v>
      </c>
      <c r="T126" s="1">
        <v>244</v>
      </c>
      <c r="U126" s="1">
        <v>0.60199999999999998</v>
      </c>
      <c r="V126" s="6">
        <f t="shared" si="3"/>
        <v>29861.37</v>
      </c>
      <c r="W126" s="6" t="str">
        <f t="shared" si="4"/>
        <v>Sufficient</v>
      </c>
      <c r="X126" s="8" t="str">
        <f t="shared" si="5"/>
        <v>High</v>
      </c>
    </row>
    <row r="127" spans="1:24">
      <c r="A127" s="7" t="s">
        <v>226</v>
      </c>
      <c r="B127" s="1" t="s">
        <v>66</v>
      </c>
      <c r="C127" s="1">
        <v>224</v>
      </c>
      <c r="D127" s="1">
        <v>28</v>
      </c>
      <c r="E127" s="1">
        <v>14</v>
      </c>
      <c r="F127" s="1">
        <v>4</v>
      </c>
      <c r="G127" s="1">
        <v>20.37</v>
      </c>
      <c r="H127" s="1" t="s">
        <v>227</v>
      </c>
      <c r="I127" s="1" t="s">
        <v>45</v>
      </c>
      <c r="J127" s="1">
        <v>177</v>
      </c>
      <c r="K127" s="1">
        <v>3.65</v>
      </c>
      <c r="L127" s="4">
        <v>172.93</v>
      </c>
      <c r="M127" s="1">
        <v>1.8</v>
      </c>
      <c r="N127" s="1">
        <v>8</v>
      </c>
      <c r="O127" s="1">
        <v>0.95</v>
      </c>
      <c r="P127" s="1">
        <v>691</v>
      </c>
      <c r="Q127" s="1">
        <v>2.2599999999999998</v>
      </c>
      <c r="R127" s="1">
        <v>0.63</v>
      </c>
      <c r="S127" s="2">
        <v>45563</v>
      </c>
      <c r="T127" s="1">
        <v>80.48</v>
      </c>
      <c r="U127" s="1">
        <v>0.40600000000000003</v>
      </c>
      <c r="V127" s="6">
        <f t="shared" si="3"/>
        <v>38736.32</v>
      </c>
      <c r="W127" s="6" t="str">
        <f t="shared" si="4"/>
        <v>Sufficient</v>
      </c>
      <c r="X127" s="8" t="str">
        <f t="shared" si="5"/>
        <v>Medium</v>
      </c>
    </row>
    <row r="128" spans="1:24">
      <c r="A128" s="7" t="s">
        <v>228</v>
      </c>
      <c r="B128" s="1" t="s">
        <v>25</v>
      </c>
      <c r="C128" s="1">
        <v>78</v>
      </c>
      <c r="D128" s="1">
        <v>27</v>
      </c>
      <c r="E128" s="1">
        <v>13</v>
      </c>
      <c r="F128" s="1">
        <v>8</v>
      </c>
      <c r="G128" s="1">
        <v>41.07</v>
      </c>
      <c r="H128" s="1" t="s">
        <v>229</v>
      </c>
      <c r="I128" s="1" t="s">
        <v>31</v>
      </c>
      <c r="J128" s="1">
        <v>15</v>
      </c>
      <c r="K128" s="1">
        <v>1.96</v>
      </c>
      <c r="L128" s="4">
        <v>174.3</v>
      </c>
      <c r="M128" s="1">
        <v>1.95</v>
      </c>
      <c r="N128" s="1">
        <v>2</v>
      </c>
      <c r="O128" s="1">
        <v>0.83</v>
      </c>
      <c r="P128" s="1">
        <v>666</v>
      </c>
      <c r="Q128" s="1">
        <v>1.37</v>
      </c>
      <c r="R128" s="1">
        <v>0.83</v>
      </c>
      <c r="S128" s="2">
        <v>45432</v>
      </c>
      <c r="T128" s="1">
        <v>31.83</v>
      </c>
      <c r="U128" s="1">
        <v>0.51500000000000001</v>
      </c>
      <c r="V128" s="6">
        <f t="shared" si="3"/>
        <v>13595.400000000001</v>
      </c>
      <c r="W128" s="6" t="str">
        <f t="shared" si="4"/>
        <v>Sufficient</v>
      </c>
      <c r="X128" s="8" t="str">
        <f t="shared" si="5"/>
        <v>LOW</v>
      </c>
    </row>
    <row r="129" spans="1:24">
      <c r="A129" s="7" t="s">
        <v>230</v>
      </c>
      <c r="B129" s="1" t="s">
        <v>29</v>
      </c>
      <c r="C129" s="1">
        <v>490</v>
      </c>
      <c r="D129" s="1">
        <v>39</v>
      </c>
      <c r="E129" s="1">
        <v>3</v>
      </c>
      <c r="F129" s="1">
        <v>7</v>
      </c>
      <c r="G129" s="1">
        <v>28.82</v>
      </c>
      <c r="H129" s="1" t="s">
        <v>183</v>
      </c>
      <c r="I129" s="1" t="s">
        <v>31</v>
      </c>
      <c r="J129" s="1">
        <v>85</v>
      </c>
      <c r="K129" s="1">
        <v>2.4700000000000002</v>
      </c>
      <c r="L129" s="4">
        <v>14.88</v>
      </c>
      <c r="M129" s="1">
        <v>1.66</v>
      </c>
      <c r="N129" s="1">
        <v>1</v>
      </c>
      <c r="O129" s="1">
        <v>0.75</v>
      </c>
      <c r="P129" s="1">
        <v>615</v>
      </c>
      <c r="Q129" s="1">
        <v>4.05</v>
      </c>
      <c r="R129" s="1">
        <v>0.89</v>
      </c>
      <c r="S129" s="2">
        <v>45566</v>
      </c>
      <c r="T129" s="1">
        <v>22.4</v>
      </c>
      <c r="U129" s="1">
        <v>0.59599999999999997</v>
      </c>
      <c r="V129" s="6">
        <f t="shared" si="3"/>
        <v>7291.2000000000007</v>
      </c>
      <c r="W129" s="6" t="str">
        <f t="shared" si="4"/>
        <v>Sufficient</v>
      </c>
      <c r="X129" s="8" t="str">
        <f t="shared" si="5"/>
        <v>High</v>
      </c>
    </row>
    <row r="130" spans="1:24">
      <c r="A130" s="7" t="s">
        <v>231</v>
      </c>
      <c r="B130" s="1" t="s">
        <v>25</v>
      </c>
      <c r="C130" s="1">
        <v>283</v>
      </c>
      <c r="D130" s="1">
        <v>51</v>
      </c>
      <c r="E130" s="1">
        <v>10</v>
      </c>
      <c r="F130" s="1">
        <v>7</v>
      </c>
      <c r="G130" s="1">
        <v>3.06</v>
      </c>
      <c r="H130" s="1" t="s">
        <v>128</v>
      </c>
      <c r="I130" s="1" t="s">
        <v>39</v>
      </c>
      <c r="J130" s="1">
        <v>124</v>
      </c>
      <c r="K130" s="1">
        <v>1.44</v>
      </c>
      <c r="L130" s="4">
        <v>137.47</v>
      </c>
      <c r="M130" s="1">
        <v>1.99</v>
      </c>
      <c r="N130" s="1">
        <v>6</v>
      </c>
      <c r="O130" s="1">
        <v>0.99</v>
      </c>
      <c r="P130" s="1">
        <v>669</v>
      </c>
      <c r="Q130" s="1">
        <v>11.25</v>
      </c>
      <c r="R130" s="1">
        <v>0.4</v>
      </c>
      <c r="S130" s="2">
        <v>45438</v>
      </c>
      <c r="T130" s="1">
        <v>285.13</v>
      </c>
      <c r="U130" s="1">
        <v>0.50900000000000001</v>
      </c>
      <c r="V130" s="6">
        <f t="shared" si="3"/>
        <v>38904.01</v>
      </c>
      <c r="W130" s="6" t="str">
        <f t="shared" si="4"/>
        <v>Sufficient</v>
      </c>
      <c r="X130" s="8" t="str">
        <f t="shared" si="5"/>
        <v>High</v>
      </c>
    </row>
    <row r="131" spans="1:24">
      <c r="A131" s="7" t="s">
        <v>232</v>
      </c>
      <c r="B131" s="1" t="s">
        <v>29</v>
      </c>
      <c r="C131" s="1">
        <v>485</v>
      </c>
      <c r="D131" s="1">
        <v>42</v>
      </c>
      <c r="E131" s="1">
        <v>3</v>
      </c>
      <c r="F131" s="1">
        <v>8</v>
      </c>
      <c r="G131" s="1">
        <v>9.66</v>
      </c>
      <c r="H131" s="1" t="s">
        <v>233</v>
      </c>
      <c r="I131" s="1" t="s">
        <v>31</v>
      </c>
      <c r="J131" s="1">
        <v>21</v>
      </c>
      <c r="K131" s="1">
        <v>3.52</v>
      </c>
      <c r="L131" s="4">
        <v>124.32</v>
      </c>
      <c r="M131" s="1">
        <v>0.76</v>
      </c>
      <c r="N131" s="1">
        <v>8</v>
      </c>
      <c r="O131" s="1">
        <v>0.78</v>
      </c>
      <c r="P131" s="1">
        <v>521</v>
      </c>
      <c r="Q131" s="1">
        <v>4.0999999999999996</v>
      </c>
      <c r="R131" s="1">
        <v>0.6</v>
      </c>
      <c r="S131" s="2">
        <v>45300</v>
      </c>
      <c r="T131" s="1">
        <v>71.739999999999995</v>
      </c>
      <c r="U131" s="1">
        <v>0.495</v>
      </c>
      <c r="V131" s="6">
        <f t="shared" si="3"/>
        <v>60295.199999999997</v>
      </c>
      <c r="W131" s="6" t="str">
        <f t="shared" si="4"/>
        <v>Sufficient</v>
      </c>
      <c r="X131" s="8" t="str">
        <f t="shared" si="5"/>
        <v>High</v>
      </c>
    </row>
    <row r="132" spans="1:24">
      <c r="A132" s="7" t="s">
        <v>234</v>
      </c>
      <c r="B132" s="1" t="s">
        <v>29</v>
      </c>
      <c r="C132" s="1">
        <v>31</v>
      </c>
      <c r="D132" s="1">
        <v>83</v>
      </c>
      <c r="E132" s="1">
        <v>7</v>
      </c>
      <c r="F132" s="1">
        <v>3</v>
      </c>
      <c r="G132" s="1">
        <v>43.38</v>
      </c>
      <c r="H132" s="1" t="s">
        <v>122</v>
      </c>
      <c r="I132" s="1" t="s">
        <v>39</v>
      </c>
      <c r="J132" s="1">
        <v>21</v>
      </c>
      <c r="K132" s="1">
        <v>2.2799999999999998</v>
      </c>
      <c r="L132" s="4">
        <v>25.83</v>
      </c>
      <c r="M132" s="1">
        <v>1.8</v>
      </c>
      <c r="N132" s="1">
        <v>5</v>
      </c>
      <c r="O132" s="1">
        <v>0.94</v>
      </c>
      <c r="P132" s="1">
        <v>876</v>
      </c>
      <c r="Q132" s="1">
        <v>13.75</v>
      </c>
      <c r="R132" s="1">
        <v>0.62</v>
      </c>
      <c r="S132" s="2">
        <v>45549</v>
      </c>
      <c r="T132" s="1">
        <v>94.67</v>
      </c>
      <c r="U132" s="1">
        <v>0.61499999999999999</v>
      </c>
      <c r="V132" s="6">
        <f t="shared" ref="V132:V195" si="6">C132*L132</f>
        <v>800.7299999999999</v>
      </c>
      <c r="W132" s="6" t="str">
        <f t="shared" ref="W132:W195" si="7">IF(C132&lt;=D132,"Reorder Required","Sufficient")</f>
        <v>Reorder Required</v>
      </c>
      <c r="X132" s="8" t="str">
        <f t="shared" ref="X132:X195" si="8">IF(C132&lt;100,"LOW",IF(C132&lt;250,"Medium","High"))</f>
        <v>LOW</v>
      </c>
    </row>
    <row r="133" spans="1:24">
      <c r="A133" s="7" t="s">
        <v>235</v>
      </c>
      <c r="B133" s="1" t="s">
        <v>33</v>
      </c>
      <c r="C133" s="1">
        <v>138</v>
      </c>
      <c r="D133" s="1">
        <v>21</v>
      </c>
      <c r="E133" s="1">
        <v>11</v>
      </c>
      <c r="F133" s="1">
        <v>6</v>
      </c>
      <c r="G133" s="1">
        <v>28.58</v>
      </c>
      <c r="H133" s="1" t="s">
        <v>47</v>
      </c>
      <c r="I133" s="1" t="s">
        <v>31</v>
      </c>
      <c r="J133" s="1">
        <v>82</v>
      </c>
      <c r="K133" s="1">
        <v>1.1000000000000001</v>
      </c>
      <c r="L133" s="4">
        <v>186.73</v>
      </c>
      <c r="M133" s="1">
        <v>0.73</v>
      </c>
      <c r="N133" s="1">
        <v>6</v>
      </c>
      <c r="O133" s="1">
        <v>0.76</v>
      </c>
      <c r="P133" s="1">
        <v>850</v>
      </c>
      <c r="Q133" s="1">
        <v>10.119999999999999</v>
      </c>
      <c r="R133" s="1">
        <v>0.76</v>
      </c>
      <c r="S133" s="2">
        <v>45649</v>
      </c>
      <c r="T133" s="1">
        <v>290.39999999999998</v>
      </c>
      <c r="U133" s="1">
        <v>0.64600000000000002</v>
      </c>
      <c r="V133" s="6">
        <f t="shared" si="6"/>
        <v>25768.739999999998</v>
      </c>
      <c r="W133" s="6" t="str">
        <f t="shared" si="7"/>
        <v>Sufficient</v>
      </c>
      <c r="X133" s="8" t="str">
        <f t="shared" si="8"/>
        <v>Medium</v>
      </c>
    </row>
    <row r="134" spans="1:24">
      <c r="A134" s="7" t="s">
        <v>236</v>
      </c>
      <c r="B134" s="1" t="s">
        <v>29</v>
      </c>
      <c r="C134" s="1">
        <v>434</v>
      </c>
      <c r="D134" s="1">
        <v>36</v>
      </c>
      <c r="E134" s="1">
        <v>9</v>
      </c>
      <c r="F134" s="1">
        <v>4</v>
      </c>
      <c r="G134" s="1">
        <v>47.57</v>
      </c>
      <c r="H134" s="1" t="s">
        <v>42</v>
      </c>
      <c r="I134" s="1" t="s">
        <v>39</v>
      </c>
      <c r="J134" s="1">
        <v>115</v>
      </c>
      <c r="K134" s="1">
        <v>1.07</v>
      </c>
      <c r="L134" s="4">
        <v>94.62</v>
      </c>
      <c r="M134" s="1">
        <v>0.32</v>
      </c>
      <c r="N134" s="1">
        <v>2</v>
      </c>
      <c r="O134" s="1">
        <v>0.83</v>
      </c>
      <c r="P134" s="1">
        <v>304</v>
      </c>
      <c r="Q134" s="1">
        <v>13.07</v>
      </c>
      <c r="R134" s="1">
        <v>0.46</v>
      </c>
      <c r="S134" s="2">
        <v>45637</v>
      </c>
      <c r="T134" s="1">
        <v>200.64</v>
      </c>
      <c r="U134" s="1">
        <v>0.76</v>
      </c>
      <c r="V134" s="6">
        <f t="shared" si="6"/>
        <v>41065.08</v>
      </c>
      <c r="W134" s="6" t="str">
        <f t="shared" si="7"/>
        <v>Sufficient</v>
      </c>
      <c r="X134" s="8" t="str">
        <f t="shared" si="8"/>
        <v>High</v>
      </c>
    </row>
    <row r="135" spans="1:24">
      <c r="A135" s="7" t="s">
        <v>237</v>
      </c>
      <c r="B135" s="1" t="s">
        <v>25</v>
      </c>
      <c r="C135" s="1">
        <v>481</v>
      </c>
      <c r="D135" s="1">
        <v>48</v>
      </c>
      <c r="E135" s="1">
        <v>6</v>
      </c>
      <c r="F135" s="1">
        <v>5</v>
      </c>
      <c r="G135" s="1">
        <v>4.55</v>
      </c>
      <c r="H135" s="1" t="s">
        <v>238</v>
      </c>
      <c r="I135" s="1" t="s">
        <v>45</v>
      </c>
      <c r="J135" s="1">
        <v>159</v>
      </c>
      <c r="K135" s="1">
        <v>1.95</v>
      </c>
      <c r="L135" s="4">
        <v>138.11000000000001</v>
      </c>
      <c r="M135" s="1">
        <v>1.28</v>
      </c>
      <c r="N135" s="1">
        <v>2</v>
      </c>
      <c r="O135" s="1">
        <v>0.85</v>
      </c>
      <c r="P135" s="1">
        <v>327</v>
      </c>
      <c r="Q135" s="1">
        <v>6.4</v>
      </c>
      <c r="R135" s="1">
        <v>0.43</v>
      </c>
      <c r="S135" s="2">
        <v>45512</v>
      </c>
      <c r="T135" s="1">
        <v>151.56</v>
      </c>
      <c r="U135" s="1">
        <v>0.57299999999999995</v>
      </c>
      <c r="V135" s="6">
        <f t="shared" si="6"/>
        <v>66430.91</v>
      </c>
      <c r="W135" s="6" t="str">
        <f t="shared" si="7"/>
        <v>Sufficient</v>
      </c>
      <c r="X135" s="8" t="str">
        <f t="shared" si="8"/>
        <v>High</v>
      </c>
    </row>
    <row r="136" spans="1:24">
      <c r="A136" s="7" t="s">
        <v>239</v>
      </c>
      <c r="B136" s="1" t="s">
        <v>29</v>
      </c>
      <c r="C136" s="1">
        <v>309</v>
      </c>
      <c r="D136" s="1">
        <v>18</v>
      </c>
      <c r="E136" s="1">
        <v>13</v>
      </c>
      <c r="F136" s="1">
        <v>9</v>
      </c>
      <c r="G136" s="1">
        <v>15.47</v>
      </c>
      <c r="H136" s="1" t="s">
        <v>77</v>
      </c>
      <c r="I136" s="1" t="s">
        <v>31</v>
      </c>
      <c r="J136" s="1">
        <v>58</v>
      </c>
      <c r="K136" s="1">
        <v>3.86</v>
      </c>
      <c r="L136" s="4">
        <v>177.73</v>
      </c>
      <c r="M136" s="1">
        <v>0.96</v>
      </c>
      <c r="N136" s="1">
        <v>7</v>
      </c>
      <c r="O136" s="1">
        <v>0.85</v>
      </c>
      <c r="P136" s="1">
        <v>608</v>
      </c>
      <c r="Q136" s="1">
        <v>14.77</v>
      </c>
      <c r="R136" s="1">
        <v>0.76</v>
      </c>
      <c r="S136" s="2">
        <v>45383</v>
      </c>
      <c r="T136" s="1">
        <v>136.27000000000001</v>
      </c>
      <c r="U136" s="1">
        <v>0.68300000000000005</v>
      </c>
      <c r="V136" s="6">
        <f t="shared" si="6"/>
        <v>54918.57</v>
      </c>
      <c r="W136" s="6" t="str">
        <f t="shared" si="7"/>
        <v>Sufficient</v>
      </c>
      <c r="X136" s="8" t="str">
        <f t="shared" si="8"/>
        <v>High</v>
      </c>
    </row>
    <row r="137" spans="1:24">
      <c r="A137" s="7" t="s">
        <v>240</v>
      </c>
      <c r="B137" s="1" t="s">
        <v>33</v>
      </c>
      <c r="C137" s="1">
        <v>357</v>
      </c>
      <c r="D137" s="1">
        <v>30</v>
      </c>
      <c r="E137" s="1">
        <v>11</v>
      </c>
      <c r="F137" s="1">
        <v>2</v>
      </c>
      <c r="G137" s="1">
        <v>10.48</v>
      </c>
      <c r="H137" s="1" t="s">
        <v>130</v>
      </c>
      <c r="I137" s="1" t="s">
        <v>45</v>
      </c>
      <c r="J137" s="1">
        <v>13</v>
      </c>
      <c r="K137" s="1">
        <v>0.61</v>
      </c>
      <c r="L137" s="4">
        <v>34.72</v>
      </c>
      <c r="M137" s="1">
        <v>1.85</v>
      </c>
      <c r="N137" s="1">
        <v>6</v>
      </c>
      <c r="O137" s="1">
        <v>0.85</v>
      </c>
      <c r="P137" s="1">
        <v>695</v>
      </c>
      <c r="Q137" s="1">
        <v>10.51</v>
      </c>
      <c r="R137" s="1">
        <v>0.52</v>
      </c>
      <c r="S137" s="2">
        <v>45346</v>
      </c>
      <c r="T137" s="1">
        <v>24.08</v>
      </c>
      <c r="U137" s="1">
        <v>0.50900000000000001</v>
      </c>
      <c r="V137" s="6">
        <f t="shared" si="6"/>
        <v>12395.039999999999</v>
      </c>
      <c r="W137" s="6" t="str">
        <f t="shared" si="7"/>
        <v>Sufficient</v>
      </c>
      <c r="X137" s="8" t="str">
        <f t="shared" si="8"/>
        <v>High</v>
      </c>
    </row>
    <row r="138" spans="1:24">
      <c r="A138" s="7" t="s">
        <v>241</v>
      </c>
      <c r="B138" s="1" t="s">
        <v>33</v>
      </c>
      <c r="C138" s="1">
        <v>267</v>
      </c>
      <c r="D138" s="1">
        <v>85</v>
      </c>
      <c r="E138" s="1">
        <v>11</v>
      </c>
      <c r="F138" s="1">
        <v>5</v>
      </c>
      <c r="G138" s="1">
        <v>28.14</v>
      </c>
      <c r="H138" s="1" t="s">
        <v>122</v>
      </c>
      <c r="I138" s="1" t="s">
        <v>31</v>
      </c>
      <c r="J138" s="1">
        <v>12</v>
      </c>
      <c r="K138" s="1">
        <v>1.66</v>
      </c>
      <c r="L138" s="4">
        <v>172.61</v>
      </c>
      <c r="M138" s="1">
        <v>1.04</v>
      </c>
      <c r="N138" s="1">
        <v>4</v>
      </c>
      <c r="O138" s="1">
        <v>0.77</v>
      </c>
      <c r="P138" s="1">
        <v>73</v>
      </c>
      <c r="Q138" s="1">
        <v>6</v>
      </c>
      <c r="R138" s="1">
        <v>0.2</v>
      </c>
      <c r="S138" s="2">
        <v>45341</v>
      </c>
      <c r="T138" s="1">
        <v>253.29</v>
      </c>
      <c r="U138" s="1">
        <v>0.49</v>
      </c>
      <c r="V138" s="6">
        <f t="shared" si="6"/>
        <v>46086.87</v>
      </c>
      <c r="W138" s="6" t="str">
        <f t="shared" si="7"/>
        <v>Sufficient</v>
      </c>
      <c r="X138" s="8" t="str">
        <f t="shared" si="8"/>
        <v>High</v>
      </c>
    </row>
    <row r="139" spans="1:24">
      <c r="A139" s="7" t="s">
        <v>242</v>
      </c>
      <c r="B139" s="1" t="s">
        <v>25</v>
      </c>
      <c r="C139" s="1">
        <v>373</v>
      </c>
      <c r="D139" s="1">
        <v>38</v>
      </c>
      <c r="E139" s="1">
        <v>4</v>
      </c>
      <c r="F139" s="1">
        <v>5</v>
      </c>
      <c r="G139" s="1">
        <v>19.760000000000002</v>
      </c>
      <c r="H139" s="1" t="s">
        <v>238</v>
      </c>
      <c r="I139" s="1" t="s">
        <v>27</v>
      </c>
      <c r="J139" s="1">
        <v>153</v>
      </c>
      <c r="K139" s="1">
        <v>1.23</v>
      </c>
      <c r="L139" s="4">
        <v>147.62</v>
      </c>
      <c r="M139" s="1">
        <v>1.86</v>
      </c>
      <c r="N139" s="1">
        <v>5</v>
      </c>
      <c r="O139" s="1">
        <v>0.85</v>
      </c>
      <c r="P139" s="1">
        <v>482</v>
      </c>
      <c r="Q139" s="1">
        <v>3.98</v>
      </c>
      <c r="R139" s="1">
        <v>0.95</v>
      </c>
      <c r="S139" s="2">
        <v>45560</v>
      </c>
      <c r="T139" s="1">
        <v>230.99</v>
      </c>
      <c r="U139" s="1">
        <v>0.52700000000000002</v>
      </c>
      <c r="V139" s="6">
        <f t="shared" si="6"/>
        <v>55062.26</v>
      </c>
      <c r="W139" s="6" t="str">
        <f t="shared" si="7"/>
        <v>Sufficient</v>
      </c>
      <c r="X139" s="8" t="str">
        <f t="shared" si="8"/>
        <v>High</v>
      </c>
    </row>
    <row r="140" spans="1:24">
      <c r="A140" s="7" t="s">
        <v>243</v>
      </c>
      <c r="B140" s="1" t="s">
        <v>41</v>
      </c>
      <c r="C140" s="1">
        <v>146</v>
      </c>
      <c r="D140" s="1">
        <v>42</v>
      </c>
      <c r="E140" s="1">
        <v>12</v>
      </c>
      <c r="F140" s="1">
        <v>4</v>
      </c>
      <c r="G140" s="1">
        <v>8.7100000000000009</v>
      </c>
      <c r="H140" s="1" t="s">
        <v>244</v>
      </c>
      <c r="I140" s="1" t="s">
        <v>27</v>
      </c>
      <c r="J140" s="1">
        <v>23</v>
      </c>
      <c r="K140" s="1">
        <v>4.8</v>
      </c>
      <c r="L140" s="4">
        <v>169.52</v>
      </c>
      <c r="M140" s="1">
        <v>0.25</v>
      </c>
      <c r="N140" s="1">
        <v>8</v>
      </c>
      <c r="O140" s="1">
        <v>0.84</v>
      </c>
      <c r="P140" s="1">
        <v>678</v>
      </c>
      <c r="Q140" s="1">
        <v>13.13</v>
      </c>
      <c r="R140" s="1">
        <v>0.32</v>
      </c>
      <c r="S140" s="2">
        <v>45368</v>
      </c>
      <c r="T140" s="1">
        <v>36.299999999999997</v>
      </c>
      <c r="U140" s="1">
        <v>0.622</v>
      </c>
      <c r="V140" s="6">
        <f t="shared" si="6"/>
        <v>24749.920000000002</v>
      </c>
      <c r="W140" s="6" t="str">
        <f t="shared" si="7"/>
        <v>Sufficient</v>
      </c>
      <c r="X140" s="8" t="str">
        <f t="shared" si="8"/>
        <v>Medium</v>
      </c>
    </row>
    <row r="141" spans="1:24">
      <c r="A141" s="7" t="s">
        <v>245</v>
      </c>
      <c r="B141" s="1" t="s">
        <v>41</v>
      </c>
      <c r="C141" s="1">
        <v>94</v>
      </c>
      <c r="D141" s="1">
        <v>71</v>
      </c>
      <c r="E141" s="1">
        <v>12</v>
      </c>
      <c r="F141" s="1">
        <v>6</v>
      </c>
      <c r="G141" s="1">
        <v>32.49</v>
      </c>
      <c r="H141" s="1" t="s">
        <v>61</v>
      </c>
      <c r="I141" s="1" t="s">
        <v>45</v>
      </c>
      <c r="J141" s="1">
        <v>73</v>
      </c>
      <c r="K141" s="1">
        <v>3.67</v>
      </c>
      <c r="L141" s="4">
        <v>104.02</v>
      </c>
      <c r="M141" s="1">
        <v>1.68</v>
      </c>
      <c r="N141" s="1">
        <v>2</v>
      </c>
      <c r="O141" s="1">
        <v>0.76</v>
      </c>
      <c r="P141" s="1">
        <v>800</v>
      </c>
      <c r="Q141" s="1">
        <v>5.45</v>
      </c>
      <c r="R141" s="1">
        <v>0.32</v>
      </c>
      <c r="S141" s="2">
        <v>45415</v>
      </c>
      <c r="T141" s="1">
        <v>112.5</v>
      </c>
      <c r="U141" s="1">
        <v>0.48099999999999998</v>
      </c>
      <c r="V141" s="6">
        <f t="shared" si="6"/>
        <v>9777.8799999999992</v>
      </c>
      <c r="W141" s="6" t="str">
        <f t="shared" si="7"/>
        <v>Sufficient</v>
      </c>
      <c r="X141" s="8" t="str">
        <f t="shared" si="8"/>
        <v>LOW</v>
      </c>
    </row>
    <row r="142" spans="1:24">
      <c r="A142" s="7" t="s">
        <v>246</v>
      </c>
      <c r="B142" s="1" t="s">
        <v>29</v>
      </c>
      <c r="C142" s="1">
        <v>380</v>
      </c>
      <c r="D142" s="1">
        <v>24</v>
      </c>
      <c r="E142" s="1">
        <v>13</v>
      </c>
      <c r="F142" s="1">
        <v>4</v>
      </c>
      <c r="G142" s="1">
        <v>27.28</v>
      </c>
      <c r="H142" s="1" t="s">
        <v>244</v>
      </c>
      <c r="I142" s="1" t="s">
        <v>45</v>
      </c>
      <c r="J142" s="1">
        <v>129</v>
      </c>
      <c r="K142" s="1">
        <v>1.55</v>
      </c>
      <c r="L142" s="4">
        <v>16.36</v>
      </c>
      <c r="M142" s="1">
        <v>1.54</v>
      </c>
      <c r="N142" s="1">
        <v>2</v>
      </c>
      <c r="O142" s="1">
        <v>1</v>
      </c>
      <c r="P142" s="1">
        <v>527</v>
      </c>
      <c r="Q142" s="1">
        <v>1.62</v>
      </c>
      <c r="R142" s="1">
        <v>0.85</v>
      </c>
      <c r="S142" s="2">
        <v>45390</v>
      </c>
      <c r="T142" s="1">
        <v>266.77</v>
      </c>
      <c r="U142" s="1">
        <v>0.59799999999999998</v>
      </c>
      <c r="V142" s="6">
        <f t="shared" si="6"/>
        <v>6216.8</v>
      </c>
      <c r="W142" s="6" t="str">
        <f t="shared" si="7"/>
        <v>Sufficient</v>
      </c>
      <c r="X142" s="8" t="str">
        <f t="shared" si="8"/>
        <v>High</v>
      </c>
    </row>
    <row r="143" spans="1:24">
      <c r="A143" s="7" t="s">
        <v>247</v>
      </c>
      <c r="B143" s="1" t="s">
        <v>66</v>
      </c>
      <c r="C143" s="1">
        <v>223</v>
      </c>
      <c r="D143" s="1">
        <v>11</v>
      </c>
      <c r="E143" s="1">
        <v>14</v>
      </c>
      <c r="F143" s="1">
        <v>2</v>
      </c>
      <c r="G143" s="1">
        <v>14.46</v>
      </c>
      <c r="H143" s="1" t="s">
        <v>216</v>
      </c>
      <c r="I143" s="1" t="s">
        <v>27</v>
      </c>
      <c r="J143" s="1">
        <v>178</v>
      </c>
      <c r="K143" s="1">
        <v>1.43</v>
      </c>
      <c r="L143" s="4">
        <v>137.4</v>
      </c>
      <c r="M143" s="1">
        <v>1.47</v>
      </c>
      <c r="N143" s="1">
        <v>5</v>
      </c>
      <c r="O143" s="1">
        <v>0.96</v>
      </c>
      <c r="P143" s="1">
        <v>543</v>
      </c>
      <c r="Q143" s="1">
        <v>4.9000000000000004</v>
      </c>
      <c r="R143" s="1">
        <v>0.47</v>
      </c>
      <c r="S143" s="2">
        <v>45609</v>
      </c>
      <c r="T143" s="1">
        <v>78.569999999999993</v>
      </c>
      <c r="U143" s="1">
        <v>0.504</v>
      </c>
      <c r="V143" s="6">
        <f t="shared" si="6"/>
        <v>30640.2</v>
      </c>
      <c r="W143" s="6" t="str">
        <f t="shared" si="7"/>
        <v>Sufficient</v>
      </c>
      <c r="X143" s="8" t="str">
        <f t="shared" si="8"/>
        <v>Medium</v>
      </c>
    </row>
    <row r="144" spans="1:24">
      <c r="A144" s="7" t="s">
        <v>248</v>
      </c>
      <c r="B144" s="1" t="s">
        <v>29</v>
      </c>
      <c r="C144" s="1">
        <v>68</v>
      </c>
      <c r="D144" s="1">
        <v>61</v>
      </c>
      <c r="E144" s="1">
        <v>8</v>
      </c>
      <c r="F144" s="1">
        <v>8</v>
      </c>
      <c r="G144" s="1">
        <v>24.51</v>
      </c>
      <c r="H144" s="1" t="s">
        <v>145</v>
      </c>
      <c r="I144" s="1" t="s">
        <v>27</v>
      </c>
      <c r="J144" s="1">
        <v>77</v>
      </c>
      <c r="K144" s="1">
        <v>4.3600000000000003</v>
      </c>
      <c r="L144" s="4">
        <v>81.16</v>
      </c>
      <c r="M144" s="1">
        <v>0.77</v>
      </c>
      <c r="N144" s="1">
        <v>7</v>
      </c>
      <c r="O144" s="1">
        <v>0.97</v>
      </c>
      <c r="P144" s="1">
        <v>431</v>
      </c>
      <c r="Q144" s="1">
        <v>3.51</v>
      </c>
      <c r="R144" s="1">
        <v>0.46</v>
      </c>
      <c r="S144" s="2">
        <v>45561</v>
      </c>
      <c r="T144" s="1">
        <v>187.26</v>
      </c>
      <c r="U144" s="1">
        <v>0.51600000000000001</v>
      </c>
      <c r="V144" s="6">
        <f t="shared" si="6"/>
        <v>5518.88</v>
      </c>
      <c r="W144" s="6" t="str">
        <f t="shared" si="7"/>
        <v>Sufficient</v>
      </c>
      <c r="X144" s="8" t="str">
        <f t="shared" si="8"/>
        <v>LOW</v>
      </c>
    </row>
    <row r="145" spans="1:24">
      <c r="A145" s="7" t="s">
        <v>249</v>
      </c>
      <c r="B145" s="1" t="s">
        <v>25</v>
      </c>
      <c r="C145" s="1">
        <v>98</v>
      </c>
      <c r="D145" s="1">
        <v>53</v>
      </c>
      <c r="E145" s="1">
        <v>6</v>
      </c>
      <c r="F145" s="1">
        <v>4</v>
      </c>
      <c r="G145" s="1">
        <v>37.54</v>
      </c>
      <c r="H145" s="1" t="s">
        <v>44</v>
      </c>
      <c r="I145" s="1" t="s">
        <v>39</v>
      </c>
      <c r="J145" s="1">
        <v>68</v>
      </c>
      <c r="K145" s="1">
        <v>1.36</v>
      </c>
      <c r="L145" s="4">
        <v>86.46</v>
      </c>
      <c r="M145" s="1">
        <v>1.59</v>
      </c>
      <c r="N145" s="1">
        <v>4</v>
      </c>
      <c r="O145" s="1">
        <v>0.91</v>
      </c>
      <c r="P145" s="1">
        <v>868</v>
      </c>
      <c r="Q145" s="1">
        <v>5.48</v>
      </c>
      <c r="R145" s="1">
        <v>0.7</v>
      </c>
      <c r="S145" s="2">
        <v>45421</v>
      </c>
      <c r="T145" s="1">
        <v>151.5</v>
      </c>
      <c r="U145" s="1">
        <v>0.55600000000000005</v>
      </c>
      <c r="V145" s="6">
        <f t="shared" si="6"/>
        <v>8473.08</v>
      </c>
      <c r="W145" s="6" t="str">
        <f t="shared" si="7"/>
        <v>Sufficient</v>
      </c>
      <c r="X145" s="8" t="str">
        <f t="shared" si="8"/>
        <v>LOW</v>
      </c>
    </row>
    <row r="146" spans="1:24">
      <c r="A146" s="7" t="s">
        <v>250</v>
      </c>
      <c r="B146" s="1" t="s">
        <v>25</v>
      </c>
      <c r="C146" s="1">
        <v>460</v>
      </c>
      <c r="D146" s="1">
        <v>63</v>
      </c>
      <c r="E146" s="1">
        <v>10</v>
      </c>
      <c r="F146" s="1">
        <v>3</v>
      </c>
      <c r="G146" s="1">
        <v>11.06</v>
      </c>
      <c r="H146" s="1" t="s">
        <v>47</v>
      </c>
      <c r="I146" s="1" t="s">
        <v>31</v>
      </c>
      <c r="J146" s="1">
        <v>139</v>
      </c>
      <c r="K146" s="1">
        <v>4.99</v>
      </c>
      <c r="L146" s="4">
        <v>93.84</v>
      </c>
      <c r="M146" s="1">
        <v>1.02</v>
      </c>
      <c r="N146" s="1">
        <v>0</v>
      </c>
      <c r="O146" s="1">
        <v>0.75</v>
      </c>
      <c r="P146" s="1">
        <v>423</v>
      </c>
      <c r="Q146" s="1">
        <v>9.59</v>
      </c>
      <c r="R146" s="1">
        <v>0.25</v>
      </c>
      <c r="S146" s="2">
        <v>45473</v>
      </c>
      <c r="T146" s="1">
        <v>247.37</v>
      </c>
      <c r="U146" s="1">
        <v>0.626</v>
      </c>
      <c r="V146" s="6">
        <f t="shared" si="6"/>
        <v>43166.400000000001</v>
      </c>
      <c r="W146" s="6" t="str">
        <f t="shared" si="7"/>
        <v>Sufficient</v>
      </c>
      <c r="X146" s="8" t="str">
        <f t="shared" si="8"/>
        <v>High</v>
      </c>
    </row>
    <row r="147" spans="1:24">
      <c r="A147" s="7" t="s">
        <v>251</v>
      </c>
      <c r="B147" s="1" t="s">
        <v>25</v>
      </c>
      <c r="C147" s="1">
        <v>498</v>
      </c>
      <c r="D147" s="1">
        <v>27</v>
      </c>
      <c r="E147" s="1">
        <v>14</v>
      </c>
      <c r="F147" s="1">
        <v>5</v>
      </c>
      <c r="G147" s="1">
        <v>15.35</v>
      </c>
      <c r="H147" s="1" t="s">
        <v>252</v>
      </c>
      <c r="I147" s="1" t="s">
        <v>27</v>
      </c>
      <c r="J147" s="1">
        <v>128</v>
      </c>
      <c r="K147" s="1">
        <v>1.77</v>
      </c>
      <c r="L147" s="4">
        <v>103.65</v>
      </c>
      <c r="M147" s="1">
        <v>1.46</v>
      </c>
      <c r="N147" s="1">
        <v>2</v>
      </c>
      <c r="O147" s="1">
        <v>0.87</v>
      </c>
      <c r="P147" s="1">
        <v>602</v>
      </c>
      <c r="Q147" s="1">
        <v>8.01</v>
      </c>
      <c r="R147" s="1">
        <v>0.39</v>
      </c>
      <c r="S147" s="2">
        <v>45428</v>
      </c>
      <c r="T147" s="1">
        <v>20.46</v>
      </c>
      <c r="U147" s="1">
        <v>0.57299999999999995</v>
      </c>
      <c r="V147" s="6">
        <f t="shared" si="6"/>
        <v>51617.700000000004</v>
      </c>
      <c r="W147" s="6" t="str">
        <f t="shared" si="7"/>
        <v>Sufficient</v>
      </c>
      <c r="X147" s="8" t="str">
        <f t="shared" si="8"/>
        <v>High</v>
      </c>
    </row>
    <row r="148" spans="1:24">
      <c r="A148" s="7" t="s">
        <v>253</v>
      </c>
      <c r="B148" s="1" t="s">
        <v>25</v>
      </c>
      <c r="C148" s="1">
        <v>260</v>
      </c>
      <c r="D148" s="1">
        <v>12</v>
      </c>
      <c r="E148" s="1">
        <v>13</v>
      </c>
      <c r="F148" s="1">
        <v>6</v>
      </c>
      <c r="G148" s="1">
        <v>17.96</v>
      </c>
      <c r="H148" s="1" t="s">
        <v>227</v>
      </c>
      <c r="I148" s="1" t="s">
        <v>45</v>
      </c>
      <c r="J148" s="1">
        <v>19</v>
      </c>
      <c r="K148" s="1">
        <v>0.88</v>
      </c>
      <c r="L148" s="4">
        <v>135.77000000000001</v>
      </c>
      <c r="M148" s="1">
        <v>1.1499999999999999</v>
      </c>
      <c r="N148" s="1">
        <v>7</v>
      </c>
      <c r="O148" s="1">
        <v>0.95</v>
      </c>
      <c r="P148" s="1">
        <v>811</v>
      </c>
      <c r="Q148" s="1">
        <v>10.95</v>
      </c>
      <c r="R148" s="1">
        <v>0.24</v>
      </c>
      <c r="S148" s="2">
        <v>45495</v>
      </c>
      <c r="T148" s="1">
        <v>246.68</v>
      </c>
      <c r="U148" s="1">
        <v>0.52900000000000003</v>
      </c>
      <c r="V148" s="6">
        <f t="shared" si="6"/>
        <v>35300.200000000004</v>
      </c>
      <c r="W148" s="6" t="str">
        <f t="shared" si="7"/>
        <v>Sufficient</v>
      </c>
      <c r="X148" s="8" t="str">
        <f t="shared" si="8"/>
        <v>High</v>
      </c>
    </row>
    <row r="149" spans="1:24">
      <c r="A149" s="7" t="s">
        <v>254</v>
      </c>
      <c r="B149" s="1" t="s">
        <v>25</v>
      </c>
      <c r="C149" s="1">
        <v>368</v>
      </c>
      <c r="D149" s="1">
        <v>16</v>
      </c>
      <c r="E149" s="1">
        <v>9</v>
      </c>
      <c r="F149" s="1">
        <v>9</v>
      </c>
      <c r="G149" s="1">
        <v>37.590000000000003</v>
      </c>
      <c r="H149" s="1" t="s">
        <v>57</v>
      </c>
      <c r="I149" s="1" t="s">
        <v>45</v>
      </c>
      <c r="J149" s="1">
        <v>84</v>
      </c>
      <c r="K149" s="1">
        <v>3.61</v>
      </c>
      <c r="L149" s="4">
        <v>148.09</v>
      </c>
      <c r="M149" s="1">
        <v>0.4</v>
      </c>
      <c r="N149" s="1">
        <v>3</v>
      </c>
      <c r="O149" s="1">
        <v>0.71</v>
      </c>
      <c r="P149" s="1">
        <v>372</v>
      </c>
      <c r="Q149" s="1">
        <v>5.67</v>
      </c>
      <c r="R149" s="1">
        <v>0.43</v>
      </c>
      <c r="S149" s="2">
        <v>45332</v>
      </c>
      <c r="T149" s="1">
        <v>49.36</v>
      </c>
      <c r="U149" s="1">
        <v>0.60399999999999998</v>
      </c>
      <c r="V149" s="6">
        <f t="shared" si="6"/>
        <v>54497.120000000003</v>
      </c>
      <c r="W149" s="6" t="str">
        <f t="shared" si="7"/>
        <v>Sufficient</v>
      </c>
      <c r="X149" s="8" t="str">
        <f t="shared" si="8"/>
        <v>High</v>
      </c>
    </row>
    <row r="150" spans="1:24">
      <c r="A150" s="7" t="s">
        <v>255</v>
      </c>
      <c r="B150" s="1" t="s">
        <v>33</v>
      </c>
      <c r="C150" s="1">
        <v>173</v>
      </c>
      <c r="D150" s="1">
        <v>52</v>
      </c>
      <c r="E150" s="1">
        <v>9</v>
      </c>
      <c r="F150" s="1">
        <v>7</v>
      </c>
      <c r="G150" s="1">
        <v>42.5</v>
      </c>
      <c r="H150" s="1" t="s">
        <v>256</v>
      </c>
      <c r="I150" s="1" t="s">
        <v>27</v>
      </c>
      <c r="J150" s="1">
        <v>99</v>
      </c>
      <c r="K150" s="1">
        <v>3.24</v>
      </c>
      <c r="L150" s="4">
        <v>157.6</v>
      </c>
      <c r="M150" s="1">
        <v>0.22</v>
      </c>
      <c r="N150" s="1">
        <v>8</v>
      </c>
      <c r="O150" s="1">
        <v>0.85</v>
      </c>
      <c r="P150" s="1">
        <v>138</v>
      </c>
      <c r="Q150" s="1">
        <v>2.68</v>
      </c>
      <c r="R150" s="1">
        <v>0.9</v>
      </c>
      <c r="S150" s="2">
        <v>45483</v>
      </c>
      <c r="T150" s="1">
        <v>14.37</v>
      </c>
      <c r="U150" s="1">
        <v>0.60399999999999998</v>
      </c>
      <c r="V150" s="6">
        <f t="shared" si="6"/>
        <v>27264.799999999999</v>
      </c>
      <c r="W150" s="6" t="str">
        <f t="shared" si="7"/>
        <v>Sufficient</v>
      </c>
      <c r="X150" s="8" t="str">
        <f t="shared" si="8"/>
        <v>Medium</v>
      </c>
    </row>
    <row r="151" spans="1:24">
      <c r="A151" s="7" t="s">
        <v>257</v>
      </c>
      <c r="B151" s="1" t="s">
        <v>41</v>
      </c>
      <c r="C151" s="1">
        <v>293</v>
      </c>
      <c r="D151" s="1">
        <v>91</v>
      </c>
      <c r="E151" s="1">
        <v>13</v>
      </c>
      <c r="F151" s="1">
        <v>2</v>
      </c>
      <c r="G151" s="1">
        <v>19.440000000000001</v>
      </c>
      <c r="H151" s="1" t="s">
        <v>258</v>
      </c>
      <c r="I151" s="1" t="s">
        <v>45</v>
      </c>
      <c r="J151" s="1">
        <v>110</v>
      </c>
      <c r="K151" s="1">
        <v>5</v>
      </c>
      <c r="L151" s="4">
        <v>137.61000000000001</v>
      </c>
      <c r="M151" s="1">
        <v>0.8</v>
      </c>
      <c r="N151" s="1">
        <v>5</v>
      </c>
      <c r="O151" s="1">
        <v>0.82</v>
      </c>
      <c r="P151" s="1">
        <v>141</v>
      </c>
      <c r="Q151" s="1">
        <v>3.24</v>
      </c>
      <c r="R151" s="1">
        <v>0.93</v>
      </c>
      <c r="S151" s="2">
        <v>45499</v>
      </c>
      <c r="T151" s="1">
        <v>182.7</v>
      </c>
      <c r="U151" s="1">
        <v>0.61299999999999999</v>
      </c>
      <c r="V151" s="6">
        <f t="shared" si="6"/>
        <v>40319.730000000003</v>
      </c>
      <c r="W151" s="6" t="str">
        <f t="shared" si="7"/>
        <v>Sufficient</v>
      </c>
      <c r="X151" s="8" t="str">
        <f t="shared" si="8"/>
        <v>High</v>
      </c>
    </row>
    <row r="152" spans="1:24">
      <c r="A152" s="7" t="s">
        <v>259</v>
      </c>
      <c r="B152" s="1" t="s">
        <v>25</v>
      </c>
      <c r="C152" s="1">
        <v>115</v>
      </c>
      <c r="D152" s="1">
        <v>47</v>
      </c>
      <c r="E152" s="1">
        <v>12</v>
      </c>
      <c r="F152" s="1">
        <v>7</v>
      </c>
      <c r="G152" s="1">
        <v>15.53</v>
      </c>
      <c r="H152" s="1" t="s">
        <v>30</v>
      </c>
      <c r="I152" s="1" t="s">
        <v>31</v>
      </c>
      <c r="J152" s="1">
        <v>163</v>
      </c>
      <c r="K152" s="1">
        <v>4.1100000000000003</v>
      </c>
      <c r="L152" s="4">
        <v>162.66</v>
      </c>
      <c r="M152" s="1">
        <v>1.87</v>
      </c>
      <c r="N152" s="1">
        <v>9</v>
      </c>
      <c r="O152" s="1">
        <v>0.76</v>
      </c>
      <c r="P152" s="1">
        <v>426</v>
      </c>
      <c r="Q152" s="1">
        <v>12.16</v>
      </c>
      <c r="R152" s="1">
        <v>0.45</v>
      </c>
      <c r="S152" s="2">
        <v>45527</v>
      </c>
      <c r="T152" s="1">
        <v>85.01</v>
      </c>
      <c r="U152" s="1">
        <v>0.437</v>
      </c>
      <c r="V152" s="6">
        <f t="shared" si="6"/>
        <v>18705.899999999998</v>
      </c>
      <c r="W152" s="6" t="str">
        <f t="shared" si="7"/>
        <v>Sufficient</v>
      </c>
      <c r="X152" s="8" t="str">
        <f t="shared" si="8"/>
        <v>Medium</v>
      </c>
    </row>
    <row r="153" spans="1:24">
      <c r="A153" s="7" t="s">
        <v>260</v>
      </c>
      <c r="B153" s="1" t="s">
        <v>66</v>
      </c>
      <c r="C153" s="1">
        <v>233</v>
      </c>
      <c r="D153" s="1">
        <v>46</v>
      </c>
      <c r="E153" s="1">
        <v>11</v>
      </c>
      <c r="F153" s="1">
        <v>5</v>
      </c>
      <c r="G153" s="1">
        <v>44.58</v>
      </c>
      <c r="H153" s="1" t="s">
        <v>106</v>
      </c>
      <c r="I153" s="1" t="s">
        <v>39</v>
      </c>
      <c r="J153" s="1">
        <v>141</v>
      </c>
      <c r="K153" s="1">
        <v>2.4300000000000002</v>
      </c>
      <c r="L153" s="4">
        <v>33.21</v>
      </c>
      <c r="M153" s="1">
        <v>1.1100000000000001</v>
      </c>
      <c r="N153" s="1">
        <v>3</v>
      </c>
      <c r="O153" s="1">
        <v>0.81</v>
      </c>
      <c r="P153" s="1">
        <v>130</v>
      </c>
      <c r="Q153" s="1">
        <v>2.37</v>
      </c>
      <c r="R153" s="1">
        <v>0.35</v>
      </c>
      <c r="S153" s="2">
        <v>45581</v>
      </c>
      <c r="T153" s="1">
        <v>215.69</v>
      </c>
      <c r="U153" s="1">
        <v>0.49299999999999999</v>
      </c>
      <c r="V153" s="6">
        <f t="shared" si="6"/>
        <v>7737.93</v>
      </c>
      <c r="W153" s="6" t="str">
        <f t="shared" si="7"/>
        <v>Sufficient</v>
      </c>
      <c r="X153" s="8" t="str">
        <f t="shared" si="8"/>
        <v>Medium</v>
      </c>
    </row>
    <row r="154" spans="1:24">
      <c r="A154" s="7" t="s">
        <v>261</v>
      </c>
      <c r="B154" s="1" t="s">
        <v>66</v>
      </c>
      <c r="C154" s="1">
        <v>313</v>
      </c>
      <c r="D154" s="1">
        <v>67</v>
      </c>
      <c r="E154" s="1">
        <v>7</v>
      </c>
      <c r="F154" s="1">
        <v>4</v>
      </c>
      <c r="G154" s="1">
        <v>49.97</v>
      </c>
      <c r="H154" s="1" t="s">
        <v>141</v>
      </c>
      <c r="I154" s="1" t="s">
        <v>31</v>
      </c>
      <c r="J154" s="1">
        <v>37</v>
      </c>
      <c r="K154" s="1">
        <v>3.54</v>
      </c>
      <c r="L154" s="4">
        <v>169</v>
      </c>
      <c r="M154" s="1">
        <v>1.62</v>
      </c>
      <c r="N154" s="1">
        <v>3</v>
      </c>
      <c r="O154" s="1">
        <v>1</v>
      </c>
      <c r="P154" s="1">
        <v>691</v>
      </c>
      <c r="Q154" s="1">
        <v>12.17</v>
      </c>
      <c r="R154" s="1">
        <v>0.31</v>
      </c>
      <c r="S154" s="2">
        <v>45416</v>
      </c>
      <c r="T154" s="1">
        <v>146.24</v>
      </c>
      <c r="U154" s="1">
        <v>0.60199999999999998</v>
      </c>
      <c r="V154" s="6">
        <f t="shared" si="6"/>
        <v>52897</v>
      </c>
      <c r="W154" s="6" t="str">
        <f t="shared" si="7"/>
        <v>Sufficient</v>
      </c>
      <c r="X154" s="8" t="str">
        <f t="shared" si="8"/>
        <v>High</v>
      </c>
    </row>
    <row r="155" spans="1:24">
      <c r="A155" s="7" t="s">
        <v>262</v>
      </c>
      <c r="B155" s="1" t="s">
        <v>66</v>
      </c>
      <c r="C155" s="1">
        <v>228</v>
      </c>
      <c r="D155" s="1">
        <v>42</v>
      </c>
      <c r="E155" s="1">
        <v>8</v>
      </c>
      <c r="F155" s="1">
        <v>7</v>
      </c>
      <c r="G155" s="1">
        <v>33.85</v>
      </c>
      <c r="H155" s="1" t="s">
        <v>99</v>
      </c>
      <c r="I155" s="1" t="s">
        <v>39</v>
      </c>
      <c r="J155" s="1">
        <v>139</v>
      </c>
      <c r="K155" s="1">
        <v>4.18</v>
      </c>
      <c r="L155" s="4">
        <v>83.58</v>
      </c>
      <c r="M155" s="1">
        <v>1.19</v>
      </c>
      <c r="N155" s="1">
        <v>9</v>
      </c>
      <c r="O155" s="1">
        <v>0.92</v>
      </c>
      <c r="P155" s="1">
        <v>652</v>
      </c>
      <c r="Q155" s="1">
        <v>3.98</v>
      </c>
      <c r="R155" s="1">
        <v>0.52</v>
      </c>
      <c r="S155" s="2">
        <v>45648</v>
      </c>
      <c r="T155" s="1">
        <v>185.6</v>
      </c>
      <c r="U155" s="1">
        <v>0.442</v>
      </c>
      <c r="V155" s="6">
        <f t="shared" si="6"/>
        <v>19056.239999999998</v>
      </c>
      <c r="W155" s="6" t="str">
        <f t="shared" si="7"/>
        <v>Sufficient</v>
      </c>
      <c r="X155" s="8" t="str">
        <f t="shared" si="8"/>
        <v>Medium</v>
      </c>
    </row>
    <row r="156" spans="1:24">
      <c r="A156" s="7" t="s">
        <v>263</v>
      </c>
      <c r="B156" s="1" t="s">
        <v>66</v>
      </c>
      <c r="C156" s="1">
        <v>362</v>
      </c>
      <c r="D156" s="1">
        <v>68</v>
      </c>
      <c r="E156" s="1">
        <v>3</v>
      </c>
      <c r="F156" s="1">
        <v>3</v>
      </c>
      <c r="G156" s="1">
        <v>49.51</v>
      </c>
      <c r="H156" s="1" t="s">
        <v>181</v>
      </c>
      <c r="I156" s="1" t="s">
        <v>39</v>
      </c>
      <c r="J156" s="1">
        <v>75</v>
      </c>
      <c r="K156" s="1">
        <v>2.81</v>
      </c>
      <c r="L156" s="4">
        <v>110.47</v>
      </c>
      <c r="M156" s="1">
        <v>1.92</v>
      </c>
      <c r="N156" s="1">
        <v>4</v>
      </c>
      <c r="O156" s="1">
        <v>0.79</v>
      </c>
      <c r="P156" s="1">
        <v>149</v>
      </c>
      <c r="Q156" s="1">
        <v>10.5</v>
      </c>
      <c r="R156" s="1">
        <v>0.86</v>
      </c>
      <c r="S156" s="2">
        <v>45407</v>
      </c>
      <c r="T156" s="1">
        <v>210.01</v>
      </c>
      <c r="U156" s="1">
        <v>0.59799999999999998</v>
      </c>
      <c r="V156" s="6">
        <f t="shared" si="6"/>
        <v>39990.14</v>
      </c>
      <c r="W156" s="6" t="str">
        <f t="shared" si="7"/>
        <v>Sufficient</v>
      </c>
      <c r="X156" s="8" t="str">
        <f t="shared" si="8"/>
        <v>High</v>
      </c>
    </row>
    <row r="157" spans="1:24">
      <c r="A157" s="7" t="s">
        <v>264</v>
      </c>
      <c r="B157" s="1" t="s">
        <v>33</v>
      </c>
      <c r="C157" s="1">
        <v>107</v>
      </c>
      <c r="D157" s="1">
        <v>20</v>
      </c>
      <c r="E157" s="1">
        <v>8</v>
      </c>
      <c r="F157" s="1">
        <v>4</v>
      </c>
      <c r="G157" s="1">
        <v>33.340000000000003</v>
      </c>
      <c r="H157" s="1" t="s">
        <v>61</v>
      </c>
      <c r="I157" s="1" t="s">
        <v>27</v>
      </c>
      <c r="J157" s="1">
        <v>153</v>
      </c>
      <c r="K157" s="1">
        <v>1.73</v>
      </c>
      <c r="L157" s="4">
        <v>92.42</v>
      </c>
      <c r="M157" s="1">
        <v>0.8</v>
      </c>
      <c r="N157" s="1">
        <v>6</v>
      </c>
      <c r="O157" s="1">
        <v>0.88</v>
      </c>
      <c r="P157" s="1">
        <v>639</v>
      </c>
      <c r="Q157" s="1">
        <v>9.7200000000000006</v>
      </c>
      <c r="R157" s="1">
        <v>0.88</v>
      </c>
      <c r="S157" s="2">
        <v>45445</v>
      </c>
      <c r="T157" s="1">
        <v>278.81</v>
      </c>
      <c r="U157" s="1">
        <v>0.68200000000000005</v>
      </c>
      <c r="V157" s="6">
        <f t="shared" si="6"/>
        <v>9888.94</v>
      </c>
      <c r="W157" s="6" t="str">
        <f t="shared" si="7"/>
        <v>Sufficient</v>
      </c>
      <c r="X157" s="8" t="str">
        <f t="shared" si="8"/>
        <v>Medium</v>
      </c>
    </row>
    <row r="158" spans="1:24">
      <c r="A158" s="7" t="s">
        <v>265</v>
      </c>
      <c r="B158" s="1" t="s">
        <v>66</v>
      </c>
      <c r="C158" s="1">
        <v>325</v>
      </c>
      <c r="D158" s="1">
        <v>77</v>
      </c>
      <c r="E158" s="1">
        <v>4</v>
      </c>
      <c r="F158" s="1">
        <v>5</v>
      </c>
      <c r="G158" s="1">
        <v>36.94</v>
      </c>
      <c r="H158" s="1" t="s">
        <v>266</v>
      </c>
      <c r="I158" s="1" t="s">
        <v>45</v>
      </c>
      <c r="J158" s="1">
        <v>133</v>
      </c>
      <c r="K158" s="1">
        <v>1.45</v>
      </c>
      <c r="L158" s="4">
        <v>100.39</v>
      </c>
      <c r="M158" s="1">
        <v>0.21</v>
      </c>
      <c r="N158" s="1">
        <v>6</v>
      </c>
      <c r="O158" s="1">
        <v>0.77</v>
      </c>
      <c r="P158" s="1">
        <v>604</v>
      </c>
      <c r="Q158" s="1">
        <v>2.38</v>
      </c>
      <c r="R158" s="1">
        <v>0.24</v>
      </c>
      <c r="S158" s="2">
        <v>45642</v>
      </c>
      <c r="T158" s="1">
        <v>248.7</v>
      </c>
      <c r="U158" s="1">
        <v>0.49299999999999999</v>
      </c>
      <c r="V158" s="6">
        <f t="shared" si="6"/>
        <v>32626.75</v>
      </c>
      <c r="W158" s="6" t="str">
        <f t="shared" si="7"/>
        <v>Sufficient</v>
      </c>
      <c r="X158" s="8" t="str">
        <f t="shared" si="8"/>
        <v>High</v>
      </c>
    </row>
    <row r="159" spans="1:24">
      <c r="A159" s="7" t="s">
        <v>267</v>
      </c>
      <c r="B159" s="1" t="s">
        <v>25</v>
      </c>
      <c r="C159" s="1">
        <v>283</v>
      </c>
      <c r="D159" s="1">
        <v>91</v>
      </c>
      <c r="E159" s="1">
        <v>8</v>
      </c>
      <c r="F159" s="1">
        <v>7</v>
      </c>
      <c r="G159" s="1">
        <v>20.04</v>
      </c>
      <c r="H159" s="1" t="s">
        <v>153</v>
      </c>
      <c r="I159" s="1" t="s">
        <v>39</v>
      </c>
      <c r="J159" s="1">
        <v>66</v>
      </c>
      <c r="K159" s="1">
        <v>1.83</v>
      </c>
      <c r="L159" s="4">
        <v>64.23</v>
      </c>
      <c r="M159" s="1">
        <v>1.58</v>
      </c>
      <c r="N159" s="1">
        <v>9</v>
      </c>
      <c r="O159" s="1">
        <v>0.88</v>
      </c>
      <c r="P159" s="1">
        <v>172</v>
      </c>
      <c r="Q159" s="1">
        <v>10.32</v>
      </c>
      <c r="R159" s="1">
        <v>0.37</v>
      </c>
      <c r="S159" s="2">
        <v>45333</v>
      </c>
      <c r="T159" s="1">
        <v>153.58000000000001</v>
      </c>
      <c r="U159" s="1">
        <v>0.45</v>
      </c>
      <c r="V159" s="6">
        <f t="shared" si="6"/>
        <v>18177.09</v>
      </c>
      <c r="W159" s="6" t="str">
        <f t="shared" si="7"/>
        <v>Sufficient</v>
      </c>
      <c r="X159" s="8" t="str">
        <f t="shared" si="8"/>
        <v>High</v>
      </c>
    </row>
    <row r="160" spans="1:24">
      <c r="A160" s="7" t="s">
        <v>268</v>
      </c>
      <c r="B160" s="1" t="s">
        <v>29</v>
      </c>
      <c r="C160" s="1">
        <v>444</v>
      </c>
      <c r="D160" s="1">
        <v>77</v>
      </c>
      <c r="E160" s="1">
        <v>11</v>
      </c>
      <c r="F160" s="1">
        <v>9</v>
      </c>
      <c r="G160" s="1">
        <v>22.22</v>
      </c>
      <c r="H160" s="1" t="s">
        <v>269</v>
      </c>
      <c r="I160" s="1" t="s">
        <v>27</v>
      </c>
      <c r="J160" s="1">
        <v>160</v>
      </c>
      <c r="K160" s="1">
        <v>4.32</v>
      </c>
      <c r="L160" s="4">
        <v>42.29</v>
      </c>
      <c r="M160" s="1">
        <v>1.44</v>
      </c>
      <c r="N160" s="1">
        <v>6</v>
      </c>
      <c r="O160" s="1">
        <v>0.97</v>
      </c>
      <c r="P160" s="1">
        <v>849</v>
      </c>
      <c r="Q160" s="1">
        <v>7.27</v>
      </c>
      <c r="R160" s="1">
        <v>0.36</v>
      </c>
      <c r="S160" s="2">
        <v>45626</v>
      </c>
      <c r="T160" s="1">
        <v>137.02000000000001</v>
      </c>
      <c r="U160" s="1">
        <v>0.499</v>
      </c>
      <c r="V160" s="6">
        <f t="shared" si="6"/>
        <v>18776.759999999998</v>
      </c>
      <c r="W160" s="6" t="str">
        <f t="shared" si="7"/>
        <v>Sufficient</v>
      </c>
      <c r="X160" s="8" t="str">
        <f t="shared" si="8"/>
        <v>High</v>
      </c>
    </row>
    <row r="161" spans="1:24">
      <c r="A161" s="7" t="s">
        <v>270</v>
      </c>
      <c r="B161" s="1" t="s">
        <v>66</v>
      </c>
      <c r="C161" s="1">
        <v>409</v>
      </c>
      <c r="D161" s="1">
        <v>97</v>
      </c>
      <c r="E161" s="1">
        <v>10</v>
      </c>
      <c r="F161" s="1">
        <v>8</v>
      </c>
      <c r="G161" s="1">
        <v>8.06</v>
      </c>
      <c r="H161" s="1" t="s">
        <v>113</v>
      </c>
      <c r="I161" s="1" t="s">
        <v>45</v>
      </c>
      <c r="J161" s="1">
        <v>160</v>
      </c>
      <c r="K161" s="1">
        <v>2.21</v>
      </c>
      <c r="L161" s="4">
        <v>29.93</v>
      </c>
      <c r="M161" s="1">
        <v>1.1000000000000001</v>
      </c>
      <c r="N161" s="1">
        <v>4</v>
      </c>
      <c r="O161" s="1">
        <v>0.87</v>
      </c>
      <c r="P161" s="1">
        <v>445</v>
      </c>
      <c r="Q161" s="1">
        <v>10.9</v>
      </c>
      <c r="R161" s="1">
        <v>0.86</v>
      </c>
      <c r="S161" s="2">
        <v>45624</v>
      </c>
      <c r="T161" s="1">
        <v>199.86</v>
      </c>
      <c r="U161" s="1">
        <v>0.70099999999999996</v>
      </c>
      <c r="V161" s="6">
        <f t="shared" si="6"/>
        <v>12241.369999999999</v>
      </c>
      <c r="W161" s="6" t="str">
        <f t="shared" si="7"/>
        <v>Sufficient</v>
      </c>
      <c r="X161" s="8" t="str">
        <f t="shared" si="8"/>
        <v>High</v>
      </c>
    </row>
    <row r="162" spans="1:24">
      <c r="A162" s="7" t="s">
        <v>271</v>
      </c>
      <c r="B162" s="1" t="s">
        <v>33</v>
      </c>
      <c r="C162" s="1">
        <v>344</v>
      </c>
      <c r="D162" s="1">
        <v>31</v>
      </c>
      <c r="E162" s="1">
        <v>11</v>
      </c>
      <c r="F162" s="1">
        <v>2</v>
      </c>
      <c r="G162" s="1">
        <v>41.31</v>
      </c>
      <c r="H162" s="1" t="s">
        <v>266</v>
      </c>
      <c r="I162" s="1" t="s">
        <v>45</v>
      </c>
      <c r="J162" s="1">
        <v>30</v>
      </c>
      <c r="K162" s="1">
        <v>1.79</v>
      </c>
      <c r="L162" s="4">
        <v>95.77</v>
      </c>
      <c r="M162" s="1">
        <v>0.72</v>
      </c>
      <c r="N162" s="1">
        <v>8</v>
      </c>
      <c r="O162" s="1">
        <v>0.92</v>
      </c>
      <c r="P162" s="1">
        <v>72</v>
      </c>
      <c r="Q162" s="1">
        <v>12.7</v>
      </c>
      <c r="R162" s="1">
        <v>0.56999999999999995</v>
      </c>
      <c r="S162" s="2">
        <v>45308</v>
      </c>
      <c r="T162" s="1">
        <v>222.72</v>
      </c>
      <c r="U162" s="1">
        <v>0.63500000000000001</v>
      </c>
      <c r="V162" s="6">
        <f t="shared" si="6"/>
        <v>32944.879999999997</v>
      </c>
      <c r="W162" s="6" t="str">
        <f t="shared" si="7"/>
        <v>Sufficient</v>
      </c>
      <c r="X162" s="8" t="str">
        <f t="shared" si="8"/>
        <v>High</v>
      </c>
    </row>
    <row r="163" spans="1:24">
      <c r="A163" s="7" t="s">
        <v>272</v>
      </c>
      <c r="B163" s="1" t="s">
        <v>33</v>
      </c>
      <c r="C163" s="1">
        <v>447</v>
      </c>
      <c r="D163" s="1">
        <v>75</v>
      </c>
      <c r="E163" s="1">
        <v>12</v>
      </c>
      <c r="F163" s="1">
        <v>7</v>
      </c>
      <c r="G163" s="1">
        <v>46.62</v>
      </c>
      <c r="H163" s="1" t="s">
        <v>195</v>
      </c>
      <c r="I163" s="1" t="s">
        <v>39</v>
      </c>
      <c r="J163" s="1">
        <v>112</v>
      </c>
      <c r="K163" s="1">
        <v>4.13</v>
      </c>
      <c r="L163" s="4">
        <v>33.799999999999997</v>
      </c>
      <c r="M163" s="1">
        <v>0.46</v>
      </c>
      <c r="N163" s="1">
        <v>1</v>
      </c>
      <c r="O163" s="1">
        <v>0.84</v>
      </c>
      <c r="P163" s="1">
        <v>705</v>
      </c>
      <c r="Q163" s="1">
        <v>1.55</v>
      </c>
      <c r="R163" s="1">
        <v>0.49</v>
      </c>
      <c r="S163" s="2">
        <v>45339</v>
      </c>
      <c r="T163" s="1">
        <v>60.07</v>
      </c>
      <c r="U163" s="1">
        <v>0.621</v>
      </c>
      <c r="V163" s="6">
        <f t="shared" si="6"/>
        <v>15108.599999999999</v>
      </c>
      <c r="W163" s="6" t="str">
        <f t="shared" si="7"/>
        <v>Sufficient</v>
      </c>
      <c r="X163" s="8" t="str">
        <f t="shared" si="8"/>
        <v>High</v>
      </c>
    </row>
    <row r="164" spans="1:24">
      <c r="A164" s="7" t="s">
        <v>273</v>
      </c>
      <c r="B164" s="1" t="s">
        <v>66</v>
      </c>
      <c r="C164" s="1">
        <v>396</v>
      </c>
      <c r="D164" s="1">
        <v>53</v>
      </c>
      <c r="E164" s="1">
        <v>10</v>
      </c>
      <c r="F164" s="1">
        <v>9</v>
      </c>
      <c r="G164" s="1">
        <v>31.55</v>
      </c>
      <c r="H164" s="1" t="s">
        <v>274</v>
      </c>
      <c r="I164" s="1" t="s">
        <v>45</v>
      </c>
      <c r="J164" s="1">
        <v>162</v>
      </c>
      <c r="K164" s="1">
        <v>0.64</v>
      </c>
      <c r="L164" s="4">
        <v>56.55</v>
      </c>
      <c r="M164" s="1">
        <v>1.02</v>
      </c>
      <c r="N164" s="1">
        <v>7</v>
      </c>
      <c r="O164" s="1">
        <v>0.86</v>
      </c>
      <c r="P164" s="1">
        <v>989</v>
      </c>
      <c r="Q164" s="1">
        <v>10.07</v>
      </c>
      <c r="R164" s="1">
        <v>0.97</v>
      </c>
      <c r="S164" s="2">
        <v>45499</v>
      </c>
      <c r="T164" s="1">
        <v>19.43</v>
      </c>
      <c r="U164" s="1">
        <v>0.65800000000000003</v>
      </c>
      <c r="V164" s="6">
        <f t="shared" si="6"/>
        <v>22393.8</v>
      </c>
      <c r="W164" s="6" t="str">
        <f t="shared" si="7"/>
        <v>Sufficient</v>
      </c>
      <c r="X164" s="8" t="str">
        <f t="shared" si="8"/>
        <v>High</v>
      </c>
    </row>
    <row r="165" spans="1:24">
      <c r="A165" s="7" t="s">
        <v>275</v>
      </c>
      <c r="B165" s="1" t="s">
        <v>29</v>
      </c>
      <c r="C165" s="1">
        <v>339</v>
      </c>
      <c r="D165" s="1">
        <v>15</v>
      </c>
      <c r="E165" s="1">
        <v>5</v>
      </c>
      <c r="F165" s="1">
        <v>8</v>
      </c>
      <c r="G165" s="1">
        <v>17.84</v>
      </c>
      <c r="H165" s="1" t="s">
        <v>276</v>
      </c>
      <c r="I165" s="1" t="s">
        <v>31</v>
      </c>
      <c r="J165" s="1">
        <v>67</v>
      </c>
      <c r="K165" s="1">
        <v>3.17</v>
      </c>
      <c r="L165" s="4">
        <v>35.39</v>
      </c>
      <c r="M165" s="1">
        <v>1.37</v>
      </c>
      <c r="N165" s="1">
        <v>9</v>
      </c>
      <c r="O165" s="1">
        <v>0.91</v>
      </c>
      <c r="P165" s="1">
        <v>819</v>
      </c>
      <c r="Q165" s="1">
        <v>2.4700000000000002</v>
      </c>
      <c r="R165" s="1">
        <v>0.94</v>
      </c>
      <c r="S165" s="2">
        <v>45486</v>
      </c>
      <c r="T165" s="1">
        <v>141.85</v>
      </c>
      <c r="U165" s="1">
        <v>0.48599999999999999</v>
      </c>
      <c r="V165" s="6">
        <f t="shared" si="6"/>
        <v>11997.210000000001</v>
      </c>
      <c r="W165" s="6" t="str">
        <f t="shared" si="7"/>
        <v>Sufficient</v>
      </c>
      <c r="X165" s="8" t="str">
        <f t="shared" si="8"/>
        <v>High</v>
      </c>
    </row>
    <row r="166" spans="1:24">
      <c r="A166" s="7" t="s">
        <v>277</v>
      </c>
      <c r="B166" s="1" t="s">
        <v>66</v>
      </c>
      <c r="C166" s="1">
        <v>176</v>
      </c>
      <c r="D166" s="1">
        <v>51</v>
      </c>
      <c r="E166" s="1">
        <v>10</v>
      </c>
      <c r="F166" s="1">
        <v>8</v>
      </c>
      <c r="G166" s="1">
        <v>8.5500000000000007</v>
      </c>
      <c r="H166" s="1" t="s">
        <v>137</v>
      </c>
      <c r="I166" s="1" t="s">
        <v>45</v>
      </c>
      <c r="J166" s="1">
        <v>46</v>
      </c>
      <c r="K166" s="1">
        <v>4.43</v>
      </c>
      <c r="L166" s="4">
        <v>30.73</v>
      </c>
      <c r="M166" s="1">
        <v>1.2</v>
      </c>
      <c r="N166" s="1">
        <v>7</v>
      </c>
      <c r="O166" s="1">
        <v>0.94</v>
      </c>
      <c r="P166" s="1">
        <v>568</v>
      </c>
      <c r="Q166" s="1">
        <v>6.3</v>
      </c>
      <c r="R166" s="1">
        <v>0.55000000000000004</v>
      </c>
      <c r="S166" s="2">
        <v>45485</v>
      </c>
      <c r="T166" s="1">
        <v>38.840000000000003</v>
      </c>
      <c r="U166" s="1">
        <v>0.52200000000000002</v>
      </c>
      <c r="V166" s="6">
        <f t="shared" si="6"/>
        <v>5408.4800000000005</v>
      </c>
      <c r="W166" s="6" t="str">
        <f t="shared" si="7"/>
        <v>Sufficient</v>
      </c>
      <c r="X166" s="8" t="str">
        <f t="shared" si="8"/>
        <v>Medium</v>
      </c>
    </row>
    <row r="167" spans="1:24">
      <c r="A167" s="7" t="s">
        <v>278</v>
      </c>
      <c r="B167" s="1" t="s">
        <v>33</v>
      </c>
      <c r="C167" s="1">
        <v>175</v>
      </c>
      <c r="D167" s="1">
        <v>34</v>
      </c>
      <c r="E167" s="1">
        <v>8</v>
      </c>
      <c r="F167" s="1">
        <v>7</v>
      </c>
      <c r="G167" s="1">
        <v>13.99</v>
      </c>
      <c r="H167" s="1" t="s">
        <v>279</v>
      </c>
      <c r="I167" s="1" t="s">
        <v>31</v>
      </c>
      <c r="J167" s="1">
        <v>152</v>
      </c>
      <c r="K167" s="1">
        <v>2.35</v>
      </c>
      <c r="L167" s="4">
        <v>177.67</v>
      </c>
      <c r="M167" s="1">
        <v>0.93</v>
      </c>
      <c r="N167" s="1">
        <v>2</v>
      </c>
      <c r="O167" s="1">
        <v>0.9</v>
      </c>
      <c r="P167" s="1">
        <v>326</v>
      </c>
      <c r="Q167" s="1">
        <v>1.18</v>
      </c>
      <c r="R167" s="1">
        <v>0.3</v>
      </c>
      <c r="S167" s="2">
        <v>45574</v>
      </c>
      <c r="T167" s="1">
        <v>89.09</v>
      </c>
      <c r="U167" s="1">
        <v>0.52300000000000002</v>
      </c>
      <c r="V167" s="6">
        <f t="shared" si="6"/>
        <v>31092.249999999996</v>
      </c>
      <c r="W167" s="6" t="str">
        <f t="shared" si="7"/>
        <v>Sufficient</v>
      </c>
      <c r="X167" s="8" t="str">
        <f t="shared" si="8"/>
        <v>Medium</v>
      </c>
    </row>
    <row r="168" spans="1:24">
      <c r="A168" s="7" t="s">
        <v>280</v>
      </c>
      <c r="B168" s="1" t="s">
        <v>41</v>
      </c>
      <c r="C168" s="1">
        <v>158</v>
      </c>
      <c r="D168" s="1">
        <v>66</v>
      </c>
      <c r="E168" s="1">
        <v>8</v>
      </c>
      <c r="F168" s="1">
        <v>6</v>
      </c>
      <c r="G168" s="1">
        <v>13.52</v>
      </c>
      <c r="H168" s="1" t="s">
        <v>181</v>
      </c>
      <c r="I168" s="1" t="s">
        <v>45</v>
      </c>
      <c r="J168" s="1">
        <v>165</v>
      </c>
      <c r="K168" s="1">
        <v>1.71</v>
      </c>
      <c r="L168" s="4">
        <v>138.06</v>
      </c>
      <c r="M168" s="1">
        <v>1.1299999999999999</v>
      </c>
      <c r="N168" s="1">
        <v>4</v>
      </c>
      <c r="O168" s="1">
        <v>0.99</v>
      </c>
      <c r="P168" s="1">
        <v>747</v>
      </c>
      <c r="Q168" s="1">
        <v>5.6</v>
      </c>
      <c r="R168" s="1">
        <v>0.34</v>
      </c>
      <c r="S168" s="2">
        <v>45535</v>
      </c>
      <c r="T168" s="1">
        <v>179.57</v>
      </c>
      <c r="U168" s="1">
        <v>0.54800000000000004</v>
      </c>
      <c r="V168" s="6">
        <f t="shared" si="6"/>
        <v>21813.48</v>
      </c>
      <c r="W168" s="6" t="str">
        <f t="shared" si="7"/>
        <v>Sufficient</v>
      </c>
      <c r="X168" s="8" t="str">
        <f t="shared" si="8"/>
        <v>Medium</v>
      </c>
    </row>
    <row r="169" spans="1:24">
      <c r="A169" s="7" t="s">
        <v>281</v>
      </c>
      <c r="B169" s="1" t="s">
        <v>25</v>
      </c>
      <c r="C169" s="1">
        <v>140</v>
      </c>
      <c r="D169" s="1">
        <v>94</v>
      </c>
      <c r="E169" s="1">
        <v>8</v>
      </c>
      <c r="F169" s="1">
        <v>7</v>
      </c>
      <c r="G169" s="1">
        <v>31.06</v>
      </c>
      <c r="H169" s="1" t="s">
        <v>282</v>
      </c>
      <c r="I169" s="1" t="s">
        <v>39</v>
      </c>
      <c r="J169" s="1">
        <v>141</v>
      </c>
      <c r="K169" s="1">
        <v>2.71</v>
      </c>
      <c r="L169" s="4">
        <v>185.51</v>
      </c>
      <c r="M169" s="1">
        <v>0.31</v>
      </c>
      <c r="N169" s="1">
        <v>7</v>
      </c>
      <c r="O169" s="1">
        <v>0.95</v>
      </c>
      <c r="P169" s="1">
        <v>144</v>
      </c>
      <c r="Q169" s="1">
        <v>3.37</v>
      </c>
      <c r="R169" s="1">
        <v>0.28999999999999998</v>
      </c>
      <c r="S169" s="2">
        <v>45320</v>
      </c>
      <c r="T169" s="1">
        <v>53.92</v>
      </c>
      <c r="U169" s="1">
        <v>0.52200000000000002</v>
      </c>
      <c r="V169" s="6">
        <f t="shared" si="6"/>
        <v>25971.399999999998</v>
      </c>
      <c r="W169" s="6" t="str">
        <f t="shared" si="7"/>
        <v>Sufficient</v>
      </c>
      <c r="X169" s="8" t="str">
        <f t="shared" si="8"/>
        <v>Medium</v>
      </c>
    </row>
    <row r="170" spans="1:24">
      <c r="A170" s="7" t="s">
        <v>283</v>
      </c>
      <c r="B170" s="1" t="s">
        <v>33</v>
      </c>
      <c r="C170" s="1">
        <v>84</v>
      </c>
      <c r="D170" s="1">
        <v>64</v>
      </c>
      <c r="E170" s="1">
        <v>5</v>
      </c>
      <c r="F170" s="1">
        <v>5</v>
      </c>
      <c r="G170" s="1">
        <v>47.31</v>
      </c>
      <c r="H170" s="1" t="s">
        <v>30</v>
      </c>
      <c r="I170" s="1" t="s">
        <v>39</v>
      </c>
      <c r="J170" s="1">
        <v>56</v>
      </c>
      <c r="K170" s="1">
        <v>3.73</v>
      </c>
      <c r="L170" s="4">
        <v>132.36000000000001</v>
      </c>
      <c r="M170" s="1">
        <v>1.42</v>
      </c>
      <c r="N170" s="1">
        <v>9</v>
      </c>
      <c r="O170" s="1">
        <v>0.93</v>
      </c>
      <c r="P170" s="1">
        <v>968</v>
      </c>
      <c r="Q170" s="1">
        <v>8.7899999999999991</v>
      </c>
      <c r="R170" s="1">
        <v>0.74</v>
      </c>
      <c r="S170" s="2">
        <v>45618</v>
      </c>
      <c r="T170" s="1">
        <v>18.260000000000002</v>
      </c>
      <c r="U170" s="1">
        <v>0.52900000000000003</v>
      </c>
      <c r="V170" s="6">
        <f t="shared" si="6"/>
        <v>11118.240000000002</v>
      </c>
      <c r="W170" s="6" t="str">
        <f t="shared" si="7"/>
        <v>Sufficient</v>
      </c>
      <c r="X170" s="8" t="str">
        <f t="shared" si="8"/>
        <v>LOW</v>
      </c>
    </row>
    <row r="171" spans="1:24">
      <c r="A171" s="7" t="s">
        <v>284</v>
      </c>
      <c r="B171" s="1" t="s">
        <v>66</v>
      </c>
      <c r="C171" s="1">
        <v>126</v>
      </c>
      <c r="D171" s="1">
        <v>25</v>
      </c>
      <c r="E171" s="1">
        <v>12</v>
      </c>
      <c r="F171" s="1">
        <v>8</v>
      </c>
      <c r="G171" s="1">
        <v>3.37</v>
      </c>
      <c r="H171" s="1" t="s">
        <v>181</v>
      </c>
      <c r="I171" s="1" t="s">
        <v>27</v>
      </c>
      <c r="J171" s="1">
        <v>112</v>
      </c>
      <c r="K171" s="1">
        <v>2.82</v>
      </c>
      <c r="L171" s="4">
        <v>170.35</v>
      </c>
      <c r="M171" s="1">
        <v>1.5</v>
      </c>
      <c r="N171" s="1">
        <v>8</v>
      </c>
      <c r="O171" s="1">
        <v>0.95</v>
      </c>
      <c r="P171" s="1">
        <v>431</v>
      </c>
      <c r="Q171" s="1">
        <v>8.17</v>
      </c>
      <c r="R171" s="1">
        <v>0.64</v>
      </c>
      <c r="S171" s="2">
        <v>45296</v>
      </c>
      <c r="T171" s="1">
        <v>170.83</v>
      </c>
      <c r="U171" s="1">
        <v>0.51700000000000002</v>
      </c>
      <c r="V171" s="6">
        <f t="shared" si="6"/>
        <v>21464.1</v>
      </c>
      <c r="W171" s="6" t="str">
        <f t="shared" si="7"/>
        <v>Sufficient</v>
      </c>
      <c r="X171" s="8" t="str">
        <f t="shared" si="8"/>
        <v>Medium</v>
      </c>
    </row>
    <row r="172" spans="1:24">
      <c r="A172" s="7" t="s">
        <v>285</v>
      </c>
      <c r="B172" s="1" t="s">
        <v>25</v>
      </c>
      <c r="C172" s="1">
        <v>166</v>
      </c>
      <c r="D172" s="1">
        <v>23</v>
      </c>
      <c r="E172" s="1">
        <v>3</v>
      </c>
      <c r="F172" s="1">
        <v>2</v>
      </c>
      <c r="G172" s="1">
        <v>1.05</v>
      </c>
      <c r="H172" s="1" t="s">
        <v>130</v>
      </c>
      <c r="I172" s="1" t="s">
        <v>31</v>
      </c>
      <c r="J172" s="1">
        <v>81</v>
      </c>
      <c r="K172" s="1">
        <v>0.53</v>
      </c>
      <c r="L172" s="4">
        <v>115.51</v>
      </c>
      <c r="M172" s="1">
        <v>0.12</v>
      </c>
      <c r="N172" s="1">
        <v>6</v>
      </c>
      <c r="O172" s="1">
        <v>0.78</v>
      </c>
      <c r="P172" s="1">
        <v>426</v>
      </c>
      <c r="Q172" s="1">
        <v>12.11</v>
      </c>
      <c r="R172" s="1">
        <v>0.65</v>
      </c>
      <c r="S172" s="2">
        <v>45651</v>
      </c>
      <c r="T172" s="1">
        <v>145.21</v>
      </c>
      <c r="U172" s="1">
        <v>0.71499999999999997</v>
      </c>
      <c r="V172" s="6">
        <f t="shared" si="6"/>
        <v>19174.66</v>
      </c>
      <c r="W172" s="6" t="str">
        <f t="shared" si="7"/>
        <v>Sufficient</v>
      </c>
      <c r="X172" s="8" t="str">
        <f t="shared" si="8"/>
        <v>Medium</v>
      </c>
    </row>
    <row r="173" spans="1:24">
      <c r="A173" s="7" t="s">
        <v>286</v>
      </c>
      <c r="B173" s="1" t="s">
        <v>66</v>
      </c>
      <c r="C173" s="1">
        <v>156</v>
      </c>
      <c r="D173" s="1">
        <v>48</v>
      </c>
      <c r="E173" s="1">
        <v>14</v>
      </c>
      <c r="F173" s="1">
        <v>5</v>
      </c>
      <c r="G173" s="1">
        <v>30.41</v>
      </c>
      <c r="H173" s="1" t="s">
        <v>256</v>
      </c>
      <c r="I173" s="1" t="s">
        <v>31</v>
      </c>
      <c r="J173" s="1">
        <v>98</v>
      </c>
      <c r="K173" s="1">
        <v>0.85</v>
      </c>
      <c r="L173" s="4">
        <v>97.9</v>
      </c>
      <c r="M173" s="1">
        <v>0.61</v>
      </c>
      <c r="N173" s="1">
        <v>3</v>
      </c>
      <c r="O173" s="1">
        <v>0.83</v>
      </c>
      <c r="P173" s="1">
        <v>74</v>
      </c>
      <c r="Q173" s="1">
        <v>9.9600000000000009</v>
      </c>
      <c r="R173" s="1">
        <v>0.28000000000000003</v>
      </c>
      <c r="S173" s="2">
        <v>45379</v>
      </c>
      <c r="T173" s="1">
        <v>98.83</v>
      </c>
      <c r="U173" s="1">
        <v>0.63400000000000001</v>
      </c>
      <c r="V173" s="6">
        <f t="shared" si="6"/>
        <v>15272.400000000001</v>
      </c>
      <c r="W173" s="6" t="str">
        <f t="shared" si="7"/>
        <v>Sufficient</v>
      </c>
      <c r="X173" s="8" t="str">
        <f t="shared" si="8"/>
        <v>Medium</v>
      </c>
    </row>
    <row r="174" spans="1:24">
      <c r="A174" s="7" t="s">
        <v>287</v>
      </c>
      <c r="B174" s="1" t="s">
        <v>66</v>
      </c>
      <c r="C174" s="1">
        <v>430</v>
      </c>
      <c r="D174" s="1">
        <v>37</v>
      </c>
      <c r="E174" s="1">
        <v>6</v>
      </c>
      <c r="F174" s="1">
        <v>3</v>
      </c>
      <c r="G174" s="1">
        <v>14.92</v>
      </c>
      <c r="H174" s="1" t="s">
        <v>178</v>
      </c>
      <c r="I174" s="1" t="s">
        <v>39</v>
      </c>
      <c r="J174" s="1">
        <v>67</v>
      </c>
      <c r="K174" s="1">
        <v>3.75</v>
      </c>
      <c r="L174" s="4">
        <v>110.41</v>
      </c>
      <c r="M174" s="1">
        <v>0.28000000000000003</v>
      </c>
      <c r="N174" s="1">
        <v>3</v>
      </c>
      <c r="O174" s="1">
        <v>0.87</v>
      </c>
      <c r="P174" s="1">
        <v>340</v>
      </c>
      <c r="Q174" s="1">
        <v>11</v>
      </c>
      <c r="R174" s="1">
        <v>0.83</v>
      </c>
      <c r="S174" s="2">
        <v>45334</v>
      </c>
      <c r="T174" s="1">
        <v>145.94999999999999</v>
      </c>
      <c r="U174" s="1">
        <v>0.79900000000000004</v>
      </c>
      <c r="V174" s="6">
        <f t="shared" si="6"/>
        <v>47476.299999999996</v>
      </c>
      <c r="W174" s="6" t="str">
        <f t="shared" si="7"/>
        <v>Sufficient</v>
      </c>
      <c r="X174" s="8" t="str">
        <f t="shared" si="8"/>
        <v>High</v>
      </c>
    </row>
    <row r="175" spans="1:24">
      <c r="A175" s="7" t="s">
        <v>288</v>
      </c>
      <c r="B175" s="1" t="s">
        <v>41</v>
      </c>
      <c r="C175" s="1">
        <v>181</v>
      </c>
      <c r="D175" s="1">
        <v>60</v>
      </c>
      <c r="E175" s="1">
        <v>12</v>
      </c>
      <c r="F175" s="1">
        <v>4</v>
      </c>
      <c r="G175" s="1">
        <v>44.15</v>
      </c>
      <c r="H175" s="1" t="s">
        <v>159</v>
      </c>
      <c r="I175" s="1" t="s">
        <v>39</v>
      </c>
      <c r="J175" s="1">
        <v>114</v>
      </c>
      <c r="K175" s="1">
        <v>2.2999999999999998</v>
      </c>
      <c r="L175" s="4">
        <v>70.84</v>
      </c>
      <c r="M175" s="1">
        <v>2</v>
      </c>
      <c r="N175" s="1">
        <v>2</v>
      </c>
      <c r="O175" s="1">
        <v>0.84</v>
      </c>
      <c r="P175" s="1">
        <v>276</v>
      </c>
      <c r="Q175" s="1">
        <v>2.29</v>
      </c>
      <c r="R175" s="1">
        <v>0.63</v>
      </c>
      <c r="S175" s="2">
        <v>45547</v>
      </c>
      <c r="T175" s="1">
        <v>208.22</v>
      </c>
      <c r="U175" s="1">
        <v>0.48499999999999999</v>
      </c>
      <c r="V175" s="6">
        <f t="shared" si="6"/>
        <v>12822.04</v>
      </c>
      <c r="W175" s="6" t="str">
        <f t="shared" si="7"/>
        <v>Sufficient</v>
      </c>
      <c r="X175" s="8" t="str">
        <f t="shared" si="8"/>
        <v>Medium</v>
      </c>
    </row>
    <row r="176" spans="1:24">
      <c r="A176" s="7" t="s">
        <v>289</v>
      </c>
      <c r="B176" s="1" t="s">
        <v>25</v>
      </c>
      <c r="C176" s="1">
        <v>447</v>
      </c>
      <c r="D176" s="1">
        <v>58</v>
      </c>
      <c r="E176" s="1">
        <v>14</v>
      </c>
      <c r="F176" s="1">
        <v>7</v>
      </c>
      <c r="G176" s="1">
        <v>17.04</v>
      </c>
      <c r="H176" s="1" t="s">
        <v>183</v>
      </c>
      <c r="I176" s="1" t="s">
        <v>39</v>
      </c>
      <c r="J176" s="1">
        <v>78</v>
      </c>
      <c r="K176" s="1">
        <v>4.03</v>
      </c>
      <c r="L176" s="4">
        <v>135.01</v>
      </c>
      <c r="M176" s="1">
        <v>1.23</v>
      </c>
      <c r="N176" s="1">
        <v>7</v>
      </c>
      <c r="O176" s="1">
        <v>0.95</v>
      </c>
      <c r="P176" s="1">
        <v>222</v>
      </c>
      <c r="Q176" s="1">
        <v>1.39</v>
      </c>
      <c r="R176" s="1">
        <v>0.27</v>
      </c>
      <c r="S176" s="2">
        <v>45514</v>
      </c>
      <c r="T176" s="1">
        <v>41.61</v>
      </c>
      <c r="U176" s="1">
        <v>0.4</v>
      </c>
      <c r="V176" s="6">
        <f t="shared" si="6"/>
        <v>60349.469999999994</v>
      </c>
      <c r="W176" s="6" t="str">
        <f t="shared" si="7"/>
        <v>Sufficient</v>
      </c>
      <c r="X176" s="8" t="str">
        <f t="shared" si="8"/>
        <v>High</v>
      </c>
    </row>
    <row r="177" spans="1:24">
      <c r="A177" s="7" t="s">
        <v>290</v>
      </c>
      <c r="B177" s="1" t="s">
        <v>25</v>
      </c>
      <c r="C177" s="1">
        <v>471</v>
      </c>
      <c r="D177" s="1">
        <v>18</v>
      </c>
      <c r="E177" s="1">
        <v>8</v>
      </c>
      <c r="F177" s="1">
        <v>6</v>
      </c>
      <c r="G177" s="1">
        <v>15.2</v>
      </c>
      <c r="H177" s="1" t="s">
        <v>103</v>
      </c>
      <c r="I177" s="1" t="s">
        <v>31</v>
      </c>
      <c r="J177" s="1">
        <v>55</v>
      </c>
      <c r="K177" s="1">
        <v>3.42</v>
      </c>
      <c r="L177" s="4">
        <v>180.46</v>
      </c>
      <c r="M177" s="1">
        <v>0.98</v>
      </c>
      <c r="N177" s="1">
        <v>5</v>
      </c>
      <c r="O177" s="1">
        <v>0.71</v>
      </c>
      <c r="P177" s="1">
        <v>696</v>
      </c>
      <c r="Q177" s="1">
        <v>14.57</v>
      </c>
      <c r="R177" s="1">
        <v>0.8</v>
      </c>
      <c r="S177" s="2">
        <v>45622</v>
      </c>
      <c r="T177" s="1">
        <v>84.15</v>
      </c>
      <c r="U177" s="1">
        <v>0.69799999999999995</v>
      </c>
      <c r="V177" s="6">
        <f t="shared" si="6"/>
        <v>84996.66</v>
      </c>
      <c r="W177" s="6" t="str">
        <f t="shared" si="7"/>
        <v>Sufficient</v>
      </c>
      <c r="X177" s="8" t="str">
        <f t="shared" si="8"/>
        <v>High</v>
      </c>
    </row>
    <row r="178" spans="1:24">
      <c r="A178" s="7" t="s">
        <v>291</v>
      </c>
      <c r="B178" s="1" t="s">
        <v>41</v>
      </c>
      <c r="C178" s="1">
        <v>119</v>
      </c>
      <c r="D178" s="1">
        <v>67</v>
      </c>
      <c r="E178" s="1">
        <v>13</v>
      </c>
      <c r="F178" s="1">
        <v>2</v>
      </c>
      <c r="G178" s="1">
        <v>14.21</v>
      </c>
      <c r="H178" s="1" t="s">
        <v>30</v>
      </c>
      <c r="I178" s="1" t="s">
        <v>27</v>
      </c>
      <c r="J178" s="1">
        <v>162</v>
      </c>
      <c r="K178" s="1">
        <v>3.12</v>
      </c>
      <c r="L178" s="4">
        <v>158.65</v>
      </c>
      <c r="M178" s="1">
        <v>0.98</v>
      </c>
      <c r="N178" s="1">
        <v>9</v>
      </c>
      <c r="O178" s="1">
        <v>0.76</v>
      </c>
      <c r="P178" s="1">
        <v>502</v>
      </c>
      <c r="Q178" s="1">
        <v>6.98</v>
      </c>
      <c r="R178" s="1">
        <v>0.99</v>
      </c>
      <c r="S178" s="2">
        <v>45461</v>
      </c>
      <c r="T178" s="1">
        <v>240.54</v>
      </c>
      <c r="U178" s="1">
        <v>0.56499999999999995</v>
      </c>
      <c r="V178" s="6">
        <f t="shared" si="6"/>
        <v>18879.350000000002</v>
      </c>
      <c r="W178" s="6" t="str">
        <f t="shared" si="7"/>
        <v>Sufficient</v>
      </c>
      <c r="X178" s="8" t="str">
        <f t="shared" si="8"/>
        <v>Medium</v>
      </c>
    </row>
    <row r="179" spans="1:24">
      <c r="A179" s="7" t="s">
        <v>292</v>
      </c>
      <c r="B179" s="1" t="s">
        <v>33</v>
      </c>
      <c r="C179" s="1">
        <v>357</v>
      </c>
      <c r="D179" s="1">
        <v>54</v>
      </c>
      <c r="E179" s="1">
        <v>14</v>
      </c>
      <c r="F179" s="1">
        <v>6</v>
      </c>
      <c r="G179" s="1">
        <v>8.1</v>
      </c>
      <c r="H179" s="1" t="s">
        <v>139</v>
      </c>
      <c r="I179" s="1" t="s">
        <v>31</v>
      </c>
      <c r="J179" s="1">
        <v>34</v>
      </c>
      <c r="K179" s="1">
        <v>4.5599999999999996</v>
      </c>
      <c r="L179" s="4">
        <v>97.78</v>
      </c>
      <c r="M179" s="1">
        <v>1.93</v>
      </c>
      <c r="N179" s="1">
        <v>5</v>
      </c>
      <c r="O179" s="1">
        <v>0.96</v>
      </c>
      <c r="P179" s="1">
        <v>337</v>
      </c>
      <c r="Q179" s="1">
        <v>6.53</v>
      </c>
      <c r="R179" s="1">
        <v>0.55000000000000004</v>
      </c>
      <c r="S179" s="2">
        <v>45581</v>
      </c>
      <c r="T179" s="1">
        <v>204.34</v>
      </c>
      <c r="U179" s="1">
        <v>0.496</v>
      </c>
      <c r="V179" s="6">
        <f t="shared" si="6"/>
        <v>34907.46</v>
      </c>
      <c r="W179" s="6" t="str">
        <f t="shared" si="7"/>
        <v>Sufficient</v>
      </c>
      <c r="X179" s="8" t="str">
        <f t="shared" si="8"/>
        <v>High</v>
      </c>
    </row>
    <row r="180" spans="1:24">
      <c r="A180" s="7" t="s">
        <v>293</v>
      </c>
      <c r="B180" s="1" t="s">
        <v>66</v>
      </c>
      <c r="C180" s="1">
        <v>418</v>
      </c>
      <c r="D180" s="1">
        <v>31</v>
      </c>
      <c r="E180" s="1">
        <v>12</v>
      </c>
      <c r="F180" s="1">
        <v>6</v>
      </c>
      <c r="G180" s="1">
        <v>29.49</v>
      </c>
      <c r="H180" s="1" t="s">
        <v>294</v>
      </c>
      <c r="I180" s="1" t="s">
        <v>39</v>
      </c>
      <c r="J180" s="1">
        <v>130</v>
      </c>
      <c r="K180" s="1">
        <v>0.6</v>
      </c>
      <c r="L180" s="4">
        <v>191.24</v>
      </c>
      <c r="M180" s="1">
        <v>1.35</v>
      </c>
      <c r="N180" s="1">
        <v>9</v>
      </c>
      <c r="O180" s="1">
        <v>0.72</v>
      </c>
      <c r="P180" s="1">
        <v>870</v>
      </c>
      <c r="Q180" s="1">
        <v>1.49</v>
      </c>
      <c r="R180" s="1">
        <v>0.28999999999999998</v>
      </c>
      <c r="S180" s="2">
        <v>45340</v>
      </c>
      <c r="T180" s="1">
        <v>87.21</v>
      </c>
      <c r="U180" s="1">
        <v>0.307</v>
      </c>
      <c r="V180" s="6">
        <f t="shared" si="6"/>
        <v>79938.320000000007</v>
      </c>
      <c r="W180" s="6" t="str">
        <f t="shared" si="7"/>
        <v>Sufficient</v>
      </c>
      <c r="X180" s="8" t="str">
        <f t="shared" si="8"/>
        <v>High</v>
      </c>
    </row>
    <row r="181" spans="1:24">
      <c r="A181" s="7" t="s">
        <v>295</v>
      </c>
      <c r="B181" s="1" t="s">
        <v>29</v>
      </c>
      <c r="C181" s="1">
        <v>326</v>
      </c>
      <c r="D181" s="1">
        <v>41</v>
      </c>
      <c r="E181" s="1">
        <v>4</v>
      </c>
      <c r="F181" s="1">
        <v>6</v>
      </c>
      <c r="G181" s="1">
        <v>9.24</v>
      </c>
      <c r="H181" s="1" t="s">
        <v>99</v>
      </c>
      <c r="I181" s="1" t="s">
        <v>27</v>
      </c>
      <c r="J181" s="1">
        <v>44</v>
      </c>
      <c r="K181" s="1">
        <v>1.2</v>
      </c>
      <c r="L181" s="4">
        <v>197.23</v>
      </c>
      <c r="M181" s="1">
        <v>0.42</v>
      </c>
      <c r="N181" s="1">
        <v>9</v>
      </c>
      <c r="O181" s="1">
        <v>0.77</v>
      </c>
      <c r="P181" s="1">
        <v>118</v>
      </c>
      <c r="Q181" s="1">
        <v>2.66</v>
      </c>
      <c r="R181" s="1">
        <v>0.28000000000000003</v>
      </c>
      <c r="S181" s="2">
        <v>45562</v>
      </c>
      <c r="T181" s="1">
        <v>125.46</v>
      </c>
      <c r="U181" s="1">
        <v>0.42299999999999999</v>
      </c>
      <c r="V181" s="6">
        <f t="shared" si="6"/>
        <v>64296.979999999996</v>
      </c>
      <c r="W181" s="6" t="str">
        <f t="shared" si="7"/>
        <v>Sufficient</v>
      </c>
      <c r="X181" s="8" t="str">
        <f t="shared" si="8"/>
        <v>High</v>
      </c>
    </row>
    <row r="182" spans="1:24">
      <c r="A182" s="7" t="s">
        <v>296</v>
      </c>
      <c r="B182" s="1" t="s">
        <v>66</v>
      </c>
      <c r="C182" s="1">
        <v>160</v>
      </c>
      <c r="D182" s="1">
        <v>78</v>
      </c>
      <c r="E182" s="1">
        <v>9</v>
      </c>
      <c r="F182" s="1">
        <v>7</v>
      </c>
      <c r="G182" s="1">
        <v>21.81</v>
      </c>
      <c r="H182" s="1" t="s">
        <v>128</v>
      </c>
      <c r="I182" s="1" t="s">
        <v>45</v>
      </c>
      <c r="J182" s="1">
        <v>24</v>
      </c>
      <c r="K182" s="1">
        <v>3.31</v>
      </c>
      <c r="L182" s="4">
        <v>103.69</v>
      </c>
      <c r="M182" s="1">
        <v>0.95</v>
      </c>
      <c r="N182" s="1">
        <v>8</v>
      </c>
      <c r="O182" s="1">
        <v>0.81</v>
      </c>
      <c r="P182" s="1">
        <v>330</v>
      </c>
      <c r="Q182" s="1">
        <v>14.17</v>
      </c>
      <c r="R182" s="1">
        <v>0.22</v>
      </c>
      <c r="S182" s="2">
        <v>45313</v>
      </c>
      <c r="T182" s="1">
        <v>44.73</v>
      </c>
      <c r="U182" s="1">
        <v>0.54</v>
      </c>
      <c r="V182" s="6">
        <f t="shared" si="6"/>
        <v>16590.400000000001</v>
      </c>
      <c r="W182" s="6" t="str">
        <f t="shared" si="7"/>
        <v>Sufficient</v>
      </c>
      <c r="X182" s="8" t="str">
        <f t="shared" si="8"/>
        <v>Medium</v>
      </c>
    </row>
    <row r="183" spans="1:24">
      <c r="A183" s="7" t="s">
        <v>297</v>
      </c>
      <c r="B183" s="1" t="s">
        <v>66</v>
      </c>
      <c r="C183" s="1">
        <v>102</v>
      </c>
      <c r="D183" s="1">
        <v>96</v>
      </c>
      <c r="E183" s="1">
        <v>9</v>
      </c>
      <c r="F183" s="1">
        <v>2</v>
      </c>
      <c r="G183" s="1">
        <v>23.59</v>
      </c>
      <c r="H183" s="1" t="s">
        <v>95</v>
      </c>
      <c r="I183" s="1" t="s">
        <v>45</v>
      </c>
      <c r="J183" s="1">
        <v>115</v>
      </c>
      <c r="K183" s="1">
        <v>0.8</v>
      </c>
      <c r="L183" s="4">
        <v>174.28</v>
      </c>
      <c r="M183" s="1">
        <v>1.57</v>
      </c>
      <c r="N183" s="1">
        <v>2</v>
      </c>
      <c r="O183" s="1">
        <v>0.93</v>
      </c>
      <c r="P183" s="1">
        <v>912</v>
      </c>
      <c r="Q183" s="1">
        <v>10.73</v>
      </c>
      <c r="R183" s="1">
        <v>0.82</v>
      </c>
      <c r="S183" s="2">
        <v>45409</v>
      </c>
      <c r="T183" s="1">
        <v>83.41</v>
      </c>
      <c r="U183" s="1">
        <v>0.69599999999999995</v>
      </c>
      <c r="V183" s="6">
        <f t="shared" si="6"/>
        <v>17776.560000000001</v>
      </c>
      <c r="W183" s="6" t="str">
        <f t="shared" si="7"/>
        <v>Sufficient</v>
      </c>
      <c r="X183" s="8" t="str">
        <f t="shared" si="8"/>
        <v>Medium</v>
      </c>
    </row>
    <row r="184" spans="1:24">
      <c r="A184" s="7" t="s">
        <v>298</v>
      </c>
      <c r="B184" s="1" t="s">
        <v>33</v>
      </c>
      <c r="C184" s="1">
        <v>196</v>
      </c>
      <c r="D184" s="1">
        <v>78</v>
      </c>
      <c r="E184" s="1">
        <v>13</v>
      </c>
      <c r="F184" s="1">
        <v>2</v>
      </c>
      <c r="G184" s="1">
        <v>2</v>
      </c>
      <c r="H184" s="1" t="s">
        <v>282</v>
      </c>
      <c r="I184" s="1" t="s">
        <v>39</v>
      </c>
      <c r="J184" s="1">
        <v>137</v>
      </c>
      <c r="K184" s="1">
        <v>3.4</v>
      </c>
      <c r="L184" s="4">
        <v>10.91</v>
      </c>
      <c r="M184" s="1">
        <v>0.9</v>
      </c>
      <c r="N184" s="1">
        <v>3</v>
      </c>
      <c r="O184" s="1">
        <v>0.87</v>
      </c>
      <c r="P184" s="1">
        <v>391</v>
      </c>
      <c r="Q184" s="1">
        <v>6.73</v>
      </c>
      <c r="R184" s="1">
        <v>0.76</v>
      </c>
      <c r="S184" s="2">
        <v>45400</v>
      </c>
      <c r="T184" s="1">
        <v>253.93</v>
      </c>
      <c r="U184" s="1">
        <v>0.66600000000000004</v>
      </c>
      <c r="V184" s="6">
        <f t="shared" si="6"/>
        <v>2138.36</v>
      </c>
      <c r="W184" s="6" t="str">
        <f t="shared" si="7"/>
        <v>Sufficient</v>
      </c>
      <c r="X184" s="8" t="str">
        <f t="shared" si="8"/>
        <v>Medium</v>
      </c>
    </row>
    <row r="185" spans="1:24">
      <c r="A185" s="7" t="s">
        <v>299</v>
      </c>
      <c r="B185" s="1" t="s">
        <v>66</v>
      </c>
      <c r="C185" s="1">
        <v>217</v>
      </c>
      <c r="D185" s="1">
        <v>51</v>
      </c>
      <c r="E185" s="1">
        <v>6</v>
      </c>
      <c r="F185" s="1">
        <v>8</v>
      </c>
      <c r="G185" s="1">
        <v>1.82</v>
      </c>
      <c r="H185" s="1" t="s">
        <v>282</v>
      </c>
      <c r="I185" s="1" t="s">
        <v>27</v>
      </c>
      <c r="J185" s="1">
        <v>83</v>
      </c>
      <c r="K185" s="1">
        <v>4.93</v>
      </c>
      <c r="L185" s="4">
        <v>22.66</v>
      </c>
      <c r="M185" s="1">
        <v>0.69</v>
      </c>
      <c r="N185" s="1">
        <v>2</v>
      </c>
      <c r="O185" s="1">
        <v>0.99</v>
      </c>
      <c r="P185" s="1">
        <v>919</v>
      </c>
      <c r="Q185" s="1">
        <v>13.66</v>
      </c>
      <c r="R185" s="1">
        <v>0.67</v>
      </c>
      <c r="S185" s="2">
        <v>45646</v>
      </c>
      <c r="T185" s="1">
        <v>137.72</v>
      </c>
      <c r="U185" s="1">
        <v>0.80500000000000005</v>
      </c>
      <c r="V185" s="6">
        <f t="shared" si="6"/>
        <v>4917.22</v>
      </c>
      <c r="W185" s="6" t="str">
        <f t="shared" si="7"/>
        <v>Sufficient</v>
      </c>
      <c r="X185" s="8" t="str">
        <f t="shared" si="8"/>
        <v>Medium</v>
      </c>
    </row>
    <row r="186" spans="1:24">
      <c r="A186" s="7" t="s">
        <v>300</v>
      </c>
      <c r="B186" s="1" t="s">
        <v>41</v>
      </c>
      <c r="C186" s="1">
        <v>131</v>
      </c>
      <c r="D186" s="1">
        <v>62</v>
      </c>
      <c r="E186" s="1">
        <v>6</v>
      </c>
      <c r="F186" s="1">
        <v>6</v>
      </c>
      <c r="G186" s="1">
        <v>26.49</v>
      </c>
      <c r="H186" s="1" t="s">
        <v>122</v>
      </c>
      <c r="I186" s="1" t="s">
        <v>39</v>
      </c>
      <c r="J186" s="1">
        <v>97</v>
      </c>
      <c r="K186" s="1">
        <v>4.45</v>
      </c>
      <c r="L186" s="4">
        <v>14.25</v>
      </c>
      <c r="M186" s="1">
        <v>1.98</v>
      </c>
      <c r="N186" s="1">
        <v>2</v>
      </c>
      <c r="O186" s="1">
        <v>0.77</v>
      </c>
      <c r="P186" s="1">
        <v>382</v>
      </c>
      <c r="Q186" s="1">
        <v>9.26</v>
      </c>
      <c r="R186" s="1">
        <v>0.81</v>
      </c>
      <c r="S186" s="2">
        <v>45582</v>
      </c>
      <c r="T186" s="1">
        <v>195.68</v>
      </c>
      <c r="U186" s="1">
        <v>0.60099999999999998</v>
      </c>
      <c r="V186" s="6">
        <f t="shared" si="6"/>
        <v>1866.75</v>
      </c>
      <c r="W186" s="6" t="str">
        <f t="shared" si="7"/>
        <v>Sufficient</v>
      </c>
      <c r="X186" s="8" t="str">
        <f t="shared" si="8"/>
        <v>Medium</v>
      </c>
    </row>
    <row r="187" spans="1:24">
      <c r="A187" s="7" t="s">
        <v>301</v>
      </c>
      <c r="B187" s="1" t="s">
        <v>41</v>
      </c>
      <c r="C187" s="1">
        <v>75</v>
      </c>
      <c r="D187" s="1">
        <v>68</v>
      </c>
      <c r="E187" s="1">
        <v>3</v>
      </c>
      <c r="F187" s="1">
        <v>8</v>
      </c>
      <c r="G187" s="1">
        <v>35.11</v>
      </c>
      <c r="H187" s="1" t="s">
        <v>72</v>
      </c>
      <c r="I187" s="1" t="s">
        <v>31</v>
      </c>
      <c r="J187" s="1">
        <v>172</v>
      </c>
      <c r="K187" s="1">
        <v>3.16</v>
      </c>
      <c r="L187" s="4">
        <v>156.9</v>
      </c>
      <c r="M187" s="1">
        <v>1.88</v>
      </c>
      <c r="N187" s="1">
        <v>0</v>
      </c>
      <c r="O187" s="1">
        <v>0.96</v>
      </c>
      <c r="P187" s="1">
        <v>792</v>
      </c>
      <c r="Q187" s="1">
        <v>11.45</v>
      </c>
      <c r="R187" s="1">
        <v>1</v>
      </c>
      <c r="S187" s="2">
        <v>45535</v>
      </c>
      <c r="T187" s="1">
        <v>56.33</v>
      </c>
      <c r="U187" s="1">
        <v>0.75700000000000001</v>
      </c>
      <c r="V187" s="6">
        <f t="shared" si="6"/>
        <v>11767.5</v>
      </c>
      <c r="W187" s="6" t="str">
        <f t="shared" si="7"/>
        <v>Sufficient</v>
      </c>
      <c r="X187" s="8" t="str">
        <f t="shared" si="8"/>
        <v>LOW</v>
      </c>
    </row>
    <row r="188" spans="1:24">
      <c r="A188" s="7" t="s">
        <v>302</v>
      </c>
      <c r="B188" s="1" t="s">
        <v>25</v>
      </c>
      <c r="C188" s="1">
        <v>479</v>
      </c>
      <c r="D188" s="1">
        <v>83</v>
      </c>
      <c r="E188" s="1">
        <v>4</v>
      </c>
      <c r="F188" s="1">
        <v>8</v>
      </c>
      <c r="G188" s="1">
        <v>47.16</v>
      </c>
      <c r="H188" s="1" t="s">
        <v>97</v>
      </c>
      <c r="I188" s="1" t="s">
        <v>31</v>
      </c>
      <c r="J188" s="1">
        <v>38</v>
      </c>
      <c r="K188" s="1">
        <v>4.5199999999999996</v>
      </c>
      <c r="L188" s="4">
        <v>25.16</v>
      </c>
      <c r="M188" s="1">
        <v>1.89</v>
      </c>
      <c r="N188" s="1">
        <v>9</v>
      </c>
      <c r="O188" s="1">
        <v>0.78</v>
      </c>
      <c r="P188" s="1">
        <v>435</v>
      </c>
      <c r="Q188" s="1">
        <v>7.04</v>
      </c>
      <c r="R188" s="1">
        <v>0.52</v>
      </c>
      <c r="S188" s="2">
        <v>45430</v>
      </c>
      <c r="T188" s="1">
        <v>63.16</v>
      </c>
      <c r="U188" s="1">
        <v>0.38500000000000001</v>
      </c>
      <c r="V188" s="6">
        <f t="shared" si="6"/>
        <v>12051.64</v>
      </c>
      <c r="W188" s="6" t="str">
        <f t="shared" si="7"/>
        <v>Sufficient</v>
      </c>
      <c r="X188" s="8" t="str">
        <f t="shared" si="8"/>
        <v>High</v>
      </c>
    </row>
    <row r="189" spans="1:24">
      <c r="A189" s="7" t="s">
        <v>303</v>
      </c>
      <c r="B189" s="1" t="s">
        <v>29</v>
      </c>
      <c r="C189" s="1">
        <v>198</v>
      </c>
      <c r="D189" s="1">
        <v>48</v>
      </c>
      <c r="E189" s="1">
        <v>11</v>
      </c>
      <c r="F189" s="1">
        <v>4</v>
      </c>
      <c r="G189" s="1">
        <v>9.7799999999999994</v>
      </c>
      <c r="H189" s="1" t="s">
        <v>304</v>
      </c>
      <c r="I189" s="1" t="s">
        <v>27</v>
      </c>
      <c r="J189" s="1">
        <v>47</v>
      </c>
      <c r="K189" s="1">
        <v>1.02</v>
      </c>
      <c r="L189" s="4">
        <v>13.24</v>
      </c>
      <c r="M189" s="1">
        <v>0.35</v>
      </c>
      <c r="N189" s="1">
        <v>5</v>
      </c>
      <c r="O189" s="1">
        <v>0.77</v>
      </c>
      <c r="P189" s="1">
        <v>391</v>
      </c>
      <c r="Q189" s="1">
        <v>7.04</v>
      </c>
      <c r="R189" s="1">
        <v>0.76</v>
      </c>
      <c r="S189" s="2">
        <v>45315</v>
      </c>
      <c r="T189" s="1">
        <v>282.87</v>
      </c>
      <c r="U189" s="1">
        <v>0.66500000000000004</v>
      </c>
      <c r="V189" s="6">
        <f t="shared" si="6"/>
        <v>2621.52</v>
      </c>
      <c r="W189" s="6" t="str">
        <f t="shared" si="7"/>
        <v>Sufficient</v>
      </c>
      <c r="X189" s="8" t="str">
        <f t="shared" si="8"/>
        <v>Medium</v>
      </c>
    </row>
    <row r="190" spans="1:24">
      <c r="A190" s="7" t="s">
        <v>305</v>
      </c>
      <c r="B190" s="1" t="s">
        <v>66</v>
      </c>
      <c r="C190" s="1">
        <v>440</v>
      </c>
      <c r="D190" s="1">
        <v>24</v>
      </c>
      <c r="E190" s="1">
        <v>12</v>
      </c>
      <c r="F190" s="1">
        <v>7</v>
      </c>
      <c r="G190" s="1">
        <v>6.06</v>
      </c>
      <c r="H190" s="1" t="s">
        <v>72</v>
      </c>
      <c r="I190" s="1" t="s">
        <v>39</v>
      </c>
      <c r="J190" s="1">
        <v>33</v>
      </c>
      <c r="K190" s="1">
        <v>2.5499999999999998</v>
      </c>
      <c r="L190" s="4">
        <v>38.01</v>
      </c>
      <c r="M190" s="1">
        <v>0.55000000000000004</v>
      </c>
      <c r="N190" s="1">
        <v>8</v>
      </c>
      <c r="O190" s="1">
        <v>0.85</v>
      </c>
      <c r="P190" s="1">
        <v>366</v>
      </c>
      <c r="Q190" s="1">
        <v>1.96</v>
      </c>
      <c r="R190" s="1">
        <v>0.5</v>
      </c>
      <c r="S190" s="2">
        <v>45330</v>
      </c>
      <c r="T190" s="1">
        <v>254.02</v>
      </c>
      <c r="U190" s="1">
        <v>0.48099999999999998</v>
      </c>
      <c r="V190" s="6">
        <f t="shared" si="6"/>
        <v>16724.399999999998</v>
      </c>
      <c r="W190" s="6" t="str">
        <f t="shared" si="7"/>
        <v>Sufficient</v>
      </c>
      <c r="X190" s="8" t="str">
        <f t="shared" si="8"/>
        <v>High</v>
      </c>
    </row>
    <row r="191" spans="1:24">
      <c r="A191" s="7" t="s">
        <v>306</v>
      </c>
      <c r="B191" s="1" t="s">
        <v>66</v>
      </c>
      <c r="C191" s="1">
        <v>420</v>
      </c>
      <c r="D191" s="1">
        <v>80</v>
      </c>
      <c r="E191" s="1">
        <v>10</v>
      </c>
      <c r="F191" s="1">
        <v>7</v>
      </c>
      <c r="G191" s="1">
        <v>3.55</v>
      </c>
      <c r="H191" s="1" t="s">
        <v>50</v>
      </c>
      <c r="I191" s="1" t="s">
        <v>39</v>
      </c>
      <c r="J191" s="1">
        <v>28</v>
      </c>
      <c r="K191" s="1">
        <v>2.4300000000000002</v>
      </c>
      <c r="L191" s="4">
        <v>68.2</v>
      </c>
      <c r="M191" s="1">
        <v>0.94</v>
      </c>
      <c r="N191" s="1">
        <v>4</v>
      </c>
      <c r="O191" s="1">
        <v>0.72</v>
      </c>
      <c r="P191" s="1">
        <v>954</v>
      </c>
      <c r="Q191" s="1">
        <v>11.28</v>
      </c>
      <c r="R191" s="1">
        <v>0.48</v>
      </c>
      <c r="S191" s="2">
        <v>45642</v>
      </c>
      <c r="T191" s="1">
        <v>239.2</v>
      </c>
      <c r="U191" s="1">
        <v>0.61599999999999999</v>
      </c>
      <c r="V191" s="6">
        <f t="shared" si="6"/>
        <v>28644</v>
      </c>
      <c r="W191" s="6" t="str">
        <f t="shared" si="7"/>
        <v>Sufficient</v>
      </c>
      <c r="X191" s="8" t="str">
        <f t="shared" si="8"/>
        <v>High</v>
      </c>
    </row>
    <row r="192" spans="1:24">
      <c r="A192" s="7" t="s">
        <v>307</v>
      </c>
      <c r="B192" s="1" t="s">
        <v>33</v>
      </c>
      <c r="C192" s="1">
        <v>205</v>
      </c>
      <c r="D192" s="1">
        <v>38</v>
      </c>
      <c r="E192" s="1">
        <v>10</v>
      </c>
      <c r="F192" s="1">
        <v>5</v>
      </c>
      <c r="G192" s="1">
        <v>22.37</v>
      </c>
      <c r="H192" s="1" t="s">
        <v>141</v>
      </c>
      <c r="I192" s="1" t="s">
        <v>45</v>
      </c>
      <c r="J192" s="1">
        <v>58</v>
      </c>
      <c r="K192" s="1">
        <v>2.0099999999999998</v>
      </c>
      <c r="L192" s="4">
        <v>98.29</v>
      </c>
      <c r="M192" s="1">
        <v>1.68</v>
      </c>
      <c r="N192" s="1">
        <v>9</v>
      </c>
      <c r="O192" s="1">
        <v>0.82</v>
      </c>
      <c r="P192" s="1">
        <v>356</v>
      </c>
      <c r="Q192" s="1">
        <v>2.39</v>
      </c>
      <c r="R192" s="1">
        <v>0.88</v>
      </c>
      <c r="S192" s="2">
        <v>45435</v>
      </c>
      <c r="T192" s="1">
        <v>105.58</v>
      </c>
      <c r="U192" s="1">
        <v>0.42399999999999999</v>
      </c>
      <c r="V192" s="6">
        <f t="shared" si="6"/>
        <v>20149.45</v>
      </c>
      <c r="W192" s="6" t="str">
        <f t="shared" si="7"/>
        <v>Sufficient</v>
      </c>
      <c r="X192" s="8" t="str">
        <f t="shared" si="8"/>
        <v>Medium</v>
      </c>
    </row>
    <row r="193" spans="1:24">
      <c r="A193" s="7" t="s">
        <v>308</v>
      </c>
      <c r="B193" s="1" t="s">
        <v>41</v>
      </c>
      <c r="C193" s="1">
        <v>490</v>
      </c>
      <c r="D193" s="1">
        <v>12</v>
      </c>
      <c r="E193" s="1">
        <v>11</v>
      </c>
      <c r="F193" s="1">
        <v>9</v>
      </c>
      <c r="G193" s="1">
        <v>31.53</v>
      </c>
      <c r="H193" s="1" t="s">
        <v>309</v>
      </c>
      <c r="I193" s="1" t="s">
        <v>27</v>
      </c>
      <c r="J193" s="1">
        <v>53</v>
      </c>
      <c r="K193" s="1">
        <v>0.5</v>
      </c>
      <c r="L193" s="4">
        <v>22.43</v>
      </c>
      <c r="M193" s="1">
        <v>1.5</v>
      </c>
      <c r="N193" s="1">
        <v>1</v>
      </c>
      <c r="O193" s="1">
        <v>0.81</v>
      </c>
      <c r="P193" s="1">
        <v>819</v>
      </c>
      <c r="Q193" s="1">
        <v>11.7</v>
      </c>
      <c r="R193" s="1">
        <v>0.66</v>
      </c>
      <c r="S193" s="2">
        <v>45570</v>
      </c>
      <c r="T193" s="1">
        <v>173.2</v>
      </c>
      <c r="U193" s="1">
        <v>0.68</v>
      </c>
      <c r="V193" s="6">
        <f t="shared" si="6"/>
        <v>10990.7</v>
      </c>
      <c r="W193" s="6" t="str">
        <f t="shared" si="7"/>
        <v>Sufficient</v>
      </c>
      <c r="X193" s="8" t="str">
        <f t="shared" si="8"/>
        <v>High</v>
      </c>
    </row>
    <row r="194" spans="1:24">
      <c r="A194" s="7" t="s">
        <v>310</v>
      </c>
      <c r="B194" s="1" t="s">
        <v>29</v>
      </c>
      <c r="C194" s="1">
        <v>237</v>
      </c>
      <c r="D194" s="1">
        <v>92</v>
      </c>
      <c r="E194" s="1">
        <v>9</v>
      </c>
      <c r="F194" s="1">
        <v>8</v>
      </c>
      <c r="G194" s="1">
        <v>42.19</v>
      </c>
      <c r="H194" s="1" t="s">
        <v>26</v>
      </c>
      <c r="I194" s="1" t="s">
        <v>39</v>
      </c>
      <c r="J194" s="1">
        <v>163</v>
      </c>
      <c r="K194" s="1">
        <v>4.51</v>
      </c>
      <c r="L194" s="4">
        <v>104.81</v>
      </c>
      <c r="M194" s="1">
        <v>1.71</v>
      </c>
      <c r="N194" s="1">
        <v>9</v>
      </c>
      <c r="O194" s="1">
        <v>0.75</v>
      </c>
      <c r="P194" s="1">
        <v>222</v>
      </c>
      <c r="Q194" s="1">
        <v>3.67</v>
      </c>
      <c r="R194" s="1">
        <v>0.3</v>
      </c>
      <c r="S194" s="2">
        <v>45580</v>
      </c>
      <c r="T194" s="1">
        <v>152.78</v>
      </c>
      <c r="U194" s="1">
        <v>0.308</v>
      </c>
      <c r="V194" s="6">
        <f t="shared" si="6"/>
        <v>24839.97</v>
      </c>
      <c r="W194" s="6" t="str">
        <f t="shared" si="7"/>
        <v>Sufficient</v>
      </c>
      <c r="X194" s="8" t="str">
        <f t="shared" si="8"/>
        <v>Medium</v>
      </c>
    </row>
    <row r="195" spans="1:24">
      <c r="A195" s="7" t="s">
        <v>311</v>
      </c>
      <c r="B195" s="1" t="s">
        <v>25</v>
      </c>
      <c r="C195" s="1">
        <v>432</v>
      </c>
      <c r="D195" s="1">
        <v>19</v>
      </c>
      <c r="E195" s="1">
        <v>11</v>
      </c>
      <c r="F195" s="1">
        <v>7</v>
      </c>
      <c r="G195" s="1">
        <v>34.450000000000003</v>
      </c>
      <c r="H195" s="1" t="s">
        <v>72</v>
      </c>
      <c r="I195" s="1" t="s">
        <v>31</v>
      </c>
      <c r="J195" s="1">
        <v>162</v>
      </c>
      <c r="K195" s="1">
        <v>4</v>
      </c>
      <c r="L195" s="4">
        <v>57.13</v>
      </c>
      <c r="M195" s="1">
        <v>1.85</v>
      </c>
      <c r="N195" s="1">
        <v>3</v>
      </c>
      <c r="O195" s="1">
        <v>0.96</v>
      </c>
      <c r="P195" s="1">
        <v>593</v>
      </c>
      <c r="Q195" s="1">
        <v>4.46</v>
      </c>
      <c r="R195" s="1">
        <v>0.52</v>
      </c>
      <c r="S195" s="2">
        <v>45628</v>
      </c>
      <c r="T195" s="1">
        <v>287.31</v>
      </c>
      <c r="U195" s="1">
        <v>0.51</v>
      </c>
      <c r="V195" s="6">
        <f t="shared" si="6"/>
        <v>24680.16</v>
      </c>
      <c r="W195" s="6" t="str">
        <f t="shared" si="7"/>
        <v>Sufficient</v>
      </c>
      <c r="X195" s="8" t="str">
        <f t="shared" si="8"/>
        <v>High</v>
      </c>
    </row>
    <row r="196" spans="1:24">
      <c r="A196" s="7" t="s">
        <v>312</v>
      </c>
      <c r="B196" s="1" t="s">
        <v>41</v>
      </c>
      <c r="C196" s="1">
        <v>436</v>
      </c>
      <c r="D196" s="1">
        <v>38</v>
      </c>
      <c r="E196" s="1">
        <v>12</v>
      </c>
      <c r="F196" s="1">
        <v>6</v>
      </c>
      <c r="G196" s="1">
        <v>11.21</v>
      </c>
      <c r="H196" s="1" t="s">
        <v>74</v>
      </c>
      <c r="I196" s="1" t="s">
        <v>39</v>
      </c>
      <c r="J196" s="1">
        <v>44</v>
      </c>
      <c r="K196" s="1">
        <v>3.44</v>
      </c>
      <c r="L196" s="4">
        <v>62.13</v>
      </c>
      <c r="M196" s="1">
        <v>1.58</v>
      </c>
      <c r="N196" s="1">
        <v>5</v>
      </c>
      <c r="O196" s="1">
        <v>0.82</v>
      </c>
      <c r="P196" s="1">
        <v>249</v>
      </c>
      <c r="Q196" s="1">
        <v>13.85</v>
      </c>
      <c r="R196" s="1">
        <v>0.84</v>
      </c>
      <c r="S196" s="2">
        <v>45308</v>
      </c>
      <c r="T196" s="1">
        <v>79.489999999999995</v>
      </c>
      <c r="U196" s="1">
        <v>0.65900000000000003</v>
      </c>
      <c r="V196" s="6">
        <f t="shared" ref="V196:V259" si="9">C196*L196</f>
        <v>27088.68</v>
      </c>
      <c r="W196" s="6" t="str">
        <f t="shared" ref="W196:W259" si="10">IF(C196&lt;=D196,"Reorder Required","Sufficient")</f>
        <v>Sufficient</v>
      </c>
      <c r="X196" s="8" t="str">
        <f t="shared" ref="X196:X259" si="11">IF(C196&lt;100,"LOW",IF(C196&lt;250,"Medium","High"))</f>
        <v>High</v>
      </c>
    </row>
    <row r="197" spans="1:24">
      <c r="A197" s="7" t="s">
        <v>313</v>
      </c>
      <c r="B197" s="1" t="s">
        <v>25</v>
      </c>
      <c r="C197" s="1">
        <v>335</v>
      </c>
      <c r="D197" s="1">
        <v>88</v>
      </c>
      <c r="E197" s="1">
        <v>14</v>
      </c>
      <c r="F197" s="1">
        <v>9</v>
      </c>
      <c r="G197" s="1">
        <v>23.63</v>
      </c>
      <c r="H197" s="1" t="s">
        <v>79</v>
      </c>
      <c r="I197" s="1" t="s">
        <v>39</v>
      </c>
      <c r="J197" s="1">
        <v>173</v>
      </c>
      <c r="K197" s="1">
        <v>1.08</v>
      </c>
      <c r="L197" s="4">
        <v>166.16</v>
      </c>
      <c r="M197" s="1">
        <v>0.6</v>
      </c>
      <c r="N197" s="1">
        <v>6</v>
      </c>
      <c r="O197" s="1">
        <v>0.99</v>
      </c>
      <c r="P197" s="1">
        <v>641</v>
      </c>
      <c r="Q197" s="1">
        <v>7.6</v>
      </c>
      <c r="R197" s="1">
        <v>0.95</v>
      </c>
      <c r="S197" s="2">
        <v>45383</v>
      </c>
      <c r="T197" s="1">
        <v>284.7</v>
      </c>
      <c r="U197" s="1">
        <v>0.70899999999999996</v>
      </c>
      <c r="V197" s="6">
        <f t="shared" si="9"/>
        <v>55663.6</v>
      </c>
      <c r="W197" s="6" t="str">
        <f t="shared" si="10"/>
        <v>Sufficient</v>
      </c>
      <c r="X197" s="8" t="str">
        <f t="shared" si="11"/>
        <v>High</v>
      </c>
    </row>
    <row r="198" spans="1:24">
      <c r="A198" s="7" t="s">
        <v>314</v>
      </c>
      <c r="B198" s="1" t="s">
        <v>33</v>
      </c>
      <c r="C198" s="1">
        <v>494</v>
      </c>
      <c r="D198" s="1">
        <v>44</v>
      </c>
      <c r="E198" s="1">
        <v>4</v>
      </c>
      <c r="F198" s="1">
        <v>3</v>
      </c>
      <c r="G198" s="1">
        <v>45.61</v>
      </c>
      <c r="H198" s="1" t="s">
        <v>106</v>
      </c>
      <c r="I198" s="1" t="s">
        <v>31</v>
      </c>
      <c r="J198" s="1">
        <v>151</v>
      </c>
      <c r="K198" s="1">
        <v>2.2000000000000002</v>
      </c>
      <c r="L198" s="4">
        <v>197.52</v>
      </c>
      <c r="M198" s="1">
        <v>0.64</v>
      </c>
      <c r="N198" s="1">
        <v>6</v>
      </c>
      <c r="O198" s="1">
        <v>0.97</v>
      </c>
      <c r="P198" s="1">
        <v>914</v>
      </c>
      <c r="Q198" s="1">
        <v>2.75</v>
      </c>
      <c r="R198" s="1">
        <v>0.69</v>
      </c>
      <c r="S198" s="2">
        <v>45453</v>
      </c>
      <c r="T198" s="1">
        <v>214.99</v>
      </c>
      <c r="U198" s="1">
        <v>0.58499999999999996</v>
      </c>
      <c r="V198" s="6">
        <f t="shared" si="9"/>
        <v>97574.88</v>
      </c>
      <c r="W198" s="6" t="str">
        <f t="shared" si="10"/>
        <v>Sufficient</v>
      </c>
      <c r="X198" s="8" t="str">
        <f t="shared" si="11"/>
        <v>High</v>
      </c>
    </row>
    <row r="199" spans="1:24">
      <c r="A199" s="7" t="s">
        <v>315</v>
      </c>
      <c r="B199" s="1" t="s">
        <v>33</v>
      </c>
      <c r="C199" s="1">
        <v>236</v>
      </c>
      <c r="D199" s="1">
        <v>15</v>
      </c>
      <c r="E199" s="1">
        <v>8</v>
      </c>
      <c r="F199" s="1">
        <v>6</v>
      </c>
      <c r="G199" s="1">
        <v>17.010000000000002</v>
      </c>
      <c r="H199" s="1" t="s">
        <v>171</v>
      </c>
      <c r="I199" s="1" t="s">
        <v>31</v>
      </c>
      <c r="J199" s="1">
        <v>65</v>
      </c>
      <c r="K199" s="1">
        <v>4.66</v>
      </c>
      <c r="L199" s="4">
        <v>98.13</v>
      </c>
      <c r="M199" s="1">
        <v>0.77</v>
      </c>
      <c r="N199" s="1">
        <v>3</v>
      </c>
      <c r="O199" s="1">
        <v>0.76</v>
      </c>
      <c r="P199" s="1">
        <v>124</v>
      </c>
      <c r="Q199" s="1">
        <v>13.67</v>
      </c>
      <c r="R199" s="1">
        <v>0.52</v>
      </c>
      <c r="S199" s="2">
        <v>45300</v>
      </c>
      <c r="T199" s="1">
        <v>129.97</v>
      </c>
      <c r="U199" s="1">
        <v>0.70099999999999996</v>
      </c>
      <c r="V199" s="6">
        <f t="shared" si="9"/>
        <v>23158.68</v>
      </c>
      <c r="W199" s="6" t="str">
        <f t="shared" si="10"/>
        <v>Sufficient</v>
      </c>
      <c r="X199" s="8" t="str">
        <f t="shared" si="11"/>
        <v>Medium</v>
      </c>
    </row>
    <row r="200" spans="1:24">
      <c r="A200" s="7" t="s">
        <v>316</v>
      </c>
      <c r="B200" s="1" t="s">
        <v>66</v>
      </c>
      <c r="C200" s="1">
        <v>139</v>
      </c>
      <c r="D200" s="1">
        <v>21</v>
      </c>
      <c r="E200" s="1">
        <v>5</v>
      </c>
      <c r="F200" s="1">
        <v>2</v>
      </c>
      <c r="G200" s="1">
        <v>25.44</v>
      </c>
      <c r="H200" s="1" t="s">
        <v>97</v>
      </c>
      <c r="I200" s="1" t="s">
        <v>39</v>
      </c>
      <c r="J200" s="1">
        <v>143</v>
      </c>
      <c r="K200" s="1">
        <v>3.28</v>
      </c>
      <c r="L200" s="4">
        <v>71.14</v>
      </c>
      <c r="M200" s="1">
        <v>0.68</v>
      </c>
      <c r="N200" s="1">
        <v>9</v>
      </c>
      <c r="O200" s="1">
        <v>0.85</v>
      </c>
      <c r="P200" s="1">
        <v>977</v>
      </c>
      <c r="Q200" s="1">
        <v>7.33</v>
      </c>
      <c r="R200" s="1">
        <v>0.4</v>
      </c>
      <c r="S200" s="2">
        <v>45398</v>
      </c>
      <c r="T200" s="1">
        <v>87.24</v>
      </c>
      <c r="U200" s="1">
        <v>0.5</v>
      </c>
      <c r="V200" s="6">
        <f t="shared" si="9"/>
        <v>9888.4600000000009</v>
      </c>
      <c r="W200" s="6" t="str">
        <f t="shared" si="10"/>
        <v>Sufficient</v>
      </c>
      <c r="X200" s="8" t="str">
        <f t="shared" si="11"/>
        <v>Medium</v>
      </c>
    </row>
    <row r="201" spans="1:24">
      <c r="A201" s="7" t="s">
        <v>317</v>
      </c>
      <c r="B201" s="1" t="s">
        <v>29</v>
      </c>
      <c r="C201" s="1">
        <v>458</v>
      </c>
      <c r="D201" s="1">
        <v>47</v>
      </c>
      <c r="E201" s="1">
        <v>13</v>
      </c>
      <c r="F201" s="1">
        <v>7</v>
      </c>
      <c r="G201" s="1">
        <v>47.97</v>
      </c>
      <c r="H201" s="1" t="s">
        <v>99</v>
      </c>
      <c r="I201" s="1" t="s">
        <v>31</v>
      </c>
      <c r="J201" s="1">
        <v>41</v>
      </c>
      <c r="K201" s="1">
        <v>3.22</v>
      </c>
      <c r="L201" s="4">
        <v>186.98</v>
      </c>
      <c r="M201" s="1">
        <v>0.56999999999999995</v>
      </c>
      <c r="N201" s="1">
        <v>9</v>
      </c>
      <c r="O201" s="1">
        <v>0.88</v>
      </c>
      <c r="P201" s="1">
        <v>825</v>
      </c>
      <c r="Q201" s="1">
        <v>2.83</v>
      </c>
      <c r="R201" s="1">
        <v>0.54</v>
      </c>
      <c r="S201" s="2">
        <v>45592</v>
      </c>
      <c r="T201" s="1">
        <v>229.63</v>
      </c>
      <c r="U201" s="1">
        <v>0.48499999999999999</v>
      </c>
      <c r="V201" s="6">
        <f t="shared" si="9"/>
        <v>85636.84</v>
      </c>
      <c r="W201" s="6" t="str">
        <f t="shared" si="10"/>
        <v>Sufficient</v>
      </c>
      <c r="X201" s="8" t="str">
        <f t="shared" si="11"/>
        <v>High</v>
      </c>
    </row>
    <row r="202" spans="1:24">
      <c r="A202" s="7" t="s">
        <v>318</v>
      </c>
      <c r="B202" s="1" t="s">
        <v>25</v>
      </c>
      <c r="C202" s="1">
        <v>413</v>
      </c>
      <c r="D202" s="1">
        <v>86</v>
      </c>
      <c r="E202" s="1">
        <v>8</v>
      </c>
      <c r="F202" s="1">
        <v>9</v>
      </c>
      <c r="G202" s="1">
        <v>37</v>
      </c>
      <c r="H202" s="1" t="s">
        <v>55</v>
      </c>
      <c r="I202" s="1" t="s">
        <v>45</v>
      </c>
      <c r="J202" s="1">
        <v>35</v>
      </c>
      <c r="K202" s="1">
        <v>4.6100000000000003</v>
      </c>
      <c r="L202" s="4">
        <v>105.09</v>
      </c>
      <c r="M202" s="1">
        <v>1.53</v>
      </c>
      <c r="N202" s="1">
        <v>4</v>
      </c>
      <c r="O202" s="1">
        <v>0.95</v>
      </c>
      <c r="P202" s="1">
        <v>646</v>
      </c>
      <c r="Q202" s="1">
        <v>6.47</v>
      </c>
      <c r="R202" s="1">
        <v>0.65</v>
      </c>
      <c r="S202" s="2">
        <v>45365</v>
      </c>
      <c r="T202" s="1">
        <v>248.65</v>
      </c>
      <c r="U202" s="1">
        <v>0.57299999999999995</v>
      </c>
      <c r="V202" s="6">
        <f t="shared" si="9"/>
        <v>43402.17</v>
      </c>
      <c r="W202" s="6" t="str">
        <f t="shared" si="10"/>
        <v>Sufficient</v>
      </c>
      <c r="X202" s="8" t="str">
        <f t="shared" si="11"/>
        <v>High</v>
      </c>
    </row>
    <row r="203" spans="1:24">
      <c r="A203" s="7" t="s">
        <v>319</v>
      </c>
      <c r="B203" s="1" t="s">
        <v>41</v>
      </c>
      <c r="C203" s="1">
        <v>194</v>
      </c>
      <c r="D203" s="1">
        <v>28</v>
      </c>
      <c r="E203" s="1">
        <v>5</v>
      </c>
      <c r="F203" s="1">
        <v>7</v>
      </c>
      <c r="G203" s="1">
        <v>37.64</v>
      </c>
      <c r="H203" s="1" t="s">
        <v>208</v>
      </c>
      <c r="I203" s="1" t="s">
        <v>45</v>
      </c>
      <c r="J203" s="1">
        <v>152</v>
      </c>
      <c r="K203" s="1">
        <v>3.02</v>
      </c>
      <c r="L203" s="4">
        <v>148.77000000000001</v>
      </c>
      <c r="M203" s="1">
        <v>0.16</v>
      </c>
      <c r="N203" s="1">
        <v>3</v>
      </c>
      <c r="O203" s="1">
        <v>0.97</v>
      </c>
      <c r="P203" s="1">
        <v>266</v>
      </c>
      <c r="Q203" s="1">
        <v>9.25</v>
      </c>
      <c r="R203" s="1">
        <v>0.2</v>
      </c>
      <c r="S203" s="2">
        <v>45656</v>
      </c>
      <c r="T203" s="1">
        <v>113.68</v>
      </c>
      <c r="U203" s="1">
        <v>0.68100000000000005</v>
      </c>
      <c r="V203" s="6">
        <f t="shared" si="9"/>
        <v>28861.38</v>
      </c>
      <c r="W203" s="6" t="str">
        <f t="shared" si="10"/>
        <v>Sufficient</v>
      </c>
      <c r="X203" s="8" t="str">
        <f t="shared" si="11"/>
        <v>Medium</v>
      </c>
    </row>
    <row r="204" spans="1:24">
      <c r="A204" s="7" t="s">
        <v>320</v>
      </c>
      <c r="B204" s="1" t="s">
        <v>33</v>
      </c>
      <c r="C204" s="1">
        <v>42</v>
      </c>
      <c r="D204" s="1">
        <v>76</v>
      </c>
      <c r="E204" s="1">
        <v>10</v>
      </c>
      <c r="F204" s="1">
        <v>5</v>
      </c>
      <c r="G204" s="1">
        <v>13.36</v>
      </c>
      <c r="H204" s="1" t="s">
        <v>274</v>
      </c>
      <c r="I204" s="1" t="s">
        <v>45</v>
      </c>
      <c r="J204" s="1">
        <v>65</v>
      </c>
      <c r="K204" s="1">
        <v>3.19</v>
      </c>
      <c r="L204" s="4">
        <v>88.61</v>
      </c>
      <c r="M204" s="1">
        <v>1.48</v>
      </c>
      <c r="N204" s="1">
        <v>9</v>
      </c>
      <c r="O204" s="1">
        <v>0.89</v>
      </c>
      <c r="P204" s="1">
        <v>682</v>
      </c>
      <c r="Q204" s="1">
        <v>6.07</v>
      </c>
      <c r="R204" s="1">
        <v>0.41</v>
      </c>
      <c r="S204" s="2">
        <v>45495</v>
      </c>
      <c r="T204" s="1">
        <v>59.85</v>
      </c>
      <c r="U204" s="1">
        <v>0.41299999999999998</v>
      </c>
      <c r="V204" s="6">
        <f t="shared" si="9"/>
        <v>3721.62</v>
      </c>
      <c r="W204" s="6" t="str">
        <f t="shared" si="10"/>
        <v>Reorder Required</v>
      </c>
      <c r="X204" s="8" t="str">
        <f t="shared" si="11"/>
        <v>LOW</v>
      </c>
    </row>
    <row r="205" spans="1:24">
      <c r="A205" s="7" t="s">
        <v>321</v>
      </c>
      <c r="B205" s="1" t="s">
        <v>66</v>
      </c>
      <c r="C205" s="1">
        <v>232</v>
      </c>
      <c r="D205" s="1">
        <v>17</v>
      </c>
      <c r="E205" s="1">
        <v>13</v>
      </c>
      <c r="F205" s="1">
        <v>8</v>
      </c>
      <c r="G205" s="1">
        <v>21.32</v>
      </c>
      <c r="H205" s="1" t="s">
        <v>95</v>
      </c>
      <c r="I205" s="1" t="s">
        <v>31</v>
      </c>
      <c r="J205" s="1">
        <v>46</v>
      </c>
      <c r="K205" s="1">
        <v>2.06</v>
      </c>
      <c r="L205" s="4">
        <v>48.48</v>
      </c>
      <c r="M205" s="1">
        <v>1.66</v>
      </c>
      <c r="N205" s="1">
        <v>5</v>
      </c>
      <c r="O205" s="1">
        <v>0.71</v>
      </c>
      <c r="P205" s="1">
        <v>581</v>
      </c>
      <c r="Q205" s="1">
        <v>13.94</v>
      </c>
      <c r="R205" s="1">
        <v>0.74</v>
      </c>
      <c r="S205" s="2">
        <v>45331</v>
      </c>
      <c r="T205" s="1">
        <v>152.75</v>
      </c>
      <c r="U205" s="1">
        <v>0.61</v>
      </c>
      <c r="V205" s="6">
        <f t="shared" si="9"/>
        <v>11247.359999999999</v>
      </c>
      <c r="W205" s="6" t="str">
        <f t="shared" si="10"/>
        <v>Sufficient</v>
      </c>
      <c r="X205" s="8" t="str">
        <f t="shared" si="11"/>
        <v>Medium</v>
      </c>
    </row>
    <row r="206" spans="1:24">
      <c r="A206" s="7" t="s">
        <v>322</v>
      </c>
      <c r="B206" s="1" t="s">
        <v>66</v>
      </c>
      <c r="C206" s="1">
        <v>424</v>
      </c>
      <c r="D206" s="1">
        <v>17</v>
      </c>
      <c r="E206" s="1">
        <v>6</v>
      </c>
      <c r="F206" s="1">
        <v>3</v>
      </c>
      <c r="G206" s="1">
        <v>5.03</v>
      </c>
      <c r="H206" s="1" t="s">
        <v>266</v>
      </c>
      <c r="I206" s="1" t="s">
        <v>31</v>
      </c>
      <c r="J206" s="1">
        <v>134</v>
      </c>
      <c r="K206" s="1">
        <v>2.17</v>
      </c>
      <c r="L206" s="4">
        <v>134.43</v>
      </c>
      <c r="M206" s="1">
        <v>0.23</v>
      </c>
      <c r="N206" s="1">
        <v>6</v>
      </c>
      <c r="O206" s="1">
        <v>0.84</v>
      </c>
      <c r="P206" s="1">
        <v>498</v>
      </c>
      <c r="Q206" s="1">
        <v>4.78</v>
      </c>
      <c r="R206" s="1">
        <v>0.74</v>
      </c>
      <c r="S206" s="2">
        <v>45445</v>
      </c>
      <c r="T206" s="1">
        <v>145.87</v>
      </c>
      <c r="U206" s="1">
        <v>0.63700000000000001</v>
      </c>
      <c r="V206" s="6">
        <f t="shared" si="9"/>
        <v>56998.32</v>
      </c>
      <c r="W206" s="6" t="str">
        <f t="shared" si="10"/>
        <v>Sufficient</v>
      </c>
      <c r="X206" s="8" t="str">
        <f t="shared" si="11"/>
        <v>High</v>
      </c>
    </row>
    <row r="207" spans="1:24">
      <c r="A207" s="7" t="s">
        <v>323</v>
      </c>
      <c r="B207" s="1" t="s">
        <v>25</v>
      </c>
      <c r="C207" s="1">
        <v>254</v>
      </c>
      <c r="D207" s="1">
        <v>93</v>
      </c>
      <c r="E207" s="1">
        <v>14</v>
      </c>
      <c r="F207" s="1">
        <v>7</v>
      </c>
      <c r="G207" s="1">
        <v>30.72</v>
      </c>
      <c r="H207" s="1" t="s">
        <v>205</v>
      </c>
      <c r="I207" s="1" t="s">
        <v>31</v>
      </c>
      <c r="J207" s="1">
        <v>62</v>
      </c>
      <c r="K207" s="1">
        <v>3.59</v>
      </c>
      <c r="L207" s="4">
        <v>136.32</v>
      </c>
      <c r="M207" s="1">
        <v>0.22</v>
      </c>
      <c r="N207" s="1">
        <v>1</v>
      </c>
      <c r="O207" s="1">
        <v>0.97</v>
      </c>
      <c r="P207" s="1">
        <v>710</v>
      </c>
      <c r="Q207" s="1">
        <v>3.46</v>
      </c>
      <c r="R207" s="1">
        <v>0.72</v>
      </c>
      <c r="S207" s="2">
        <v>45375</v>
      </c>
      <c r="T207" s="1">
        <v>220.37</v>
      </c>
      <c r="U207" s="1">
        <v>0.74199999999999999</v>
      </c>
      <c r="V207" s="6">
        <f t="shared" si="9"/>
        <v>34625.279999999999</v>
      </c>
      <c r="W207" s="6" t="str">
        <f t="shared" si="10"/>
        <v>Sufficient</v>
      </c>
      <c r="X207" s="8" t="str">
        <f t="shared" si="11"/>
        <v>High</v>
      </c>
    </row>
    <row r="208" spans="1:24">
      <c r="A208" s="7" t="s">
        <v>324</v>
      </c>
      <c r="B208" s="1" t="s">
        <v>33</v>
      </c>
      <c r="C208" s="1">
        <v>32</v>
      </c>
      <c r="D208" s="1">
        <v>56</v>
      </c>
      <c r="E208" s="1">
        <v>12</v>
      </c>
      <c r="F208" s="1">
        <v>5</v>
      </c>
      <c r="G208" s="1">
        <v>6.08</v>
      </c>
      <c r="H208" s="1" t="s">
        <v>325</v>
      </c>
      <c r="I208" s="1" t="s">
        <v>27</v>
      </c>
      <c r="J208" s="1">
        <v>110</v>
      </c>
      <c r="K208" s="1">
        <v>1.94</v>
      </c>
      <c r="L208" s="4">
        <v>97.43</v>
      </c>
      <c r="M208" s="1">
        <v>0.64</v>
      </c>
      <c r="N208" s="1">
        <v>9</v>
      </c>
      <c r="O208" s="1">
        <v>0.91</v>
      </c>
      <c r="P208" s="1">
        <v>56</v>
      </c>
      <c r="Q208" s="1">
        <v>4.09</v>
      </c>
      <c r="R208" s="1">
        <v>0.96</v>
      </c>
      <c r="S208" s="2">
        <v>45580</v>
      </c>
      <c r="T208" s="1">
        <v>292.22000000000003</v>
      </c>
      <c r="U208" s="1">
        <v>0.58499999999999996</v>
      </c>
      <c r="V208" s="6">
        <f t="shared" si="9"/>
        <v>3117.76</v>
      </c>
      <c r="W208" s="6" t="str">
        <f t="shared" si="10"/>
        <v>Reorder Required</v>
      </c>
      <c r="X208" s="8" t="str">
        <f t="shared" si="11"/>
        <v>LOW</v>
      </c>
    </row>
    <row r="209" spans="1:24">
      <c r="A209" s="7" t="s">
        <v>326</v>
      </c>
      <c r="B209" s="1" t="s">
        <v>29</v>
      </c>
      <c r="C209" s="1">
        <v>120</v>
      </c>
      <c r="D209" s="1">
        <v>13</v>
      </c>
      <c r="E209" s="1">
        <v>8</v>
      </c>
      <c r="F209" s="1">
        <v>5</v>
      </c>
      <c r="G209" s="1">
        <v>41.96</v>
      </c>
      <c r="H209" s="1" t="s">
        <v>327</v>
      </c>
      <c r="I209" s="1" t="s">
        <v>31</v>
      </c>
      <c r="J209" s="1">
        <v>87</v>
      </c>
      <c r="K209" s="1">
        <v>3.02</v>
      </c>
      <c r="L209" s="4">
        <v>61.29</v>
      </c>
      <c r="M209" s="1">
        <v>0.5</v>
      </c>
      <c r="N209" s="1">
        <v>2</v>
      </c>
      <c r="O209" s="1">
        <v>0.96</v>
      </c>
      <c r="P209" s="1">
        <v>938</v>
      </c>
      <c r="Q209" s="1">
        <v>2.17</v>
      </c>
      <c r="R209" s="1">
        <v>0.65</v>
      </c>
      <c r="S209" s="2">
        <v>45415</v>
      </c>
      <c r="T209" s="1">
        <v>164.07</v>
      </c>
      <c r="U209" s="1">
        <v>0.66100000000000003</v>
      </c>
      <c r="V209" s="6">
        <f t="shared" si="9"/>
        <v>7354.8</v>
      </c>
      <c r="W209" s="6" t="str">
        <f t="shared" si="10"/>
        <v>Sufficient</v>
      </c>
      <c r="X209" s="8" t="str">
        <f t="shared" si="11"/>
        <v>Medium</v>
      </c>
    </row>
    <row r="210" spans="1:24">
      <c r="A210" s="7" t="s">
        <v>328</v>
      </c>
      <c r="B210" s="1" t="s">
        <v>33</v>
      </c>
      <c r="C210" s="1">
        <v>436</v>
      </c>
      <c r="D210" s="1">
        <v>60</v>
      </c>
      <c r="E210" s="1">
        <v>11</v>
      </c>
      <c r="F210" s="1">
        <v>3</v>
      </c>
      <c r="G210" s="1">
        <v>40.909999999999997</v>
      </c>
      <c r="H210" s="1" t="s">
        <v>30</v>
      </c>
      <c r="I210" s="1" t="s">
        <v>45</v>
      </c>
      <c r="J210" s="1">
        <v>45</v>
      </c>
      <c r="K210" s="1">
        <v>1.76</v>
      </c>
      <c r="L210" s="4">
        <v>168.04</v>
      </c>
      <c r="M210" s="1">
        <v>1.2</v>
      </c>
      <c r="N210" s="1">
        <v>7</v>
      </c>
      <c r="O210" s="1">
        <v>0.9</v>
      </c>
      <c r="P210" s="1">
        <v>939</v>
      </c>
      <c r="Q210" s="1">
        <v>7.33</v>
      </c>
      <c r="R210" s="1">
        <v>0.42</v>
      </c>
      <c r="S210" s="2">
        <v>45582</v>
      </c>
      <c r="T210" s="1">
        <v>222.2</v>
      </c>
      <c r="U210" s="1">
        <v>0.502</v>
      </c>
      <c r="V210" s="6">
        <f t="shared" si="9"/>
        <v>73265.440000000002</v>
      </c>
      <c r="W210" s="6" t="str">
        <f t="shared" si="10"/>
        <v>Sufficient</v>
      </c>
      <c r="X210" s="8" t="str">
        <f t="shared" si="11"/>
        <v>High</v>
      </c>
    </row>
    <row r="211" spans="1:24">
      <c r="A211" s="7" t="s">
        <v>329</v>
      </c>
      <c r="B211" s="1" t="s">
        <v>25</v>
      </c>
      <c r="C211" s="1">
        <v>43</v>
      </c>
      <c r="D211" s="1">
        <v>94</v>
      </c>
      <c r="E211" s="1">
        <v>4</v>
      </c>
      <c r="F211" s="1">
        <v>6</v>
      </c>
      <c r="G211" s="1">
        <v>27.15</v>
      </c>
      <c r="H211" s="1" t="s">
        <v>145</v>
      </c>
      <c r="I211" s="1" t="s">
        <v>45</v>
      </c>
      <c r="J211" s="1">
        <v>110</v>
      </c>
      <c r="K211" s="1">
        <v>1.25</v>
      </c>
      <c r="L211" s="4">
        <v>62.31</v>
      </c>
      <c r="M211" s="1">
        <v>1.38</v>
      </c>
      <c r="N211" s="1">
        <v>6</v>
      </c>
      <c r="O211" s="1">
        <v>0.71</v>
      </c>
      <c r="P211" s="1">
        <v>442</v>
      </c>
      <c r="Q211" s="1">
        <v>13.3</v>
      </c>
      <c r="R211" s="1">
        <v>0.85</v>
      </c>
      <c r="S211" s="2">
        <v>45491</v>
      </c>
      <c r="T211" s="1">
        <v>111.67</v>
      </c>
      <c r="U211" s="1">
        <v>0.63100000000000001</v>
      </c>
      <c r="V211" s="6">
        <f t="shared" si="9"/>
        <v>2679.33</v>
      </c>
      <c r="W211" s="6" t="str">
        <f t="shared" si="10"/>
        <v>Reorder Required</v>
      </c>
      <c r="X211" s="8" t="str">
        <f t="shared" si="11"/>
        <v>LOW</v>
      </c>
    </row>
    <row r="212" spans="1:24">
      <c r="A212" s="7" t="s">
        <v>330</v>
      </c>
      <c r="B212" s="1" t="s">
        <v>25</v>
      </c>
      <c r="C212" s="1">
        <v>383</v>
      </c>
      <c r="D212" s="1">
        <v>76</v>
      </c>
      <c r="E212" s="1">
        <v>4</v>
      </c>
      <c r="F212" s="1">
        <v>6</v>
      </c>
      <c r="G212" s="1">
        <v>7.92</v>
      </c>
      <c r="H212" s="1" t="s">
        <v>331</v>
      </c>
      <c r="I212" s="1" t="s">
        <v>45</v>
      </c>
      <c r="J212" s="1">
        <v>20</v>
      </c>
      <c r="K212" s="1">
        <v>2.54</v>
      </c>
      <c r="L212" s="4">
        <v>135.21</v>
      </c>
      <c r="M212" s="1">
        <v>1.3</v>
      </c>
      <c r="N212" s="1">
        <v>0</v>
      </c>
      <c r="O212" s="1">
        <v>0.99</v>
      </c>
      <c r="P212" s="1">
        <v>647</v>
      </c>
      <c r="Q212" s="1">
        <v>5.27</v>
      </c>
      <c r="R212" s="1">
        <v>0.51</v>
      </c>
      <c r="S212" s="2">
        <v>45638</v>
      </c>
      <c r="T212" s="1">
        <v>183.88</v>
      </c>
      <c r="U212" s="1">
        <v>0.64</v>
      </c>
      <c r="V212" s="6">
        <f t="shared" si="9"/>
        <v>51785.43</v>
      </c>
      <c r="W212" s="6" t="str">
        <f t="shared" si="10"/>
        <v>Sufficient</v>
      </c>
      <c r="X212" s="8" t="str">
        <f t="shared" si="11"/>
        <v>High</v>
      </c>
    </row>
    <row r="213" spans="1:24">
      <c r="A213" s="7" t="s">
        <v>332</v>
      </c>
      <c r="B213" s="1" t="s">
        <v>33</v>
      </c>
      <c r="C213" s="1">
        <v>30</v>
      </c>
      <c r="D213" s="1">
        <v>54</v>
      </c>
      <c r="E213" s="1">
        <v>9</v>
      </c>
      <c r="F213" s="1">
        <v>6</v>
      </c>
      <c r="G213" s="1">
        <v>2.25</v>
      </c>
      <c r="H213" s="1" t="s">
        <v>333</v>
      </c>
      <c r="I213" s="1" t="s">
        <v>27</v>
      </c>
      <c r="J213" s="1">
        <v>36</v>
      </c>
      <c r="K213" s="1">
        <v>1.48</v>
      </c>
      <c r="L213" s="4">
        <v>82.96</v>
      </c>
      <c r="M213" s="1">
        <v>0.78</v>
      </c>
      <c r="N213" s="1">
        <v>3</v>
      </c>
      <c r="O213" s="1">
        <v>0.98</v>
      </c>
      <c r="P213" s="1">
        <v>435</v>
      </c>
      <c r="Q213" s="1">
        <v>4.62</v>
      </c>
      <c r="R213" s="1">
        <v>0.39</v>
      </c>
      <c r="S213" s="2">
        <v>45568</v>
      </c>
      <c r="T213" s="1">
        <v>43.45</v>
      </c>
      <c r="U213" s="1">
        <v>0.59799999999999998</v>
      </c>
      <c r="V213" s="6">
        <f t="shared" si="9"/>
        <v>2488.7999999999997</v>
      </c>
      <c r="W213" s="6" t="str">
        <f t="shared" si="10"/>
        <v>Reorder Required</v>
      </c>
      <c r="X213" s="8" t="str">
        <f t="shared" si="11"/>
        <v>LOW</v>
      </c>
    </row>
    <row r="214" spans="1:24">
      <c r="A214" s="7" t="s">
        <v>334</v>
      </c>
      <c r="B214" s="1" t="s">
        <v>25</v>
      </c>
      <c r="C214" s="1">
        <v>292</v>
      </c>
      <c r="D214" s="1">
        <v>17</v>
      </c>
      <c r="E214" s="1">
        <v>4</v>
      </c>
      <c r="F214" s="1">
        <v>4</v>
      </c>
      <c r="G214" s="1">
        <v>40.04</v>
      </c>
      <c r="H214" s="1" t="s">
        <v>210</v>
      </c>
      <c r="I214" s="1" t="s">
        <v>39</v>
      </c>
      <c r="J214" s="1">
        <v>11</v>
      </c>
      <c r="K214" s="1">
        <v>4.54</v>
      </c>
      <c r="L214" s="4">
        <v>99.77</v>
      </c>
      <c r="M214" s="1">
        <v>1.05</v>
      </c>
      <c r="N214" s="1">
        <v>4</v>
      </c>
      <c r="O214" s="1">
        <v>0.74</v>
      </c>
      <c r="P214" s="1">
        <v>550</v>
      </c>
      <c r="Q214" s="1">
        <v>12.72</v>
      </c>
      <c r="R214" s="1">
        <v>0.65</v>
      </c>
      <c r="S214" s="2">
        <v>45461</v>
      </c>
      <c r="T214" s="1">
        <v>246.33</v>
      </c>
      <c r="U214" s="1">
        <v>0.66300000000000003</v>
      </c>
      <c r="V214" s="6">
        <f t="shared" si="9"/>
        <v>29132.84</v>
      </c>
      <c r="W214" s="6" t="str">
        <f t="shared" si="10"/>
        <v>Sufficient</v>
      </c>
      <c r="X214" s="8" t="str">
        <f t="shared" si="11"/>
        <v>High</v>
      </c>
    </row>
    <row r="215" spans="1:24">
      <c r="A215" s="7" t="s">
        <v>335</v>
      </c>
      <c r="B215" s="1" t="s">
        <v>33</v>
      </c>
      <c r="C215" s="1">
        <v>471</v>
      </c>
      <c r="D215" s="1">
        <v>96</v>
      </c>
      <c r="E215" s="1">
        <v>4</v>
      </c>
      <c r="F215" s="1">
        <v>8</v>
      </c>
      <c r="G215" s="1">
        <v>30.41</v>
      </c>
      <c r="H215" s="1" t="s">
        <v>333</v>
      </c>
      <c r="I215" s="1" t="s">
        <v>45</v>
      </c>
      <c r="J215" s="1">
        <v>31</v>
      </c>
      <c r="K215" s="1">
        <v>1.87</v>
      </c>
      <c r="L215" s="4">
        <v>50.17</v>
      </c>
      <c r="M215" s="1">
        <v>1.32</v>
      </c>
      <c r="N215" s="1">
        <v>2</v>
      </c>
      <c r="O215" s="1">
        <v>0.73</v>
      </c>
      <c r="P215" s="1">
        <v>196</v>
      </c>
      <c r="Q215" s="1">
        <v>5.28</v>
      </c>
      <c r="R215" s="1">
        <v>0.43</v>
      </c>
      <c r="S215" s="2">
        <v>45488</v>
      </c>
      <c r="T215" s="1">
        <v>109.85</v>
      </c>
      <c r="U215" s="1">
        <v>0.53</v>
      </c>
      <c r="V215" s="6">
        <f t="shared" si="9"/>
        <v>23630.07</v>
      </c>
      <c r="W215" s="6" t="str">
        <f t="shared" si="10"/>
        <v>Sufficient</v>
      </c>
      <c r="X215" s="8" t="str">
        <f t="shared" si="11"/>
        <v>High</v>
      </c>
    </row>
    <row r="216" spans="1:24">
      <c r="A216" s="7" t="s">
        <v>336</v>
      </c>
      <c r="B216" s="1" t="s">
        <v>41</v>
      </c>
      <c r="C216" s="1">
        <v>450</v>
      </c>
      <c r="D216" s="1">
        <v>25</v>
      </c>
      <c r="E216" s="1">
        <v>6</v>
      </c>
      <c r="F216" s="1">
        <v>9</v>
      </c>
      <c r="G216" s="1">
        <v>35.840000000000003</v>
      </c>
      <c r="H216" s="1" t="s">
        <v>221</v>
      </c>
      <c r="I216" s="1" t="s">
        <v>27</v>
      </c>
      <c r="J216" s="1">
        <v>75</v>
      </c>
      <c r="K216" s="1">
        <v>3.19</v>
      </c>
      <c r="L216" s="4">
        <v>133.4</v>
      </c>
      <c r="M216" s="1">
        <v>0.33</v>
      </c>
      <c r="N216" s="1">
        <v>3</v>
      </c>
      <c r="O216" s="1">
        <v>0.86</v>
      </c>
      <c r="P216" s="1">
        <v>365</v>
      </c>
      <c r="Q216" s="1">
        <v>7.68</v>
      </c>
      <c r="R216" s="1">
        <v>0.52</v>
      </c>
      <c r="S216" s="2">
        <v>45363</v>
      </c>
      <c r="T216" s="1">
        <v>33.21</v>
      </c>
      <c r="U216" s="1">
        <v>0.68500000000000005</v>
      </c>
      <c r="V216" s="6">
        <f t="shared" si="9"/>
        <v>60030</v>
      </c>
      <c r="W216" s="6" t="str">
        <f t="shared" si="10"/>
        <v>Sufficient</v>
      </c>
      <c r="X216" s="8" t="str">
        <f t="shared" si="11"/>
        <v>High</v>
      </c>
    </row>
    <row r="217" spans="1:24">
      <c r="A217" s="7" t="s">
        <v>337</v>
      </c>
      <c r="B217" s="1" t="s">
        <v>33</v>
      </c>
      <c r="C217" s="1">
        <v>300</v>
      </c>
      <c r="D217" s="1">
        <v>86</v>
      </c>
      <c r="E217" s="1">
        <v>11</v>
      </c>
      <c r="F217" s="1">
        <v>8</v>
      </c>
      <c r="G217" s="1">
        <v>15.89</v>
      </c>
      <c r="H217" s="1" t="s">
        <v>135</v>
      </c>
      <c r="I217" s="1" t="s">
        <v>39</v>
      </c>
      <c r="J217" s="1">
        <v>121</v>
      </c>
      <c r="K217" s="1">
        <v>1.69</v>
      </c>
      <c r="L217" s="4">
        <v>52.91</v>
      </c>
      <c r="M217" s="1">
        <v>0.54</v>
      </c>
      <c r="N217" s="1">
        <v>9</v>
      </c>
      <c r="O217" s="1">
        <v>0.93</v>
      </c>
      <c r="P217" s="1">
        <v>503</v>
      </c>
      <c r="Q217" s="1">
        <v>1.44</v>
      </c>
      <c r="R217" s="1">
        <v>0.75</v>
      </c>
      <c r="S217" s="2">
        <v>45644</v>
      </c>
      <c r="T217" s="1">
        <v>297.26</v>
      </c>
      <c r="U217" s="1">
        <v>0.52100000000000002</v>
      </c>
      <c r="V217" s="6">
        <f t="shared" si="9"/>
        <v>15872.999999999998</v>
      </c>
      <c r="W217" s="6" t="str">
        <f t="shared" si="10"/>
        <v>Sufficient</v>
      </c>
      <c r="X217" s="8" t="str">
        <f t="shared" si="11"/>
        <v>High</v>
      </c>
    </row>
    <row r="218" spans="1:24">
      <c r="A218" s="7" t="s">
        <v>338</v>
      </c>
      <c r="B218" s="1" t="s">
        <v>33</v>
      </c>
      <c r="C218" s="1">
        <v>113</v>
      </c>
      <c r="D218" s="1">
        <v>76</v>
      </c>
      <c r="E218" s="1">
        <v>10</v>
      </c>
      <c r="F218" s="1">
        <v>6</v>
      </c>
      <c r="G218" s="1">
        <v>25.96</v>
      </c>
      <c r="H218" s="1" t="s">
        <v>135</v>
      </c>
      <c r="I218" s="1" t="s">
        <v>27</v>
      </c>
      <c r="J218" s="1">
        <v>26</v>
      </c>
      <c r="K218" s="1">
        <v>1.66</v>
      </c>
      <c r="L218" s="4">
        <v>102.29</v>
      </c>
      <c r="M218" s="1">
        <v>1.79</v>
      </c>
      <c r="N218" s="1">
        <v>9</v>
      </c>
      <c r="O218" s="1">
        <v>0.81</v>
      </c>
      <c r="P218" s="1">
        <v>236</v>
      </c>
      <c r="Q218" s="1">
        <v>5.0199999999999996</v>
      </c>
      <c r="R218" s="1">
        <v>1</v>
      </c>
      <c r="S218" s="2">
        <v>45332</v>
      </c>
      <c r="T218" s="1">
        <v>271.52</v>
      </c>
      <c r="U218" s="1">
        <v>0.47</v>
      </c>
      <c r="V218" s="6">
        <f t="shared" si="9"/>
        <v>11558.77</v>
      </c>
      <c r="W218" s="6" t="str">
        <f t="shared" si="10"/>
        <v>Sufficient</v>
      </c>
      <c r="X218" s="8" t="str">
        <f t="shared" si="11"/>
        <v>Medium</v>
      </c>
    </row>
    <row r="219" spans="1:24">
      <c r="A219" s="7" t="s">
        <v>339</v>
      </c>
      <c r="B219" s="1" t="s">
        <v>25</v>
      </c>
      <c r="C219" s="1">
        <v>220</v>
      </c>
      <c r="D219" s="1">
        <v>18</v>
      </c>
      <c r="E219" s="1">
        <v>4</v>
      </c>
      <c r="F219" s="1">
        <v>3</v>
      </c>
      <c r="G219" s="1">
        <v>37.61</v>
      </c>
      <c r="H219" s="1" t="s">
        <v>126</v>
      </c>
      <c r="I219" s="1" t="s">
        <v>27</v>
      </c>
      <c r="J219" s="1">
        <v>141</v>
      </c>
      <c r="K219" s="1">
        <v>2.08</v>
      </c>
      <c r="L219" s="4">
        <v>72.41</v>
      </c>
      <c r="M219" s="1">
        <v>0.75</v>
      </c>
      <c r="N219" s="1">
        <v>9</v>
      </c>
      <c r="O219" s="1">
        <v>0.74</v>
      </c>
      <c r="P219" s="1">
        <v>374</v>
      </c>
      <c r="Q219" s="1">
        <v>2.83</v>
      </c>
      <c r="R219" s="1">
        <v>0.72</v>
      </c>
      <c r="S219" s="2">
        <v>45548</v>
      </c>
      <c r="T219" s="1">
        <v>67.260000000000005</v>
      </c>
      <c r="U219" s="1">
        <v>0.47499999999999998</v>
      </c>
      <c r="V219" s="6">
        <f t="shared" si="9"/>
        <v>15930.199999999999</v>
      </c>
      <c r="W219" s="6" t="str">
        <f t="shared" si="10"/>
        <v>Sufficient</v>
      </c>
      <c r="X219" s="8" t="str">
        <f t="shared" si="11"/>
        <v>Medium</v>
      </c>
    </row>
    <row r="220" spans="1:24">
      <c r="A220" s="7" t="s">
        <v>340</v>
      </c>
      <c r="B220" s="1" t="s">
        <v>25</v>
      </c>
      <c r="C220" s="1">
        <v>40</v>
      </c>
      <c r="D220" s="1">
        <v>69</v>
      </c>
      <c r="E220" s="1">
        <v>10</v>
      </c>
      <c r="F220" s="1">
        <v>4</v>
      </c>
      <c r="G220" s="1">
        <v>23.67</v>
      </c>
      <c r="H220" s="1" t="s">
        <v>325</v>
      </c>
      <c r="I220" s="1" t="s">
        <v>39</v>
      </c>
      <c r="J220" s="1">
        <v>23</v>
      </c>
      <c r="K220" s="1">
        <v>4.62</v>
      </c>
      <c r="L220" s="4">
        <v>193.09</v>
      </c>
      <c r="M220" s="1">
        <v>1.62</v>
      </c>
      <c r="N220" s="1">
        <v>6</v>
      </c>
      <c r="O220" s="1">
        <v>0.85</v>
      </c>
      <c r="P220" s="1">
        <v>862</v>
      </c>
      <c r="Q220" s="1">
        <v>2.48</v>
      </c>
      <c r="R220" s="1">
        <v>0.42</v>
      </c>
      <c r="S220" s="2">
        <v>45469</v>
      </c>
      <c r="T220" s="1">
        <v>115.33</v>
      </c>
      <c r="U220" s="1">
        <v>0.40500000000000003</v>
      </c>
      <c r="V220" s="6">
        <f t="shared" si="9"/>
        <v>7723.6</v>
      </c>
      <c r="W220" s="6" t="str">
        <f t="shared" si="10"/>
        <v>Reorder Required</v>
      </c>
      <c r="X220" s="8" t="str">
        <f t="shared" si="11"/>
        <v>LOW</v>
      </c>
    </row>
    <row r="221" spans="1:24">
      <c r="A221" s="7" t="s">
        <v>341</v>
      </c>
      <c r="B221" s="1" t="s">
        <v>66</v>
      </c>
      <c r="C221" s="1">
        <v>359</v>
      </c>
      <c r="D221" s="1">
        <v>87</v>
      </c>
      <c r="E221" s="1">
        <v>6</v>
      </c>
      <c r="F221" s="1">
        <v>8</v>
      </c>
      <c r="G221" s="1">
        <v>30.47</v>
      </c>
      <c r="H221" s="1" t="s">
        <v>153</v>
      </c>
      <c r="I221" s="1" t="s">
        <v>31</v>
      </c>
      <c r="J221" s="1">
        <v>16</v>
      </c>
      <c r="K221" s="1">
        <v>2.2599999999999998</v>
      </c>
      <c r="L221" s="4">
        <v>196.62</v>
      </c>
      <c r="M221" s="1">
        <v>0.57999999999999996</v>
      </c>
      <c r="N221" s="1">
        <v>7</v>
      </c>
      <c r="O221" s="1">
        <v>0.8</v>
      </c>
      <c r="P221" s="1">
        <v>367</v>
      </c>
      <c r="Q221" s="1">
        <v>7.04</v>
      </c>
      <c r="R221" s="1">
        <v>0.27</v>
      </c>
      <c r="S221" s="2">
        <v>45319</v>
      </c>
      <c r="T221" s="1">
        <v>281.64999999999998</v>
      </c>
      <c r="U221" s="1">
        <v>0.51</v>
      </c>
      <c r="V221" s="6">
        <f t="shared" si="9"/>
        <v>70586.58</v>
      </c>
      <c r="W221" s="6" t="str">
        <f t="shared" si="10"/>
        <v>Sufficient</v>
      </c>
      <c r="X221" s="8" t="str">
        <f t="shared" si="11"/>
        <v>High</v>
      </c>
    </row>
    <row r="222" spans="1:24">
      <c r="A222" s="7" t="s">
        <v>342</v>
      </c>
      <c r="B222" s="1" t="s">
        <v>66</v>
      </c>
      <c r="C222" s="1">
        <v>486</v>
      </c>
      <c r="D222" s="1">
        <v>86</v>
      </c>
      <c r="E222" s="1">
        <v>4</v>
      </c>
      <c r="F222" s="1">
        <v>6</v>
      </c>
      <c r="G222" s="1">
        <v>39.700000000000003</v>
      </c>
      <c r="H222" s="1" t="s">
        <v>97</v>
      </c>
      <c r="I222" s="1" t="s">
        <v>31</v>
      </c>
      <c r="J222" s="1">
        <v>88</v>
      </c>
      <c r="K222" s="1">
        <v>4.2</v>
      </c>
      <c r="L222" s="4">
        <v>153.16</v>
      </c>
      <c r="M222" s="1">
        <v>0.18</v>
      </c>
      <c r="N222" s="1">
        <v>8</v>
      </c>
      <c r="O222" s="1">
        <v>0.81</v>
      </c>
      <c r="P222" s="1">
        <v>443</v>
      </c>
      <c r="Q222" s="1">
        <v>4.88</v>
      </c>
      <c r="R222" s="1">
        <v>0.49</v>
      </c>
      <c r="S222" s="2">
        <v>45342</v>
      </c>
      <c r="T222" s="1">
        <v>240.94</v>
      </c>
      <c r="U222" s="1">
        <v>0.54700000000000004</v>
      </c>
      <c r="V222" s="6">
        <f t="shared" si="9"/>
        <v>74435.759999999995</v>
      </c>
      <c r="W222" s="6" t="str">
        <f t="shared" si="10"/>
        <v>Sufficient</v>
      </c>
      <c r="X222" s="8" t="str">
        <f t="shared" si="11"/>
        <v>High</v>
      </c>
    </row>
    <row r="223" spans="1:24">
      <c r="A223" s="7" t="s">
        <v>343</v>
      </c>
      <c r="B223" s="1" t="s">
        <v>41</v>
      </c>
      <c r="C223" s="1">
        <v>230</v>
      </c>
      <c r="D223" s="1">
        <v>80</v>
      </c>
      <c r="E223" s="1">
        <v>13</v>
      </c>
      <c r="F223" s="1">
        <v>4</v>
      </c>
      <c r="G223" s="1">
        <v>11.55</v>
      </c>
      <c r="H223" s="1" t="s">
        <v>130</v>
      </c>
      <c r="I223" s="1" t="s">
        <v>45</v>
      </c>
      <c r="J223" s="1">
        <v>153</v>
      </c>
      <c r="K223" s="1">
        <v>1.39</v>
      </c>
      <c r="L223" s="4">
        <v>196.94</v>
      </c>
      <c r="M223" s="1">
        <v>1.05</v>
      </c>
      <c r="N223" s="1">
        <v>1</v>
      </c>
      <c r="O223" s="1">
        <v>0.89</v>
      </c>
      <c r="P223" s="1">
        <v>428</v>
      </c>
      <c r="Q223" s="1">
        <v>3.33</v>
      </c>
      <c r="R223" s="1">
        <v>0.22</v>
      </c>
      <c r="S223" s="2">
        <v>45515</v>
      </c>
      <c r="T223" s="1">
        <v>272.86</v>
      </c>
      <c r="U223" s="1">
        <v>0.54100000000000004</v>
      </c>
      <c r="V223" s="6">
        <f t="shared" si="9"/>
        <v>45296.2</v>
      </c>
      <c r="W223" s="6" t="str">
        <f t="shared" si="10"/>
        <v>Sufficient</v>
      </c>
      <c r="X223" s="8" t="str">
        <f t="shared" si="11"/>
        <v>Medium</v>
      </c>
    </row>
    <row r="224" spans="1:24">
      <c r="A224" s="7" t="s">
        <v>344</v>
      </c>
      <c r="B224" s="1" t="s">
        <v>66</v>
      </c>
      <c r="C224" s="1">
        <v>159</v>
      </c>
      <c r="D224" s="1">
        <v>24</v>
      </c>
      <c r="E224" s="1">
        <v>12</v>
      </c>
      <c r="F224" s="1">
        <v>9</v>
      </c>
      <c r="G224" s="1">
        <v>4.2300000000000004</v>
      </c>
      <c r="H224" s="1" t="s">
        <v>159</v>
      </c>
      <c r="I224" s="1" t="s">
        <v>39</v>
      </c>
      <c r="J224" s="1">
        <v>113</v>
      </c>
      <c r="K224" s="1">
        <v>0.72</v>
      </c>
      <c r="L224" s="4">
        <v>31.57</v>
      </c>
      <c r="M224" s="1">
        <v>1.8</v>
      </c>
      <c r="N224" s="1">
        <v>3</v>
      </c>
      <c r="O224" s="1">
        <v>0.97</v>
      </c>
      <c r="P224" s="1">
        <v>754</v>
      </c>
      <c r="Q224" s="1">
        <v>8.16</v>
      </c>
      <c r="R224" s="1">
        <v>0.56999999999999995</v>
      </c>
      <c r="S224" s="2">
        <v>45410</v>
      </c>
      <c r="T224" s="1">
        <v>173.14</v>
      </c>
      <c r="U224" s="1">
        <v>0.57699999999999996</v>
      </c>
      <c r="V224" s="6">
        <f t="shared" si="9"/>
        <v>5019.63</v>
      </c>
      <c r="W224" s="6" t="str">
        <f t="shared" si="10"/>
        <v>Sufficient</v>
      </c>
      <c r="X224" s="8" t="str">
        <f t="shared" si="11"/>
        <v>Medium</v>
      </c>
    </row>
    <row r="225" spans="1:24">
      <c r="A225" s="7" t="s">
        <v>345</v>
      </c>
      <c r="B225" s="1" t="s">
        <v>33</v>
      </c>
      <c r="C225" s="1">
        <v>312</v>
      </c>
      <c r="D225" s="1">
        <v>80</v>
      </c>
      <c r="E225" s="1">
        <v>9</v>
      </c>
      <c r="F225" s="1">
        <v>3</v>
      </c>
      <c r="G225" s="1">
        <v>27.06</v>
      </c>
      <c r="H225" s="1" t="s">
        <v>346</v>
      </c>
      <c r="I225" s="1" t="s">
        <v>45</v>
      </c>
      <c r="J225" s="1">
        <v>156</v>
      </c>
      <c r="K225" s="1">
        <v>4.0199999999999996</v>
      </c>
      <c r="L225" s="4">
        <v>198.54</v>
      </c>
      <c r="M225" s="1">
        <v>1.66</v>
      </c>
      <c r="N225" s="1">
        <v>0</v>
      </c>
      <c r="O225" s="1">
        <v>0.87</v>
      </c>
      <c r="P225" s="1">
        <v>843</v>
      </c>
      <c r="Q225" s="1">
        <v>11.98</v>
      </c>
      <c r="R225" s="1">
        <v>0.73</v>
      </c>
      <c r="S225" s="2">
        <v>45330</v>
      </c>
      <c r="T225" s="1">
        <v>80.5</v>
      </c>
      <c r="U225" s="1">
        <v>0.71399999999999997</v>
      </c>
      <c r="V225" s="6">
        <f t="shared" si="9"/>
        <v>61944.479999999996</v>
      </c>
      <c r="W225" s="6" t="str">
        <f t="shared" si="10"/>
        <v>Sufficient</v>
      </c>
      <c r="X225" s="8" t="str">
        <f t="shared" si="11"/>
        <v>High</v>
      </c>
    </row>
    <row r="226" spans="1:24">
      <c r="A226" s="7" t="s">
        <v>347</v>
      </c>
      <c r="B226" s="1" t="s">
        <v>25</v>
      </c>
      <c r="C226" s="1">
        <v>317</v>
      </c>
      <c r="D226" s="1">
        <v>50</v>
      </c>
      <c r="E226" s="1">
        <v>8</v>
      </c>
      <c r="F226" s="1">
        <v>6</v>
      </c>
      <c r="G226" s="1">
        <v>4.04</v>
      </c>
      <c r="H226" s="1" t="s">
        <v>346</v>
      </c>
      <c r="I226" s="1" t="s">
        <v>27</v>
      </c>
      <c r="J226" s="1">
        <v>10</v>
      </c>
      <c r="K226" s="1">
        <v>2.94</v>
      </c>
      <c r="L226" s="4">
        <v>29.68</v>
      </c>
      <c r="M226" s="1">
        <v>0.57999999999999996</v>
      </c>
      <c r="N226" s="1">
        <v>2</v>
      </c>
      <c r="O226" s="1">
        <v>0.91</v>
      </c>
      <c r="P226" s="1">
        <v>523</v>
      </c>
      <c r="Q226" s="1">
        <v>11.29</v>
      </c>
      <c r="R226" s="1">
        <v>0.61</v>
      </c>
      <c r="S226" s="2">
        <v>45466</v>
      </c>
      <c r="T226" s="1">
        <v>75.849999999999994</v>
      </c>
      <c r="U226" s="1">
        <v>0.75700000000000001</v>
      </c>
      <c r="V226" s="6">
        <f t="shared" si="9"/>
        <v>9408.56</v>
      </c>
      <c r="W226" s="6" t="str">
        <f t="shared" si="10"/>
        <v>Sufficient</v>
      </c>
      <c r="X226" s="8" t="str">
        <f t="shared" si="11"/>
        <v>High</v>
      </c>
    </row>
    <row r="227" spans="1:24">
      <c r="A227" s="7" t="s">
        <v>348</v>
      </c>
      <c r="B227" s="1" t="s">
        <v>66</v>
      </c>
      <c r="C227" s="1">
        <v>420</v>
      </c>
      <c r="D227" s="1">
        <v>31</v>
      </c>
      <c r="E227" s="1">
        <v>12</v>
      </c>
      <c r="F227" s="1">
        <v>9</v>
      </c>
      <c r="G227" s="1">
        <v>38.56</v>
      </c>
      <c r="H227" s="1" t="s">
        <v>156</v>
      </c>
      <c r="I227" s="1" t="s">
        <v>31</v>
      </c>
      <c r="J227" s="1">
        <v>40</v>
      </c>
      <c r="K227" s="1">
        <v>2.77</v>
      </c>
      <c r="L227" s="4">
        <v>88.94</v>
      </c>
      <c r="M227" s="1">
        <v>1.83</v>
      </c>
      <c r="N227" s="1">
        <v>7</v>
      </c>
      <c r="O227" s="1">
        <v>0.9</v>
      </c>
      <c r="P227" s="1">
        <v>749</v>
      </c>
      <c r="Q227" s="1">
        <v>4.51</v>
      </c>
      <c r="R227" s="1">
        <v>0.89</v>
      </c>
      <c r="S227" s="2">
        <v>45601</v>
      </c>
      <c r="T227" s="1">
        <v>162.44</v>
      </c>
      <c r="U227" s="1">
        <v>0.495</v>
      </c>
      <c r="V227" s="6">
        <f t="shared" si="9"/>
        <v>37354.799999999996</v>
      </c>
      <c r="W227" s="6" t="str">
        <f t="shared" si="10"/>
        <v>Sufficient</v>
      </c>
      <c r="X227" s="8" t="str">
        <f t="shared" si="11"/>
        <v>High</v>
      </c>
    </row>
    <row r="228" spans="1:24">
      <c r="A228" s="7" t="s">
        <v>349</v>
      </c>
      <c r="B228" s="1" t="s">
        <v>66</v>
      </c>
      <c r="C228" s="1">
        <v>120</v>
      </c>
      <c r="D228" s="1">
        <v>33</v>
      </c>
      <c r="E228" s="1">
        <v>7</v>
      </c>
      <c r="F228" s="1">
        <v>2</v>
      </c>
      <c r="G228" s="1">
        <v>36.24</v>
      </c>
      <c r="H228" s="1" t="s">
        <v>350</v>
      </c>
      <c r="I228" s="1" t="s">
        <v>45</v>
      </c>
      <c r="J228" s="1">
        <v>137</v>
      </c>
      <c r="K228" s="1">
        <v>1.72</v>
      </c>
      <c r="L228" s="4">
        <v>55.4</v>
      </c>
      <c r="M228" s="1">
        <v>1.01</v>
      </c>
      <c r="N228" s="1">
        <v>6</v>
      </c>
      <c r="O228" s="1">
        <v>0.87</v>
      </c>
      <c r="P228" s="1">
        <v>67</v>
      </c>
      <c r="Q228" s="1">
        <v>4.68</v>
      </c>
      <c r="R228" s="1">
        <v>0.6</v>
      </c>
      <c r="S228" s="2">
        <v>45606</v>
      </c>
      <c r="T228" s="1">
        <v>277.95999999999998</v>
      </c>
      <c r="U228" s="1">
        <v>0.53500000000000003</v>
      </c>
      <c r="V228" s="6">
        <f t="shared" si="9"/>
        <v>6648</v>
      </c>
      <c r="W228" s="6" t="str">
        <f t="shared" si="10"/>
        <v>Sufficient</v>
      </c>
      <c r="X228" s="8" t="str">
        <f t="shared" si="11"/>
        <v>Medium</v>
      </c>
    </row>
    <row r="229" spans="1:24">
      <c r="A229" s="7" t="s">
        <v>351</v>
      </c>
      <c r="B229" s="1" t="s">
        <v>41</v>
      </c>
      <c r="C229" s="1">
        <v>323</v>
      </c>
      <c r="D229" s="1">
        <v>53</v>
      </c>
      <c r="E229" s="1">
        <v>13</v>
      </c>
      <c r="F229" s="1">
        <v>9</v>
      </c>
      <c r="G229" s="1">
        <v>44.2</v>
      </c>
      <c r="H229" s="1" t="s">
        <v>137</v>
      </c>
      <c r="I229" s="1" t="s">
        <v>45</v>
      </c>
      <c r="J229" s="1">
        <v>141</v>
      </c>
      <c r="K229" s="1">
        <v>0.83</v>
      </c>
      <c r="L229" s="4">
        <v>191.23</v>
      </c>
      <c r="M229" s="1">
        <v>0.19</v>
      </c>
      <c r="N229" s="1">
        <v>7</v>
      </c>
      <c r="O229" s="1">
        <v>0.79</v>
      </c>
      <c r="P229" s="1">
        <v>876</v>
      </c>
      <c r="Q229" s="1">
        <v>11.25</v>
      </c>
      <c r="R229" s="1">
        <v>0.56999999999999995</v>
      </c>
      <c r="S229" s="2">
        <v>45596</v>
      </c>
      <c r="T229" s="1">
        <v>193.16</v>
      </c>
      <c r="U229" s="1">
        <v>0.66300000000000003</v>
      </c>
      <c r="V229" s="6">
        <f t="shared" si="9"/>
        <v>61767.289999999994</v>
      </c>
      <c r="W229" s="6" t="str">
        <f t="shared" si="10"/>
        <v>Sufficient</v>
      </c>
      <c r="X229" s="8" t="str">
        <f t="shared" si="11"/>
        <v>High</v>
      </c>
    </row>
    <row r="230" spans="1:24">
      <c r="A230" s="7" t="s">
        <v>352</v>
      </c>
      <c r="B230" s="1" t="s">
        <v>41</v>
      </c>
      <c r="C230" s="1">
        <v>378</v>
      </c>
      <c r="D230" s="1">
        <v>10</v>
      </c>
      <c r="E230" s="1">
        <v>3</v>
      </c>
      <c r="F230" s="1">
        <v>7</v>
      </c>
      <c r="G230" s="1">
        <v>32.340000000000003</v>
      </c>
      <c r="H230" s="1" t="s">
        <v>189</v>
      </c>
      <c r="I230" s="1" t="s">
        <v>31</v>
      </c>
      <c r="J230" s="1">
        <v>100</v>
      </c>
      <c r="K230" s="1">
        <v>2.67</v>
      </c>
      <c r="L230" s="4">
        <v>130.80000000000001</v>
      </c>
      <c r="M230" s="1">
        <v>0.15</v>
      </c>
      <c r="N230" s="1">
        <v>5</v>
      </c>
      <c r="O230" s="1">
        <v>0.81</v>
      </c>
      <c r="P230" s="1">
        <v>198</v>
      </c>
      <c r="Q230" s="1">
        <v>8.8000000000000007</v>
      </c>
      <c r="R230" s="1">
        <v>0.45</v>
      </c>
      <c r="S230" s="2">
        <v>45495</v>
      </c>
      <c r="T230" s="1">
        <v>19.97</v>
      </c>
      <c r="U230" s="1">
        <v>0.65400000000000003</v>
      </c>
      <c r="V230" s="6">
        <f t="shared" si="9"/>
        <v>49442.400000000001</v>
      </c>
      <c r="W230" s="6" t="str">
        <f t="shared" si="10"/>
        <v>Sufficient</v>
      </c>
      <c r="X230" s="8" t="str">
        <f t="shared" si="11"/>
        <v>High</v>
      </c>
    </row>
    <row r="231" spans="1:24">
      <c r="A231" s="7" t="s">
        <v>353</v>
      </c>
      <c r="B231" s="1" t="s">
        <v>33</v>
      </c>
      <c r="C231" s="1">
        <v>47</v>
      </c>
      <c r="D231" s="1">
        <v>19</v>
      </c>
      <c r="E231" s="1">
        <v>4</v>
      </c>
      <c r="F231" s="1">
        <v>3</v>
      </c>
      <c r="G231" s="1">
        <v>4.29</v>
      </c>
      <c r="H231" s="1" t="s">
        <v>122</v>
      </c>
      <c r="I231" s="1" t="s">
        <v>27</v>
      </c>
      <c r="J231" s="1">
        <v>67</v>
      </c>
      <c r="K231" s="1">
        <v>4.4000000000000004</v>
      </c>
      <c r="L231" s="4">
        <v>123.45</v>
      </c>
      <c r="M231" s="1">
        <v>1.02</v>
      </c>
      <c r="N231" s="1">
        <v>4</v>
      </c>
      <c r="O231" s="1">
        <v>0.79</v>
      </c>
      <c r="P231" s="1">
        <v>607</v>
      </c>
      <c r="Q231" s="1">
        <v>11.39</v>
      </c>
      <c r="R231" s="1">
        <v>0.87</v>
      </c>
      <c r="S231" s="2">
        <v>45459</v>
      </c>
      <c r="T231" s="1">
        <v>172.54</v>
      </c>
      <c r="U231" s="1">
        <v>0.70199999999999996</v>
      </c>
      <c r="V231" s="6">
        <f t="shared" si="9"/>
        <v>5802.1500000000005</v>
      </c>
      <c r="W231" s="6" t="str">
        <f t="shared" si="10"/>
        <v>Sufficient</v>
      </c>
      <c r="X231" s="8" t="str">
        <f t="shared" si="11"/>
        <v>LOW</v>
      </c>
    </row>
    <row r="232" spans="1:24">
      <c r="A232" s="7" t="s">
        <v>354</v>
      </c>
      <c r="B232" s="1" t="s">
        <v>25</v>
      </c>
      <c r="C232" s="1">
        <v>60</v>
      </c>
      <c r="D232" s="1">
        <v>89</v>
      </c>
      <c r="E232" s="1">
        <v>10</v>
      </c>
      <c r="F232" s="1">
        <v>9</v>
      </c>
      <c r="G232" s="1">
        <v>13.4</v>
      </c>
      <c r="H232" s="1" t="s">
        <v>274</v>
      </c>
      <c r="I232" s="1" t="s">
        <v>45</v>
      </c>
      <c r="J232" s="1">
        <v>65</v>
      </c>
      <c r="K232" s="1">
        <v>1.04</v>
      </c>
      <c r="L232" s="4">
        <v>199.51</v>
      </c>
      <c r="M232" s="1">
        <v>1.1399999999999999</v>
      </c>
      <c r="N232" s="1">
        <v>9</v>
      </c>
      <c r="O232" s="1">
        <v>0.98</v>
      </c>
      <c r="P232" s="1">
        <v>61</v>
      </c>
      <c r="Q232" s="1">
        <v>1.02</v>
      </c>
      <c r="R232" s="1">
        <v>0.92</v>
      </c>
      <c r="S232" s="2">
        <v>45307</v>
      </c>
      <c r="T232" s="1">
        <v>186.45</v>
      </c>
      <c r="U232" s="1">
        <v>0.5</v>
      </c>
      <c r="V232" s="6">
        <f t="shared" si="9"/>
        <v>11970.599999999999</v>
      </c>
      <c r="W232" s="6" t="str">
        <f t="shared" si="10"/>
        <v>Reorder Required</v>
      </c>
      <c r="X232" s="8" t="str">
        <f t="shared" si="11"/>
        <v>LOW</v>
      </c>
    </row>
    <row r="233" spans="1:24">
      <c r="A233" s="7" t="s">
        <v>355</v>
      </c>
      <c r="B233" s="1" t="s">
        <v>41</v>
      </c>
      <c r="C233" s="1">
        <v>374</v>
      </c>
      <c r="D233" s="1">
        <v>81</v>
      </c>
      <c r="E233" s="1">
        <v>3</v>
      </c>
      <c r="F233" s="1">
        <v>9</v>
      </c>
      <c r="G233" s="1">
        <v>40.590000000000003</v>
      </c>
      <c r="H233" s="1" t="s">
        <v>74</v>
      </c>
      <c r="I233" s="1" t="s">
        <v>45</v>
      </c>
      <c r="J233" s="1">
        <v>52</v>
      </c>
      <c r="K233" s="1">
        <v>4.68</v>
      </c>
      <c r="L233" s="4">
        <v>126.36</v>
      </c>
      <c r="M233" s="1">
        <v>0.25</v>
      </c>
      <c r="N233" s="1">
        <v>8</v>
      </c>
      <c r="O233" s="1">
        <v>0.95</v>
      </c>
      <c r="P233" s="1">
        <v>791</v>
      </c>
      <c r="Q233" s="1">
        <v>2.2200000000000002</v>
      </c>
      <c r="R233" s="1">
        <v>0.98</v>
      </c>
      <c r="S233" s="2">
        <v>45616</v>
      </c>
      <c r="T233" s="1">
        <v>178.65</v>
      </c>
      <c r="U233" s="1">
        <v>0.63100000000000001</v>
      </c>
      <c r="V233" s="6">
        <f t="shared" si="9"/>
        <v>47258.64</v>
      </c>
      <c r="W233" s="6" t="str">
        <f t="shared" si="10"/>
        <v>Sufficient</v>
      </c>
      <c r="X233" s="8" t="str">
        <f t="shared" si="11"/>
        <v>High</v>
      </c>
    </row>
    <row r="234" spans="1:24">
      <c r="A234" s="7" t="s">
        <v>356</v>
      </c>
      <c r="B234" s="1" t="s">
        <v>66</v>
      </c>
      <c r="C234" s="1">
        <v>322</v>
      </c>
      <c r="D234" s="1">
        <v>65</v>
      </c>
      <c r="E234" s="1">
        <v>5</v>
      </c>
      <c r="F234" s="1">
        <v>5</v>
      </c>
      <c r="G234" s="1">
        <v>9.19</v>
      </c>
      <c r="H234" s="1" t="s">
        <v>61</v>
      </c>
      <c r="I234" s="1" t="s">
        <v>39</v>
      </c>
      <c r="J234" s="1">
        <v>83</v>
      </c>
      <c r="K234" s="1">
        <v>1.74</v>
      </c>
      <c r="L234" s="4">
        <v>132.77000000000001</v>
      </c>
      <c r="M234" s="1">
        <v>1.85</v>
      </c>
      <c r="N234" s="1">
        <v>4</v>
      </c>
      <c r="O234" s="1">
        <v>0.87</v>
      </c>
      <c r="P234" s="1">
        <v>511</v>
      </c>
      <c r="Q234" s="1">
        <v>12.23</v>
      </c>
      <c r="R234" s="1">
        <v>0.98</v>
      </c>
      <c r="S234" s="2">
        <v>45431</v>
      </c>
      <c r="T234" s="1">
        <v>210.41</v>
      </c>
      <c r="U234" s="1">
        <v>0.66800000000000004</v>
      </c>
      <c r="V234" s="6">
        <f t="shared" si="9"/>
        <v>42751.94</v>
      </c>
      <c r="W234" s="6" t="str">
        <f t="shared" si="10"/>
        <v>Sufficient</v>
      </c>
      <c r="X234" s="8" t="str">
        <f t="shared" si="11"/>
        <v>High</v>
      </c>
    </row>
    <row r="235" spans="1:24">
      <c r="A235" s="7" t="s">
        <v>357</v>
      </c>
      <c r="B235" s="1" t="s">
        <v>25</v>
      </c>
      <c r="C235" s="1">
        <v>165</v>
      </c>
      <c r="D235" s="1">
        <v>98</v>
      </c>
      <c r="E235" s="1">
        <v>4</v>
      </c>
      <c r="F235" s="1">
        <v>5</v>
      </c>
      <c r="G235" s="1">
        <v>35.229999999999997</v>
      </c>
      <c r="H235" s="1" t="s">
        <v>68</v>
      </c>
      <c r="I235" s="1" t="s">
        <v>39</v>
      </c>
      <c r="J235" s="1">
        <v>58</v>
      </c>
      <c r="K235" s="1">
        <v>2.89</v>
      </c>
      <c r="L235" s="4">
        <v>18.510000000000002</v>
      </c>
      <c r="M235" s="1">
        <v>1.46</v>
      </c>
      <c r="N235" s="1">
        <v>8</v>
      </c>
      <c r="O235" s="1">
        <v>0.97</v>
      </c>
      <c r="P235" s="1">
        <v>674</v>
      </c>
      <c r="Q235" s="1">
        <v>12.92</v>
      </c>
      <c r="R235" s="1">
        <v>0.98</v>
      </c>
      <c r="S235" s="2">
        <v>45522</v>
      </c>
      <c r="T235" s="1">
        <v>95.12</v>
      </c>
      <c r="U235" s="1">
        <v>0.65600000000000003</v>
      </c>
      <c r="V235" s="6">
        <f t="shared" si="9"/>
        <v>3054.15</v>
      </c>
      <c r="W235" s="6" t="str">
        <f t="shared" si="10"/>
        <v>Sufficient</v>
      </c>
      <c r="X235" s="8" t="str">
        <f t="shared" si="11"/>
        <v>Medium</v>
      </c>
    </row>
    <row r="236" spans="1:24">
      <c r="A236" s="7" t="s">
        <v>358</v>
      </c>
      <c r="B236" s="1" t="s">
        <v>25</v>
      </c>
      <c r="C236" s="1">
        <v>275</v>
      </c>
      <c r="D236" s="1">
        <v>59</v>
      </c>
      <c r="E236" s="1">
        <v>7</v>
      </c>
      <c r="F236" s="1">
        <v>9</v>
      </c>
      <c r="G236" s="1">
        <v>39.229999999999997</v>
      </c>
      <c r="H236" s="1" t="s">
        <v>55</v>
      </c>
      <c r="I236" s="1" t="s">
        <v>31</v>
      </c>
      <c r="J236" s="1">
        <v>121</v>
      </c>
      <c r="K236" s="1">
        <v>0.8</v>
      </c>
      <c r="L236" s="4">
        <v>173.22</v>
      </c>
      <c r="M236" s="1">
        <v>1.62</v>
      </c>
      <c r="N236" s="1">
        <v>3</v>
      </c>
      <c r="O236" s="1">
        <v>0.97</v>
      </c>
      <c r="P236" s="1">
        <v>209</v>
      </c>
      <c r="Q236" s="1">
        <v>5.81</v>
      </c>
      <c r="R236" s="1">
        <v>0.77</v>
      </c>
      <c r="S236" s="2">
        <v>45543</v>
      </c>
      <c r="T236" s="1">
        <v>51.69</v>
      </c>
      <c r="U236" s="1">
        <v>0.60299999999999998</v>
      </c>
      <c r="V236" s="6">
        <f t="shared" si="9"/>
        <v>47635.5</v>
      </c>
      <c r="W236" s="6" t="str">
        <f t="shared" si="10"/>
        <v>Sufficient</v>
      </c>
      <c r="X236" s="8" t="str">
        <f t="shared" si="11"/>
        <v>High</v>
      </c>
    </row>
    <row r="237" spans="1:24">
      <c r="A237" s="7" t="s">
        <v>359</v>
      </c>
      <c r="B237" s="1" t="s">
        <v>66</v>
      </c>
      <c r="C237" s="1">
        <v>481</v>
      </c>
      <c r="D237" s="1">
        <v>21</v>
      </c>
      <c r="E237" s="1">
        <v>6</v>
      </c>
      <c r="F237" s="1">
        <v>9</v>
      </c>
      <c r="G237" s="1">
        <v>17.18</v>
      </c>
      <c r="H237" s="1" t="s">
        <v>256</v>
      </c>
      <c r="I237" s="1" t="s">
        <v>31</v>
      </c>
      <c r="J237" s="1">
        <v>117</v>
      </c>
      <c r="K237" s="1">
        <v>2.41</v>
      </c>
      <c r="L237" s="4">
        <v>194.32</v>
      </c>
      <c r="M237" s="1">
        <v>1.21</v>
      </c>
      <c r="N237" s="1">
        <v>4</v>
      </c>
      <c r="O237" s="1">
        <v>0.98</v>
      </c>
      <c r="P237" s="1">
        <v>984</v>
      </c>
      <c r="Q237" s="1">
        <v>14.42</v>
      </c>
      <c r="R237" s="1">
        <v>0.65</v>
      </c>
      <c r="S237" s="2">
        <v>45408</v>
      </c>
      <c r="T237" s="1">
        <v>227.51</v>
      </c>
      <c r="U237" s="1">
        <v>0.71699999999999997</v>
      </c>
      <c r="V237" s="6">
        <f t="shared" si="9"/>
        <v>93467.92</v>
      </c>
      <c r="W237" s="6" t="str">
        <f t="shared" si="10"/>
        <v>Sufficient</v>
      </c>
      <c r="X237" s="8" t="str">
        <f t="shared" si="11"/>
        <v>High</v>
      </c>
    </row>
    <row r="238" spans="1:24">
      <c r="A238" s="7" t="s">
        <v>360</v>
      </c>
      <c r="B238" s="1" t="s">
        <v>41</v>
      </c>
      <c r="C238" s="1">
        <v>246</v>
      </c>
      <c r="D238" s="1">
        <v>98</v>
      </c>
      <c r="E238" s="1">
        <v>9</v>
      </c>
      <c r="F238" s="1">
        <v>3</v>
      </c>
      <c r="G238" s="1">
        <v>16.79</v>
      </c>
      <c r="H238" s="1" t="s">
        <v>126</v>
      </c>
      <c r="I238" s="1" t="s">
        <v>27</v>
      </c>
      <c r="J238" s="1">
        <v>69</v>
      </c>
      <c r="K238" s="1">
        <v>1.07</v>
      </c>
      <c r="L238" s="4">
        <v>192.46</v>
      </c>
      <c r="M238" s="1">
        <v>1.36</v>
      </c>
      <c r="N238" s="1">
        <v>0</v>
      </c>
      <c r="O238" s="1">
        <v>0.77</v>
      </c>
      <c r="P238" s="1">
        <v>788</v>
      </c>
      <c r="Q238" s="1">
        <v>5.22</v>
      </c>
      <c r="R238" s="1">
        <v>0.34</v>
      </c>
      <c r="S238" s="2">
        <v>45474</v>
      </c>
      <c r="T238" s="1">
        <v>66.94</v>
      </c>
      <c r="U238" s="1">
        <v>0.55600000000000005</v>
      </c>
      <c r="V238" s="6">
        <f t="shared" si="9"/>
        <v>47345.16</v>
      </c>
      <c r="W238" s="6" t="str">
        <f t="shared" si="10"/>
        <v>Sufficient</v>
      </c>
      <c r="X238" s="8" t="str">
        <f t="shared" si="11"/>
        <v>Medium</v>
      </c>
    </row>
    <row r="239" spans="1:24">
      <c r="A239" s="7" t="s">
        <v>361</v>
      </c>
      <c r="B239" s="1" t="s">
        <v>66</v>
      </c>
      <c r="C239" s="1">
        <v>255</v>
      </c>
      <c r="D239" s="1">
        <v>90</v>
      </c>
      <c r="E239" s="1">
        <v>7</v>
      </c>
      <c r="F239" s="1">
        <v>5</v>
      </c>
      <c r="G239" s="1">
        <v>28.33</v>
      </c>
      <c r="H239" s="1" t="s">
        <v>200</v>
      </c>
      <c r="I239" s="1" t="s">
        <v>27</v>
      </c>
      <c r="J239" s="1">
        <v>103</v>
      </c>
      <c r="K239" s="1">
        <v>0.72</v>
      </c>
      <c r="L239" s="4">
        <v>52.01</v>
      </c>
      <c r="M239" s="1">
        <v>0.84</v>
      </c>
      <c r="N239" s="1">
        <v>5</v>
      </c>
      <c r="O239" s="1">
        <v>0.92</v>
      </c>
      <c r="P239" s="1">
        <v>744</v>
      </c>
      <c r="Q239" s="1">
        <v>13.46</v>
      </c>
      <c r="R239" s="1">
        <v>0.81</v>
      </c>
      <c r="S239" s="2">
        <v>45575</v>
      </c>
      <c r="T239" s="1">
        <v>43.11</v>
      </c>
      <c r="U239" s="1">
        <v>0.74099999999999999</v>
      </c>
      <c r="V239" s="6">
        <f t="shared" si="9"/>
        <v>13262.55</v>
      </c>
      <c r="W239" s="6" t="str">
        <f t="shared" si="10"/>
        <v>Sufficient</v>
      </c>
      <c r="X239" s="8" t="str">
        <f t="shared" si="11"/>
        <v>High</v>
      </c>
    </row>
    <row r="240" spans="1:24">
      <c r="A240" s="7" t="s">
        <v>362</v>
      </c>
      <c r="B240" s="1" t="s">
        <v>25</v>
      </c>
      <c r="C240" s="1">
        <v>380</v>
      </c>
      <c r="D240" s="1">
        <v>69</v>
      </c>
      <c r="E240" s="1">
        <v>10</v>
      </c>
      <c r="F240" s="1">
        <v>8</v>
      </c>
      <c r="G240" s="1">
        <v>43.2</v>
      </c>
      <c r="H240" s="1" t="s">
        <v>79</v>
      </c>
      <c r="I240" s="1" t="s">
        <v>45</v>
      </c>
      <c r="J240" s="1">
        <v>153</v>
      </c>
      <c r="K240" s="1">
        <v>4.8499999999999996</v>
      </c>
      <c r="L240" s="4">
        <v>52.92</v>
      </c>
      <c r="M240" s="1">
        <v>1.39</v>
      </c>
      <c r="N240" s="1">
        <v>2</v>
      </c>
      <c r="O240" s="1">
        <v>0.88</v>
      </c>
      <c r="P240" s="1">
        <v>616</v>
      </c>
      <c r="Q240" s="1">
        <v>6.9</v>
      </c>
      <c r="R240" s="1">
        <v>0.79</v>
      </c>
      <c r="S240" s="2">
        <v>45484</v>
      </c>
      <c r="T240" s="1">
        <v>114.22</v>
      </c>
      <c r="U240" s="1">
        <v>0.64700000000000002</v>
      </c>
      <c r="V240" s="6">
        <f t="shared" si="9"/>
        <v>20109.600000000002</v>
      </c>
      <c r="W240" s="6" t="str">
        <f t="shared" si="10"/>
        <v>Sufficient</v>
      </c>
      <c r="X240" s="8" t="str">
        <f t="shared" si="11"/>
        <v>High</v>
      </c>
    </row>
    <row r="241" spans="1:24">
      <c r="A241" s="7" t="s">
        <v>363</v>
      </c>
      <c r="B241" s="1" t="s">
        <v>29</v>
      </c>
      <c r="C241" s="1">
        <v>399</v>
      </c>
      <c r="D241" s="1">
        <v>35</v>
      </c>
      <c r="E241" s="1">
        <v>6</v>
      </c>
      <c r="F241" s="1">
        <v>3</v>
      </c>
      <c r="G241" s="1">
        <v>11.97</v>
      </c>
      <c r="H241" s="1" t="s">
        <v>81</v>
      </c>
      <c r="I241" s="1" t="s">
        <v>39</v>
      </c>
      <c r="J241" s="1">
        <v>82</v>
      </c>
      <c r="K241" s="1">
        <v>3.79</v>
      </c>
      <c r="L241" s="4">
        <v>79.55</v>
      </c>
      <c r="M241" s="1">
        <v>1.96</v>
      </c>
      <c r="N241" s="1">
        <v>9</v>
      </c>
      <c r="O241" s="1">
        <v>0.92</v>
      </c>
      <c r="P241" s="1">
        <v>315</v>
      </c>
      <c r="Q241" s="1">
        <v>8.8699999999999992</v>
      </c>
      <c r="R241" s="1">
        <v>0.87</v>
      </c>
      <c r="S241" s="2">
        <v>45513</v>
      </c>
      <c r="T241" s="1">
        <v>251.5</v>
      </c>
      <c r="U241" s="1">
        <v>0.5</v>
      </c>
      <c r="V241" s="6">
        <f t="shared" si="9"/>
        <v>31740.449999999997</v>
      </c>
      <c r="W241" s="6" t="str">
        <f t="shared" si="10"/>
        <v>Sufficient</v>
      </c>
      <c r="X241" s="8" t="str">
        <f t="shared" si="11"/>
        <v>High</v>
      </c>
    </row>
    <row r="242" spans="1:24">
      <c r="A242" s="7" t="s">
        <v>364</v>
      </c>
      <c r="B242" s="1" t="s">
        <v>29</v>
      </c>
      <c r="C242" s="1">
        <v>474</v>
      </c>
      <c r="D242" s="1">
        <v>87</v>
      </c>
      <c r="E242" s="1">
        <v>14</v>
      </c>
      <c r="F242" s="1">
        <v>2</v>
      </c>
      <c r="G242" s="1">
        <v>47.12</v>
      </c>
      <c r="H242" s="1" t="s">
        <v>331</v>
      </c>
      <c r="I242" s="1" t="s">
        <v>27</v>
      </c>
      <c r="J242" s="1">
        <v>108</v>
      </c>
      <c r="K242" s="1">
        <v>3.74</v>
      </c>
      <c r="L242" s="4">
        <v>68.94</v>
      </c>
      <c r="M242" s="1">
        <v>1.33</v>
      </c>
      <c r="N242" s="1">
        <v>1</v>
      </c>
      <c r="O242" s="1">
        <v>0.78</v>
      </c>
      <c r="P242" s="1">
        <v>596</v>
      </c>
      <c r="Q242" s="1">
        <v>10.01</v>
      </c>
      <c r="R242" s="1">
        <v>0.56999999999999995</v>
      </c>
      <c r="S242" s="2">
        <v>45387</v>
      </c>
      <c r="T242" s="1">
        <v>33.81</v>
      </c>
      <c r="U242" s="1">
        <v>0.65</v>
      </c>
      <c r="V242" s="6">
        <f t="shared" si="9"/>
        <v>32677.559999999998</v>
      </c>
      <c r="W242" s="6" t="str">
        <f t="shared" si="10"/>
        <v>Sufficient</v>
      </c>
      <c r="X242" s="8" t="str">
        <f t="shared" si="11"/>
        <v>High</v>
      </c>
    </row>
    <row r="243" spans="1:24">
      <c r="A243" s="7" t="s">
        <v>365</v>
      </c>
      <c r="B243" s="1" t="s">
        <v>33</v>
      </c>
      <c r="C243" s="1">
        <v>32</v>
      </c>
      <c r="D243" s="1">
        <v>50</v>
      </c>
      <c r="E243" s="1">
        <v>8</v>
      </c>
      <c r="F243" s="1">
        <v>3</v>
      </c>
      <c r="G243" s="1">
        <v>30.36</v>
      </c>
      <c r="H243" s="1" t="s">
        <v>216</v>
      </c>
      <c r="I243" s="1" t="s">
        <v>45</v>
      </c>
      <c r="J243" s="1">
        <v>123</v>
      </c>
      <c r="K243" s="1">
        <v>0.91</v>
      </c>
      <c r="L243" s="4">
        <v>68.069999999999993</v>
      </c>
      <c r="M243" s="1">
        <v>0.75</v>
      </c>
      <c r="N243" s="1">
        <v>5</v>
      </c>
      <c r="O243" s="1">
        <v>0.91</v>
      </c>
      <c r="P243" s="1">
        <v>129</v>
      </c>
      <c r="Q243" s="1">
        <v>2.86</v>
      </c>
      <c r="R243" s="1">
        <v>0.91</v>
      </c>
      <c r="S243" s="2">
        <v>45640</v>
      </c>
      <c r="T243" s="1">
        <v>66.709999999999994</v>
      </c>
      <c r="U243" s="1">
        <v>0.627</v>
      </c>
      <c r="V243" s="6">
        <f t="shared" si="9"/>
        <v>2178.2399999999998</v>
      </c>
      <c r="W243" s="6" t="str">
        <f t="shared" si="10"/>
        <v>Reorder Required</v>
      </c>
      <c r="X243" s="8" t="str">
        <f t="shared" si="11"/>
        <v>LOW</v>
      </c>
    </row>
    <row r="244" spans="1:24">
      <c r="A244" s="7" t="s">
        <v>366</v>
      </c>
      <c r="B244" s="1" t="s">
        <v>66</v>
      </c>
      <c r="C244" s="1">
        <v>229</v>
      </c>
      <c r="D244" s="1">
        <v>45</v>
      </c>
      <c r="E244" s="1">
        <v>6</v>
      </c>
      <c r="F244" s="1">
        <v>6</v>
      </c>
      <c r="G244" s="1">
        <v>49.61</v>
      </c>
      <c r="H244" s="1" t="s">
        <v>176</v>
      </c>
      <c r="I244" s="1" t="s">
        <v>45</v>
      </c>
      <c r="J244" s="1">
        <v>24</v>
      </c>
      <c r="K244" s="1">
        <v>4.68</v>
      </c>
      <c r="L244" s="4">
        <v>124.99</v>
      </c>
      <c r="M244" s="1">
        <v>0.64</v>
      </c>
      <c r="N244" s="1">
        <v>0</v>
      </c>
      <c r="O244" s="1">
        <v>0.82</v>
      </c>
      <c r="P244" s="1">
        <v>567</v>
      </c>
      <c r="Q244" s="1">
        <v>1.52</v>
      </c>
      <c r="R244" s="1">
        <v>0.77</v>
      </c>
      <c r="S244" s="2">
        <v>45591</v>
      </c>
      <c r="T244" s="1">
        <v>147.83000000000001</v>
      </c>
      <c r="U244" s="1">
        <v>0.67400000000000004</v>
      </c>
      <c r="V244" s="6">
        <f t="shared" si="9"/>
        <v>28622.71</v>
      </c>
      <c r="W244" s="6" t="str">
        <f t="shared" si="10"/>
        <v>Sufficient</v>
      </c>
      <c r="X244" s="8" t="str">
        <f t="shared" si="11"/>
        <v>Medium</v>
      </c>
    </row>
    <row r="245" spans="1:24">
      <c r="A245" s="7" t="s">
        <v>367</v>
      </c>
      <c r="B245" s="1" t="s">
        <v>66</v>
      </c>
      <c r="C245" s="1">
        <v>248</v>
      </c>
      <c r="D245" s="1">
        <v>32</v>
      </c>
      <c r="E245" s="1">
        <v>4</v>
      </c>
      <c r="F245" s="1">
        <v>6</v>
      </c>
      <c r="G245" s="1">
        <v>5.39</v>
      </c>
      <c r="H245" s="1" t="s">
        <v>83</v>
      </c>
      <c r="I245" s="1" t="s">
        <v>31</v>
      </c>
      <c r="J245" s="1">
        <v>72</v>
      </c>
      <c r="K245" s="1">
        <v>2.61</v>
      </c>
      <c r="L245" s="4">
        <v>163.07</v>
      </c>
      <c r="M245" s="1">
        <v>1.93</v>
      </c>
      <c r="N245" s="1">
        <v>8</v>
      </c>
      <c r="O245" s="1">
        <v>0.95</v>
      </c>
      <c r="P245" s="1">
        <v>688</v>
      </c>
      <c r="Q245" s="1">
        <v>6.98</v>
      </c>
      <c r="R245" s="1">
        <v>0.34</v>
      </c>
      <c r="S245" s="2">
        <v>45630</v>
      </c>
      <c r="T245" s="1">
        <v>93.42</v>
      </c>
      <c r="U245" s="1">
        <v>0.39800000000000002</v>
      </c>
      <c r="V245" s="6">
        <f t="shared" si="9"/>
        <v>40441.360000000001</v>
      </c>
      <c r="W245" s="6" t="str">
        <f t="shared" si="10"/>
        <v>Sufficient</v>
      </c>
      <c r="X245" s="8" t="str">
        <f t="shared" si="11"/>
        <v>Medium</v>
      </c>
    </row>
    <row r="246" spans="1:24">
      <c r="A246" s="7" t="s">
        <v>368</v>
      </c>
      <c r="B246" s="1" t="s">
        <v>33</v>
      </c>
      <c r="C246" s="1">
        <v>416</v>
      </c>
      <c r="D246" s="1">
        <v>52</v>
      </c>
      <c r="E246" s="1">
        <v>3</v>
      </c>
      <c r="F246" s="1">
        <v>4</v>
      </c>
      <c r="G246" s="1">
        <v>7.2</v>
      </c>
      <c r="H246" s="1" t="s">
        <v>171</v>
      </c>
      <c r="I246" s="1" t="s">
        <v>39</v>
      </c>
      <c r="J246" s="1">
        <v>37</v>
      </c>
      <c r="K246" s="1">
        <v>4.34</v>
      </c>
      <c r="L246" s="4">
        <v>187.99</v>
      </c>
      <c r="M246" s="1">
        <v>0.45</v>
      </c>
      <c r="N246" s="1">
        <v>4</v>
      </c>
      <c r="O246" s="1">
        <v>0.94</v>
      </c>
      <c r="P246" s="1">
        <v>117</v>
      </c>
      <c r="Q246" s="1">
        <v>3.24</v>
      </c>
      <c r="R246" s="1">
        <v>0.37</v>
      </c>
      <c r="S246" s="2">
        <v>45486</v>
      </c>
      <c r="T246" s="1">
        <v>219.28</v>
      </c>
      <c r="U246" s="1">
        <v>0.57999999999999996</v>
      </c>
      <c r="V246" s="6">
        <f t="shared" si="9"/>
        <v>78203.839999999997</v>
      </c>
      <c r="W246" s="6" t="str">
        <f t="shared" si="10"/>
        <v>Sufficient</v>
      </c>
      <c r="X246" s="8" t="str">
        <f t="shared" si="11"/>
        <v>High</v>
      </c>
    </row>
    <row r="247" spans="1:24">
      <c r="A247" s="7" t="s">
        <v>369</v>
      </c>
      <c r="B247" s="1" t="s">
        <v>33</v>
      </c>
      <c r="C247" s="1">
        <v>119</v>
      </c>
      <c r="D247" s="1">
        <v>15</v>
      </c>
      <c r="E247" s="1">
        <v>3</v>
      </c>
      <c r="F247" s="1">
        <v>5</v>
      </c>
      <c r="G247" s="1">
        <v>41.51</v>
      </c>
      <c r="H247" s="1" t="s">
        <v>370</v>
      </c>
      <c r="I247" s="1" t="s">
        <v>45</v>
      </c>
      <c r="J247" s="1">
        <v>157</v>
      </c>
      <c r="K247" s="1">
        <v>0.56000000000000005</v>
      </c>
      <c r="L247" s="4">
        <v>22.89</v>
      </c>
      <c r="M247" s="1">
        <v>1.63</v>
      </c>
      <c r="N247" s="1">
        <v>6</v>
      </c>
      <c r="O247" s="1">
        <v>0.76</v>
      </c>
      <c r="P247" s="1">
        <v>751</v>
      </c>
      <c r="Q247" s="1">
        <v>8.69</v>
      </c>
      <c r="R247" s="1">
        <v>0.85</v>
      </c>
      <c r="S247" s="2">
        <v>45335</v>
      </c>
      <c r="T247" s="1">
        <v>205.72</v>
      </c>
      <c r="U247" s="1">
        <v>0.55500000000000005</v>
      </c>
      <c r="V247" s="6">
        <f t="shared" si="9"/>
        <v>2723.91</v>
      </c>
      <c r="W247" s="6" t="str">
        <f t="shared" si="10"/>
        <v>Sufficient</v>
      </c>
      <c r="X247" s="8" t="str">
        <f t="shared" si="11"/>
        <v>Medium</v>
      </c>
    </row>
    <row r="248" spans="1:24">
      <c r="A248" s="7" t="s">
        <v>371</v>
      </c>
      <c r="B248" s="1" t="s">
        <v>33</v>
      </c>
      <c r="C248" s="1">
        <v>50</v>
      </c>
      <c r="D248" s="1">
        <v>78</v>
      </c>
      <c r="E248" s="1">
        <v>10</v>
      </c>
      <c r="F248" s="1">
        <v>9</v>
      </c>
      <c r="G248" s="1">
        <v>43.37</v>
      </c>
      <c r="H248" s="1" t="s">
        <v>372</v>
      </c>
      <c r="I248" s="1" t="s">
        <v>31</v>
      </c>
      <c r="J248" s="1">
        <v>170</v>
      </c>
      <c r="K248" s="1">
        <v>1.84</v>
      </c>
      <c r="L248" s="4">
        <v>62.82</v>
      </c>
      <c r="M248" s="1">
        <v>0.98</v>
      </c>
      <c r="N248" s="1">
        <v>9</v>
      </c>
      <c r="O248" s="1">
        <v>0.76</v>
      </c>
      <c r="P248" s="1">
        <v>293</v>
      </c>
      <c r="Q248" s="1">
        <v>7.35</v>
      </c>
      <c r="R248" s="1">
        <v>0.54</v>
      </c>
      <c r="S248" s="2">
        <v>45608</v>
      </c>
      <c r="T248" s="1">
        <v>254.33</v>
      </c>
      <c r="U248" s="1">
        <v>0.48</v>
      </c>
      <c r="V248" s="6">
        <f t="shared" si="9"/>
        <v>3141</v>
      </c>
      <c r="W248" s="6" t="str">
        <f t="shared" si="10"/>
        <v>Reorder Required</v>
      </c>
      <c r="X248" s="8" t="str">
        <f t="shared" si="11"/>
        <v>LOW</v>
      </c>
    </row>
    <row r="249" spans="1:24">
      <c r="A249" s="7" t="s">
        <v>373</v>
      </c>
      <c r="B249" s="1" t="s">
        <v>25</v>
      </c>
      <c r="C249" s="1">
        <v>405</v>
      </c>
      <c r="D249" s="1">
        <v>52</v>
      </c>
      <c r="E249" s="1">
        <v>6</v>
      </c>
      <c r="F249" s="1">
        <v>7</v>
      </c>
      <c r="G249" s="1">
        <v>22.83</v>
      </c>
      <c r="H249" s="1" t="s">
        <v>91</v>
      </c>
      <c r="I249" s="1" t="s">
        <v>45</v>
      </c>
      <c r="J249" s="1">
        <v>45</v>
      </c>
      <c r="K249" s="1">
        <v>4.9800000000000004</v>
      </c>
      <c r="L249" s="4">
        <v>58.45</v>
      </c>
      <c r="M249" s="1">
        <v>0.94</v>
      </c>
      <c r="N249" s="1">
        <v>8</v>
      </c>
      <c r="O249" s="1">
        <v>0.92</v>
      </c>
      <c r="P249" s="1">
        <v>58</v>
      </c>
      <c r="Q249" s="1">
        <v>2.71</v>
      </c>
      <c r="R249" s="1">
        <v>0.4</v>
      </c>
      <c r="S249" s="2">
        <v>45443</v>
      </c>
      <c r="T249" s="1">
        <v>69.11</v>
      </c>
      <c r="U249" s="1">
        <v>0.44600000000000001</v>
      </c>
      <c r="V249" s="6">
        <f t="shared" si="9"/>
        <v>23672.25</v>
      </c>
      <c r="W249" s="6" t="str">
        <f t="shared" si="10"/>
        <v>Sufficient</v>
      </c>
      <c r="X249" s="8" t="str">
        <f t="shared" si="11"/>
        <v>High</v>
      </c>
    </row>
    <row r="250" spans="1:24">
      <c r="A250" s="7" t="s">
        <v>374</v>
      </c>
      <c r="B250" s="1" t="s">
        <v>66</v>
      </c>
      <c r="C250" s="1">
        <v>35</v>
      </c>
      <c r="D250" s="1">
        <v>34</v>
      </c>
      <c r="E250" s="1">
        <v>7</v>
      </c>
      <c r="F250" s="1">
        <v>5</v>
      </c>
      <c r="G250" s="1">
        <v>35.99</v>
      </c>
      <c r="H250" s="1" t="s">
        <v>132</v>
      </c>
      <c r="I250" s="1" t="s">
        <v>39</v>
      </c>
      <c r="J250" s="1">
        <v>134</v>
      </c>
      <c r="K250" s="1">
        <v>2.4300000000000002</v>
      </c>
      <c r="L250" s="4">
        <v>77.91</v>
      </c>
      <c r="M250" s="1">
        <v>1.52</v>
      </c>
      <c r="N250" s="1">
        <v>8</v>
      </c>
      <c r="O250" s="1">
        <v>0.87</v>
      </c>
      <c r="P250" s="1">
        <v>206</v>
      </c>
      <c r="Q250" s="1">
        <v>10.32</v>
      </c>
      <c r="R250" s="1">
        <v>0.54</v>
      </c>
      <c r="S250" s="2">
        <v>45418</v>
      </c>
      <c r="T250" s="1">
        <v>198.19</v>
      </c>
      <c r="U250" s="1">
        <v>0.50800000000000001</v>
      </c>
      <c r="V250" s="6">
        <f t="shared" si="9"/>
        <v>2726.85</v>
      </c>
      <c r="W250" s="6" t="str">
        <f t="shared" si="10"/>
        <v>Sufficient</v>
      </c>
      <c r="X250" s="8" t="str">
        <f t="shared" si="11"/>
        <v>LOW</v>
      </c>
    </row>
    <row r="251" spans="1:24">
      <c r="A251" s="7" t="s">
        <v>375</v>
      </c>
      <c r="B251" s="1" t="s">
        <v>25</v>
      </c>
      <c r="C251" s="1">
        <v>156</v>
      </c>
      <c r="D251" s="1">
        <v>27</v>
      </c>
      <c r="E251" s="1">
        <v>13</v>
      </c>
      <c r="F251" s="1">
        <v>8</v>
      </c>
      <c r="G251" s="1">
        <v>43.51</v>
      </c>
      <c r="H251" s="1" t="s">
        <v>42</v>
      </c>
      <c r="I251" s="1" t="s">
        <v>45</v>
      </c>
      <c r="J251" s="1">
        <v>150</v>
      </c>
      <c r="K251" s="1">
        <v>4.5</v>
      </c>
      <c r="L251" s="4">
        <v>90.62</v>
      </c>
      <c r="M251" s="1">
        <v>0.38</v>
      </c>
      <c r="N251" s="1">
        <v>6</v>
      </c>
      <c r="O251" s="1">
        <v>0.87</v>
      </c>
      <c r="P251" s="1">
        <v>632</v>
      </c>
      <c r="Q251" s="1">
        <v>1.29</v>
      </c>
      <c r="R251" s="1">
        <v>0.33</v>
      </c>
      <c r="S251" s="2">
        <v>45329</v>
      </c>
      <c r="T251" s="1">
        <v>234.67</v>
      </c>
      <c r="U251" s="1">
        <v>0.499</v>
      </c>
      <c r="V251" s="6">
        <f t="shared" si="9"/>
        <v>14136.720000000001</v>
      </c>
      <c r="W251" s="6" t="str">
        <f t="shared" si="10"/>
        <v>Sufficient</v>
      </c>
      <c r="X251" s="8" t="str">
        <f t="shared" si="11"/>
        <v>Medium</v>
      </c>
    </row>
    <row r="252" spans="1:24">
      <c r="A252" s="7" t="s">
        <v>376</v>
      </c>
      <c r="B252" s="1" t="s">
        <v>33</v>
      </c>
      <c r="C252" s="1">
        <v>348</v>
      </c>
      <c r="D252" s="1">
        <v>71</v>
      </c>
      <c r="E252" s="1">
        <v>10</v>
      </c>
      <c r="F252" s="1">
        <v>3</v>
      </c>
      <c r="G252" s="1">
        <v>3.11</v>
      </c>
      <c r="H252" s="1" t="s">
        <v>44</v>
      </c>
      <c r="I252" s="1" t="s">
        <v>45</v>
      </c>
      <c r="J252" s="1">
        <v>71</v>
      </c>
      <c r="K252" s="1">
        <v>1.98</v>
      </c>
      <c r="L252" s="4">
        <v>83.94</v>
      </c>
      <c r="M252" s="1">
        <v>0.99</v>
      </c>
      <c r="N252" s="1">
        <v>3</v>
      </c>
      <c r="O252" s="1">
        <v>0.93</v>
      </c>
      <c r="P252" s="1">
        <v>513</v>
      </c>
      <c r="Q252" s="1">
        <v>2.77</v>
      </c>
      <c r="R252" s="1">
        <v>0.91</v>
      </c>
      <c r="S252" s="2">
        <v>45334</v>
      </c>
      <c r="T252" s="1">
        <v>28.17</v>
      </c>
      <c r="U252" s="1">
        <v>0.64600000000000002</v>
      </c>
      <c r="V252" s="6">
        <f t="shared" si="9"/>
        <v>29211.119999999999</v>
      </c>
      <c r="W252" s="6" t="str">
        <f t="shared" si="10"/>
        <v>Sufficient</v>
      </c>
      <c r="X252" s="8" t="str">
        <f t="shared" si="11"/>
        <v>High</v>
      </c>
    </row>
    <row r="253" spans="1:24">
      <c r="A253" s="7" t="s">
        <v>377</v>
      </c>
      <c r="B253" s="1" t="s">
        <v>66</v>
      </c>
      <c r="C253" s="1">
        <v>185</v>
      </c>
      <c r="D253" s="1">
        <v>22</v>
      </c>
      <c r="E253" s="1">
        <v>14</v>
      </c>
      <c r="F253" s="1">
        <v>7</v>
      </c>
      <c r="G253" s="1">
        <v>29.12</v>
      </c>
      <c r="H253" s="1" t="s">
        <v>153</v>
      </c>
      <c r="I253" s="1" t="s">
        <v>27</v>
      </c>
      <c r="J253" s="1">
        <v>160</v>
      </c>
      <c r="K253" s="1">
        <v>2.86</v>
      </c>
      <c r="L253" s="4">
        <v>190.91</v>
      </c>
      <c r="M253" s="1">
        <v>0.17</v>
      </c>
      <c r="N253" s="1">
        <v>3</v>
      </c>
      <c r="O253" s="1">
        <v>0.96</v>
      </c>
      <c r="P253" s="1">
        <v>695</v>
      </c>
      <c r="Q253" s="1">
        <v>10.8</v>
      </c>
      <c r="R253" s="1">
        <v>0.26</v>
      </c>
      <c r="S253" s="2">
        <v>45429</v>
      </c>
      <c r="T253" s="1">
        <v>20.68</v>
      </c>
      <c r="U253" s="1">
        <v>0.71099999999999997</v>
      </c>
      <c r="V253" s="6">
        <f t="shared" si="9"/>
        <v>35318.35</v>
      </c>
      <c r="W253" s="6" t="str">
        <f t="shared" si="10"/>
        <v>Sufficient</v>
      </c>
      <c r="X253" s="8" t="str">
        <f t="shared" si="11"/>
        <v>Medium</v>
      </c>
    </row>
    <row r="254" spans="1:24">
      <c r="A254" s="7" t="s">
        <v>378</v>
      </c>
      <c r="B254" s="1" t="s">
        <v>25</v>
      </c>
      <c r="C254" s="1">
        <v>478</v>
      </c>
      <c r="D254" s="1">
        <v>52</v>
      </c>
      <c r="E254" s="1">
        <v>9</v>
      </c>
      <c r="F254" s="1">
        <v>7</v>
      </c>
      <c r="G254" s="1">
        <v>42.82</v>
      </c>
      <c r="H254" s="1" t="s">
        <v>103</v>
      </c>
      <c r="I254" s="1" t="s">
        <v>27</v>
      </c>
      <c r="J254" s="1">
        <v>22</v>
      </c>
      <c r="K254" s="1">
        <v>4.34</v>
      </c>
      <c r="L254" s="4">
        <v>93.05</v>
      </c>
      <c r="M254" s="1">
        <v>1.37</v>
      </c>
      <c r="N254" s="1">
        <v>6</v>
      </c>
      <c r="O254" s="1">
        <v>0.77</v>
      </c>
      <c r="P254" s="1">
        <v>349</v>
      </c>
      <c r="Q254" s="1">
        <v>8.39</v>
      </c>
      <c r="R254" s="1">
        <v>0.48</v>
      </c>
      <c r="S254" s="2">
        <v>45370</v>
      </c>
      <c r="T254" s="1">
        <v>172.18</v>
      </c>
      <c r="U254" s="1">
        <v>0.505</v>
      </c>
      <c r="V254" s="6">
        <f t="shared" si="9"/>
        <v>44477.9</v>
      </c>
      <c r="W254" s="6" t="str">
        <f t="shared" si="10"/>
        <v>Sufficient</v>
      </c>
      <c r="X254" s="8" t="str">
        <f t="shared" si="11"/>
        <v>High</v>
      </c>
    </row>
    <row r="255" spans="1:24">
      <c r="A255" s="7" t="s">
        <v>379</v>
      </c>
      <c r="B255" s="1" t="s">
        <v>25</v>
      </c>
      <c r="C255" s="1">
        <v>329</v>
      </c>
      <c r="D255" s="1">
        <v>87</v>
      </c>
      <c r="E255" s="1">
        <v>10</v>
      </c>
      <c r="F255" s="1">
        <v>9</v>
      </c>
      <c r="G255" s="1">
        <v>20.51</v>
      </c>
      <c r="H255" s="1" t="s">
        <v>327</v>
      </c>
      <c r="I255" s="1" t="s">
        <v>31</v>
      </c>
      <c r="J255" s="1">
        <v>97</v>
      </c>
      <c r="K255" s="1">
        <v>3.23</v>
      </c>
      <c r="L255" s="4">
        <v>114.8</v>
      </c>
      <c r="M255" s="1">
        <v>0.21</v>
      </c>
      <c r="N255" s="1">
        <v>7</v>
      </c>
      <c r="O255" s="1">
        <v>0.87</v>
      </c>
      <c r="P255" s="1">
        <v>369</v>
      </c>
      <c r="Q255" s="1">
        <v>4.95</v>
      </c>
      <c r="R255" s="1">
        <v>0.65</v>
      </c>
      <c r="S255" s="2">
        <v>45486</v>
      </c>
      <c r="T255" s="1">
        <v>180.48</v>
      </c>
      <c r="U255" s="1">
        <v>0.60899999999999999</v>
      </c>
      <c r="V255" s="6">
        <f t="shared" si="9"/>
        <v>37769.199999999997</v>
      </c>
      <c r="W255" s="6" t="str">
        <f t="shared" si="10"/>
        <v>Sufficient</v>
      </c>
      <c r="X255" s="8" t="str">
        <f t="shared" si="11"/>
        <v>High</v>
      </c>
    </row>
    <row r="256" spans="1:24">
      <c r="A256" s="7" t="s">
        <v>380</v>
      </c>
      <c r="B256" s="1" t="s">
        <v>33</v>
      </c>
      <c r="C256" s="1">
        <v>459</v>
      </c>
      <c r="D256" s="1">
        <v>37</v>
      </c>
      <c r="E256" s="1">
        <v>10</v>
      </c>
      <c r="F256" s="1">
        <v>9</v>
      </c>
      <c r="G256" s="1">
        <v>15.82</v>
      </c>
      <c r="H256" s="1" t="s">
        <v>59</v>
      </c>
      <c r="I256" s="1" t="s">
        <v>45</v>
      </c>
      <c r="J256" s="1">
        <v>49</v>
      </c>
      <c r="K256" s="1">
        <v>3.76</v>
      </c>
      <c r="L256" s="4">
        <v>152.24</v>
      </c>
      <c r="M256" s="1">
        <v>0.27</v>
      </c>
      <c r="N256" s="1">
        <v>6</v>
      </c>
      <c r="O256" s="1">
        <v>0.95</v>
      </c>
      <c r="P256" s="1">
        <v>298</v>
      </c>
      <c r="Q256" s="1">
        <v>3.52</v>
      </c>
      <c r="R256" s="1">
        <v>0.9</v>
      </c>
      <c r="S256" s="2">
        <v>45656</v>
      </c>
      <c r="T256" s="1">
        <v>123.91</v>
      </c>
      <c r="U256" s="1">
        <v>0.67</v>
      </c>
      <c r="V256" s="6">
        <f t="shared" si="9"/>
        <v>69878.16</v>
      </c>
      <c r="W256" s="6" t="str">
        <f t="shared" si="10"/>
        <v>Sufficient</v>
      </c>
      <c r="X256" s="8" t="str">
        <f t="shared" si="11"/>
        <v>High</v>
      </c>
    </row>
    <row r="257" spans="1:24">
      <c r="A257" s="7" t="s">
        <v>381</v>
      </c>
      <c r="B257" s="1" t="s">
        <v>66</v>
      </c>
      <c r="C257" s="1">
        <v>489</v>
      </c>
      <c r="D257" s="1">
        <v>27</v>
      </c>
      <c r="E257" s="1">
        <v>8</v>
      </c>
      <c r="F257" s="1">
        <v>5</v>
      </c>
      <c r="G257" s="1">
        <v>39.99</v>
      </c>
      <c r="H257" s="1" t="s">
        <v>137</v>
      </c>
      <c r="I257" s="1" t="s">
        <v>31</v>
      </c>
      <c r="J257" s="1">
        <v>167</v>
      </c>
      <c r="K257" s="1">
        <v>1.53</v>
      </c>
      <c r="L257" s="4">
        <v>147.77000000000001</v>
      </c>
      <c r="M257" s="1">
        <v>1.71</v>
      </c>
      <c r="N257" s="1">
        <v>9</v>
      </c>
      <c r="O257" s="1">
        <v>0.96</v>
      </c>
      <c r="P257" s="1">
        <v>372</v>
      </c>
      <c r="Q257" s="1">
        <v>9.99</v>
      </c>
      <c r="R257" s="1">
        <v>0.83</v>
      </c>
      <c r="S257" s="2">
        <v>45616</v>
      </c>
      <c r="T257" s="1">
        <v>20.46</v>
      </c>
      <c r="U257" s="1">
        <v>0.54</v>
      </c>
      <c r="V257" s="6">
        <f t="shared" si="9"/>
        <v>72259.53</v>
      </c>
      <c r="W257" s="6" t="str">
        <f t="shared" si="10"/>
        <v>Sufficient</v>
      </c>
      <c r="X257" s="8" t="str">
        <f t="shared" si="11"/>
        <v>High</v>
      </c>
    </row>
    <row r="258" spans="1:24">
      <c r="A258" s="7" t="s">
        <v>382</v>
      </c>
      <c r="B258" s="1" t="s">
        <v>33</v>
      </c>
      <c r="C258" s="1">
        <v>119</v>
      </c>
      <c r="D258" s="1">
        <v>68</v>
      </c>
      <c r="E258" s="1">
        <v>12</v>
      </c>
      <c r="F258" s="1">
        <v>7</v>
      </c>
      <c r="G258" s="1">
        <v>17.45</v>
      </c>
      <c r="H258" s="1" t="s">
        <v>70</v>
      </c>
      <c r="I258" s="1" t="s">
        <v>39</v>
      </c>
      <c r="J258" s="1">
        <v>133</v>
      </c>
      <c r="K258" s="1">
        <v>1.2</v>
      </c>
      <c r="L258" s="4">
        <v>120.76</v>
      </c>
      <c r="M258" s="1">
        <v>0.94</v>
      </c>
      <c r="N258" s="1">
        <v>3</v>
      </c>
      <c r="O258" s="1">
        <v>0.79</v>
      </c>
      <c r="P258" s="1">
        <v>605</v>
      </c>
      <c r="Q258" s="1">
        <v>3.88</v>
      </c>
      <c r="R258" s="1">
        <v>0.22</v>
      </c>
      <c r="S258" s="2">
        <v>45370</v>
      </c>
      <c r="T258" s="1">
        <v>126.56</v>
      </c>
      <c r="U258" s="1">
        <v>0.5</v>
      </c>
      <c r="V258" s="6">
        <f t="shared" si="9"/>
        <v>14370.44</v>
      </c>
      <c r="W258" s="6" t="str">
        <f t="shared" si="10"/>
        <v>Sufficient</v>
      </c>
      <c r="X258" s="8" t="str">
        <f t="shared" si="11"/>
        <v>Medium</v>
      </c>
    </row>
    <row r="259" spans="1:24">
      <c r="A259" s="7" t="s">
        <v>383</v>
      </c>
      <c r="B259" s="1" t="s">
        <v>66</v>
      </c>
      <c r="C259" s="1">
        <v>128</v>
      </c>
      <c r="D259" s="1">
        <v>69</v>
      </c>
      <c r="E259" s="1">
        <v>4</v>
      </c>
      <c r="F259" s="1">
        <v>7</v>
      </c>
      <c r="G259" s="1">
        <v>1.1599999999999999</v>
      </c>
      <c r="H259" s="1" t="s">
        <v>59</v>
      </c>
      <c r="I259" s="1" t="s">
        <v>31</v>
      </c>
      <c r="J259" s="1">
        <v>34</v>
      </c>
      <c r="K259" s="1">
        <v>1.54</v>
      </c>
      <c r="L259" s="4">
        <v>173.56</v>
      </c>
      <c r="M259" s="1">
        <v>0.48</v>
      </c>
      <c r="N259" s="1">
        <v>3</v>
      </c>
      <c r="O259" s="1">
        <v>0.73</v>
      </c>
      <c r="P259" s="1">
        <v>677</v>
      </c>
      <c r="Q259" s="1">
        <v>14.78</v>
      </c>
      <c r="R259" s="1">
        <v>0.86</v>
      </c>
      <c r="S259" s="2">
        <v>45491</v>
      </c>
      <c r="T259" s="1">
        <v>196.21</v>
      </c>
      <c r="U259" s="1">
        <v>0.80700000000000005</v>
      </c>
      <c r="V259" s="6">
        <f t="shared" si="9"/>
        <v>22215.68</v>
      </c>
      <c r="W259" s="6" t="str">
        <f t="shared" si="10"/>
        <v>Sufficient</v>
      </c>
      <c r="X259" s="8" t="str">
        <f t="shared" si="11"/>
        <v>Medium</v>
      </c>
    </row>
    <row r="260" spans="1:24">
      <c r="A260" s="7" t="s">
        <v>384</v>
      </c>
      <c r="B260" s="1" t="s">
        <v>29</v>
      </c>
      <c r="C260" s="1">
        <v>362</v>
      </c>
      <c r="D260" s="1">
        <v>72</v>
      </c>
      <c r="E260" s="1">
        <v>8</v>
      </c>
      <c r="F260" s="1">
        <v>6</v>
      </c>
      <c r="G260" s="1">
        <v>48.02</v>
      </c>
      <c r="H260" s="1" t="s">
        <v>44</v>
      </c>
      <c r="I260" s="1" t="s">
        <v>45</v>
      </c>
      <c r="J260" s="1">
        <v>163</v>
      </c>
      <c r="K260" s="1">
        <v>2.72</v>
      </c>
      <c r="L260" s="4">
        <v>128.59</v>
      </c>
      <c r="M260" s="1">
        <v>1.23</v>
      </c>
      <c r="N260" s="1">
        <v>7</v>
      </c>
      <c r="O260" s="1">
        <v>0.77</v>
      </c>
      <c r="P260" s="1">
        <v>511</v>
      </c>
      <c r="Q260" s="1">
        <v>13.17</v>
      </c>
      <c r="R260" s="1">
        <v>0.71</v>
      </c>
      <c r="S260" s="2">
        <v>45454</v>
      </c>
      <c r="T260" s="1">
        <v>213.55</v>
      </c>
      <c r="U260" s="1">
        <v>0.60899999999999999</v>
      </c>
      <c r="V260" s="6">
        <f t="shared" ref="V260:V323" si="12">C260*L260</f>
        <v>46549.58</v>
      </c>
      <c r="W260" s="6" t="str">
        <f t="shared" ref="W260:W323" si="13">IF(C260&lt;=D260,"Reorder Required","Sufficient")</f>
        <v>Sufficient</v>
      </c>
      <c r="X260" s="8" t="str">
        <f t="shared" ref="X260:X323" si="14">IF(C260&lt;100,"LOW",IF(C260&lt;250,"Medium","High"))</f>
        <v>High</v>
      </c>
    </row>
    <row r="261" spans="1:24">
      <c r="A261" s="7" t="s">
        <v>385</v>
      </c>
      <c r="B261" s="1" t="s">
        <v>41</v>
      </c>
      <c r="C261" s="1">
        <v>192</v>
      </c>
      <c r="D261" s="1">
        <v>66</v>
      </c>
      <c r="E261" s="1">
        <v>3</v>
      </c>
      <c r="F261" s="1">
        <v>2</v>
      </c>
      <c r="G261" s="1">
        <v>30.01</v>
      </c>
      <c r="H261" s="1" t="s">
        <v>95</v>
      </c>
      <c r="I261" s="1" t="s">
        <v>27</v>
      </c>
      <c r="J261" s="1">
        <v>33</v>
      </c>
      <c r="K261" s="1">
        <v>4.0999999999999996</v>
      </c>
      <c r="L261" s="4">
        <v>176.2</v>
      </c>
      <c r="M261" s="1">
        <v>1.0900000000000001</v>
      </c>
      <c r="N261" s="1">
        <v>8</v>
      </c>
      <c r="O261" s="1">
        <v>0.98</v>
      </c>
      <c r="P261" s="1">
        <v>447</v>
      </c>
      <c r="Q261" s="1">
        <v>2.85</v>
      </c>
      <c r="R261" s="1">
        <v>0.31</v>
      </c>
      <c r="S261" s="2">
        <v>45476</v>
      </c>
      <c r="T261" s="1">
        <v>152.91</v>
      </c>
      <c r="U261" s="1">
        <v>0.42699999999999999</v>
      </c>
      <c r="V261" s="6">
        <f t="shared" si="12"/>
        <v>33830.399999999994</v>
      </c>
      <c r="W261" s="6" t="str">
        <f t="shared" si="13"/>
        <v>Sufficient</v>
      </c>
      <c r="X261" s="8" t="str">
        <f t="shared" si="14"/>
        <v>Medium</v>
      </c>
    </row>
    <row r="262" spans="1:24">
      <c r="A262" s="7" t="s">
        <v>386</v>
      </c>
      <c r="B262" s="1" t="s">
        <v>41</v>
      </c>
      <c r="C262" s="1">
        <v>256</v>
      </c>
      <c r="D262" s="1">
        <v>60</v>
      </c>
      <c r="E262" s="1">
        <v>3</v>
      </c>
      <c r="F262" s="1">
        <v>9</v>
      </c>
      <c r="G262" s="1">
        <v>41.16</v>
      </c>
      <c r="H262" s="1" t="s">
        <v>185</v>
      </c>
      <c r="I262" s="1" t="s">
        <v>27</v>
      </c>
      <c r="J262" s="1">
        <v>106</v>
      </c>
      <c r="K262" s="1">
        <v>2.09</v>
      </c>
      <c r="L262" s="4">
        <v>67.53</v>
      </c>
      <c r="M262" s="1">
        <v>0.88</v>
      </c>
      <c r="N262" s="1">
        <v>6</v>
      </c>
      <c r="O262" s="1">
        <v>0.84</v>
      </c>
      <c r="P262" s="1">
        <v>442</v>
      </c>
      <c r="Q262" s="1">
        <v>13.03</v>
      </c>
      <c r="R262" s="1">
        <v>0.69</v>
      </c>
      <c r="S262" s="2">
        <v>45346</v>
      </c>
      <c r="T262" s="1">
        <v>162.26</v>
      </c>
      <c r="U262" s="1">
        <v>0.67200000000000004</v>
      </c>
      <c r="V262" s="6">
        <f t="shared" si="12"/>
        <v>17287.68</v>
      </c>
      <c r="W262" s="6" t="str">
        <f t="shared" si="13"/>
        <v>Sufficient</v>
      </c>
      <c r="X262" s="8" t="str">
        <f t="shared" si="14"/>
        <v>High</v>
      </c>
    </row>
    <row r="263" spans="1:24">
      <c r="A263" s="7" t="s">
        <v>387</v>
      </c>
      <c r="B263" s="1" t="s">
        <v>41</v>
      </c>
      <c r="C263" s="1">
        <v>181</v>
      </c>
      <c r="D263" s="1">
        <v>65</v>
      </c>
      <c r="E263" s="1">
        <v>13</v>
      </c>
      <c r="F263" s="1">
        <v>3</v>
      </c>
      <c r="G263" s="1">
        <v>41.44</v>
      </c>
      <c r="H263" s="1" t="s">
        <v>151</v>
      </c>
      <c r="I263" s="1" t="s">
        <v>31</v>
      </c>
      <c r="J263" s="1">
        <v>48</v>
      </c>
      <c r="K263" s="1">
        <v>3.04</v>
      </c>
      <c r="L263" s="4">
        <v>35.08</v>
      </c>
      <c r="M263" s="1">
        <v>1.82</v>
      </c>
      <c r="N263" s="1">
        <v>2</v>
      </c>
      <c r="O263" s="1">
        <v>0.83</v>
      </c>
      <c r="P263" s="1">
        <v>277</v>
      </c>
      <c r="Q263" s="1">
        <v>5.83</v>
      </c>
      <c r="R263" s="1">
        <v>0.85</v>
      </c>
      <c r="S263" s="2">
        <v>45338</v>
      </c>
      <c r="T263" s="1">
        <v>205.08</v>
      </c>
      <c r="U263" s="1">
        <v>0.59199999999999997</v>
      </c>
      <c r="V263" s="6">
        <f t="shared" si="12"/>
        <v>6349.48</v>
      </c>
      <c r="W263" s="6" t="str">
        <f t="shared" si="13"/>
        <v>Sufficient</v>
      </c>
      <c r="X263" s="8" t="str">
        <f t="shared" si="14"/>
        <v>Medium</v>
      </c>
    </row>
    <row r="264" spans="1:24">
      <c r="A264" s="7" t="s">
        <v>388</v>
      </c>
      <c r="B264" s="1" t="s">
        <v>33</v>
      </c>
      <c r="C264" s="1">
        <v>412</v>
      </c>
      <c r="D264" s="1">
        <v>36</v>
      </c>
      <c r="E264" s="1">
        <v>5</v>
      </c>
      <c r="F264" s="1">
        <v>5</v>
      </c>
      <c r="G264" s="1">
        <v>4.25</v>
      </c>
      <c r="H264" s="1" t="s">
        <v>141</v>
      </c>
      <c r="I264" s="1" t="s">
        <v>27</v>
      </c>
      <c r="J264" s="1">
        <v>118</v>
      </c>
      <c r="K264" s="1">
        <v>4.12</v>
      </c>
      <c r="L264" s="4">
        <v>165.71</v>
      </c>
      <c r="M264" s="1">
        <v>1.52</v>
      </c>
      <c r="N264" s="1">
        <v>9</v>
      </c>
      <c r="O264" s="1">
        <v>0.7</v>
      </c>
      <c r="P264" s="1">
        <v>968</v>
      </c>
      <c r="Q264" s="1">
        <v>7.86</v>
      </c>
      <c r="R264" s="1">
        <v>0.68</v>
      </c>
      <c r="S264" s="2">
        <v>45294</v>
      </c>
      <c r="T264" s="1">
        <v>140.30000000000001</v>
      </c>
      <c r="U264" s="1">
        <v>0.44900000000000001</v>
      </c>
      <c r="V264" s="6">
        <f t="shared" si="12"/>
        <v>68272.52</v>
      </c>
      <c r="W264" s="6" t="str">
        <f t="shared" si="13"/>
        <v>Sufficient</v>
      </c>
      <c r="X264" s="8" t="str">
        <f t="shared" si="14"/>
        <v>High</v>
      </c>
    </row>
    <row r="265" spans="1:24">
      <c r="A265" s="7" t="s">
        <v>389</v>
      </c>
      <c r="B265" s="1" t="s">
        <v>29</v>
      </c>
      <c r="C265" s="1">
        <v>235</v>
      </c>
      <c r="D265" s="1">
        <v>41</v>
      </c>
      <c r="E265" s="1">
        <v>5</v>
      </c>
      <c r="F265" s="1">
        <v>9</v>
      </c>
      <c r="G265" s="1">
        <v>9.3699999999999992</v>
      </c>
      <c r="H265" s="1" t="s">
        <v>210</v>
      </c>
      <c r="I265" s="1" t="s">
        <v>45</v>
      </c>
      <c r="J265" s="1">
        <v>70</v>
      </c>
      <c r="K265" s="1">
        <v>1.57</v>
      </c>
      <c r="L265" s="4">
        <v>82.68</v>
      </c>
      <c r="M265" s="1">
        <v>0.39</v>
      </c>
      <c r="N265" s="1">
        <v>0</v>
      </c>
      <c r="O265" s="1">
        <v>0.72</v>
      </c>
      <c r="P265" s="1">
        <v>618</v>
      </c>
      <c r="Q265" s="1">
        <v>3</v>
      </c>
      <c r="R265" s="1">
        <v>1</v>
      </c>
      <c r="S265" s="2">
        <v>45449</v>
      </c>
      <c r="T265" s="1">
        <v>86.42</v>
      </c>
      <c r="U265" s="1">
        <v>0.745</v>
      </c>
      <c r="V265" s="6">
        <f t="shared" si="12"/>
        <v>19429.800000000003</v>
      </c>
      <c r="W265" s="6" t="str">
        <f t="shared" si="13"/>
        <v>Sufficient</v>
      </c>
      <c r="X265" s="8" t="str">
        <f t="shared" si="14"/>
        <v>Medium</v>
      </c>
    </row>
    <row r="266" spans="1:24">
      <c r="A266" s="7" t="s">
        <v>390</v>
      </c>
      <c r="B266" s="1" t="s">
        <v>66</v>
      </c>
      <c r="C266" s="1">
        <v>283</v>
      </c>
      <c r="D266" s="1">
        <v>18</v>
      </c>
      <c r="E266" s="1">
        <v>13</v>
      </c>
      <c r="F266" s="1">
        <v>6</v>
      </c>
      <c r="G266" s="1">
        <v>16.239999999999998</v>
      </c>
      <c r="H266" s="1" t="s">
        <v>70</v>
      </c>
      <c r="I266" s="1" t="s">
        <v>45</v>
      </c>
      <c r="J266" s="1">
        <v>178</v>
      </c>
      <c r="K266" s="1">
        <v>4.47</v>
      </c>
      <c r="L266" s="4">
        <v>133.71</v>
      </c>
      <c r="M266" s="1">
        <v>1.18</v>
      </c>
      <c r="N266" s="1">
        <v>4</v>
      </c>
      <c r="O266" s="1">
        <v>0.9</v>
      </c>
      <c r="P266" s="1">
        <v>293</v>
      </c>
      <c r="Q266" s="1">
        <v>2.66</v>
      </c>
      <c r="R266" s="1">
        <v>0.61</v>
      </c>
      <c r="S266" s="2">
        <v>45519</v>
      </c>
      <c r="T266" s="1">
        <v>74.66</v>
      </c>
      <c r="U266" s="1">
        <v>0.53900000000000003</v>
      </c>
      <c r="V266" s="6">
        <f t="shared" si="12"/>
        <v>37839.93</v>
      </c>
      <c r="W266" s="6" t="str">
        <f t="shared" si="13"/>
        <v>Sufficient</v>
      </c>
      <c r="X266" s="8" t="str">
        <f t="shared" si="14"/>
        <v>High</v>
      </c>
    </row>
    <row r="267" spans="1:24">
      <c r="A267" s="7" t="s">
        <v>391</v>
      </c>
      <c r="B267" s="1" t="s">
        <v>25</v>
      </c>
      <c r="C267" s="1">
        <v>282</v>
      </c>
      <c r="D267" s="1">
        <v>93</v>
      </c>
      <c r="E267" s="1">
        <v>7</v>
      </c>
      <c r="F267" s="1">
        <v>8</v>
      </c>
      <c r="G267" s="1">
        <v>16.71</v>
      </c>
      <c r="H267" s="1" t="s">
        <v>153</v>
      </c>
      <c r="I267" s="1" t="s">
        <v>39</v>
      </c>
      <c r="J267" s="1">
        <v>29</v>
      </c>
      <c r="K267" s="1">
        <v>4.79</v>
      </c>
      <c r="L267" s="4">
        <v>150.09</v>
      </c>
      <c r="M267" s="1">
        <v>0.27</v>
      </c>
      <c r="N267" s="1">
        <v>5</v>
      </c>
      <c r="O267" s="1">
        <v>0.88</v>
      </c>
      <c r="P267" s="1">
        <v>106</v>
      </c>
      <c r="Q267" s="1">
        <v>13.12</v>
      </c>
      <c r="R267" s="1">
        <v>0.74</v>
      </c>
      <c r="S267" s="2">
        <v>45476</v>
      </c>
      <c r="T267" s="1">
        <v>228.3</v>
      </c>
      <c r="U267" s="1">
        <v>0.77200000000000002</v>
      </c>
      <c r="V267" s="6">
        <f t="shared" si="12"/>
        <v>42325.38</v>
      </c>
      <c r="W267" s="6" t="str">
        <f t="shared" si="13"/>
        <v>Sufficient</v>
      </c>
      <c r="X267" s="8" t="str">
        <f t="shared" si="14"/>
        <v>High</v>
      </c>
    </row>
    <row r="268" spans="1:24">
      <c r="A268" s="7" t="s">
        <v>392</v>
      </c>
      <c r="B268" s="1" t="s">
        <v>66</v>
      </c>
      <c r="C268" s="1">
        <v>311</v>
      </c>
      <c r="D268" s="1">
        <v>77</v>
      </c>
      <c r="E268" s="1">
        <v>3</v>
      </c>
      <c r="F268" s="1">
        <v>9</v>
      </c>
      <c r="G268" s="1">
        <v>33.28</v>
      </c>
      <c r="H268" s="1" t="s">
        <v>63</v>
      </c>
      <c r="I268" s="1" t="s">
        <v>27</v>
      </c>
      <c r="J268" s="1">
        <v>25</v>
      </c>
      <c r="K268" s="1">
        <v>0.68</v>
      </c>
      <c r="L268" s="4">
        <v>72.069999999999993</v>
      </c>
      <c r="M268" s="1">
        <v>0.56000000000000005</v>
      </c>
      <c r="N268" s="1">
        <v>8</v>
      </c>
      <c r="O268" s="1">
        <v>0.87</v>
      </c>
      <c r="P268" s="1">
        <v>192</v>
      </c>
      <c r="Q268" s="1">
        <v>9.82</v>
      </c>
      <c r="R268" s="1">
        <v>0.26</v>
      </c>
      <c r="S268" s="2">
        <v>45430</v>
      </c>
      <c r="T268" s="1">
        <v>151.38999999999999</v>
      </c>
      <c r="U268" s="1">
        <v>0.54100000000000004</v>
      </c>
      <c r="V268" s="6">
        <f t="shared" si="12"/>
        <v>22413.769999999997</v>
      </c>
      <c r="W268" s="6" t="str">
        <f t="shared" si="13"/>
        <v>Sufficient</v>
      </c>
      <c r="X268" s="8" t="str">
        <f t="shared" si="14"/>
        <v>High</v>
      </c>
    </row>
    <row r="269" spans="1:24">
      <c r="A269" s="7" t="s">
        <v>393</v>
      </c>
      <c r="B269" s="1" t="s">
        <v>25</v>
      </c>
      <c r="C269" s="1">
        <v>293</v>
      </c>
      <c r="D269" s="1">
        <v>55</v>
      </c>
      <c r="E269" s="1">
        <v>12</v>
      </c>
      <c r="F269" s="1">
        <v>8</v>
      </c>
      <c r="G269" s="1">
        <v>31.53</v>
      </c>
      <c r="H269" s="1" t="s">
        <v>394</v>
      </c>
      <c r="I269" s="1" t="s">
        <v>27</v>
      </c>
      <c r="J269" s="1">
        <v>158</v>
      </c>
      <c r="K269" s="1">
        <v>0.77</v>
      </c>
      <c r="L269" s="4">
        <v>105.98</v>
      </c>
      <c r="M269" s="1">
        <v>1.83</v>
      </c>
      <c r="N269" s="1">
        <v>4</v>
      </c>
      <c r="O269" s="1">
        <v>0.73</v>
      </c>
      <c r="P269" s="1">
        <v>241</v>
      </c>
      <c r="Q269" s="1">
        <v>7.45</v>
      </c>
      <c r="R269" s="1">
        <v>0.85</v>
      </c>
      <c r="S269" s="2">
        <v>45344</v>
      </c>
      <c r="T269" s="1">
        <v>190.98</v>
      </c>
      <c r="U269" s="1">
        <v>0.55200000000000005</v>
      </c>
      <c r="V269" s="6">
        <f t="shared" si="12"/>
        <v>31052.14</v>
      </c>
      <c r="W269" s="6" t="str">
        <f t="shared" si="13"/>
        <v>Sufficient</v>
      </c>
      <c r="X269" s="8" t="str">
        <f t="shared" si="14"/>
        <v>High</v>
      </c>
    </row>
    <row r="270" spans="1:24">
      <c r="A270" s="7" t="s">
        <v>395</v>
      </c>
      <c r="B270" s="1" t="s">
        <v>66</v>
      </c>
      <c r="C270" s="1">
        <v>22</v>
      </c>
      <c r="D270" s="1">
        <v>76</v>
      </c>
      <c r="E270" s="1">
        <v>8</v>
      </c>
      <c r="F270" s="1">
        <v>4</v>
      </c>
      <c r="G270" s="1">
        <v>25.23</v>
      </c>
      <c r="H270" s="1" t="s">
        <v>185</v>
      </c>
      <c r="I270" s="1" t="s">
        <v>39</v>
      </c>
      <c r="J270" s="1">
        <v>24</v>
      </c>
      <c r="K270" s="1">
        <v>0.91</v>
      </c>
      <c r="L270" s="4">
        <v>180.04</v>
      </c>
      <c r="M270" s="1">
        <v>0.98</v>
      </c>
      <c r="N270" s="1">
        <v>0</v>
      </c>
      <c r="O270" s="1">
        <v>0.81</v>
      </c>
      <c r="P270" s="1">
        <v>568</v>
      </c>
      <c r="Q270" s="1">
        <v>1.51</v>
      </c>
      <c r="R270" s="1">
        <v>0.7</v>
      </c>
      <c r="S270" s="2">
        <v>45359</v>
      </c>
      <c r="T270" s="1">
        <v>146.62</v>
      </c>
      <c r="U270" s="1">
        <v>0.624</v>
      </c>
      <c r="V270" s="6">
        <f t="shared" si="12"/>
        <v>3960.8799999999997</v>
      </c>
      <c r="W270" s="6" t="str">
        <f t="shared" si="13"/>
        <v>Reorder Required</v>
      </c>
      <c r="X270" s="8" t="str">
        <f t="shared" si="14"/>
        <v>LOW</v>
      </c>
    </row>
    <row r="271" spans="1:24">
      <c r="A271" s="7" t="s">
        <v>396</v>
      </c>
      <c r="B271" s="1" t="s">
        <v>29</v>
      </c>
      <c r="C271" s="1">
        <v>47</v>
      </c>
      <c r="D271" s="1">
        <v>35</v>
      </c>
      <c r="E271" s="1">
        <v>9</v>
      </c>
      <c r="F271" s="1">
        <v>7</v>
      </c>
      <c r="G271" s="1">
        <v>11.35</v>
      </c>
      <c r="H271" s="1" t="s">
        <v>252</v>
      </c>
      <c r="I271" s="1" t="s">
        <v>31</v>
      </c>
      <c r="J271" s="1">
        <v>176</v>
      </c>
      <c r="K271" s="1">
        <v>4</v>
      </c>
      <c r="L271" s="4">
        <v>177.16</v>
      </c>
      <c r="M271" s="1">
        <v>1.8</v>
      </c>
      <c r="N271" s="1">
        <v>3</v>
      </c>
      <c r="O271" s="1">
        <v>0.94</v>
      </c>
      <c r="P271" s="1">
        <v>453</v>
      </c>
      <c r="Q271" s="1">
        <v>13.91</v>
      </c>
      <c r="R271" s="1">
        <v>0.65</v>
      </c>
      <c r="S271" s="2">
        <v>45336</v>
      </c>
      <c r="T271" s="1">
        <v>247.46</v>
      </c>
      <c r="U271" s="1">
        <v>0.66300000000000003</v>
      </c>
      <c r="V271" s="6">
        <f t="shared" si="12"/>
        <v>8326.52</v>
      </c>
      <c r="W271" s="6" t="str">
        <f t="shared" si="13"/>
        <v>Sufficient</v>
      </c>
      <c r="X271" s="8" t="str">
        <f t="shared" si="14"/>
        <v>LOW</v>
      </c>
    </row>
    <row r="272" spans="1:24">
      <c r="A272" s="7" t="s">
        <v>397</v>
      </c>
      <c r="B272" s="1" t="s">
        <v>25</v>
      </c>
      <c r="C272" s="1">
        <v>345</v>
      </c>
      <c r="D272" s="1">
        <v>17</v>
      </c>
      <c r="E272" s="1">
        <v>12</v>
      </c>
      <c r="F272" s="1">
        <v>7</v>
      </c>
      <c r="G272" s="1">
        <v>19.72</v>
      </c>
      <c r="H272" s="1" t="s">
        <v>333</v>
      </c>
      <c r="I272" s="1" t="s">
        <v>39</v>
      </c>
      <c r="J272" s="1">
        <v>51</v>
      </c>
      <c r="K272" s="1">
        <v>1.35</v>
      </c>
      <c r="L272" s="4">
        <v>152.38</v>
      </c>
      <c r="M272" s="1">
        <v>0.42</v>
      </c>
      <c r="N272" s="1">
        <v>1</v>
      </c>
      <c r="O272" s="1">
        <v>0.75</v>
      </c>
      <c r="P272" s="1">
        <v>324</v>
      </c>
      <c r="Q272" s="1">
        <v>6.27</v>
      </c>
      <c r="R272" s="1">
        <v>0.77</v>
      </c>
      <c r="S272" s="2">
        <v>45387</v>
      </c>
      <c r="T272" s="1">
        <v>154.09</v>
      </c>
      <c r="U272" s="1">
        <v>0.72599999999999998</v>
      </c>
      <c r="V272" s="6">
        <f t="shared" si="12"/>
        <v>52571.1</v>
      </c>
      <c r="W272" s="6" t="str">
        <f t="shared" si="13"/>
        <v>Sufficient</v>
      </c>
      <c r="X272" s="8" t="str">
        <f t="shared" si="14"/>
        <v>High</v>
      </c>
    </row>
    <row r="273" spans="1:24">
      <c r="A273" s="7" t="s">
        <v>398</v>
      </c>
      <c r="B273" s="1" t="s">
        <v>33</v>
      </c>
      <c r="C273" s="1">
        <v>447</v>
      </c>
      <c r="D273" s="1">
        <v>15</v>
      </c>
      <c r="E273" s="1">
        <v>14</v>
      </c>
      <c r="F273" s="1">
        <v>5</v>
      </c>
      <c r="G273" s="1">
        <v>27.64</v>
      </c>
      <c r="H273" s="1" t="s">
        <v>38</v>
      </c>
      <c r="I273" s="1" t="s">
        <v>27</v>
      </c>
      <c r="J273" s="1">
        <v>13</v>
      </c>
      <c r="K273" s="1">
        <v>3.77</v>
      </c>
      <c r="L273" s="4">
        <v>154.91999999999999</v>
      </c>
      <c r="M273" s="1">
        <v>0.49</v>
      </c>
      <c r="N273" s="1">
        <v>3</v>
      </c>
      <c r="O273" s="1">
        <v>0.96</v>
      </c>
      <c r="P273" s="1">
        <v>695</v>
      </c>
      <c r="Q273" s="1">
        <v>6.83</v>
      </c>
      <c r="R273" s="1">
        <v>0.65</v>
      </c>
      <c r="S273" s="2">
        <v>45512</v>
      </c>
      <c r="T273" s="1">
        <v>296.54000000000002</v>
      </c>
      <c r="U273" s="1">
        <v>0.70399999999999996</v>
      </c>
      <c r="V273" s="6">
        <f t="shared" si="12"/>
        <v>69249.239999999991</v>
      </c>
      <c r="W273" s="6" t="str">
        <f t="shared" si="13"/>
        <v>Sufficient</v>
      </c>
      <c r="X273" s="8" t="str">
        <f t="shared" si="14"/>
        <v>High</v>
      </c>
    </row>
    <row r="274" spans="1:24">
      <c r="A274" s="7" t="s">
        <v>399</v>
      </c>
      <c r="B274" s="1" t="s">
        <v>66</v>
      </c>
      <c r="C274" s="1">
        <v>168</v>
      </c>
      <c r="D274" s="1">
        <v>89</v>
      </c>
      <c r="E274" s="1">
        <v>13</v>
      </c>
      <c r="F274" s="1">
        <v>2</v>
      </c>
      <c r="G274" s="1">
        <v>23.93</v>
      </c>
      <c r="H274" s="1" t="s">
        <v>176</v>
      </c>
      <c r="I274" s="1" t="s">
        <v>31</v>
      </c>
      <c r="J274" s="1">
        <v>161</v>
      </c>
      <c r="K274" s="1">
        <v>2.4900000000000002</v>
      </c>
      <c r="L274" s="4">
        <v>180.56</v>
      </c>
      <c r="M274" s="1">
        <v>0.77</v>
      </c>
      <c r="N274" s="1">
        <v>6</v>
      </c>
      <c r="O274" s="1">
        <v>0.74</v>
      </c>
      <c r="P274" s="1">
        <v>996</v>
      </c>
      <c r="Q274" s="1">
        <v>5.0599999999999996</v>
      </c>
      <c r="R274" s="1">
        <v>0.81</v>
      </c>
      <c r="S274" s="2">
        <v>45521</v>
      </c>
      <c r="T274" s="1">
        <v>80.36</v>
      </c>
      <c r="U274" s="1">
        <v>0.57999999999999996</v>
      </c>
      <c r="V274" s="6">
        <f t="shared" si="12"/>
        <v>30334.080000000002</v>
      </c>
      <c r="W274" s="6" t="str">
        <f t="shared" si="13"/>
        <v>Sufficient</v>
      </c>
      <c r="X274" s="8" t="str">
        <f t="shared" si="14"/>
        <v>Medium</v>
      </c>
    </row>
    <row r="275" spans="1:24">
      <c r="A275" s="7" t="s">
        <v>400</v>
      </c>
      <c r="B275" s="1" t="s">
        <v>66</v>
      </c>
      <c r="C275" s="1">
        <v>47</v>
      </c>
      <c r="D275" s="1">
        <v>33</v>
      </c>
      <c r="E275" s="1">
        <v>5</v>
      </c>
      <c r="F275" s="1">
        <v>2</v>
      </c>
      <c r="G275" s="1">
        <v>7.24</v>
      </c>
      <c r="H275" s="1" t="s">
        <v>325</v>
      </c>
      <c r="I275" s="1" t="s">
        <v>45</v>
      </c>
      <c r="J275" s="1">
        <v>140</v>
      </c>
      <c r="K275" s="1">
        <v>4.26</v>
      </c>
      <c r="L275" s="4">
        <v>149.9</v>
      </c>
      <c r="M275" s="1">
        <v>0.8</v>
      </c>
      <c r="N275" s="1">
        <v>8</v>
      </c>
      <c r="O275" s="1">
        <v>0.75</v>
      </c>
      <c r="P275" s="1">
        <v>88</v>
      </c>
      <c r="Q275" s="1">
        <v>13.48</v>
      </c>
      <c r="R275" s="1">
        <v>0.67</v>
      </c>
      <c r="S275" s="2">
        <v>45577</v>
      </c>
      <c r="T275" s="1">
        <v>50.17</v>
      </c>
      <c r="U275" s="1">
        <v>0.624</v>
      </c>
      <c r="V275" s="6">
        <f t="shared" si="12"/>
        <v>7045.3</v>
      </c>
      <c r="W275" s="6" t="str">
        <f t="shared" si="13"/>
        <v>Sufficient</v>
      </c>
      <c r="X275" s="8" t="str">
        <f t="shared" si="14"/>
        <v>LOW</v>
      </c>
    </row>
    <row r="276" spans="1:24">
      <c r="A276" s="7" t="s">
        <v>401</v>
      </c>
      <c r="B276" s="1" t="s">
        <v>25</v>
      </c>
      <c r="C276" s="1">
        <v>329</v>
      </c>
      <c r="D276" s="1">
        <v>57</v>
      </c>
      <c r="E276" s="1">
        <v>6</v>
      </c>
      <c r="F276" s="1">
        <v>5</v>
      </c>
      <c r="G276" s="1">
        <v>32.83</v>
      </c>
      <c r="H276" s="1" t="s">
        <v>68</v>
      </c>
      <c r="I276" s="1" t="s">
        <v>45</v>
      </c>
      <c r="J276" s="1">
        <v>123</v>
      </c>
      <c r="K276" s="1">
        <v>4.1399999999999997</v>
      </c>
      <c r="L276" s="4">
        <v>74.52</v>
      </c>
      <c r="M276" s="1">
        <v>1.52</v>
      </c>
      <c r="N276" s="1">
        <v>2</v>
      </c>
      <c r="O276" s="1">
        <v>0.84</v>
      </c>
      <c r="P276" s="1">
        <v>242</v>
      </c>
      <c r="Q276" s="1">
        <v>5.82</v>
      </c>
      <c r="R276" s="1">
        <v>0.62</v>
      </c>
      <c r="S276" s="2">
        <v>45576</v>
      </c>
      <c r="T276" s="1">
        <v>118.34</v>
      </c>
      <c r="U276" s="1">
        <v>0.57799999999999996</v>
      </c>
      <c r="V276" s="6">
        <f t="shared" si="12"/>
        <v>24517.079999999998</v>
      </c>
      <c r="W276" s="6" t="str">
        <f t="shared" si="13"/>
        <v>Sufficient</v>
      </c>
      <c r="X276" s="8" t="str">
        <f t="shared" si="14"/>
        <v>High</v>
      </c>
    </row>
    <row r="277" spans="1:24">
      <c r="A277" s="7" t="s">
        <v>402</v>
      </c>
      <c r="B277" s="1" t="s">
        <v>33</v>
      </c>
      <c r="C277" s="1">
        <v>457</v>
      </c>
      <c r="D277" s="1">
        <v>54</v>
      </c>
      <c r="E277" s="1">
        <v>12</v>
      </c>
      <c r="F277" s="1">
        <v>5</v>
      </c>
      <c r="G277" s="1">
        <v>4.58</v>
      </c>
      <c r="H277" s="1" t="s">
        <v>55</v>
      </c>
      <c r="I277" s="1" t="s">
        <v>39</v>
      </c>
      <c r="J277" s="1">
        <v>138</v>
      </c>
      <c r="K277" s="1">
        <v>4.82</v>
      </c>
      <c r="L277" s="4">
        <v>32.950000000000003</v>
      </c>
      <c r="M277" s="1">
        <v>1.24</v>
      </c>
      <c r="N277" s="1">
        <v>2</v>
      </c>
      <c r="O277" s="1">
        <v>0.98</v>
      </c>
      <c r="P277" s="1">
        <v>376</v>
      </c>
      <c r="Q277" s="1">
        <v>3.44</v>
      </c>
      <c r="R277" s="1">
        <v>0.31</v>
      </c>
      <c r="S277" s="2">
        <v>45554</v>
      </c>
      <c r="T277" s="1">
        <v>276.41000000000003</v>
      </c>
      <c r="U277" s="1">
        <v>0.54</v>
      </c>
      <c r="V277" s="6">
        <f t="shared" si="12"/>
        <v>15058.150000000001</v>
      </c>
      <c r="W277" s="6" t="str">
        <f t="shared" si="13"/>
        <v>Sufficient</v>
      </c>
      <c r="X277" s="8" t="str">
        <f t="shared" si="14"/>
        <v>High</v>
      </c>
    </row>
    <row r="278" spans="1:24">
      <c r="A278" s="7" t="s">
        <v>403</v>
      </c>
      <c r="B278" s="1" t="s">
        <v>33</v>
      </c>
      <c r="C278" s="1">
        <v>84</v>
      </c>
      <c r="D278" s="1">
        <v>22</v>
      </c>
      <c r="E278" s="1">
        <v>13</v>
      </c>
      <c r="F278" s="1">
        <v>6</v>
      </c>
      <c r="G278" s="1">
        <v>19.53</v>
      </c>
      <c r="H278" s="1" t="s">
        <v>346</v>
      </c>
      <c r="I278" s="1" t="s">
        <v>45</v>
      </c>
      <c r="J278" s="1">
        <v>150</v>
      </c>
      <c r="K278" s="1">
        <v>1.63</v>
      </c>
      <c r="L278" s="4">
        <v>90.16</v>
      </c>
      <c r="M278" s="1">
        <v>1.1499999999999999</v>
      </c>
      <c r="N278" s="1">
        <v>3</v>
      </c>
      <c r="O278" s="1">
        <v>0.8</v>
      </c>
      <c r="P278" s="1">
        <v>532</v>
      </c>
      <c r="Q278" s="1">
        <v>8.01</v>
      </c>
      <c r="R278" s="1">
        <v>0.57999999999999996</v>
      </c>
      <c r="S278" s="2">
        <v>45500</v>
      </c>
      <c r="T278" s="1">
        <v>257.17</v>
      </c>
      <c r="U278" s="1">
        <v>0.60799999999999998</v>
      </c>
      <c r="V278" s="6">
        <f t="shared" si="12"/>
        <v>7573.44</v>
      </c>
      <c r="W278" s="6" t="str">
        <f t="shared" si="13"/>
        <v>Sufficient</v>
      </c>
      <c r="X278" s="8" t="str">
        <f t="shared" si="14"/>
        <v>LOW</v>
      </c>
    </row>
    <row r="279" spans="1:24">
      <c r="A279" s="7" t="s">
        <v>404</v>
      </c>
      <c r="B279" s="1" t="s">
        <v>29</v>
      </c>
      <c r="C279" s="1">
        <v>375</v>
      </c>
      <c r="D279" s="1">
        <v>78</v>
      </c>
      <c r="E279" s="1">
        <v>12</v>
      </c>
      <c r="F279" s="1">
        <v>8</v>
      </c>
      <c r="G279" s="1">
        <v>35.79</v>
      </c>
      <c r="H279" s="1" t="s">
        <v>282</v>
      </c>
      <c r="I279" s="1" t="s">
        <v>27</v>
      </c>
      <c r="J279" s="1">
        <v>63</v>
      </c>
      <c r="K279" s="1">
        <v>1.53</v>
      </c>
      <c r="L279" s="4">
        <v>26.6</v>
      </c>
      <c r="M279" s="1">
        <v>1.24</v>
      </c>
      <c r="N279" s="1">
        <v>6</v>
      </c>
      <c r="O279" s="1">
        <v>0.9</v>
      </c>
      <c r="P279" s="1">
        <v>74</v>
      </c>
      <c r="Q279" s="1">
        <v>11.94</v>
      </c>
      <c r="R279" s="1">
        <v>0.63</v>
      </c>
      <c r="S279" s="2">
        <v>45344</v>
      </c>
      <c r="T279" s="1">
        <v>81.73</v>
      </c>
      <c r="U279" s="1">
        <v>0.621</v>
      </c>
      <c r="V279" s="6">
        <f t="shared" si="12"/>
        <v>9975</v>
      </c>
      <c r="W279" s="6" t="str">
        <f t="shared" si="13"/>
        <v>Sufficient</v>
      </c>
      <c r="X279" s="8" t="str">
        <f t="shared" si="14"/>
        <v>High</v>
      </c>
    </row>
    <row r="280" spans="1:24">
      <c r="A280" s="7" t="s">
        <v>405</v>
      </c>
      <c r="B280" s="1" t="s">
        <v>33</v>
      </c>
      <c r="C280" s="1">
        <v>40</v>
      </c>
      <c r="D280" s="1">
        <v>34</v>
      </c>
      <c r="E280" s="1">
        <v>14</v>
      </c>
      <c r="F280" s="1">
        <v>5</v>
      </c>
      <c r="G280" s="1">
        <v>1.98</v>
      </c>
      <c r="H280" s="1" t="s">
        <v>147</v>
      </c>
      <c r="I280" s="1" t="s">
        <v>39</v>
      </c>
      <c r="J280" s="1">
        <v>91</v>
      </c>
      <c r="K280" s="1">
        <v>0.64</v>
      </c>
      <c r="L280" s="4">
        <v>32</v>
      </c>
      <c r="M280" s="1">
        <v>1.49</v>
      </c>
      <c r="N280" s="1">
        <v>5</v>
      </c>
      <c r="O280" s="1">
        <v>0.88</v>
      </c>
      <c r="P280" s="1">
        <v>151</v>
      </c>
      <c r="Q280" s="1">
        <v>6.2</v>
      </c>
      <c r="R280" s="1">
        <v>0.7</v>
      </c>
      <c r="S280" s="2">
        <v>45305</v>
      </c>
      <c r="T280" s="1">
        <v>183.91</v>
      </c>
      <c r="U280" s="1">
        <v>0.55000000000000004</v>
      </c>
      <c r="V280" s="6">
        <f t="shared" si="12"/>
        <v>1280</v>
      </c>
      <c r="W280" s="6" t="str">
        <f t="shared" si="13"/>
        <v>Sufficient</v>
      </c>
      <c r="X280" s="8" t="str">
        <f t="shared" si="14"/>
        <v>LOW</v>
      </c>
    </row>
    <row r="281" spans="1:24">
      <c r="A281" s="7" t="s">
        <v>406</v>
      </c>
      <c r="B281" s="1" t="s">
        <v>33</v>
      </c>
      <c r="C281" s="1">
        <v>271</v>
      </c>
      <c r="D281" s="1">
        <v>29</v>
      </c>
      <c r="E281" s="1">
        <v>12</v>
      </c>
      <c r="F281" s="1">
        <v>8</v>
      </c>
      <c r="G281" s="1">
        <v>28.93</v>
      </c>
      <c r="H281" s="1" t="s">
        <v>147</v>
      </c>
      <c r="I281" s="1" t="s">
        <v>27</v>
      </c>
      <c r="J281" s="1">
        <v>49</v>
      </c>
      <c r="K281" s="1">
        <v>2.35</v>
      </c>
      <c r="L281" s="4">
        <v>190.53</v>
      </c>
      <c r="M281" s="1">
        <v>1.8</v>
      </c>
      <c r="N281" s="1">
        <v>4</v>
      </c>
      <c r="O281" s="1">
        <v>0.74</v>
      </c>
      <c r="P281" s="1">
        <v>712</v>
      </c>
      <c r="Q281" s="1">
        <v>10.130000000000001</v>
      </c>
      <c r="R281" s="1">
        <v>0.56000000000000005</v>
      </c>
      <c r="S281" s="2">
        <v>45337</v>
      </c>
      <c r="T281" s="1">
        <v>180.79</v>
      </c>
      <c r="U281" s="1">
        <v>0.53500000000000003</v>
      </c>
      <c r="V281" s="6">
        <f t="shared" si="12"/>
        <v>51633.63</v>
      </c>
      <c r="W281" s="6" t="str">
        <f t="shared" si="13"/>
        <v>Sufficient</v>
      </c>
      <c r="X281" s="8" t="str">
        <f t="shared" si="14"/>
        <v>High</v>
      </c>
    </row>
    <row r="282" spans="1:24">
      <c r="A282" s="7" t="s">
        <v>407</v>
      </c>
      <c r="B282" s="1" t="s">
        <v>33</v>
      </c>
      <c r="C282" s="1">
        <v>254</v>
      </c>
      <c r="D282" s="1">
        <v>91</v>
      </c>
      <c r="E282" s="1">
        <v>12</v>
      </c>
      <c r="F282" s="1">
        <v>9</v>
      </c>
      <c r="G282" s="1">
        <v>17.39</v>
      </c>
      <c r="H282" s="1" t="s">
        <v>350</v>
      </c>
      <c r="I282" s="1" t="s">
        <v>27</v>
      </c>
      <c r="J282" s="1">
        <v>136</v>
      </c>
      <c r="K282" s="1">
        <v>2.57</v>
      </c>
      <c r="L282" s="4">
        <v>138.41999999999999</v>
      </c>
      <c r="M282" s="1">
        <v>0.89</v>
      </c>
      <c r="N282" s="1">
        <v>3</v>
      </c>
      <c r="O282" s="1">
        <v>0.77</v>
      </c>
      <c r="P282" s="1">
        <v>266</v>
      </c>
      <c r="Q282" s="1">
        <v>5.26</v>
      </c>
      <c r="R282" s="1">
        <v>0.32</v>
      </c>
      <c r="S282" s="2">
        <v>45473</v>
      </c>
      <c r="T282" s="1">
        <v>95.09</v>
      </c>
      <c r="U282" s="1">
        <v>0.53900000000000003</v>
      </c>
      <c r="V282" s="6">
        <f t="shared" si="12"/>
        <v>35158.68</v>
      </c>
      <c r="W282" s="6" t="str">
        <f t="shared" si="13"/>
        <v>Sufficient</v>
      </c>
      <c r="X282" s="8" t="str">
        <f t="shared" si="14"/>
        <v>High</v>
      </c>
    </row>
    <row r="283" spans="1:24">
      <c r="A283" s="7" t="s">
        <v>408</v>
      </c>
      <c r="B283" s="1" t="s">
        <v>41</v>
      </c>
      <c r="C283" s="1">
        <v>246</v>
      </c>
      <c r="D283" s="1">
        <v>91</v>
      </c>
      <c r="E283" s="1">
        <v>12</v>
      </c>
      <c r="F283" s="1">
        <v>9</v>
      </c>
      <c r="G283" s="1">
        <v>1.43</v>
      </c>
      <c r="H283" s="1" t="s">
        <v>42</v>
      </c>
      <c r="I283" s="1" t="s">
        <v>31</v>
      </c>
      <c r="J283" s="1">
        <v>148</v>
      </c>
      <c r="K283" s="1">
        <v>4.84</v>
      </c>
      <c r="L283" s="4">
        <v>171.81</v>
      </c>
      <c r="M283" s="1">
        <v>1.63</v>
      </c>
      <c r="N283" s="1">
        <v>7</v>
      </c>
      <c r="O283" s="1">
        <v>0.98</v>
      </c>
      <c r="P283" s="1">
        <v>791</v>
      </c>
      <c r="Q283" s="1">
        <v>11.08</v>
      </c>
      <c r="R283" s="1">
        <v>0.32</v>
      </c>
      <c r="S283" s="2">
        <v>45575</v>
      </c>
      <c r="T283" s="1">
        <v>78.260000000000005</v>
      </c>
      <c r="U283" s="1">
        <v>0.505</v>
      </c>
      <c r="V283" s="6">
        <f t="shared" si="12"/>
        <v>42265.26</v>
      </c>
      <c r="W283" s="6" t="str">
        <f t="shared" si="13"/>
        <v>Sufficient</v>
      </c>
      <c r="X283" s="8" t="str">
        <f t="shared" si="14"/>
        <v>Medium</v>
      </c>
    </row>
    <row r="284" spans="1:24">
      <c r="A284" s="7" t="s">
        <v>409</v>
      </c>
      <c r="B284" s="1" t="s">
        <v>29</v>
      </c>
      <c r="C284" s="1">
        <v>32</v>
      </c>
      <c r="D284" s="1">
        <v>75</v>
      </c>
      <c r="E284" s="1">
        <v>5</v>
      </c>
      <c r="F284" s="1">
        <v>4</v>
      </c>
      <c r="G284" s="1">
        <v>10.33</v>
      </c>
      <c r="H284" s="1" t="s">
        <v>350</v>
      </c>
      <c r="I284" s="1" t="s">
        <v>31</v>
      </c>
      <c r="J284" s="1">
        <v>51</v>
      </c>
      <c r="K284" s="1">
        <v>4.24</v>
      </c>
      <c r="L284" s="4">
        <v>132.15</v>
      </c>
      <c r="M284" s="1">
        <v>1.04</v>
      </c>
      <c r="N284" s="1">
        <v>3</v>
      </c>
      <c r="O284" s="1">
        <v>0.76</v>
      </c>
      <c r="P284" s="1">
        <v>316</v>
      </c>
      <c r="Q284" s="1">
        <v>10.36</v>
      </c>
      <c r="R284" s="1">
        <v>0.78</v>
      </c>
      <c r="S284" s="2">
        <v>45339</v>
      </c>
      <c r="T284" s="1">
        <v>123.11</v>
      </c>
      <c r="U284" s="1">
        <v>0.68200000000000005</v>
      </c>
      <c r="V284" s="6">
        <f t="shared" si="12"/>
        <v>4228.8</v>
      </c>
      <c r="W284" s="6" t="str">
        <f t="shared" si="13"/>
        <v>Reorder Required</v>
      </c>
      <c r="X284" s="8" t="str">
        <f t="shared" si="14"/>
        <v>LOW</v>
      </c>
    </row>
    <row r="285" spans="1:24">
      <c r="A285" s="7" t="s">
        <v>410</v>
      </c>
      <c r="B285" s="1" t="s">
        <v>66</v>
      </c>
      <c r="C285" s="1">
        <v>332</v>
      </c>
      <c r="D285" s="1">
        <v>83</v>
      </c>
      <c r="E285" s="1">
        <v>3</v>
      </c>
      <c r="F285" s="1">
        <v>8</v>
      </c>
      <c r="G285" s="1">
        <v>47.11</v>
      </c>
      <c r="H285" s="1" t="s">
        <v>411</v>
      </c>
      <c r="I285" s="1" t="s">
        <v>31</v>
      </c>
      <c r="J285" s="1">
        <v>102</v>
      </c>
      <c r="K285" s="1">
        <v>1.25</v>
      </c>
      <c r="L285" s="4">
        <v>89.52</v>
      </c>
      <c r="M285" s="1">
        <v>1.47</v>
      </c>
      <c r="N285" s="1">
        <v>2</v>
      </c>
      <c r="O285" s="1">
        <v>0.91</v>
      </c>
      <c r="P285" s="1">
        <v>211</v>
      </c>
      <c r="Q285" s="1">
        <v>10.53</v>
      </c>
      <c r="R285" s="1">
        <v>0.73</v>
      </c>
      <c r="S285" s="2">
        <v>45597</v>
      </c>
      <c r="T285" s="1">
        <v>238.7</v>
      </c>
      <c r="U285" s="1">
        <v>0.68100000000000005</v>
      </c>
      <c r="V285" s="6">
        <f t="shared" si="12"/>
        <v>29720.639999999999</v>
      </c>
      <c r="W285" s="6" t="str">
        <f t="shared" si="13"/>
        <v>Sufficient</v>
      </c>
      <c r="X285" s="8" t="str">
        <f t="shared" si="14"/>
        <v>High</v>
      </c>
    </row>
    <row r="286" spans="1:24">
      <c r="A286" s="7" t="s">
        <v>412</v>
      </c>
      <c r="B286" s="1" t="s">
        <v>25</v>
      </c>
      <c r="C286" s="1">
        <v>68</v>
      </c>
      <c r="D286" s="1">
        <v>54</v>
      </c>
      <c r="E286" s="1">
        <v>10</v>
      </c>
      <c r="F286" s="1">
        <v>6</v>
      </c>
      <c r="G286" s="1">
        <v>26.54</v>
      </c>
      <c r="H286" s="1" t="s">
        <v>149</v>
      </c>
      <c r="I286" s="1" t="s">
        <v>45</v>
      </c>
      <c r="J286" s="1">
        <v>13</v>
      </c>
      <c r="K286" s="1">
        <v>4.09</v>
      </c>
      <c r="L286" s="4">
        <v>14.78</v>
      </c>
      <c r="M286" s="1">
        <v>1.76</v>
      </c>
      <c r="N286" s="1">
        <v>6</v>
      </c>
      <c r="O286" s="1">
        <v>0.99</v>
      </c>
      <c r="P286" s="1">
        <v>336</v>
      </c>
      <c r="Q286" s="1">
        <v>10.039999999999999</v>
      </c>
      <c r="R286" s="1">
        <v>0.41</v>
      </c>
      <c r="S286" s="2">
        <v>45598</v>
      </c>
      <c r="T286" s="1">
        <v>65.599999999999994</v>
      </c>
      <c r="U286" s="1">
        <v>0.51800000000000002</v>
      </c>
      <c r="V286" s="6">
        <f t="shared" si="12"/>
        <v>1005.04</v>
      </c>
      <c r="W286" s="6" t="str">
        <f t="shared" si="13"/>
        <v>Sufficient</v>
      </c>
      <c r="X286" s="8" t="str">
        <f t="shared" si="14"/>
        <v>LOW</v>
      </c>
    </row>
    <row r="287" spans="1:24">
      <c r="A287" s="7" t="s">
        <v>413</v>
      </c>
      <c r="B287" s="1" t="s">
        <v>66</v>
      </c>
      <c r="C287" s="1">
        <v>137</v>
      </c>
      <c r="D287" s="1">
        <v>56</v>
      </c>
      <c r="E287" s="1">
        <v>12</v>
      </c>
      <c r="F287" s="1">
        <v>9</v>
      </c>
      <c r="G287" s="1">
        <v>49.86</v>
      </c>
      <c r="H287" s="1" t="s">
        <v>115</v>
      </c>
      <c r="I287" s="1" t="s">
        <v>31</v>
      </c>
      <c r="J287" s="1">
        <v>34</v>
      </c>
      <c r="K287" s="1">
        <v>1.3</v>
      </c>
      <c r="L287" s="4">
        <v>191.61</v>
      </c>
      <c r="M287" s="1">
        <v>0.16</v>
      </c>
      <c r="N287" s="1">
        <v>1</v>
      </c>
      <c r="O287" s="1">
        <v>0.74</v>
      </c>
      <c r="P287" s="1">
        <v>727</v>
      </c>
      <c r="Q287" s="1">
        <v>3.19</v>
      </c>
      <c r="R287" s="1">
        <v>0.56000000000000005</v>
      </c>
      <c r="S287" s="2">
        <v>45458</v>
      </c>
      <c r="T287" s="1">
        <v>139.26</v>
      </c>
      <c r="U287" s="1">
        <v>0.66700000000000004</v>
      </c>
      <c r="V287" s="6">
        <f t="shared" si="12"/>
        <v>26250.570000000003</v>
      </c>
      <c r="W287" s="6" t="str">
        <f t="shared" si="13"/>
        <v>Sufficient</v>
      </c>
      <c r="X287" s="8" t="str">
        <f t="shared" si="14"/>
        <v>Medium</v>
      </c>
    </row>
    <row r="288" spans="1:24">
      <c r="A288" s="7" t="s">
        <v>414</v>
      </c>
      <c r="B288" s="1" t="s">
        <v>29</v>
      </c>
      <c r="C288" s="1">
        <v>73</v>
      </c>
      <c r="D288" s="1">
        <v>72</v>
      </c>
      <c r="E288" s="1">
        <v>12</v>
      </c>
      <c r="F288" s="1">
        <v>7</v>
      </c>
      <c r="G288" s="1">
        <v>26.72</v>
      </c>
      <c r="H288" s="1" t="s">
        <v>115</v>
      </c>
      <c r="I288" s="1" t="s">
        <v>27</v>
      </c>
      <c r="J288" s="1">
        <v>109</v>
      </c>
      <c r="K288" s="1">
        <v>0.85</v>
      </c>
      <c r="L288" s="4">
        <v>23.48</v>
      </c>
      <c r="M288" s="1">
        <v>1.1399999999999999</v>
      </c>
      <c r="N288" s="1">
        <v>3</v>
      </c>
      <c r="O288" s="1">
        <v>0.82</v>
      </c>
      <c r="P288" s="1">
        <v>935</v>
      </c>
      <c r="Q288" s="1">
        <v>13.43</v>
      </c>
      <c r="R288" s="1">
        <v>0.45</v>
      </c>
      <c r="S288" s="2">
        <v>45489</v>
      </c>
      <c r="T288" s="1">
        <v>149.69</v>
      </c>
      <c r="U288" s="1">
        <v>0.65900000000000003</v>
      </c>
      <c r="V288" s="6">
        <f t="shared" si="12"/>
        <v>1714.04</v>
      </c>
      <c r="W288" s="6" t="str">
        <f t="shared" si="13"/>
        <v>Sufficient</v>
      </c>
      <c r="X288" s="8" t="str">
        <f t="shared" si="14"/>
        <v>LOW</v>
      </c>
    </row>
    <row r="289" spans="1:24">
      <c r="A289" s="7" t="s">
        <v>415</v>
      </c>
      <c r="B289" s="1" t="s">
        <v>25</v>
      </c>
      <c r="C289" s="1">
        <v>157</v>
      </c>
      <c r="D289" s="1">
        <v>85</v>
      </c>
      <c r="E289" s="1">
        <v>4</v>
      </c>
      <c r="F289" s="1">
        <v>7</v>
      </c>
      <c r="G289" s="1">
        <v>27.65</v>
      </c>
      <c r="H289" s="1" t="s">
        <v>156</v>
      </c>
      <c r="I289" s="1" t="s">
        <v>39</v>
      </c>
      <c r="J289" s="1">
        <v>173</v>
      </c>
      <c r="K289" s="1">
        <v>4.2699999999999996</v>
      </c>
      <c r="L289" s="4">
        <v>125.93</v>
      </c>
      <c r="M289" s="1">
        <v>1.98</v>
      </c>
      <c r="N289" s="1">
        <v>7</v>
      </c>
      <c r="O289" s="1">
        <v>0.77</v>
      </c>
      <c r="P289" s="1">
        <v>931</v>
      </c>
      <c r="Q289" s="1">
        <v>9.1999999999999993</v>
      </c>
      <c r="R289" s="1">
        <v>0.34</v>
      </c>
      <c r="S289" s="2">
        <v>45298</v>
      </c>
      <c r="T289" s="1">
        <v>282.35000000000002</v>
      </c>
      <c r="U289" s="1">
        <v>0.40699999999999997</v>
      </c>
      <c r="V289" s="6">
        <f t="shared" si="12"/>
        <v>19771.010000000002</v>
      </c>
      <c r="W289" s="6" t="str">
        <f t="shared" si="13"/>
        <v>Sufficient</v>
      </c>
      <c r="X289" s="8" t="str">
        <f t="shared" si="14"/>
        <v>Medium</v>
      </c>
    </row>
    <row r="290" spans="1:24">
      <c r="A290" s="7" t="s">
        <v>416</v>
      </c>
      <c r="B290" s="1" t="s">
        <v>29</v>
      </c>
      <c r="C290" s="1">
        <v>72</v>
      </c>
      <c r="D290" s="1">
        <v>86</v>
      </c>
      <c r="E290" s="1">
        <v>3</v>
      </c>
      <c r="F290" s="1">
        <v>9</v>
      </c>
      <c r="G290" s="1">
        <v>20.2</v>
      </c>
      <c r="H290" s="1" t="s">
        <v>294</v>
      </c>
      <c r="I290" s="1" t="s">
        <v>39</v>
      </c>
      <c r="J290" s="1">
        <v>134</v>
      </c>
      <c r="K290" s="1">
        <v>4.8899999999999997</v>
      </c>
      <c r="L290" s="4">
        <v>29.42</v>
      </c>
      <c r="M290" s="1">
        <v>1.04</v>
      </c>
      <c r="N290" s="1">
        <v>3</v>
      </c>
      <c r="O290" s="1">
        <v>0.77</v>
      </c>
      <c r="P290" s="1">
        <v>296</v>
      </c>
      <c r="Q290" s="1">
        <v>6.35</v>
      </c>
      <c r="R290" s="1">
        <v>0.46</v>
      </c>
      <c r="S290" s="2">
        <v>45441</v>
      </c>
      <c r="T290" s="1">
        <v>98.02</v>
      </c>
      <c r="U290" s="1">
        <v>0.56699999999999995</v>
      </c>
      <c r="V290" s="6">
        <f t="shared" si="12"/>
        <v>2118.2400000000002</v>
      </c>
      <c r="W290" s="6" t="str">
        <f t="shared" si="13"/>
        <v>Reorder Required</v>
      </c>
      <c r="X290" s="8" t="str">
        <f t="shared" si="14"/>
        <v>LOW</v>
      </c>
    </row>
    <row r="291" spans="1:24">
      <c r="A291" s="7" t="s">
        <v>417</v>
      </c>
      <c r="B291" s="1" t="s">
        <v>33</v>
      </c>
      <c r="C291" s="1">
        <v>63</v>
      </c>
      <c r="D291" s="1">
        <v>64</v>
      </c>
      <c r="E291" s="1">
        <v>10</v>
      </c>
      <c r="F291" s="1">
        <v>9</v>
      </c>
      <c r="G291" s="1">
        <v>16.190000000000001</v>
      </c>
      <c r="H291" s="1" t="s">
        <v>117</v>
      </c>
      <c r="I291" s="1" t="s">
        <v>27</v>
      </c>
      <c r="J291" s="1">
        <v>49</v>
      </c>
      <c r="K291" s="1">
        <v>0.9</v>
      </c>
      <c r="L291" s="4">
        <v>63.99</v>
      </c>
      <c r="M291" s="1">
        <v>1.74</v>
      </c>
      <c r="N291" s="1">
        <v>9</v>
      </c>
      <c r="O291" s="1">
        <v>0.74</v>
      </c>
      <c r="P291" s="1">
        <v>223</v>
      </c>
      <c r="Q291" s="1">
        <v>3.41</v>
      </c>
      <c r="R291" s="1">
        <v>0.41</v>
      </c>
      <c r="S291" s="2">
        <v>45503</v>
      </c>
      <c r="T291" s="1">
        <v>15.7</v>
      </c>
      <c r="U291" s="1">
        <v>0.32100000000000001</v>
      </c>
      <c r="V291" s="6">
        <f t="shared" si="12"/>
        <v>4031.3700000000003</v>
      </c>
      <c r="W291" s="6" t="str">
        <f t="shared" si="13"/>
        <v>Reorder Required</v>
      </c>
      <c r="X291" s="8" t="str">
        <f t="shared" si="14"/>
        <v>LOW</v>
      </c>
    </row>
    <row r="292" spans="1:24">
      <c r="A292" s="7" t="s">
        <v>418</v>
      </c>
      <c r="B292" s="1" t="s">
        <v>25</v>
      </c>
      <c r="C292" s="1">
        <v>322</v>
      </c>
      <c r="D292" s="1">
        <v>84</v>
      </c>
      <c r="E292" s="1">
        <v>9</v>
      </c>
      <c r="F292" s="1">
        <v>9</v>
      </c>
      <c r="G292" s="1">
        <v>13.33</v>
      </c>
      <c r="H292" s="1" t="s">
        <v>61</v>
      </c>
      <c r="I292" s="1" t="s">
        <v>45</v>
      </c>
      <c r="J292" s="1">
        <v>101</v>
      </c>
      <c r="K292" s="1">
        <v>4.16</v>
      </c>
      <c r="L292" s="4">
        <v>45.31</v>
      </c>
      <c r="M292" s="1">
        <v>0.45</v>
      </c>
      <c r="N292" s="1">
        <v>6</v>
      </c>
      <c r="O292" s="1">
        <v>0.89</v>
      </c>
      <c r="P292" s="1">
        <v>445</v>
      </c>
      <c r="Q292" s="1">
        <v>11.97</v>
      </c>
      <c r="R292" s="1">
        <v>0.27</v>
      </c>
      <c r="S292" s="2">
        <v>45490</v>
      </c>
      <c r="T292" s="1">
        <v>211.18</v>
      </c>
      <c r="U292" s="1">
        <v>0.627</v>
      </c>
      <c r="V292" s="6">
        <f t="shared" si="12"/>
        <v>14589.820000000002</v>
      </c>
      <c r="W292" s="6" t="str">
        <f t="shared" si="13"/>
        <v>Sufficient</v>
      </c>
      <c r="X292" s="8" t="str">
        <f t="shared" si="14"/>
        <v>High</v>
      </c>
    </row>
    <row r="293" spans="1:24">
      <c r="A293" s="7" t="s">
        <v>419</v>
      </c>
      <c r="B293" s="1" t="s">
        <v>33</v>
      </c>
      <c r="C293" s="1">
        <v>72</v>
      </c>
      <c r="D293" s="1">
        <v>28</v>
      </c>
      <c r="E293" s="1">
        <v>9</v>
      </c>
      <c r="F293" s="1">
        <v>8</v>
      </c>
      <c r="G293" s="1">
        <v>17.829999999999998</v>
      </c>
      <c r="H293" s="1" t="s">
        <v>411</v>
      </c>
      <c r="I293" s="1" t="s">
        <v>39</v>
      </c>
      <c r="J293" s="1">
        <v>145</v>
      </c>
      <c r="K293" s="1">
        <v>4.37</v>
      </c>
      <c r="L293" s="4">
        <v>115.21</v>
      </c>
      <c r="M293" s="1">
        <v>1.25</v>
      </c>
      <c r="N293" s="1">
        <v>1</v>
      </c>
      <c r="O293" s="1">
        <v>0.92</v>
      </c>
      <c r="P293" s="1">
        <v>58</v>
      </c>
      <c r="Q293" s="1">
        <v>8.1300000000000008</v>
      </c>
      <c r="R293" s="1">
        <v>0.6</v>
      </c>
      <c r="S293" s="2">
        <v>45335</v>
      </c>
      <c r="T293" s="1">
        <v>229.18</v>
      </c>
      <c r="U293" s="1">
        <v>0.66700000000000004</v>
      </c>
      <c r="V293" s="6">
        <f t="shared" si="12"/>
        <v>8295.119999999999</v>
      </c>
      <c r="W293" s="6" t="str">
        <f t="shared" si="13"/>
        <v>Sufficient</v>
      </c>
      <c r="X293" s="8" t="str">
        <f t="shared" si="14"/>
        <v>LOW</v>
      </c>
    </row>
    <row r="294" spans="1:24">
      <c r="A294" s="7" t="s">
        <v>420</v>
      </c>
      <c r="B294" s="1" t="s">
        <v>66</v>
      </c>
      <c r="C294" s="1">
        <v>93</v>
      </c>
      <c r="D294" s="1">
        <v>44</v>
      </c>
      <c r="E294" s="1">
        <v>6</v>
      </c>
      <c r="F294" s="1">
        <v>7</v>
      </c>
      <c r="G294" s="1">
        <v>23.53</v>
      </c>
      <c r="H294" s="1" t="s">
        <v>195</v>
      </c>
      <c r="I294" s="1" t="s">
        <v>27</v>
      </c>
      <c r="J294" s="1">
        <v>94</v>
      </c>
      <c r="K294" s="1">
        <v>1.03</v>
      </c>
      <c r="L294" s="4">
        <v>178.54</v>
      </c>
      <c r="M294" s="1">
        <v>1.75</v>
      </c>
      <c r="N294" s="1">
        <v>4</v>
      </c>
      <c r="O294" s="1">
        <v>0.9</v>
      </c>
      <c r="P294" s="1">
        <v>958</v>
      </c>
      <c r="Q294" s="1">
        <v>3.06</v>
      </c>
      <c r="R294" s="1">
        <v>0.56000000000000005</v>
      </c>
      <c r="S294" s="2">
        <v>45578</v>
      </c>
      <c r="T294" s="1">
        <v>213.88</v>
      </c>
      <c r="U294" s="1">
        <v>0.47799999999999998</v>
      </c>
      <c r="V294" s="6">
        <f t="shared" si="12"/>
        <v>16604.219999999998</v>
      </c>
      <c r="W294" s="6" t="str">
        <f t="shared" si="13"/>
        <v>Sufficient</v>
      </c>
      <c r="X294" s="8" t="str">
        <f t="shared" si="14"/>
        <v>LOW</v>
      </c>
    </row>
    <row r="295" spans="1:24">
      <c r="A295" s="7" t="s">
        <v>421</v>
      </c>
      <c r="B295" s="1" t="s">
        <v>66</v>
      </c>
      <c r="C295" s="1">
        <v>65</v>
      </c>
      <c r="D295" s="1">
        <v>62</v>
      </c>
      <c r="E295" s="1">
        <v>13</v>
      </c>
      <c r="F295" s="1">
        <v>7</v>
      </c>
      <c r="G295" s="1">
        <v>10.41</v>
      </c>
      <c r="H295" s="1" t="s">
        <v>126</v>
      </c>
      <c r="I295" s="1" t="s">
        <v>27</v>
      </c>
      <c r="J295" s="1">
        <v>44</v>
      </c>
      <c r="K295" s="1">
        <v>1.77</v>
      </c>
      <c r="L295" s="4">
        <v>130.77000000000001</v>
      </c>
      <c r="M295" s="1">
        <v>0.92</v>
      </c>
      <c r="N295" s="1">
        <v>3</v>
      </c>
      <c r="O295" s="1">
        <v>0.98</v>
      </c>
      <c r="P295" s="1">
        <v>497</v>
      </c>
      <c r="Q295" s="1">
        <v>13.9</v>
      </c>
      <c r="R295" s="1">
        <v>0.77</v>
      </c>
      <c r="S295" s="2">
        <v>45416</v>
      </c>
      <c r="T295" s="1">
        <v>213.21</v>
      </c>
      <c r="U295" s="1">
        <v>0.78300000000000003</v>
      </c>
      <c r="V295" s="6">
        <f t="shared" si="12"/>
        <v>8500.0500000000011</v>
      </c>
      <c r="W295" s="6" t="str">
        <f t="shared" si="13"/>
        <v>Sufficient</v>
      </c>
      <c r="X295" s="8" t="str">
        <f t="shared" si="14"/>
        <v>LOW</v>
      </c>
    </row>
    <row r="296" spans="1:24">
      <c r="A296" s="7" t="s">
        <v>422</v>
      </c>
      <c r="B296" s="1" t="s">
        <v>25</v>
      </c>
      <c r="C296" s="1">
        <v>32</v>
      </c>
      <c r="D296" s="1">
        <v>35</v>
      </c>
      <c r="E296" s="1">
        <v>11</v>
      </c>
      <c r="F296" s="1">
        <v>3</v>
      </c>
      <c r="G296" s="1">
        <v>12.02</v>
      </c>
      <c r="H296" s="1" t="s">
        <v>258</v>
      </c>
      <c r="I296" s="1" t="s">
        <v>27</v>
      </c>
      <c r="J296" s="1">
        <v>155</v>
      </c>
      <c r="K296" s="1">
        <v>3.8</v>
      </c>
      <c r="L296" s="4">
        <v>136.19999999999999</v>
      </c>
      <c r="M296" s="1">
        <v>1.02</v>
      </c>
      <c r="N296" s="1">
        <v>8</v>
      </c>
      <c r="O296" s="1">
        <v>0.74</v>
      </c>
      <c r="P296" s="1">
        <v>837</v>
      </c>
      <c r="Q296" s="1">
        <v>2.4900000000000002</v>
      </c>
      <c r="R296" s="1">
        <v>0.7</v>
      </c>
      <c r="S296" s="2">
        <v>45584</v>
      </c>
      <c r="T296" s="1">
        <v>150.13999999999999</v>
      </c>
      <c r="U296" s="1">
        <v>0.45900000000000002</v>
      </c>
      <c r="V296" s="6">
        <f t="shared" si="12"/>
        <v>4358.3999999999996</v>
      </c>
      <c r="W296" s="6" t="str">
        <f t="shared" si="13"/>
        <v>Reorder Required</v>
      </c>
      <c r="X296" s="8" t="str">
        <f t="shared" si="14"/>
        <v>LOW</v>
      </c>
    </row>
    <row r="297" spans="1:24">
      <c r="A297" s="7" t="s">
        <v>423</v>
      </c>
      <c r="B297" s="1" t="s">
        <v>25</v>
      </c>
      <c r="C297" s="1">
        <v>184</v>
      </c>
      <c r="D297" s="1">
        <v>23</v>
      </c>
      <c r="E297" s="1">
        <v>8</v>
      </c>
      <c r="F297" s="1">
        <v>9</v>
      </c>
      <c r="G297" s="1">
        <v>14.31</v>
      </c>
      <c r="H297" s="1" t="s">
        <v>52</v>
      </c>
      <c r="I297" s="1" t="s">
        <v>39</v>
      </c>
      <c r="J297" s="1">
        <v>56</v>
      </c>
      <c r="K297" s="1">
        <v>4.13</v>
      </c>
      <c r="L297" s="4">
        <v>182.7</v>
      </c>
      <c r="M297" s="1">
        <v>0.26</v>
      </c>
      <c r="N297" s="1">
        <v>6</v>
      </c>
      <c r="O297" s="1">
        <v>0.8</v>
      </c>
      <c r="P297" s="1">
        <v>620</v>
      </c>
      <c r="Q297" s="1">
        <v>8.34</v>
      </c>
      <c r="R297" s="1">
        <v>0.47</v>
      </c>
      <c r="S297" s="2">
        <v>45558</v>
      </c>
      <c r="T297" s="1">
        <v>15.41</v>
      </c>
      <c r="U297" s="1">
        <v>0.61899999999999999</v>
      </c>
      <c r="V297" s="6">
        <f t="shared" si="12"/>
        <v>33616.799999999996</v>
      </c>
      <c r="W297" s="6" t="str">
        <f t="shared" si="13"/>
        <v>Sufficient</v>
      </c>
      <c r="X297" s="8" t="str">
        <f t="shared" si="14"/>
        <v>Medium</v>
      </c>
    </row>
    <row r="298" spans="1:24">
      <c r="A298" s="7" t="s">
        <v>424</v>
      </c>
      <c r="B298" s="1" t="s">
        <v>29</v>
      </c>
      <c r="C298" s="1">
        <v>121</v>
      </c>
      <c r="D298" s="1">
        <v>54</v>
      </c>
      <c r="E298" s="1">
        <v>4</v>
      </c>
      <c r="F298" s="1">
        <v>4</v>
      </c>
      <c r="G298" s="1">
        <v>23.01</v>
      </c>
      <c r="H298" s="1" t="s">
        <v>83</v>
      </c>
      <c r="I298" s="1" t="s">
        <v>39</v>
      </c>
      <c r="J298" s="1">
        <v>162</v>
      </c>
      <c r="K298" s="1">
        <v>2.09</v>
      </c>
      <c r="L298" s="4">
        <v>152.38999999999999</v>
      </c>
      <c r="M298" s="1">
        <v>0.18</v>
      </c>
      <c r="N298" s="1">
        <v>8</v>
      </c>
      <c r="O298" s="1">
        <v>0.8</v>
      </c>
      <c r="P298" s="1">
        <v>646</v>
      </c>
      <c r="Q298" s="1">
        <v>9.5500000000000007</v>
      </c>
      <c r="R298" s="1">
        <v>0.6</v>
      </c>
      <c r="S298" s="2">
        <v>45378</v>
      </c>
      <c r="T298" s="1">
        <v>221.68</v>
      </c>
      <c r="U298" s="1">
        <v>0.629</v>
      </c>
      <c r="V298" s="6">
        <f t="shared" si="12"/>
        <v>18439.189999999999</v>
      </c>
      <c r="W298" s="6" t="str">
        <f t="shared" si="13"/>
        <v>Sufficient</v>
      </c>
      <c r="X298" s="8" t="str">
        <f t="shared" si="14"/>
        <v>Medium</v>
      </c>
    </row>
    <row r="299" spans="1:24">
      <c r="A299" s="7" t="s">
        <v>425</v>
      </c>
      <c r="B299" s="1" t="s">
        <v>29</v>
      </c>
      <c r="C299" s="1">
        <v>299</v>
      </c>
      <c r="D299" s="1">
        <v>53</v>
      </c>
      <c r="E299" s="1">
        <v>3</v>
      </c>
      <c r="F299" s="1">
        <v>9</v>
      </c>
      <c r="G299" s="1">
        <v>32.99</v>
      </c>
      <c r="H299" s="1" t="s">
        <v>183</v>
      </c>
      <c r="I299" s="1" t="s">
        <v>31</v>
      </c>
      <c r="J299" s="1">
        <v>178</v>
      </c>
      <c r="K299" s="1">
        <v>1.22</v>
      </c>
      <c r="L299" s="4">
        <v>174.53</v>
      </c>
      <c r="M299" s="1">
        <v>0.99</v>
      </c>
      <c r="N299" s="1">
        <v>9</v>
      </c>
      <c r="O299" s="1">
        <v>0.77</v>
      </c>
      <c r="P299" s="1">
        <v>711</v>
      </c>
      <c r="Q299" s="1">
        <v>14.99</v>
      </c>
      <c r="R299" s="1">
        <v>0.63</v>
      </c>
      <c r="S299" s="2">
        <v>45642</v>
      </c>
      <c r="T299" s="1">
        <v>281.58999999999997</v>
      </c>
      <c r="U299" s="1">
        <v>0.60099999999999998</v>
      </c>
      <c r="V299" s="6">
        <f t="shared" si="12"/>
        <v>52184.47</v>
      </c>
      <c r="W299" s="6" t="str">
        <f t="shared" si="13"/>
        <v>Sufficient</v>
      </c>
      <c r="X299" s="8" t="str">
        <f t="shared" si="14"/>
        <v>High</v>
      </c>
    </row>
    <row r="300" spans="1:24">
      <c r="A300" s="7" t="s">
        <v>426</v>
      </c>
      <c r="B300" s="1" t="s">
        <v>33</v>
      </c>
      <c r="C300" s="1">
        <v>277</v>
      </c>
      <c r="D300" s="1">
        <v>97</v>
      </c>
      <c r="E300" s="1">
        <v>3</v>
      </c>
      <c r="F300" s="1">
        <v>6</v>
      </c>
      <c r="G300" s="1">
        <v>42.95</v>
      </c>
      <c r="H300" s="1" t="s">
        <v>115</v>
      </c>
      <c r="I300" s="1" t="s">
        <v>31</v>
      </c>
      <c r="J300" s="1">
        <v>14</v>
      </c>
      <c r="K300" s="1">
        <v>3.42</v>
      </c>
      <c r="L300" s="4">
        <v>89.11</v>
      </c>
      <c r="M300" s="1">
        <v>1.7</v>
      </c>
      <c r="N300" s="1">
        <v>6</v>
      </c>
      <c r="O300" s="1">
        <v>0.74</v>
      </c>
      <c r="P300" s="1">
        <v>370</v>
      </c>
      <c r="Q300" s="1">
        <v>2.97</v>
      </c>
      <c r="R300" s="1">
        <v>0.93</v>
      </c>
      <c r="S300" s="2">
        <v>45486</v>
      </c>
      <c r="T300" s="1">
        <v>55.64</v>
      </c>
      <c r="U300" s="1">
        <v>0.48399999999999999</v>
      </c>
      <c r="V300" s="6">
        <f t="shared" si="12"/>
        <v>24683.47</v>
      </c>
      <c r="W300" s="6" t="str">
        <f t="shared" si="13"/>
        <v>Sufficient</v>
      </c>
      <c r="X300" s="8" t="str">
        <f t="shared" si="14"/>
        <v>High</v>
      </c>
    </row>
    <row r="301" spans="1:24">
      <c r="A301" s="7" t="s">
        <v>427</v>
      </c>
      <c r="B301" s="1" t="s">
        <v>25</v>
      </c>
      <c r="C301" s="1">
        <v>489</v>
      </c>
      <c r="D301" s="1">
        <v>74</v>
      </c>
      <c r="E301" s="1">
        <v>11</v>
      </c>
      <c r="F301" s="1">
        <v>6</v>
      </c>
      <c r="G301" s="1">
        <v>15.07</v>
      </c>
      <c r="H301" s="1" t="s">
        <v>210</v>
      </c>
      <c r="I301" s="1" t="s">
        <v>27</v>
      </c>
      <c r="J301" s="1">
        <v>134</v>
      </c>
      <c r="K301" s="1">
        <v>3.66</v>
      </c>
      <c r="L301" s="4">
        <v>174.42</v>
      </c>
      <c r="M301" s="1">
        <v>1.87</v>
      </c>
      <c r="N301" s="1">
        <v>1</v>
      </c>
      <c r="O301" s="1">
        <v>0.85</v>
      </c>
      <c r="P301" s="1">
        <v>621</v>
      </c>
      <c r="Q301" s="1">
        <v>9.59</v>
      </c>
      <c r="R301" s="1">
        <v>0.99</v>
      </c>
      <c r="S301" s="2">
        <v>45378</v>
      </c>
      <c r="T301" s="1">
        <v>29.7</v>
      </c>
      <c r="U301" s="1">
        <v>0.68899999999999995</v>
      </c>
      <c r="V301" s="6">
        <f t="shared" si="12"/>
        <v>85291.37999999999</v>
      </c>
      <c r="W301" s="6" t="str">
        <f t="shared" si="13"/>
        <v>Sufficient</v>
      </c>
      <c r="X301" s="8" t="str">
        <f t="shared" si="14"/>
        <v>High</v>
      </c>
    </row>
    <row r="302" spans="1:24">
      <c r="A302" s="7" t="s">
        <v>428</v>
      </c>
      <c r="B302" s="1" t="s">
        <v>66</v>
      </c>
      <c r="C302" s="1">
        <v>356</v>
      </c>
      <c r="D302" s="1">
        <v>60</v>
      </c>
      <c r="E302" s="1">
        <v>6</v>
      </c>
      <c r="F302" s="1">
        <v>7</v>
      </c>
      <c r="G302" s="1">
        <v>10</v>
      </c>
      <c r="H302" s="1" t="s">
        <v>216</v>
      </c>
      <c r="I302" s="1" t="s">
        <v>27</v>
      </c>
      <c r="J302" s="1">
        <v>120</v>
      </c>
      <c r="K302" s="1">
        <v>2.77</v>
      </c>
      <c r="L302" s="4">
        <v>132.71</v>
      </c>
      <c r="M302" s="1">
        <v>1.35</v>
      </c>
      <c r="N302" s="1">
        <v>1</v>
      </c>
      <c r="O302" s="1">
        <v>0.95</v>
      </c>
      <c r="P302" s="1">
        <v>174</v>
      </c>
      <c r="Q302" s="1">
        <v>7.67</v>
      </c>
      <c r="R302" s="1">
        <v>0.85</v>
      </c>
      <c r="S302" s="2">
        <v>45363</v>
      </c>
      <c r="T302" s="1">
        <v>86.91</v>
      </c>
      <c r="U302" s="1">
        <v>0.70699999999999996</v>
      </c>
      <c r="V302" s="6">
        <f t="shared" si="12"/>
        <v>47244.76</v>
      </c>
      <c r="W302" s="6" t="str">
        <f t="shared" si="13"/>
        <v>Sufficient</v>
      </c>
      <c r="X302" s="8" t="str">
        <f t="shared" si="14"/>
        <v>High</v>
      </c>
    </row>
    <row r="303" spans="1:24">
      <c r="A303" s="7" t="s">
        <v>429</v>
      </c>
      <c r="B303" s="1" t="s">
        <v>29</v>
      </c>
      <c r="C303" s="1">
        <v>375</v>
      </c>
      <c r="D303" s="1">
        <v>52</v>
      </c>
      <c r="E303" s="1">
        <v>7</v>
      </c>
      <c r="F303" s="1">
        <v>9</v>
      </c>
      <c r="G303" s="1">
        <v>19.559999999999999</v>
      </c>
      <c r="H303" s="1" t="s">
        <v>126</v>
      </c>
      <c r="I303" s="1" t="s">
        <v>27</v>
      </c>
      <c r="J303" s="1">
        <v>81</v>
      </c>
      <c r="K303" s="1">
        <v>1.1499999999999999</v>
      </c>
      <c r="L303" s="4">
        <v>35.770000000000003</v>
      </c>
      <c r="M303" s="1">
        <v>1.67</v>
      </c>
      <c r="N303" s="1">
        <v>1</v>
      </c>
      <c r="O303" s="1">
        <v>0.99</v>
      </c>
      <c r="P303" s="1">
        <v>90</v>
      </c>
      <c r="Q303" s="1">
        <v>4.5999999999999996</v>
      </c>
      <c r="R303" s="1">
        <v>0.65</v>
      </c>
      <c r="S303" s="2">
        <v>45429</v>
      </c>
      <c r="T303" s="1">
        <v>256.44</v>
      </c>
      <c r="U303" s="1">
        <v>0.60199999999999998</v>
      </c>
      <c r="V303" s="6">
        <f t="shared" si="12"/>
        <v>13413.750000000002</v>
      </c>
      <c r="W303" s="6" t="str">
        <f t="shared" si="13"/>
        <v>Sufficient</v>
      </c>
      <c r="X303" s="8" t="str">
        <f t="shared" si="14"/>
        <v>High</v>
      </c>
    </row>
    <row r="304" spans="1:24">
      <c r="A304" s="7" t="s">
        <v>430</v>
      </c>
      <c r="B304" s="1" t="s">
        <v>29</v>
      </c>
      <c r="C304" s="1">
        <v>417</v>
      </c>
      <c r="D304" s="1">
        <v>95</v>
      </c>
      <c r="E304" s="1">
        <v>5</v>
      </c>
      <c r="F304" s="1">
        <v>2</v>
      </c>
      <c r="G304" s="1">
        <v>44.82</v>
      </c>
      <c r="H304" s="1" t="s">
        <v>103</v>
      </c>
      <c r="I304" s="1" t="s">
        <v>27</v>
      </c>
      <c r="J304" s="1">
        <v>96</v>
      </c>
      <c r="K304" s="1">
        <v>4.3</v>
      </c>
      <c r="L304" s="4">
        <v>17.36</v>
      </c>
      <c r="M304" s="1">
        <v>1.5</v>
      </c>
      <c r="N304" s="1">
        <v>4</v>
      </c>
      <c r="O304" s="1">
        <v>0.74</v>
      </c>
      <c r="P304" s="1">
        <v>386</v>
      </c>
      <c r="Q304" s="1">
        <v>14.19</v>
      </c>
      <c r="R304" s="1">
        <v>0.94</v>
      </c>
      <c r="S304" s="2">
        <v>45446</v>
      </c>
      <c r="T304" s="1">
        <v>40.78</v>
      </c>
      <c r="U304" s="1">
        <v>0.69499999999999995</v>
      </c>
      <c r="V304" s="6">
        <f t="shared" si="12"/>
        <v>7239.12</v>
      </c>
      <c r="W304" s="6" t="str">
        <f t="shared" si="13"/>
        <v>Sufficient</v>
      </c>
      <c r="X304" s="8" t="str">
        <f t="shared" si="14"/>
        <v>High</v>
      </c>
    </row>
    <row r="305" spans="1:24">
      <c r="A305" s="7" t="s">
        <v>431</v>
      </c>
      <c r="B305" s="1" t="s">
        <v>66</v>
      </c>
      <c r="C305" s="1">
        <v>157</v>
      </c>
      <c r="D305" s="1">
        <v>32</v>
      </c>
      <c r="E305" s="1">
        <v>6</v>
      </c>
      <c r="F305" s="1">
        <v>6</v>
      </c>
      <c r="G305" s="1">
        <v>1.48</v>
      </c>
      <c r="H305" s="1" t="s">
        <v>50</v>
      </c>
      <c r="I305" s="1" t="s">
        <v>39</v>
      </c>
      <c r="J305" s="1">
        <v>12</v>
      </c>
      <c r="K305" s="1">
        <v>3.4</v>
      </c>
      <c r="L305" s="4">
        <v>56.37</v>
      </c>
      <c r="M305" s="1">
        <v>1.43</v>
      </c>
      <c r="N305" s="1">
        <v>0</v>
      </c>
      <c r="O305" s="1">
        <v>0.95</v>
      </c>
      <c r="P305" s="1">
        <v>734</v>
      </c>
      <c r="Q305" s="1">
        <v>12.07</v>
      </c>
      <c r="R305" s="1">
        <v>0.34</v>
      </c>
      <c r="S305" s="2">
        <v>45429</v>
      </c>
      <c r="T305" s="1">
        <v>217.4</v>
      </c>
      <c r="U305" s="1">
        <v>0.67600000000000005</v>
      </c>
      <c r="V305" s="6">
        <f t="shared" si="12"/>
        <v>8850.09</v>
      </c>
      <c r="W305" s="6" t="str">
        <f t="shared" si="13"/>
        <v>Sufficient</v>
      </c>
      <c r="X305" s="8" t="str">
        <f t="shared" si="14"/>
        <v>Medium</v>
      </c>
    </row>
    <row r="306" spans="1:24">
      <c r="A306" s="7" t="s">
        <v>432</v>
      </c>
      <c r="B306" s="1" t="s">
        <v>29</v>
      </c>
      <c r="C306" s="1">
        <v>182</v>
      </c>
      <c r="D306" s="1">
        <v>65</v>
      </c>
      <c r="E306" s="1">
        <v>14</v>
      </c>
      <c r="F306" s="1">
        <v>9</v>
      </c>
      <c r="G306" s="1">
        <v>34.22</v>
      </c>
      <c r="H306" s="1" t="s">
        <v>42</v>
      </c>
      <c r="I306" s="1" t="s">
        <v>31</v>
      </c>
      <c r="J306" s="1">
        <v>174</v>
      </c>
      <c r="K306" s="1">
        <v>4.41</v>
      </c>
      <c r="L306" s="4">
        <v>81.89</v>
      </c>
      <c r="M306" s="1">
        <v>1.56</v>
      </c>
      <c r="N306" s="1">
        <v>6</v>
      </c>
      <c r="O306" s="1">
        <v>0.95</v>
      </c>
      <c r="P306" s="1">
        <v>821</v>
      </c>
      <c r="Q306" s="1">
        <v>11.88</v>
      </c>
      <c r="R306" s="1">
        <v>0.76</v>
      </c>
      <c r="S306" s="2">
        <v>45544</v>
      </c>
      <c r="T306" s="1">
        <v>28.25</v>
      </c>
      <c r="U306" s="1">
        <v>0.624</v>
      </c>
      <c r="V306" s="6">
        <f t="shared" si="12"/>
        <v>14903.98</v>
      </c>
      <c r="W306" s="6" t="str">
        <f t="shared" si="13"/>
        <v>Sufficient</v>
      </c>
      <c r="X306" s="8" t="str">
        <f t="shared" si="14"/>
        <v>Medium</v>
      </c>
    </row>
    <row r="307" spans="1:24">
      <c r="A307" s="7" t="s">
        <v>433</v>
      </c>
      <c r="B307" s="1" t="s">
        <v>33</v>
      </c>
      <c r="C307" s="1">
        <v>428</v>
      </c>
      <c r="D307" s="1">
        <v>28</v>
      </c>
      <c r="E307" s="1">
        <v>10</v>
      </c>
      <c r="F307" s="1">
        <v>4</v>
      </c>
      <c r="G307" s="1">
        <v>24.38</v>
      </c>
      <c r="H307" s="1" t="s">
        <v>149</v>
      </c>
      <c r="I307" s="1" t="s">
        <v>45</v>
      </c>
      <c r="J307" s="1">
        <v>102</v>
      </c>
      <c r="K307" s="1">
        <v>4.7</v>
      </c>
      <c r="L307" s="4">
        <v>169.14</v>
      </c>
      <c r="M307" s="1">
        <v>1.06</v>
      </c>
      <c r="N307" s="1">
        <v>1</v>
      </c>
      <c r="O307" s="1">
        <v>0.82</v>
      </c>
      <c r="P307" s="1">
        <v>375</v>
      </c>
      <c r="Q307" s="1">
        <v>13.59</v>
      </c>
      <c r="R307" s="1">
        <v>0.56999999999999995</v>
      </c>
      <c r="S307" s="2">
        <v>45366</v>
      </c>
      <c r="T307" s="1">
        <v>19.510000000000002</v>
      </c>
      <c r="U307" s="1">
        <v>0.73299999999999998</v>
      </c>
      <c r="V307" s="6">
        <f t="shared" si="12"/>
        <v>72391.92</v>
      </c>
      <c r="W307" s="6" t="str">
        <f t="shared" si="13"/>
        <v>Sufficient</v>
      </c>
      <c r="X307" s="8" t="str">
        <f t="shared" si="14"/>
        <v>High</v>
      </c>
    </row>
    <row r="308" spans="1:24">
      <c r="A308" s="7" t="s">
        <v>434</v>
      </c>
      <c r="B308" s="1" t="s">
        <v>25</v>
      </c>
      <c r="C308" s="1">
        <v>406</v>
      </c>
      <c r="D308" s="1">
        <v>91</v>
      </c>
      <c r="E308" s="1">
        <v>6</v>
      </c>
      <c r="F308" s="1">
        <v>5</v>
      </c>
      <c r="G308" s="1">
        <v>8.89</v>
      </c>
      <c r="H308" s="1" t="s">
        <v>149</v>
      </c>
      <c r="I308" s="1" t="s">
        <v>27</v>
      </c>
      <c r="J308" s="1">
        <v>50</v>
      </c>
      <c r="K308" s="1">
        <v>4.13</v>
      </c>
      <c r="L308" s="4">
        <v>150.84</v>
      </c>
      <c r="M308" s="1">
        <v>0.97</v>
      </c>
      <c r="N308" s="1">
        <v>3</v>
      </c>
      <c r="O308" s="1">
        <v>0.73</v>
      </c>
      <c r="P308" s="1">
        <v>734</v>
      </c>
      <c r="Q308" s="1">
        <v>11.15</v>
      </c>
      <c r="R308" s="1">
        <v>0.32</v>
      </c>
      <c r="S308" s="2">
        <v>45324</v>
      </c>
      <c r="T308" s="1">
        <v>268.48</v>
      </c>
      <c r="U308" s="1">
        <v>0.60199999999999998</v>
      </c>
      <c r="V308" s="6">
        <f t="shared" si="12"/>
        <v>61241.04</v>
      </c>
      <c r="W308" s="6" t="str">
        <f t="shared" si="13"/>
        <v>Sufficient</v>
      </c>
      <c r="X308" s="8" t="str">
        <f t="shared" si="14"/>
        <v>High</v>
      </c>
    </row>
    <row r="309" spans="1:24">
      <c r="A309" s="7" t="s">
        <v>435</v>
      </c>
      <c r="B309" s="1" t="s">
        <v>66</v>
      </c>
      <c r="C309" s="1">
        <v>130</v>
      </c>
      <c r="D309" s="1">
        <v>85</v>
      </c>
      <c r="E309" s="1">
        <v>11</v>
      </c>
      <c r="F309" s="1">
        <v>9</v>
      </c>
      <c r="G309" s="1">
        <v>16.73</v>
      </c>
      <c r="H309" s="1" t="s">
        <v>130</v>
      </c>
      <c r="I309" s="1" t="s">
        <v>31</v>
      </c>
      <c r="J309" s="1">
        <v>157</v>
      </c>
      <c r="K309" s="1">
        <v>4.8099999999999996</v>
      </c>
      <c r="L309" s="4">
        <v>191.52</v>
      </c>
      <c r="M309" s="1">
        <v>0.4</v>
      </c>
      <c r="N309" s="1">
        <v>8</v>
      </c>
      <c r="O309" s="1">
        <v>1</v>
      </c>
      <c r="P309" s="1">
        <v>235</v>
      </c>
      <c r="Q309" s="1">
        <v>8.09</v>
      </c>
      <c r="R309" s="1">
        <v>0.26</v>
      </c>
      <c r="S309" s="2">
        <v>45377</v>
      </c>
      <c r="T309" s="1">
        <v>233.46</v>
      </c>
      <c r="U309" s="1">
        <v>0.56000000000000005</v>
      </c>
      <c r="V309" s="6">
        <f t="shared" si="12"/>
        <v>24897.600000000002</v>
      </c>
      <c r="W309" s="6" t="str">
        <f t="shared" si="13"/>
        <v>Sufficient</v>
      </c>
      <c r="X309" s="8" t="str">
        <f t="shared" si="14"/>
        <v>Medium</v>
      </c>
    </row>
    <row r="310" spans="1:24">
      <c r="A310" s="7" t="s">
        <v>436</v>
      </c>
      <c r="B310" s="1" t="s">
        <v>25</v>
      </c>
      <c r="C310" s="1">
        <v>121</v>
      </c>
      <c r="D310" s="1">
        <v>64</v>
      </c>
      <c r="E310" s="1">
        <v>11</v>
      </c>
      <c r="F310" s="1">
        <v>4</v>
      </c>
      <c r="G310" s="1">
        <v>12.02</v>
      </c>
      <c r="H310" s="1" t="s">
        <v>91</v>
      </c>
      <c r="I310" s="1" t="s">
        <v>27</v>
      </c>
      <c r="J310" s="1">
        <v>96</v>
      </c>
      <c r="K310" s="1">
        <v>4.79</v>
      </c>
      <c r="L310" s="4">
        <v>116.24</v>
      </c>
      <c r="M310" s="1">
        <v>1.7</v>
      </c>
      <c r="N310" s="1">
        <v>7</v>
      </c>
      <c r="O310" s="1">
        <v>0.9</v>
      </c>
      <c r="P310" s="1">
        <v>290</v>
      </c>
      <c r="Q310" s="1">
        <v>6.48</v>
      </c>
      <c r="R310" s="1">
        <v>0.57999999999999996</v>
      </c>
      <c r="S310" s="2">
        <v>45514</v>
      </c>
      <c r="T310" s="1">
        <v>183.59</v>
      </c>
      <c r="U310" s="1">
        <v>0.47199999999999998</v>
      </c>
      <c r="V310" s="6">
        <f t="shared" si="12"/>
        <v>14065.039999999999</v>
      </c>
      <c r="W310" s="6" t="str">
        <f t="shared" si="13"/>
        <v>Sufficient</v>
      </c>
      <c r="X310" s="8" t="str">
        <f t="shared" si="14"/>
        <v>Medium</v>
      </c>
    </row>
    <row r="311" spans="1:24">
      <c r="A311" s="7" t="s">
        <v>437</v>
      </c>
      <c r="B311" s="1" t="s">
        <v>29</v>
      </c>
      <c r="C311" s="1">
        <v>36</v>
      </c>
      <c r="D311" s="1">
        <v>69</v>
      </c>
      <c r="E311" s="1">
        <v>8</v>
      </c>
      <c r="F311" s="1">
        <v>7</v>
      </c>
      <c r="G311" s="1">
        <v>44.01</v>
      </c>
      <c r="H311" s="1" t="s">
        <v>47</v>
      </c>
      <c r="I311" s="1" t="s">
        <v>39</v>
      </c>
      <c r="J311" s="1">
        <v>177</v>
      </c>
      <c r="K311" s="1">
        <v>3.29</v>
      </c>
      <c r="L311" s="4">
        <v>152.07</v>
      </c>
      <c r="M311" s="1">
        <v>0.18</v>
      </c>
      <c r="N311" s="1">
        <v>9</v>
      </c>
      <c r="O311" s="1">
        <v>0.99</v>
      </c>
      <c r="P311" s="1">
        <v>388</v>
      </c>
      <c r="Q311" s="1">
        <v>10.86</v>
      </c>
      <c r="R311" s="1">
        <v>0.39</v>
      </c>
      <c r="S311" s="2">
        <v>45433</v>
      </c>
      <c r="T311" s="1">
        <v>59.88</v>
      </c>
      <c r="U311" s="1">
        <v>0.623</v>
      </c>
      <c r="V311" s="6">
        <f t="shared" si="12"/>
        <v>5474.5199999999995</v>
      </c>
      <c r="W311" s="6" t="str">
        <f t="shared" si="13"/>
        <v>Reorder Required</v>
      </c>
      <c r="X311" s="8" t="str">
        <f t="shared" si="14"/>
        <v>LOW</v>
      </c>
    </row>
    <row r="312" spans="1:24">
      <c r="A312" s="7" t="s">
        <v>438</v>
      </c>
      <c r="B312" s="1" t="s">
        <v>29</v>
      </c>
      <c r="C312" s="1">
        <v>287</v>
      </c>
      <c r="D312" s="1">
        <v>68</v>
      </c>
      <c r="E312" s="1">
        <v>4</v>
      </c>
      <c r="F312" s="1">
        <v>7</v>
      </c>
      <c r="G312" s="1">
        <v>24.61</v>
      </c>
      <c r="H312" s="1" t="s">
        <v>61</v>
      </c>
      <c r="I312" s="1" t="s">
        <v>45</v>
      </c>
      <c r="J312" s="1">
        <v>94</v>
      </c>
      <c r="K312" s="1">
        <v>3.78</v>
      </c>
      <c r="L312" s="4">
        <v>62.3</v>
      </c>
      <c r="M312" s="1">
        <v>0.61</v>
      </c>
      <c r="N312" s="1">
        <v>1</v>
      </c>
      <c r="O312" s="1">
        <v>0.85</v>
      </c>
      <c r="P312" s="1">
        <v>143</v>
      </c>
      <c r="Q312" s="1">
        <v>9.44</v>
      </c>
      <c r="R312" s="1">
        <v>0.4</v>
      </c>
      <c r="S312" s="2">
        <v>45507</v>
      </c>
      <c r="T312" s="1">
        <v>90.87</v>
      </c>
      <c r="U312" s="1">
        <v>0.69499999999999995</v>
      </c>
      <c r="V312" s="6">
        <f t="shared" si="12"/>
        <v>17880.099999999999</v>
      </c>
      <c r="W312" s="6" t="str">
        <f t="shared" si="13"/>
        <v>Sufficient</v>
      </c>
      <c r="X312" s="8" t="str">
        <f t="shared" si="14"/>
        <v>High</v>
      </c>
    </row>
    <row r="313" spans="1:24">
      <c r="A313" s="7" t="s">
        <v>439</v>
      </c>
      <c r="B313" s="1" t="s">
        <v>66</v>
      </c>
      <c r="C313" s="1">
        <v>201</v>
      </c>
      <c r="D313" s="1">
        <v>42</v>
      </c>
      <c r="E313" s="1">
        <v>14</v>
      </c>
      <c r="F313" s="1">
        <v>3</v>
      </c>
      <c r="G313" s="1">
        <v>28.59</v>
      </c>
      <c r="H313" s="1" t="s">
        <v>440</v>
      </c>
      <c r="I313" s="1" t="s">
        <v>31</v>
      </c>
      <c r="J313" s="1">
        <v>145</v>
      </c>
      <c r="K313" s="1">
        <v>3.65</v>
      </c>
      <c r="L313" s="4">
        <v>139.12</v>
      </c>
      <c r="M313" s="1">
        <v>1.0900000000000001</v>
      </c>
      <c r="N313" s="1">
        <v>3</v>
      </c>
      <c r="O313" s="1">
        <v>0.82</v>
      </c>
      <c r="P313" s="1">
        <v>968</v>
      </c>
      <c r="Q313" s="1">
        <v>8.6</v>
      </c>
      <c r="R313" s="1">
        <v>0.46</v>
      </c>
      <c r="S313" s="2">
        <v>45445</v>
      </c>
      <c r="T313" s="1">
        <v>24.1</v>
      </c>
      <c r="U313" s="1">
        <v>0.60199999999999998</v>
      </c>
      <c r="V313" s="6">
        <f t="shared" si="12"/>
        <v>27963.120000000003</v>
      </c>
      <c r="W313" s="6" t="str">
        <f t="shared" si="13"/>
        <v>Sufficient</v>
      </c>
      <c r="X313" s="8" t="str">
        <f t="shared" si="14"/>
        <v>Medium</v>
      </c>
    </row>
    <row r="314" spans="1:24">
      <c r="A314" s="7" t="s">
        <v>441</v>
      </c>
      <c r="B314" s="1" t="s">
        <v>33</v>
      </c>
      <c r="C314" s="1">
        <v>391</v>
      </c>
      <c r="D314" s="1">
        <v>28</v>
      </c>
      <c r="E314" s="1">
        <v>12</v>
      </c>
      <c r="F314" s="1">
        <v>8</v>
      </c>
      <c r="G314" s="1">
        <v>30.09</v>
      </c>
      <c r="H314" s="1" t="s">
        <v>38</v>
      </c>
      <c r="I314" s="1" t="s">
        <v>31</v>
      </c>
      <c r="J314" s="1">
        <v>142</v>
      </c>
      <c r="K314" s="1">
        <v>3.3</v>
      </c>
      <c r="L314" s="4">
        <v>144.16999999999999</v>
      </c>
      <c r="M314" s="1">
        <v>1.95</v>
      </c>
      <c r="N314" s="1">
        <v>3</v>
      </c>
      <c r="O314" s="1">
        <v>0.77</v>
      </c>
      <c r="P314" s="1">
        <v>465</v>
      </c>
      <c r="Q314" s="1">
        <v>9.25</v>
      </c>
      <c r="R314" s="1">
        <v>0.77</v>
      </c>
      <c r="S314" s="2">
        <v>45539</v>
      </c>
      <c r="T314" s="1">
        <v>197.16</v>
      </c>
      <c r="U314" s="1">
        <v>0.57599999999999996</v>
      </c>
      <c r="V314" s="6">
        <f t="shared" si="12"/>
        <v>56370.469999999994</v>
      </c>
      <c r="W314" s="6" t="str">
        <f t="shared" si="13"/>
        <v>Sufficient</v>
      </c>
      <c r="X314" s="8" t="str">
        <f t="shared" si="14"/>
        <v>High</v>
      </c>
    </row>
    <row r="315" spans="1:24">
      <c r="A315" s="7" t="s">
        <v>442</v>
      </c>
      <c r="B315" s="1" t="s">
        <v>41</v>
      </c>
      <c r="C315" s="1">
        <v>43</v>
      </c>
      <c r="D315" s="1">
        <v>37</v>
      </c>
      <c r="E315" s="1">
        <v>13</v>
      </c>
      <c r="F315" s="1">
        <v>6</v>
      </c>
      <c r="G315" s="1">
        <v>32.340000000000003</v>
      </c>
      <c r="H315" s="1" t="s">
        <v>195</v>
      </c>
      <c r="I315" s="1" t="s">
        <v>45</v>
      </c>
      <c r="J315" s="1">
        <v>34</v>
      </c>
      <c r="K315" s="1">
        <v>0.59</v>
      </c>
      <c r="L315" s="4">
        <v>171.2</v>
      </c>
      <c r="M315" s="1">
        <v>1.59</v>
      </c>
      <c r="N315" s="1">
        <v>1</v>
      </c>
      <c r="O315" s="1">
        <v>1</v>
      </c>
      <c r="P315" s="1">
        <v>112</v>
      </c>
      <c r="Q315" s="1">
        <v>10.17</v>
      </c>
      <c r="R315" s="1">
        <v>0.33</v>
      </c>
      <c r="S315" s="2">
        <v>45331</v>
      </c>
      <c r="T315" s="1">
        <v>208.96</v>
      </c>
      <c r="U315" s="1">
        <v>0.623</v>
      </c>
      <c r="V315" s="6">
        <f t="shared" si="12"/>
        <v>7361.5999999999995</v>
      </c>
      <c r="W315" s="6" t="str">
        <f t="shared" si="13"/>
        <v>Sufficient</v>
      </c>
      <c r="X315" s="8" t="str">
        <f t="shared" si="14"/>
        <v>LOW</v>
      </c>
    </row>
    <row r="316" spans="1:24">
      <c r="A316" s="7" t="s">
        <v>443</v>
      </c>
      <c r="B316" s="1" t="s">
        <v>66</v>
      </c>
      <c r="C316" s="1">
        <v>48</v>
      </c>
      <c r="D316" s="1">
        <v>61</v>
      </c>
      <c r="E316" s="1">
        <v>9</v>
      </c>
      <c r="F316" s="1">
        <v>8</v>
      </c>
      <c r="G316" s="1">
        <v>25.28</v>
      </c>
      <c r="H316" s="1" t="s">
        <v>42</v>
      </c>
      <c r="I316" s="1" t="s">
        <v>39</v>
      </c>
      <c r="J316" s="1">
        <v>48</v>
      </c>
      <c r="K316" s="1">
        <v>2.1</v>
      </c>
      <c r="L316" s="4">
        <v>111.92</v>
      </c>
      <c r="M316" s="1">
        <v>0.8</v>
      </c>
      <c r="N316" s="1">
        <v>1</v>
      </c>
      <c r="O316" s="1">
        <v>0.78</v>
      </c>
      <c r="P316" s="1">
        <v>782</v>
      </c>
      <c r="Q316" s="1">
        <v>14.56</v>
      </c>
      <c r="R316" s="1">
        <v>0.77</v>
      </c>
      <c r="S316" s="2">
        <v>45476</v>
      </c>
      <c r="T316" s="1">
        <v>104.77</v>
      </c>
      <c r="U316" s="1">
        <v>0.80400000000000005</v>
      </c>
      <c r="V316" s="6">
        <f t="shared" si="12"/>
        <v>5372.16</v>
      </c>
      <c r="W316" s="6" t="str">
        <f t="shared" si="13"/>
        <v>Reorder Required</v>
      </c>
      <c r="X316" s="8" t="str">
        <f t="shared" si="14"/>
        <v>LOW</v>
      </c>
    </row>
    <row r="317" spans="1:24">
      <c r="A317" s="7" t="s">
        <v>444</v>
      </c>
      <c r="B317" s="1" t="s">
        <v>41</v>
      </c>
      <c r="C317" s="1">
        <v>190</v>
      </c>
      <c r="D317" s="1">
        <v>58</v>
      </c>
      <c r="E317" s="1">
        <v>11</v>
      </c>
      <c r="F317" s="1">
        <v>9</v>
      </c>
      <c r="G317" s="1">
        <v>1.88</v>
      </c>
      <c r="H317" s="1" t="s">
        <v>185</v>
      </c>
      <c r="I317" s="1" t="s">
        <v>45</v>
      </c>
      <c r="J317" s="1">
        <v>174</v>
      </c>
      <c r="K317" s="1">
        <v>0.95</v>
      </c>
      <c r="L317" s="4">
        <v>133.31</v>
      </c>
      <c r="M317" s="1">
        <v>1.46</v>
      </c>
      <c r="N317" s="1">
        <v>4</v>
      </c>
      <c r="O317" s="1">
        <v>0.71</v>
      </c>
      <c r="P317" s="1">
        <v>569</v>
      </c>
      <c r="Q317" s="1">
        <v>11.54</v>
      </c>
      <c r="R317" s="1">
        <v>0.83</v>
      </c>
      <c r="S317" s="2">
        <v>45420</v>
      </c>
      <c r="T317" s="1">
        <v>108.14</v>
      </c>
      <c r="U317" s="1">
        <v>0.63600000000000001</v>
      </c>
      <c r="V317" s="6">
        <f t="shared" si="12"/>
        <v>25328.9</v>
      </c>
      <c r="W317" s="6" t="str">
        <f t="shared" si="13"/>
        <v>Sufficient</v>
      </c>
      <c r="X317" s="8" t="str">
        <f t="shared" si="14"/>
        <v>Medium</v>
      </c>
    </row>
    <row r="318" spans="1:24">
      <c r="A318" s="7" t="s">
        <v>445</v>
      </c>
      <c r="B318" s="1" t="s">
        <v>41</v>
      </c>
      <c r="C318" s="1">
        <v>428</v>
      </c>
      <c r="D318" s="1">
        <v>46</v>
      </c>
      <c r="E318" s="1">
        <v>8</v>
      </c>
      <c r="F318" s="1">
        <v>8</v>
      </c>
      <c r="G318" s="1">
        <v>17.399999999999999</v>
      </c>
      <c r="H318" s="1" t="s">
        <v>370</v>
      </c>
      <c r="I318" s="1" t="s">
        <v>31</v>
      </c>
      <c r="J318" s="1">
        <v>134</v>
      </c>
      <c r="K318" s="1">
        <v>1.85</v>
      </c>
      <c r="L318" s="4">
        <v>48.58</v>
      </c>
      <c r="M318" s="1">
        <v>1.87</v>
      </c>
      <c r="N318" s="1">
        <v>3</v>
      </c>
      <c r="O318" s="1">
        <v>0.85</v>
      </c>
      <c r="P318" s="1">
        <v>774</v>
      </c>
      <c r="Q318" s="1">
        <v>3.47</v>
      </c>
      <c r="R318" s="1">
        <v>0.68</v>
      </c>
      <c r="S318" s="2">
        <v>45418</v>
      </c>
      <c r="T318" s="1">
        <v>192.4</v>
      </c>
      <c r="U318" s="1">
        <v>0.505</v>
      </c>
      <c r="V318" s="6">
        <f t="shared" si="12"/>
        <v>20792.239999999998</v>
      </c>
      <c r="W318" s="6" t="str">
        <f t="shared" si="13"/>
        <v>Sufficient</v>
      </c>
      <c r="X318" s="8" t="str">
        <f t="shared" si="14"/>
        <v>High</v>
      </c>
    </row>
    <row r="319" spans="1:24">
      <c r="A319" s="7" t="s">
        <v>446</v>
      </c>
      <c r="B319" s="1" t="s">
        <v>33</v>
      </c>
      <c r="C319" s="1">
        <v>247</v>
      </c>
      <c r="D319" s="1">
        <v>35</v>
      </c>
      <c r="E319" s="1">
        <v>5</v>
      </c>
      <c r="F319" s="1">
        <v>6</v>
      </c>
      <c r="G319" s="1">
        <v>10.01</v>
      </c>
      <c r="H319" s="1" t="s">
        <v>137</v>
      </c>
      <c r="I319" s="1" t="s">
        <v>45</v>
      </c>
      <c r="J319" s="1">
        <v>114</v>
      </c>
      <c r="K319" s="1">
        <v>0.81</v>
      </c>
      <c r="L319" s="4">
        <v>149.97999999999999</v>
      </c>
      <c r="M319" s="1">
        <v>1.1200000000000001</v>
      </c>
      <c r="N319" s="1">
        <v>7</v>
      </c>
      <c r="O319" s="1">
        <v>0.81</v>
      </c>
      <c r="P319" s="1">
        <v>258</v>
      </c>
      <c r="Q319" s="1">
        <v>7.53</v>
      </c>
      <c r="R319" s="1">
        <v>0.4</v>
      </c>
      <c r="S319" s="2">
        <v>45612</v>
      </c>
      <c r="T319" s="1">
        <v>284.24</v>
      </c>
      <c r="U319" s="1">
        <v>0.49</v>
      </c>
      <c r="V319" s="6">
        <f t="shared" si="12"/>
        <v>37045.06</v>
      </c>
      <c r="W319" s="6" t="str">
        <f t="shared" si="13"/>
        <v>Sufficient</v>
      </c>
      <c r="X319" s="8" t="str">
        <f t="shared" si="14"/>
        <v>Medium</v>
      </c>
    </row>
    <row r="320" spans="1:24">
      <c r="A320" s="7" t="s">
        <v>447</v>
      </c>
      <c r="B320" s="1" t="s">
        <v>41</v>
      </c>
      <c r="C320" s="1">
        <v>397</v>
      </c>
      <c r="D320" s="1">
        <v>49</v>
      </c>
      <c r="E320" s="1">
        <v>9</v>
      </c>
      <c r="F320" s="1">
        <v>6</v>
      </c>
      <c r="G320" s="1">
        <v>34.33</v>
      </c>
      <c r="H320" s="1" t="s">
        <v>115</v>
      </c>
      <c r="I320" s="1" t="s">
        <v>39</v>
      </c>
      <c r="J320" s="1">
        <v>14</v>
      </c>
      <c r="K320" s="1">
        <v>4.6399999999999997</v>
      </c>
      <c r="L320" s="4">
        <v>169.3</v>
      </c>
      <c r="M320" s="1">
        <v>0.98</v>
      </c>
      <c r="N320" s="1">
        <v>3</v>
      </c>
      <c r="O320" s="1">
        <v>0.78</v>
      </c>
      <c r="P320" s="1">
        <v>258</v>
      </c>
      <c r="Q320" s="1">
        <v>10.5</v>
      </c>
      <c r="R320" s="1">
        <v>0.24</v>
      </c>
      <c r="S320" s="2">
        <v>45545</v>
      </c>
      <c r="T320" s="1">
        <v>124.47</v>
      </c>
      <c r="U320" s="1">
        <v>0.58599999999999997</v>
      </c>
      <c r="V320" s="6">
        <f t="shared" si="12"/>
        <v>67212.100000000006</v>
      </c>
      <c r="W320" s="6" t="str">
        <f t="shared" si="13"/>
        <v>Sufficient</v>
      </c>
      <c r="X320" s="8" t="str">
        <f t="shared" si="14"/>
        <v>High</v>
      </c>
    </row>
    <row r="321" spans="1:24">
      <c r="A321" s="7" t="s">
        <v>448</v>
      </c>
      <c r="B321" s="1" t="s">
        <v>41</v>
      </c>
      <c r="C321" s="1">
        <v>207</v>
      </c>
      <c r="D321" s="1">
        <v>89</v>
      </c>
      <c r="E321" s="1">
        <v>7</v>
      </c>
      <c r="F321" s="1">
        <v>9</v>
      </c>
      <c r="G321" s="1">
        <v>3.78</v>
      </c>
      <c r="H321" s="1" t="s">
        <v>258</v>
      </c>
      <c r="I321" s="1" t="s">
        <v>39</v>
      </c>
      <c r="J321" s="1">
        <v>145</v>
      </c>
      <c r="K321" s="1">
        <v>2.5299999999999998</v>
      </c>
      <c r="L321" s="4">
        <v>122.81</v>
      </c>
      <c r="M321" s="1">
        <v>1.1499999999999999</v>
      </c>
      <c r="N321" s="1">
        <v>7</v>
      </c>
      <c r="O321" s="1">
        <v>0.89</v>
      </c>
      <c r="P321" s="1">
        <v>425</v>
      </c>
      <c r="Q321" s="1">
        <v>3.46</v>
      </c>
      <c r="R321" s="1">
        <v>0.53</v>
      </c>
      <c r="S321" s="2">
        <v>45596</v>
      </c>
      <c r="T321" s="1">
        <v>153.13999999999999</v>
      </c>
      <c r="U321" s="1">
        <v>0.47499999999999998</v>
      </c>
      <c r="V321" s="6">
        <f t="shared" si="12"/>
        <v>25421.670000000002</v>
      </c>
      <c r="W321" s="6" t="str">
        <f t="shared" si="13"/>
        <v>Sufficient</v>
      </c>
      <c r="X321" s="8" t="str">
        <f t="shared" si="14"/>
        <v>Medium</v>
      </c>
    </row>
    <row r="322" spans="1:24">
      <c r="A322" s="7" t="s">
        <v>449</v>
      </c>
      <c r="B322" s="1" t="s">
        <v>33</v>
      </c>
      <c r="C322" s="1">
        <v>365</v>
      </c>
      <c r="D322" s="1">
        <v>47</v>
      </c>
      <c r="E322" s="1">
        <v>3</v>
      </c>
      <c r="F322" s="1">
        <v>7</v>
      </c>
      <c r="G322" s="1">
        <v>28.63</v>
      </c>
      <c r="H322" s="1" t="s">
        <v>83</v>
      </c>
      <c r="I322" s="1" t="s">
        <v>27</v>
      </c>
      <c r="J322" s="1">
        <v>13</v>
      </c>
      <c r="K322" s="1">
        <v>1.35</v>
      </c>
      <c r="L322" s="4">
        <v>31.98</v>
      </c>
      <c r="M322" s="1">
        <v>0.69</v>
      </c>
      <c r="N322" s="1">
        <v>4</v>
      </c>
      <c r="O322" s="1">
        <v>0.81</v>
      </c>
      <c r="P322" s="1">
        <v>134</v>
      </c>
      <c r="Q322" s="1">
        <v>14.06</v>
      </c>
      <c r="R322" s="1">
        <v>0.88</v>
      </c>
      <c r="S322" s="2">
        <v>45607</v>
      </c>
      <c r="T322" s="1">
        <v>212.5</v>
      </c>
      <c r="U322" s="1">
        <v>0.77600000000000002</v>
      </c>
      <c r="V322" s="6">
        <f t="shared" si="12"/>
        <v>11672.7</v>
      </c>
      <c r="W322" s="6" t="str">
        <f t="shared" si="13"/>
        <v>Sufficient</v>
      </c>
      <c r="X322" s="8" t="str">
        <f t="shared" si="14"/>
        <v>High</v>
      </c>
    </row>
    <row r="323" spans="1:24">
      <c r="A323" s="7" t="s">
        <v>450</v>
      </c>
      <c r="B323" s="1" t="s">
        <v>41</v>
      </c>
      <c r="C323" s="1">
        <v>249</v>
      </c>
      <c r="D323" s="1">
        <v>86</v>
      </c>
      <c r="E323" s="1">
        <v>5</v>
      </c>
      <c r="F323" s="1">
        <v>6</v>
      </c>
      <c r="G323" s="1">
        <v>11.32</v>
      </c>
      <c r="H323" s="1" t="s">
        <v>55</v>
      </c>
      <c r="I323" s="1" t="s">
        <v>45</v>
      </c>
      <c r="J323" s="1">
        <v>178</v>
      </c>
      <c r="K323" s="1">
        <v>3.13</v>
      </c>
      <c r="L323" s="4">
        <v>69.44</v>
      </c>
      <c r="M323" s="1">
        <v>1.82</v>
      </c>
      <c r="N323" s="1">
        <v>0</v>
      </c>
      <c r="O323" s="1">
        <v>0.82</v>
      </c>
      <c r="P323" s="1">
        <v>256</v>
      </c>
      <c r="Q323" s="1">
        <v>2.08</v>
      </c>
      <c r="R323" s="1">
        <v>0.28000000000000003</v>
      </c>
      <c r="S323" s="2">
        <v>45392</v>
      </c>
      <c r="T323" s="1">
        <v>109.27</v>
      </c>
      <c r="U323" s="1">
        <v>0.46600000000000003</v>
      </c>
      <c r="V323" s="6">
        <f t="shared" si="12"/>
        <v>17290.559999999998</v>
      </c>
      <c r="W323" s="6" t="str">
        <f t="shared" si="13"/>
        <v>Sufficient</v>
      </c>
      <c r="X323" s="8" t="str">
        <f t="shared" si="14"/>
        <v>Medium</v>
      </c>
    </row>
    <row r="324" spans="1:24">
      <c r="A324" s="7" t="s">
        <v>451</v>
      </c>
      <c r="B324" s="1" t="s">
        <v>41</v>
      </c>
      <c r="C324" s="1">
        <v>340</v>
      </c>
      <c r="D324" s="1">
        <v>96</v>
      </c>
      <c r="E324" s="1">
        <v>7</v>
      </c>
      <c r="F324" s="1">
        <v>2</v>
      </c>
      <c r="G324" s="1">
        <v>47.49</v>
      </c>
      <c r="H324" s="1" t="s">
        <v>279</v>
      </c>
      <c r="I324" s="1" t="s">
        <v>45</v>
      </c>
      <c r="J324" s="1">
        <v>69</v>
      </c>
      <c r="K324" s="1">
        <v>1.38</v>
      </c>
      <c r="L324" s="4">
        <v>100.35</v>
      </c>
      <c r="M324" s="1">
        <v>1.61</v>
      </c>
      <c r="N324" s="1">
        <v>8</v>
      </c>
      <c r="O324" s="1">
        <v>0.71</v>
      </c>
      <c r="P324" s="1">
        <v>396</v>
      </c>
      <c r="Q324" s="1">
        <v>9.5500000000000007</v>
      </c>
      <c r="R324" s="1">
        <v>0.8</v>
      </c>
      <c r="S324" s="2">
        <v>45526</v>
      </c>
      <c r="T324" s="1">
        <v>261.97000000000003</v>
      </c>
      <c r="U324" s="1">
        <v>0.50800000000000001</v>
      </c>
      <c r="V324" s="6">
        <f t="shared" ref="V324:V387" si="15">C324*L324</f>
        <v>34119</v>
      </c>
      <c r="W324" s="6" t="str">
        <f t="shared" ref="W324:W387" si="16">IF(C324&lt;=D324,"Reorder Required","Sufficient")</f>
        <v>Sufficient</v>
      </c>
      <c r="X324" s="8" t="str">
        <f t="shared" ref="X324:X387" si="17">IF(C324&lt;100,"LOW",IF(C324&lt;250,"Medium","High"))</f>
        <v>High</v>
      </c>
    </row>
    <row r="325" spans="1:24">
      <c r="A325" s="7" t="s">
        <v>452</v>
      </c>
      <c r="B325" s="1" t="s">
        <v>41</v>
      </c>
      <c r="C325" s="1">
        <v>359</v>
      </c>
      <c r="D325" s="1">
        <v>63</v>
      </c>
      <c r="E325" s="1">
        <v>9</v>
      </c>
      <c r="F325" s="1">
        <v>2</v>
      </c>
      <c r="G325" s="1">
        <v>17.440000000000001</v>
      </c>
      <c r="H325" s="1" t="s">
        <v>57</v>
      </c>
      <c r="I325" s="1" t="s">
        <v>31</v>
      </c>
      <c r="J325" s="1">
        <v>63</v>
      </c>
      <c r="K325" s="1">
        <v>4.12</v>
      </c>
      <c r="L325" s="4">
        <v>138.66</v>
      </c>
      <c r="M325" s="1">
        <v>1.44</v>
      </c>
      <c r="N325" s="1">
        <v>7</v>
      </c>
      <c r="O325" s="1">
        <v>0.88</v>
      </c>
      <c r="P325" s="1">
        <v>714</v>
      </c>
      <c r="Q325" s="1">
        <v>14.66</v>
      </c>
      <c r="R325" s="1">
        <v>0.56999999999999995</v>
      </c>
      <c r="S325" s="2">
        <v>45346</v>
      </c>
      <c r="T325" s="1">
        <v>255.39</v>
      </c>
      <c r="U325" s="1">
        <v>0.60099999999999998</v>
      </c>
      <c r="V325" s="6">
        <f t="shared" si="15"/>
        <v>49778.94</v>
      </c>
      <c r="W325" s="6" t="str">
        <f t="shared" si="16"/>
        <v>Sufficient</v>
      </c>
      <c r="X325" s="8" t="str">
        <f t="shared" si="17"/>
        <v>High</v>
      </c>
    </row>
    <row r="326" spans="1:24">
      <c r="A326" s="7" t="s">
        <v>453</v>
      </c>
      <c r="B326" s="1" t="s">
        <v>66</v>
      </c>
      <c r="C326" s="1">
        <v>138</v>
      </c>
      <c r="D326" s="1">
        <v>31</v>
      </c>
      <c r="E326" s="1">
        <v>5</v>
      </c>
      <c r="F326" s="1">
        <v>5</v>
      </c>
      <c r="G326" s="1">
        <v>16.940000000000001</v>
      </c>
      <c r="H326" s="1" t="s">
        <v>256</v>
      </c>
      <c r="I326" s="1" t="s">
        <v>39</v>
      </c>
      <c r="J326" s="1">
        <v>159</v>
      </c>
      <c r="K326" s="1">
        <v>1.88</v>
      </c>
      <c r="L326" s="4">
        <v>70.86</v>
      </c>
      <c r="M326" s="1">
        <v>1.22</v>
      </c>
      <c r="N326" s="1">
        <v>0</v>
      </c>
      <c r="O326" s="1">
        <v>0.74</v>
      </c>
      <c r="P326" s="1">
        <v>210</v>
      </c>
      <c r="Q326" s="1">
        <v>11.19</v>
      </c>
      <c r="R326" s="1">
        <v>0.92</v>
      </c>
      <c r="S326" s="2">
        <v>45361</v>
      </c>
      <c r="T326" s="1">
        <v>205.54</v>
      </c>
      <c r="U326" s="1">
        <v>0.75900000000000001</v>
      </c>
      <c r="V326" s="6">
        <f t="shared" si="15"/>
        <v>9778.68</v>
      </c>
      <c r="W326" s="6" t="str">
        <f t="shared" si="16"/>
        <v>Sufficient</v>
      </c>
      <c r="X326" s="8" t="str">
        <f t="shared" si="17"/>
        <v>Medium</v>
      </c>
    </row>
    <row r="327" spans="1:24">
      <c r="A327" s="7" t="s">
        <v>454</v>
      </c>
      <c r="B327" s="1" t="s">
        <v>66</v>
      </c>
      <c r="C327" s="1">
        <v>175</v>
      </c>
      <c r="D327" s="1">
        <v>25</v>
      </c>
      <c r="E327" s="1">
        <v>8</v>
      </c>
      <c r="F327" s="1">
        <v>6</v>
      </c>
      <c r="G327" s="1">
        <v>46.25</v>
      </c>
      <c r="H327" s="1" t="s">
        <v>333</v>
      </c>
      <c r="I327" s="1" t="s">
        <v>45</v>
      </c>
      <c r="J327" s="1">
        <v>87</v>
      </c>
      <c r="K327" s="1">
        <v>1.92</v>
      </c>
      <c r="L327" s="4">
        <v>169.66</v>
      </c>
      <c r="M327" s="1">
        <v>1.94</v>
      </c>
      <c r="N327" s="1">
        <v>2</v>
      </c>
      <c r="O327" s="1">
        <v>0.76</v>
      </c>
      <c r="P327" s="1">
        <v>499</v>
      </c>
      <c r="Q327" s="1">
        <v>10.48</v>
      </c>
      <c r="R327" s="1">
        <v>0.48</v>
      </c>
      <c r="S327" s="2">
        <v>45447</v>
      </c>
      <c r="T327" s="1">
        <v>165.71</v>
      </c>
      <c r="U327" s="1">
        <v>0.55400000000000005</v>
      </c>
      <c r="V327" s="6">
        <f t="shared" si="15"/>
        <v>29690.5</v>
      </c>
      <c r="W327" s="6" t="str">
        <f t="shared" si="16"/>
        <v>Sufficient</v>
      </c>
      <c r="X327" s="8" t="str">
        <f t="shared" si="17"/>
        <v>Medium</v>
      </c>
    </row>
    <row r="328" spans="1:24">
      <c r="A328" s="7" t="s">
        <v>455</v>
      </c>
      <c r="B328" s="1" t="s">
        <v>66</v>
      </c>
      <c r="C328" s="1">
        <v>291</v>
      </c>
      <c r="D328" s="1">
        <v>37</v>
      </c>
      <c r="E328" s="1">
        <v>7</v>
      </c>
      <c r="F328" s="1">
        <v>3</v>
      </c>
      <c r="G328" s="1">
        <v>21.45</v>
      </c>
      <c r="H328" s="1" t="s">
        <v>189</v>
      </c>
      <c r="I328" s="1" t="s">
        <v>31</v>
      </c>
      <c r="J328" s="1">
        <v>28</v>
      </c>
      <c r="K328" s="1">
        <v>4.41</v>
      </c>
      <c r="L328" s="4">
        <v>80.64</v>
      </c>
      <c r="M328" s="1">
        <v>0.67</v>
      </c>
      <c r="N328" s="1">
        <v>2</v>
      </c>
      <c r="O328" s="1">
        <v>0.92</v>
      </c>
      <c r="P328" s="1">
        <v>165</v>
      </c>
      <c r="Q328" s="1">
        <v>14.96</v>
      </c>
      <c r="R328" s="1">
        <v>0.76</v>
      </c>
      <c r="S328" s="2">
        <v>45295</v>
      </c>
      <c r="T328" s="1">
        <v>295.22000000000003</v>
      </c>
      <c r="U328" s="1">
        <v>0.82799999999999996</v>
      </c>
      <c r="V328" s="6">
        <f t="shared" si="15"/>
        <v>23466.240000000002</v>
      </c>
      <c r="W328" s="6" t="str">
        <f t="shared" si="16"/>
        <v>Sufficient</v>
      </c>
      <c r="X328" s="8" t="str">
        <f t="shared" si="17"/>
        <v>High</v>
      </c>
    </row>
    <row r="329" spans="1:24">
      <c r="A329" s="7" t="s">
        <v>456</v>
      </c>
      <c r="B329" s="1" t="s">
        <v>33</v>
      </c>
      <c r="C329" s="1">
        <v>194</v>
      </c>
      <c r="D329" s="1">
        <v>44</v>
      </c>
      <c r="E329" s="1">
        <v>3</v>
      </c>
      <c r="F329" s="1">
        <v>5</v>
      </c>
      <c r="G329" s="1">
        <v>48.18</v>
      </c>
      <c r="H329" s="1" t="s">
        <v>411</v>
      </c>
      <c r="I329" s="1" t="s">
        <v>27</v>
      </c>
      <c r="J329" s="1">
        <v>108</v>
      </c>
      <c r="K329" s="1">
        <v>3.02</v>
      </c>
      <c r="L329" s="4">
        <v>18.14</v>
      </c>
      <c r="M329" s="1">
        <v>0.64</v>
      </c>
      <c r="N329" s="1">
        <v>4</v>
      </c>
      <c r="O329" s="1">
        <v>0.79</v>
      </c>
      <c r="P329" s="1">
        <v>411</v>
      </c>
      <c r="Q329" s="1">
        <v>12.09</v>
      </c>
      <c r="R329" s="1">
        <v>0.79</v>
      </c>
      <c r="S329" s="2">
        <v>45494</v>
      </c>
      <c r="T329" s="1">
        <v>213.69</v>
      </c>
      <c r="U329" s="1">
        <v>0.73299999999999998</v>
      </c>
      <c r="V329" s="6">
        <f t="shared" si="15"/>
        <v>3519.1600000000003</v>
      </c>
      <c r="W329" s="6" t="str">
        <f t="shared" si="16"/>
        <v>Sufficient</v>
      </c>
      <c r="X329" s="8" t="str">
        <f t="shared" si="17"/>
        <v>Medium</v>
      </c>
    </row>
    <row r="330" spans="1:24">
      <c r="A330" s="7" t="s">
        <v>457</v>
      </c>
      <c r="B330" s="1" t="s">
        <v>29</v>
      </c>
      <c r="C330" s="1">
        <v>484</v>
      </c>
      <c r="D330" s="1">
        <v>69</v>
      </c>
      <c r="E330" s="1">
        <v>12</v>
      </c>
      <c r="F330" s="1">
        <v>7</v>
      </c>
      <c r="G330" s="1">
        <v>2.1800000000000002</v>
      </c>
      <c r="H330" s="1" t="s">
        <v>325</v>
      </c>
      <c r="I330" s="1" t="s">
        <v>45</v>
      </c>
      <c r="J330" s="1">
        <v>77</v>
      </c>
      <c r="K330" s="1">
        <v>4.49</v>
      </c>
      <c r="L330" s="4">
        <v>160.86000000000001</v>
      </c>
      <c r="M330" s="1">
        <v>0.56000000000000005</v>
      </c>
      <c r="N330" s="1">
        <v>6</v>
      </c>
      <c r="O330" s="1">
        <v>0.75</v>
      </c>
      <c r="P330" s="1">
        <v>300</v>
      </c>
      <c r="Q330" s="1">
        <v>14.58</v>
      </c>
      <c r="R330" s="1">
        <v>0.36</v>
      </c>
      <c r="S330" s="2">
        <v>45462</v>
      </c>
      <c r="T330" s="1">
        <v>196.54</v>
      </c>
      <c r="U330" s="1">
        <v>0.64</v>
      </c>
      <c r="V330" s="6">
        <f t="shared" si="15"/>
        <v>77856.240000000005</v>
      </c>
      <c r="W330" s="6" t="str">
        <f t="shared" si="16"/>
        <v>Sufficient</v>
      </c>
      <c r="X330" s="8" t="str">
        <f t="shared" si="17"/>
        <v>High</v>
      </c>
    </row>
    <row r="331" spans="1:24">
      <c r="A331" s="7" t="s">
        <v>458</v>
      </c>
      <c r="B331" s="1" t="s">
        <v>41</v>
      </c>
      <c r="C331" s="1">
        <v>123</v>
      </c>
      <c r="D331" s="1">
        <v>54</v>
      </c>
      <c r="E331" s="1">
        <v>8</v>
      </c>
      <c r="F331" s="1">
        <v>6</v>
      </c>
      <c r="G331" s="1">
        <v>16.010000000000002</v>
      </c>
      <c r="H331" s="1" t="s">
        <v>459</v>
      </c>
      <c r="I331" s="1" t="s">
        <v>45</v>
      </c>
      <c r="J331" s="1">
        <v>42</v>
      </c>
      <c r="K331" s="1">
        <v>2.36</v>
      </c>
      <c r="L331" s="4">
        <v>132.4</v>
      </c>
      <c r="M331" s="1">
        <v>1.51</v>
      </c>
      <c r="N331" s="1">
        <v>0</v>
      </c>
      <c r="O331" s="1">
        <v>0.87</v>
      </c>
      <c r="P331" s="1">
        <v>961</v>
      </c>
      <c r="Q331" s="1">
        <v>10.78</v>
      </c>
      <c r="R331" s="1">
        <v>0.33</v>
      </c>
      <c r="S331" s="2">
        <v>45609</v>
      </c>
      <c r="T331" s="1">
        <v>264.27999999999997</v>
      </c>
      <c r="U331" s="1">
        <v>0.63300000000000001</v>
      </c>
      <c r="V331" s="6">
        <f t="shared" si="15"/>
        <v>16285.2</v>
      </c>
      <c r="W331" s="6" t="str">
        <f t="shared" si="16"/>
        <v>Sufficient</v>
      </c>
      <c r="X331" s="8" t="str">
        <f t="shared" si="17"/>
        <v>Medium</v>
      </c>
    </row>
    <row r="332" spans="1:24">
      <c r="A332" s="7" t="s">
        <v>460</v>
      </c>
      <c r="B332" s="1" t="s">
        <v>41</v>
      </c>
      <c r="C332" s="1">
        <v>111</v>
      </c>
      <c r="D332" s="1">
        <v>55</v>
      </c>
      <c r="E332" s="1">
        <v>10</v>
      </c>
      <c r="F332" s="1">
        <v>2</v>
      </c>
      <c r="G332" s="1">
        <v>33.64</v>
      </c>
      <c r="H332" s="1" t="s">
        <v>68</v>
      </c>
      <c r="I332" s="1" t="s">
        <v>31</v>
      </c>
      <c r="J332" s="1">
        <v>159</v>
      </c>
      <c r="K332" s="1">
        <v>2.0499999999999998</v>
      </c>
      <c r="L332" s="4">
        <v>162.37</v>
      </c>
      <c r="M332" s="1">
        <v>1.61</v>
      </c>
      <c r="N332" s="1">
        <v>0</v>
      </c>
      <c r="O332" s="1">
        <v>0.76</v>
      </c>
      <c r="P332" s="1">
        <v>232</v>
      </c>
      <c r="Q332" s="1">
        <v>10.32</v>
      </c>
      <c r="R332" s="1">
        <v>0.27</v>
      </c>
      <c r="S332" s="2">
        <v>45486</v>
      </c>
      <c r="T332" s="1">
        <v>170.95</v>
      </c>
      <c r="U332" s="1">
        <v>0.58299999999999996</v>
      </c>
      <c r="V332" s="6">
        <f t="shared" si="15"/>
        <v>18023.07</v>
      </c>
      <c r="W332" s="6" t="str">
        <f t="shared" si="16"/>
        <v>Sufficient</v>
      </c>
      <c r="X332" s="8" t="str">
        <f t="shared" si="17"/>
        <v>Medium</v>
      </c>
    </row>
    <row r="333" spans="1:24">
      <c r="A333" s="7" t="s">
        <v>461</v>
      </c>
      <c r="B333" s="1" t="s">
        <v>33</v>
      </c>
      <c r="C333" s="1">
        <v>205</v>
      </c>
      <c r="D333" s="1">
        <v>81</v>
      </c>
      <c r="E333" s="1">
        <v>3</v>
      </c>
      <c r="F333" s="1">
        <v>3</v>
      </c>
      <c r="G333" s="1">
        <v>44.65</v>
      </c>
      <c r="H333" s="1" t="s">
        <v>216</v>
      </c>
      <c r="I333" s="1" t="s">
        <v>31</v>
      </c>
      <c r="J333" s="1">
        <v>148</v>
      </c>
      <c r="K333" s="1">
        <v>2.78</v>
      </c>
      <c r="L333" s="4">
        <v>76.290000000000006</v>
      </c>
      <c r="M333" s="1">
        <v>1.23</v>
      </c>
      <c r="N333" s="1">
        <v>9</v>
      </c>
      <c r="O333" s="1">
        <v>0.78</v>
      </c>
      <c r="P333" s="1">
        <v>725</v>
      </c>
      <c r="Q333" s="1">
        <v>11.68</v>
      </c>
      <c r="R333" s="1">
        <v>0.76</v>
      </c>
      <c r="S333" s="2">
        <v>45460</v>
      </c>
      <c r="T333" s="1">
        <v>80.45</v>
      </c>
      <c r="U333" s="1">
        <v>0.56100000000000005</v>
      </c>
      <c r="V333" s="6">
        <f t="shared" si="15"/>
        <v>15639.45</v>
      </c>
      <c r="W333" s="6" t="str">
        <f t="shared" si="16"/>
        <v>Sufficient</v>
      </c>
      <c r="X333" s="8" t="str">
        <f t="shared" si="17"/>
        <v>Medium</v>
      </c>
    </row>
    <row r="334" spans="1:24">
      <c r="A334" s="7" t="s">
        <v>462</v>
      </c>
      <c r="B334" s="1" t="s">
        <v>41</v>
      </c>
      <c r="C334" s="1">
        <v>479</v>
      </c>
      <c r="D334" s="1">
        <v>64</v>
      </c>
      <c r="E334" s="1">
        <v>4</v>
      </c>
      <c r="F334" s="1">
        <v>9</v>
      </c>
      <c r="G334" s="1">
        <v>13.56</v>
      </c>
      <c r="H334" s="1" t="s">
        <v>210</v>
      </c>
      <c r="I334" s="1" t="s">
        <v>39</v>
      </c>
      <c r="J334" s="1">
        <v>25</v>
      </c>
      <c r="K334" s="1">
        <v>0.78</v>
      </c>
      <c r="L334" s="4">
        <v>13.35</v>
      </c>
      <c r="M334" s="1">
        <v>1.34</v>
      </c>
      <c r="N334" s="1">
        <v>5</v>
      </c>
      <c r="O334" s="1">
        <v>0.89</v>
      </c>
      <c r="P334" s="1">
        <v>377</v>
      </c>
      <c r="Q334" s="1">
        <v>3.64</v>
      </c>
      <c r="R334" s="1">
        <v>0.64</v>
      </c>
      <c r="S334" s="2">
        <v>45517</v>
      </c>
      <c r="T334" s="1">
        <v>49.95</v>
      </c>
      <c r="U334" s="1">
        <v>0.52100000000000002</v>
      </c>
      <c r="V334" s="6">
        <f t="shared" si="15"/>
        <v>6394.65</v>
      </c>
      <c r="W334" s="6" t="str">
        <f t="shared" si="16"/>
        <v>Sufficient</v>
      </c>
      <c r="X334" s="8" t="str">
        <f t="shared" si="17"/>
        <v>High</v>
      </c>
    </row>
    <row r="335" spans="1:24">
      <c r="A335" s="7" t="s">
        <v>463</v>
      </c>
      <c r="B335" s="1" t="s">
        <v>66</v>
      </c>
      <c r="C335" s="1">
        <v>302</v>
      </c>
      <c r="D335" s="1">
        <v>95</v>
      </c>
      <c r="E335" s="1">
        <v>6</v>
      </c>
      <c r="F335" s="1">
        <v>5</v>
      </c>
      <c r="G335" s="1">
        <v>46.59</v>
      </c>
      <c r="H335" s="1" t="s">
        <v>189</v>
      </c>
      <c r="I335" s="1" t="s">
        <v>39</v>
      </c>
      <c r="J335" s="1">
        <v>136</v>
      </c>
      <c r="K335" s="1">
        <v>1.19</v>
      </c>
      <c r="L335" s="4">
        <v>24.01</v>
      </c>
      <c r="M335" s="1">
        <v>0.76</v>
      </c>
      <c r="N335" s="1">
        <v>4</v>
      </c>
      <c r="O335" s="1">
        <v>0.92</v>
      </c>
      <c r="P335" s="1">
        <v>641</v>
      </c>
      <c r="Q335" s="1">
        <v>12.28</v>
      </c>
      <c r="R335" s="1">
        <v>0.27</v>
      </c>
      <c r="S335" s="2">
        <v>45463</v>
      </c>
      <c r="T335" s="1">
        <v>146.6</v>
      </c>
      <c r="U335" s="1">
        <v>0.64600000000000002</v>
      </c>
      <c r="V335" s="6">
        <f t="shared" si="15"/>
        <v>7251.02</v>
      </c>
      <c r="W335" s="6" t="str">
        <f t="shared" si="16"/>
        <v>Sufficient</v>
      </c>
      <c r="X335" s="8" t="str">
        <f t="shared" si="17"/>
        <v>High</v>
      </c>
    </row>
    <row r="336" spans="1:24">
      <c r="A336" s="7" t="s">
        <v>464</v>
      </c>
      <c r="B336" s="1" t="s">
        <v>29</v>
      </c>
      <c r="C336" s="1">
        <v>200</v>
      </c>
      <c r="D336" s="1">
        <v>94</v>
      </c>
      <c r="E336" s="1">
        <v>14</v>
      </c>
      <c r="F336" s="1">
        <v>3</v>
      </c>
      <c r="G336" s="1">
        <v>30.11</v>
      </c>
      <c r="H336" s="1" t="s">
        <v>113</v>
      </c>
      <c r="I336" s="1" t="s">
        <v>39</v>
      </c>
      <c r="J336" s="1">
        <v>102</v>
      </c>
      <c r="K336" s="1">
        <v>1.49</v>
      </c>
      <c r="L336" s="4">
        <v>31.24</v>
      </c>
      <c r="M336" s="1">
        <v>0.18</v>
      </c>
      <c r="N336" s="1">
        <v>2</v>
      </c>
      <c r="O336" s="1">
        <v>0.92</v>
      </c>
      <c r="P336" s="1">
        <v>56</v>
      </c>
      <c r="Q336" s="1">
        <v>14.58</v>
      </c>
      <c r="R336" s="1">
        <v>0.45</v>
      </c>
      <c r="S336" s="2">
        <v>45512</v>
      </c>
      <c r="T336" s="1">
        <v>159.54</v>
      </c>
      <c r="U336" s="1">
        <v>0.81</v>
      </c>
      <c r="V336" s="6">
        <f t="shared" si="15"/>
        <v>6248</v>
      </c>
      <c r="W336" s="6" t="str">
        <f t="shared" si="16"/>
        <v>Sufficient</v>
      </c>
      <c r="X336" s="8" t="str">
        <f t="shared" si="17"/>
        <v>Medium</v>
      </c>
    </row>
    <row r="337" spans="1:24">
      <c r="A337" s="7" t="s">
        <v>465</v>
      </c>
      <c r="B337" s="1" t="s">
        <v>25</v>
      </c>
      <c r="C337" s="1">
        <v>189</v>
      </c>
      <c r="D337" s="1">
        <v>35</v>
      </c>
      <c r="E337" s="1">
        <v>4</v>
      </c>
      <c r="F337" s="1">
        <v>6</v>
      </c>
      <c r="G337" s="1">
        <v>40.25</v>
      </c>
      <c r="H337" s="1" t="s">
        <v>95</v>
      </c>
      <c r="I337" s="1" t="s">
        <v>45</v>
      </c>
      <c r="J337" s="1">
        <v>53</v>
      </c>
      <c r="K337" s="1">
        <v>4.18</v>
      </c>
      <c r="L337" s="4">
        <v>162.97999999999999</v>
      </c>
      <c r="M337" s="1">
        <v>0.57999999999999996</v>
      </c>
      <c r="N337" s="1">
        <v>2</v>
      </c>
      <c r="O337" s="1">
        <v>0.84</v>
      </c>
      <c r="P337" s="1">
        <v>886</v>
      </c>
      <c r="Q337" s="1">
        <v>9.56</v>
      </c>
      <c r="R337" s="1">
        <v>0.31</v>
      </c>
      <c r="S337" s="2">
        <v>45625</v>
      </c>
      <c r="T337" s="1">
        <v>250.03</v>
      </c>
      <c r="U337" s="1">
        <v>0.65900000000000003</v>
      </c>
      <c r="V337" s="6">
        <f t="shared" si="15"/>
        <v>30803.219999999998</v>
      </c>
      <c r="W337" s="6" t="str">
        <f t="shared" si="16"/>
        <v>Sufficient</v>
      </c>
      <c r="X337" s="8" t="str">
        <f t="shared" si="17"/>
        <v>Medium</v>
      </c>
    </row>
    <row r="338" spans="1:24">
      <c r="A338" s="7" t="s">
        <v>466</v>
      </c>
      <c r="B338" s="1" t="s">
        <v>41</v>
      </c>
      <c r="C338" s="1">
        <v>206</v>
      </c>
      <c r="D338" s="1">
        <v>94</v>
      </c>
      <c r="E338" s="1">
        <v>13</v>
      </c>
      <c r="F338" s="1">
        <v>4</v>
      </c>
      <c r="G338" s="1">
        <v>20.46</v>
      </c>
      <c r="H338" s="1" t="s">
        <v>269</v>
      </c>
      <c r="I338" s="1" t="s">
        <v>31</v>
      </c>
      <c r="J338" s="1">
        <v>18</v>
      </c>
      <c r="K338" s="1">
        <v>3.8</v>
      </c>
      <c r="L338" s="4">
        <v>67.27</v>
      </c>
      <c r="M338" s="1">
        <v>1.21</v>
      </c>
      <c r="N338" s="1">
        <v>3</v>
      </c>
      <c r="O338" s="1">
        <v>0.84</v>
      </c>
      <c r="P338" s="1">
        <v>648</v>
      </c>
      <c r="Q338" s="1">
        <v>1.17</v>
      </c>
      <c r="R338" s="1">
        <v>0.27</v>
      </c>
      <c r="S338" s="2">
        <v>45596</v>
      </c>
      <c r="T338" s="1">
        <v>50.45</v>
      </c>
      <c r="U338" s="1">
        <v>0.45700000000000002</v>
      </c>
      <c r="V338" s="6">
        <f t="shared" si="15"/>
        <v>13857.619999999999</v>
      </c>
      <c r="W338" s="6" t="str">
        <f t="shared" si="16"/>
        <v>Sufficient</v>
      </c>
      <c r="X338" s="8" t="str">
        <f t="shared" si="17"/>
        <v>Medium</v>
      </c>
    </row>
    <row r="339" spans="1:24">
      <c r="A339" s="7" t="s">
        <v>467</v>
      </c>
      <c r="B339" s="1" t="s">
        <v>66</v>
      </c>
      <c r="C339" s="1">
        <v>194</v>
      </c>
      <c r="D339" s="1">
        <v>34</v>
      </c>
      <c r="E339" s="1">
        <v>11</v>
      </c>
      <c r="F339" s="1">
        <v>3</v>
      </c>
      <c r="G339" s="1">
        <v>11.4</v>
      </c>
      <c r="H339" s="1" t="s">
        <v>122</v>
      </c>
      <c r="I339" s="1" t="s">
        <v>39</v>
      </c>
      <c r="J339" s="1">
        <v>87</v>
      </c>
      <c r="K339" s="1">
        <v>1.37</v>
      </c>
      <c r="L339" s="4">
        <v>199.6</v>
      </c>
      <c r="M339" s="1">
        <v>1.64</v>
      </c>
      <c r="N339" s="1">
        <v>9</v>
      </c>
      <c r="O339" s="1">
        <v>0.94</v>
      </c>
      <c r="P339" s="1">
        <v>569</v>
      </c>
      <c r="Q339" s="1">
        <v>2.0099999999999998</v>
      </c>
      <c r="R339" s="1">
        <v>0.44</v>
      </c>
      <c r="S339" s="2">
        <v>45361</v>
      </c>
      <c r="T339" s="1">
        <v>207.56</v>
      </c>
      <c r="U339" s="1">
        <v>0.35899999999999999</v>
      </c>
      <c r="V339" s="6">
        <f t="shared" si="15"/>
        <v>38722.400000000001</v>
      </c>
      <c r="W339" s="6" t="str">
        <f t="shared" si="16"/>
        <v>Sufficient</v>
      </c>
      <c r="X339" s="8" t="str">
        <f t="shared" si="17"/>
        <v>Medium</v>
      </c>
    </row>
    <row r="340" spans="1:24">
      <c r="A340" s="7" t="s">
        <v>468</v>
      </c>
      <c r="B340" s="1" t="s">
        <v>25</v>
      </c>
      <c r="C340" s="1">
        <v>241</v>
      </c>
      <c r="D340" s="1">
        <v>74</v>
      </c>
      <c r="E340" s="1">
        <v>12</v>
      </c>
      <c r="F340" s="1">
        <v>3</v>
      </c>
      <c r="G340" s="1">
        <v>45.65</v>
      </c>
      <c r="H340" s="1" t="s">
        <v>128</v>
      </c>
      <c r="I340" s="1" t="s">
        <v>45</v>
      </c>
      <c r="J340" s="1">
        <v>88</v>
      </c>
      <c r="K340" s="1">
        <v>1.75</v>
      </c>
      <c r="L340" s="4">
        <v>154.09</v>
      </c>
      <c r="M340" s="1">
        <v>1.58</v>
      </c>
      <c r="N340" s="1">
        <v>1</v>
      </c>
      <c r="O340" s="1">
        <v>0.76</v>
      </c>
      <c r="P340" s="1">
        <v>436</v>
      </c>
      <c r="Q340" s="1">
        <v>4.29</v>
      </c>
      <c r="R340" s="1">
        <v>0.28000000000000003</v>
      </c>
      <c r="S340" s="2">
        <v>45445</v>
      </c>
      <c r="T340" s="1">
        <v>98.2</v>
      </c>
      <c r="U340" s="1">
        <v>0.48699999999999999</v>
      </c>
      <c r="V340" s="6">
        <f t="shared" si="15"/>
        <v>37135.69</v>
      </c>
      <c r="W340" s="6" t="str">
        <f t="shared" si="16"/>
        <v>Sufficient</v>
      </c>
      <c r="X340" s="8" t="str">
        <f t="shared" si="17"/>
        <v>Medium</v>
      </c>
    </row>
    <row r="341" spans="1:24">
      <c r="A341" s="7" t="s">
        <v>469</v>
      </c>
      <c r="B341" s="1" t="s">
        <v>29</v>
      </c>
      <c r="C341" s="1">
        <v>252</v>
      </c>
      <c r="D341" s="1">
        <v>15</v>
      </c>
      <c r="E341" s="1">
        <v>10</v>
      </c>
      <c r="F341" s="1">
        <v>7</v>
      </c>
      <c r="G341" s="1">
        <v>46.72</v>
      </c>
      <c r="H341" s="1" t="s">
        <v>470</v>
      </c>
      <c r="I341" s="1" t="s">
        <v>39</v>
      </c>
      <c r="J341" s="1">
        <v>95</v>
      </c>
      <c r="K341" s="1">
        <v>4.75</v>
      </c>
      <c r="L341" s="4">
        <v>124.22</v>
      </c>
      <c r="M341" s="1">
        <v>0.44</v>
      </c>
      <c r="N341" s="1">
        <v>8</v>
      </c>
      <c r="O341" s="1">
        <v>0.75</v>
      </c>
      <c r="P341" s="1">
        <v>980</v>
      </c>
      <c r="Q341" s="1">
        <v>7.88</v>
      </c>
      <c r="R341" s="1">
        <v>0.41</v>
      </c>
      <c r="S341" s="2">
        <v>45456</v>
      </c>
      <c r="T341" s="1">
        <v>282.32</v>
      </c>
      <c r="U341" s="1">
        <v>0.53300000000000003</v>
      </c>
      <c r="V341" s="6">
        <f t="shared" si="15"/>
        <v>31303.439999999999</v>
      </c>
      <c r="W341" s="6" t="str">
        <f t="shared" si="16"/>
        <v>Sufficient</v>
      </c>
      <c r="X341" s="8" t="str">
        <f t="shared" si="17"/>
        <v>High</v>
      </c>
    </row>
    <row r="342" spans="1:24">
      <c r="A342" s="7" t="s">
        <v>471</v>
      </c>
      <c r="B342" s="1" t="s">
        <v>25</v>
      </c>
      <c r="C342" s="1">
        <v>181</v>
      </c>
      <c r="D342" s="1">
        <v>32</v>
      </c>
      <c r="E342" s="1">
        <v>10</v>
      </c>
      <c r="F342" s="1">
        <v>2</v>
      </c>
      <c r="G342" s="1">
        <v>25.38</v>
      </c>
      <c r="H342" s="1" t="s">
        <v>61</v>
      </c>
      <c r="I342" s="1" t="s">
        <v>27</v>
      </c>
      <c r="J342" s="1">
        <v>24</v>
      </c>
      <c r="K342" s="1">
        <v>0.89</v>
      </c>
      <c r="L342" s="4">
        <v>196.89</v>
      </c>
      <c r="M342" s="1">
        <v>0.2</v>
      </c>
      <c r="N342" s="1">
        <v>3</v>
      </c>
      <c r="O342" s="1">
        <v>0.9</v>
      </c>
      <c r="P342" s="1">
        <v>419</v>
      </c>
      <c r="Q342" s="1">
        <v>6.79</v>
      </c>
      <c r="R342" s="1">
        <v>0.64</v>
      </c>
      <c r="S342" s="2">
        <v>45600</v>
      </c>
      <c r="T342" s="1">
        <v>146.41999999999999</v>
      </c>
      <c r="U342" s="1">
        <v>0.71899999999999997</v>
      </c>
      <c r="V342" s="6">
        <f t="shared" si="15"/>
        <v>35637.089999999997</v>
      </c>
      <c r="W342" s="6" t="str">
        <f t="shared" si="16"/>
        <v>Sufficient</v>
      </c>
      <c r="X342" s="8" t="str">
        <f t="shared" si="17"/>
        <v>Medium</v>
      </c>
    </row>
    <row r="343" spans="1:24">
      <c r="A343" s="7" t="s">
        <v>472</v>
      </c>
      <c r="B343" s="1" t="s">
        <v>66</v>
      </c>
      <c r="C343" s="1">
        <v>440</v>
      </c>
      <c r="D343" s="1">
        <v>73</v>
      </c>
      <c r="E343" s="1">
        <v>6</v>
      </c>
      <c r="F343" s="1">
        <v>9</v>
      </c>
      <c r="G343" s="1">
        <v>1.32</v>
      </c>
      <c r="H343" s="1" t="s">
        <v>85</v>
      </c>
      <c r="I343" s="1" t="s">
        <v>45</v>
      </c>
      <c r="J343" s="1">
        <v>15</v>
      </c>
      <c r="K343" s="1">
        <v>2.96</v>
      </c>
      <c r="L343" s="4">
        <v>70.099999999999994</v>
      </c>
      <c r="M343" s="1">
        <v>1.72</v>
      </c>
      <c r="N343" s="1">
        <v>9</v>
      </c>
      <c r="O343" s="1">
        <v>0.82</v>
      </c>
      <c r="P343" s="1">
        <v>597</v>
      </c>
      <c r="Q343" s="1">
        <v>14.71</v>
      </c>
      <c r="R343" s="1">
        <v>0.65</v>
      </c>
      <c r="S343" s="2">
        <v>45647</v>
      </c>
      <c r="T343" s="1">
        <v>190.5</v>
      </c>
      <c r="U343" s="1">
        <v>0.53800000000000003</v>
      </c>
      <c r="V343" s="6">
        <f t="shared" si="15"/>
        <v>30843.999999999996</v>
      </c>
      <c r="W343" s="6" t="str">
        <f t="shared" si="16"/>
        <v>Sufficient</v>
      </c>
      <c r="X343" s="8" t="str">
        <f t="shared" si="17"/>
        <v>High</v>
      </c>
    </row>
    <row r="344" spans="1:24">
      <c r="A344" s="7" t="s">
        <v>473</v>
      </c>
      <c r="B344" s="1" t="s">
        <v>25</v>
      </c>
      <c r="C344" s="1">
        <v>153</v>
      </c>
      <c r="D344" s="1">
        <v>96</v>
      </c>
      <c r="E344" s="1">
        <v>7</v>
      </c>
      <c r="F344" s="1">
        <v>6</v>
      </c>
      <c r="G344" s="1">
        <v>6.38</v>
      </c>
      <c r="H344" s="1" t="s">
        <v>126</v>
      </c>
      <c r="I344" s="1" t="s">
        <v>39</v>
      </c>
      <c r="J344" s="1">
        <v>10</v>
      </c>
      <c r="K344" s="1">
        <v>2.85</v>
      </c>
      <c r="L344" s="4">
        <v>41.47</v>
      </c>
      <c r="M344" s="1">
        <v>0.24</v>
      </c>
      <c r="N344" s="1">
        <v>2</v>
      </c>
      <c r="O344" s="1">
        <v>0.91</v>
      </c>
      <c r="P344" s="1">
        <v>812</v>
      </c>
      <c r="Q344" s="1">
        <v>14.24</v>
      </c>
      <c r="R344" s="1">
        <v>0.33</v>
      </c>
      <c r="S344" s="2">
        <v>45394</v>
      </c>
      <c r="T344" s="1">
        <v>198.53</v>
      </c>
      <c r="U344" s="1">
        <v>0.77400000000000002</v>
      </c>
      <c r="V344" s="6">
        <f t="shared" si="15"/>
        <v>6344.91</v>
      </c>
      <c r="W344" s="6" t="str">
        <f t="shared" si="16"/>
        <v>Sufficient</v>
      </c>
      <c r="X344" s="8" t="str">
        <f t="shared" si="17"/>
        <v>Medium</v>
      </c>
    </row>
    <row r="345" spans="1:24">
      <c r="A345" s="7" t="s">
        <v>474</v>
      </c>
      <c r="B345" s="1" t="s">
        <v>33</v>
      </c>
      <c r="C345" s="1">
        <v>410</v>
      </c>
      <c r="D345" s="1">
        <v>52</v>
      </c>
      <c r="E345" s="1">
        <v>6</v>
      </c>
      <c r="F345" s="1">
        <v>3</v>
      </c>
      <c r="G345" s="1">
        <v>29.08</v>
      </c>
      <c r="H345" s="1" t="s">
        <v>77</v>
      </c>
      <c r="I345" s="1" t="s">
        <v>39</v>
      </c>
      <c r="J345" s="1">
        <v>29</v>
      </c>
      <c r="K345" s="1">
        <v>3.77</v>
      </c>
      <c r="L345" s="4">
        <v>150.08000000000001</v>
      </c>
      <c r="M345" s="1">
        <v>0.85</v>
      </c>
      <c r="N345" s="1">
        <v>9</v>
      </c>
      <c r="O345" s="1">
        <v>0.78</v>
      </c>
      <c r="P345" s="1">
        <v>661</v>
      </c>
      <c r="Q345" s="1">
        <v>6.5</v>
      </c>
      <c r="R345" s="1">
        <v>0.35</v>
      </c>
      <c r="S345" s="2">
        <v>45537</v>
      </c>
      <c r="T345" s="1">
        <v>36.39</v>
      </c>
      <c r="U345" s="1">
        <v>0.44800000000000001</v>
      </c>
      <c r="V345" s="6">
        <f t="shared" si="15"/>
        <v>61532.800000000003</v>
      </c>
      <c r="W345" s="6" t="str">
        <f t="shared" si="16"/>
        <v>Sufficient</v>
      </c>
      <c r="X345" s="8" t="str">
        <f t="shared" si="17"/>
        <v>High</v>
      </c>
    </row>
    <row r="346" spans="1:24">
      <c r="A346" s="7" t="s">
        <v>475</v>
      </c>
      <c r="B346" s="1" t="s">
        <v>25</v>
      </c>
      <c r="C346" s="1">
        <v>499</v>
      </c>
      <c r="D346" s="1">
        <v>32</v>
      </c>
      <c r="E346" s="1">
        <v>11</v>
      </c>
      <c r="F346" s="1">
        <v>6</v>
      </c>
      <c r="G346" s="1">
        <v>2.17</v>
      </c>
      <c r="H346" s="1" t="s">
        <v>156</v>
      </c>
      <c r="I346" s="1" t="s">
        <v>27</v>
      </c>
      <c r="J346" s="1">
        <v>173</v>
      </c>
      <c r="K346" s="1">
        <v>1.68</v>
      </c>
      <c r="L346" s="4">
        <v>62.84</v>
      </c>
      <c r="M346" s="1">
        <v>0.28000000000000003</v>
      </c>
      <c r="N346" s="1">
        <v>6</v>
      </c>
      <c r="O346" s="1">
        <v>0.8</v>
      </c>
      <c r="P346" s="1">
        <v>128</v>
      </c>
      <c r="Q346" s="1">
        <v>12.12</v>
      </c>
      <c r="R346" s="1">
        <v>0.88</v>
      </c>
      <c r="S346" s="2">
        <v>45452</v>
      </c>
      <c r="T346" s="1">
        <v>257.14</v>
      </c>
      <c r="U346" s="1">
        <v>0.75</v>
      </c>
      <c r="V346" s="6">
        <f t="shared" si="15"/>
        <v>31357.160000000003</v>
      </c>
      <c r="W346" s="6" t="str">
        <f t="shared" si="16"/>
        <v>Sufficient</v>
      </c>
      <c r="X346" s="8" t="str">
        <f t="shared" si="17"/>
        <v>High</v>
      </c>
    </row>
    <row r="347" spans="1:24">
      <c r="A347" s="7" t="s">
        <v>476</v>
      </c>
      <c r="B347" s="1" t="s">
        <v>41</v>
      </c>
      <c r="C347" s="1">
        <v>243</v>
      </c>
      <c r="D347" s="1">
        <v>39</v>
      </c>
      <c r="E347" s="1">
        <v>4</v>
      </c>
      <c r="F347" s="1">
        <v>2</v>
      </c>
      <c r="G347" s="1">
        <v>20.45</v>
      </c>
      <c r="H347" s="1" t="s">
        <v>81</v>
      </c>
      <c r="I347" s="1" t="s">
        <v>27</v>
      </c>
      <c r="J347" s="1">
        <v>139</v>
      </c>
      <c r="K347" s="1">
        <v>4.71</v>
      </c>
      <c r="L347" s="4">
        <v>192.6</v>
      </c>
      <c r="M347" s="1">
        <v>1.17</v>
      </c>
      <c r="N347" s="1">
        <v>8</v>
      </c>
      <c r="O347" s="1">
        <v>0.97</v>
      </c>
      <c r="P347" s="1">
        <v>847</v>
      </c>
      <c r="Q347" s="1">
        <v>9.91</v>
      </c>
      <c r="R347" s="1">
        <v>0.33</v>
      </c>
      <c r="S347" s="2">
        <v>45382</v>
      </c>
      <c r="T347" s="1">
        <v>57.63</v>
      </c>
      <c r="U347" s="1">
        <v>0.51500000000000001</v>
      </c>
      <c r="V347" s="6">
        <f t="shared" si="15"/>
        <v>46801.799999999996</v>
      </c>
      <c r="W347" s="6" t="str">
        <f t="shared" si="16"/>
        <v>Sufficient</v>
      </c>
      <c r="X347" s="8" t="str">
        <f t="shared" si="17"/>
        <v>Medium</v>
      </c>
    </row>
    <row r="348" spans="1:24">
      <c r="A348" s="7" t="s">
        <v>477</v>
      </c>
      <c r="B348" s="1" t="s">
        <v>41</v>
      </c>
      <c r="C348" s="1">
        <v>172</v>
      </c>
      <c r="D348" s="1">
        <v>86</v>
      </c>
      <c r="E348" s="1">
        <v>13</v>
      </c>
      <c r="F348" s="1">
        <v>7</v>
      </c>
      <c r="G348" s="1">
        <v>15.87</v>
      </c>
      <c r="H348" s="1" t="s">
        <v>325</v>
      </c>
      <c r="I348" s="1" t="s">
        <v>39</v>
      </c>
      <c r="J348" s="1">
        <v>79</v>
      </c>
      <c r="K348" s="1">
        <v>2.35</v>
      </c>
      <c r="L348" s="4">
        <v>197.73</v>
      </c>
      <c r="M348" s="1">
        <v>0.79</v>
      </c>
      <c r="N348" s="1">
        <v>1</v>
      </c>
      <c r="O348" s="1">
        <v>0.83</v>
      </c>
      <c r="P348" s="1">
        <v>832</v>
      </c>
      <c r="Q348" s="1">
        <v>4.4000000000000004</v>
      </c>
      <c r="R348" s="1">
        <v>0.24</v>
      </c>
      <c r="S348" s="2">
        <v>45495</v>
      </c>
      <c r="T348" s="1">
        <v>125.25</v>
      </c>
      <c r="U348" s="1">
        <v>0.57399999999999995</v>
      </c>
      <c r="V348" s="6">
        <f t="shared" si="15"/>
        <v>34009.56</v>
      </c>
      <c r="W348" s="6" t="str">
        <f t="shared" si="16"/>
        <v>Sufficient</v>
      </c>
      <c r="X348" s="8" t="str">
        <f t="shared" si="17"/>
        <v>Medium</v>
      </c>
    </row>
    <row r="349" spans="1:24">
      <c r="A349" s="7" t="s">
        <v>478</v>
      </c>
      <c r="B349" s="1" t="s">
        <v>33</v>
      </c>
      <c r="C349" s="1">
        <v>52</v>
      </c>
      <c r="D349" s="1">
        <v>27</v>
      </c>
      <c r="E349" s="1">
        <v>10</v>
      </c>
      <c r="F349" s="1">
        <v>6</v>
      </c>
      <c r="G349" s="1">
        <v>36</v>
      </c>
      <c r="H349" s="1" t="s">
        <v>106</v>
      </c>
      <c r="I349" s="1" t="s">
        <v>39</v>
      </c>
      <c r="J349" s="1">
        <v>11</v>
      </c>
      <c r="K349" s="1">
        <v>1.79</v>
      </c>
      <c r="L349" s="4">
        <v>186.02</v>
      </c>
      <c r="M349" s="1">
        <v>0.48</v>
      </c>
      <c r="N349" s="1">
        <v>5</v>
      </c>
      <c r="O349" s="1">
        <v>0.88</v>
      </c>
      <c r="P349" s="1">
        <v>270</v>
      </c>
      <c r="Q349" s="1">
        <v>14.04</v>
      </c>
      <c r="R349" s="1">
        <v>0.4</v>
      </c>
      <c r="S349" s="2">
        <v>45455</v>
      </c>
      <c r="T349" s="1">
        <v>205.04</v>
      </c>
      <c r="U349" s="1">
        <v>0.69499999999999995</v>
      </c>
      <c r="V349" s="6">
        <f t="shared" si="15"/>
        <v>9673.0400000000009</v>
      </c>
      <c r="W349" s="6" t="str">
        <f t="shared" si="16"/>
        <v>Sufficient</v>
      </c>
      <c r="X349" s="8" t="str">
        <f t="shared" si="17"/>
        <v>LOW</v>
      </c>
    </row>
    <row r="350" spans="1:24">
      <c r="A350" s="7" t="s">
        <v>479</v>
      </c>
      <c r="B350" s="1" t="s">
        <v>66</v>
      </c>
      <c r="C350" s="1">
        <v>74</v>
      </c>
      <c r="D350" s="1">
        <v>96</v>
      </c>
      <c r="E350" s="1">
        <v>4</v>
      </c>
      <c r="F350" s="1">
        <v>8</v>
      </c>
      <c r="G350" s="1">
        <v>3.72</v>
      </c>
      <c r="H350" s="1" t="s">
        <v>149</v>
      </c>
      <c r="I350" s="1" t="s">
        <v>31</v>
      </c>
      <c r="J350" s="1">
        <v>140</v>
      </c>
      <c r="K350" s="1">
        <v>2.02</v>
      </c>
      <c r="L350" s="4">
        <v>189.5</v>
      </c>
      <c r="M350" s="1">
        <v>1.23</v>
      </c>
      <c r="N350" s="1">
        <v>4</v>
      </c>
      <c r="O350" s="1">
        <v>0.73</v>
      </c>
      <c r="P350" s="1">
        <v>757</v>
      </c>
      <c r="Q350" s="1">
        <v>4.63</v>
      </c>
      <c r="R350" s="1">
        <v>0.66</v>
      </c>
      <c r="S350" s="2">
        <v>45441</v>
      </c>
      <c r="T350" s="1">
        <v>26.01</v>
      </c>
      <c r="U350" s="1">
        <v>0.53700000000000003</v>
      </c>
      <c r="V350" s="6">
        <f t="shared" si="15"/>
        <v>14023</v>
      </c>
      <c r="W350" s="6" t="str">
        <f t="shared" si="16"/>
        <v>Reorder Required</v>
      </c>
      <c r="X350" s="8" t="str">
        <f t="shared" si="17"/>
        <v>LOW</v>
      </c>
    </row>
    <row r="351" spans="1:24">
      <c r="A351" s="7" t="s">
        <v>480</v>
      </c>
      <c r="B351" s="1" t="s">
        <v>41</v>
      </c>
      <c r="C351" s="1">
        <v>461</v>
      </c>
      <c r="D351" s="1">
        <v>88</v>
      </c>
      <c r="E351" s="1">
        <v>3</v>
      </c>
      <c r="F351" s="1">
        <v>2</v>
      </c>
      <c r="G351" s="1">
        <v>24.95</v>
      </c>
      <c r="H351" s="1" t="s">
        <v>139</v>
      </c>
      <c r="I351" s="1" t="s">
        <v>39</v>
      </c>
      <c r="J351" s="1">
        <v>16</v>
      </c>
      <c r="K351" s="1">
        <v>2.0699999999999998</v>
      </c>
      <c r="L351" s="4">
        <v>126.97</v>
      </c>
      <c r="M351" s="1">
        <v>0.79</v>
      </c>
      <c r="N351" s="1">
        <v>0</v>
      </c>
      <c r="O351" s="1">
        <v>0.75</v>
      </c>
      <c r="P351" s="1">
        <v>787</v>
      </c>
      <c r="Q351" s="1">
        <v>13.18</v>
      </c>
      <c r="R351" s="1">
        <v>0.21</v>
      </c>
      <c r="S351" s="2">
        <v>45647</v>
      </c>
      <c r="T351" s="1">
        <v>178.32</v>
      </c>
      <c r="U351" s="1">
        <v>0.68899999999999995</v>
      </c>
      <c r="V351" s="6">
        <f t="shared" si="15"/>
        <v>58533.17</v>
      </c>
      <c r="W351" s="6" t="str">
        <f t="shared" si="16"/>
        <v>Sufficient</v>
      </c>
      <c r="X351" s="8" t="str">
        <f t="shared" si="17"/>
        <v>High</v>
      </c>
    </row>
    <row r="352" spans="1:24">
      <c r="A352" s="7" t="s">
        <v>481</v>
      </c>
      <c r="B352" s="1" t="s">
        <v>29</v>
      </c>
      <c r="C352" s="1">
        <v>26</v>
      </c>
      <c r="D352" s="1">
        <v>30</v>
      </c>
      <c r="E352" s="1">
        <v>12</v>
      </c>
      <c r="F352" s="1">
        <v>2</v>
      </c>
      <c r="G352" s="1">
        <v>29.38</v>
      </c>
      <c r="H352" s="1" t="s">
        <v>68</v>
      </c>
      <c r="I352" s="1" t="s">
        <v>39</v>
      </c>
      <c r="J352" s="1">
        <v>93</v>
      </c>
      <c r="K352" s="1">
        <v>1.4</v>
      </c>
      <c r="L352" s="4">
        <v>141.5</v>
      </c>
      <c r="M352" s="1">
        <v>0.42</v>
      </c>
      <c r="N352" s="1">
        <v>6</v>
      </c>
      <c r="O352" s="1">
        <v>0.71</v>
      </c>
      <c r="P352" s="1">
        <v>648</v>
      </c>
      <c r="Q352" s="1">
        <v>9.93</v>
      </c>
      <c r="R352" s="1">
        <v>0.99</v>
      </c>
      <c r="S352" s="2">
        <v>45616</v>
      </c>
      <c r="T352" s="1">
        <v>128.88</v>
      </c>
      <c r="U352" s="1">
        <v>0.71</v>
      </c>
      <c r="V352" s="6">
        <f t="shared" si="15"/>
        <v>3679</v>
      </c>
      <c r="W352" s="6" t="str">
        <f t="shared" si="16"/>
        <v>Reorder Required</v>
      </c>
      <c r="X352" s="8" t="str">
        <f t="shared" si="17"/>
        <v>LOW</v>
      </c>
    </row>
    <row r="353" spans="1:24">
      <c r="A353" s="7" t="s">
        <v>482</v>
      </c>
      <c r="B353" s="1" t="s">
        <v>41</v>
      </c>
      <c r="C353" s="1">
        <v>263</v>
      </c>
      <c r="D353" s="1">
        <v>66</v>
      </c>
      <c r="E353" s="1">
        <v>5</v>
      </c>
      <c r="F353" s="1">
        <v>9</v>
      </c>
      <c r="G353" s="1">
        <v>31.25</v>
      </c>
      <c r="H353" s="1" t="s">
        <v>210</v>
      </c>
      <c r="I353" s="1" t="s">
        <v>31</v>
      </c>
      <c r="J353" s="1">
        <v>178</v>
      </c>
      <c r="K353" s="1">
        <v>4.68</v>
      </c>
      <c r="L353" s="4">
        <v>27.91</v>
      </c>
      <c r="M353" s="1">
        <v>1.43</v>
      </c>
      <c r="N353" s="1">
        <v>0</v>
      </c>
      <c r="O353" s="1">
        <v>0.83</v>
      </c>
      <c r="P353" s="1">
        <v>619</v>
      </c>
      <c r="Q353" s="1">
        <v>9.6999999999999993</v>
      </c>
      <c r="R353" s="1">
        <v>0.38</v>
      </c>
      <c r="S353" s="2">
        <v>45543</v>
      </c>
      <c r="T353" s="1">
        <v>28.52</v>
      </c>
      <c r="U353" s="1">
        <v>0.628</v>
      </c>
      <c r="V353" s="6">
        <f t="shared" si="15"/>
        <v>7340.33</v>
      </c>
      <c r="W353" s="6" t="str">
        <f t="shared" si="16"/>
        <v>Sufficient</v>
      </c>
      <c r="X353" s="8" t="str">
        <f t="shared" si="17"/>
        <v>High</v>
      </c>
    </row>
    <row r="354" spans="1:24">
      <c r="A354" s="7" t="s">
        <v>483</v>
      </c>
      <c r="B354" s="1" t="s">
        <v>41</v>
      </c>
      <c r="C354" s="1">
        <v>332</v>
      </c>
      <c r="D354" s="1">
        <v>32</v>
      </c>
      <c r="E354" s="1">
        <v>11</v>
      </c>
      <c r="F354" s="1">
        <v>5</v>
      </c>
      <c r="G354" s="1">
        <v>20.85</v>
      </c>
      <c r="H354" s="1" t="s">
        <v>244</v>
      </c>
      <c r="I354" s="1" t="s">
        <v>31</v>
      </c>
      <c r="J354" s="1">
        <v>63</v>
      </c>
      <c r="K354" s="1">
        <v>1.29</v>
      </c>
      <c r="L354" s="4">
        <v>154.97999999999999</v>
      </c>
      <c r="M354" s="1">
        <v>1.69</v>
      </c>
      <c r="N354" s="1">
        <v>9</v>
      </c>
      <c r="O354" s="1">
        <v>1</v>
      </c>
      <c r="P354" s="1">
        <v>461</v>
      </c>
      <c r="Q354" s="1">
        <v>12.74</v>
      </c>
      <c r="R354" s="1">
        <v>0.39</v>
      </c>
      <c r="S354" s="2">
        <v>45586</v>
      </c>
      <c r="T354" s="1">
        <v>220.65</v>
      </c>
      <c r="U354" s="1">
        <v>0.499</v>
      </c>
      <c r="V354" s="6">
        <f t="shared" si="15"/>
        <v>51453.359999999993</v>
      </c>
      <c r="W354" s="6" t="str">
        <f t="shared" si="16"/>
        <v>Sufficient</v>
      </c>
      <c r="X354" s="8" t="str">
        <f t="shared" si="17"/>
        <v>High</v>
      </c>
    </row>
    <row r="355" spans="1:24">
      <c r="A355" s="7" t="s">
        <v>484</v>
      </c>
      <c r="B355" s="1" t="s">
        <v>66</v>
      </c>
      <c r="C355" s="1">
        <v>145</v>
      </c>
      <c r="D355" s="1">
        <v>54</v>
      </c>
      <c r="E355" s="1">
        <v>14</v>
      </c>
      <c r="F355" s="1">
        <v>7</v>
      </c>
      <c r="G355" s="1">
        <v>15.91</v>
      </c>
      <c r="H355" s="1" t="s">
        <v>36</v>
      </c>
      <c r="I355" s="1" t="s">
        <v>39</v>
      </c>
      <c r="J355" s="1">
        <v>50</v>
      </c>
      <c r="K355" s="1">
        <v>4.47</v>
      </c>
      <c r="L355" s="4">
        <v>48.39</v>
      </c>
      <c r="M355" s="1">
        <v>0.62</v>
      </c>
      <c r="N355" s="1">
        <v>8</v>
      </c>
      <c r="O355" s="1">
        <v>0.96</v>
      </c>
      <c r="P355" s="1">
        <v>528</v>
      </c>
      <c r="Q355" s="1">
        <v>7.92</v>
      </c>
      <c r="R355" s="1">
        <v>0.79</v>
      </c>
      <c r="S355" s="2">
        <v>45416</v>
      </c>
      <c r="T355" s="1">
        <v>155.38999999999999</v>
      </c>
      <c r="U355" s="1">
        <v>0.63400000000000001</v>
      </c>
      <c r="V355" s="6">
        <f t="shared" si="15"/>
        <v>7016.55</v>
      </c>
      <c r="W355" s="6" t="str">
        <f t="shared" si="16"/>
        <v>Sufficient</v>
      </c>
      <c r="X355" s="8" t="str">
        <f t="shared" si="17"/>
        <v>Medium</v>
      </c>
    </row>
    <row r="356" spans="1:24">
      <c r="A356" s="7" t="s">
        <v>485</v>
      </c>
      <c r="B356" s="1" t="s">
        <v>25</v>
      </c>
      <c r="C356" s="1">
        <v>31</v>
      </c>
      <c r="D356" s="1">
        <v>53</v>
      </c>
      <c r="E356" s="1">
        <v>5</v>
      </c>
      <c r="F356" s="1">
        <v>7</v>
      </c>
      <c r="G356" s="1">
        <v>34.44</v>
      </c>
      <c r="H356" s="1" t="s">
        <v>55</v>
      </c>
      <c r="I356" s="1" t="s">
        <v>31</v>
      </c>
      <c r="J356" s="1">
        <v>124</v>
      </c>
      <c r="K356" s="1">
        <v>2.3199999999999998</v>
      </c>
      <c r="L356" s="4">
        <v>169.66</v>
      </c>
      <c r="M356" s="1">
        <v>0.45</v>
      </c>
      <c r="N356" s="1">
        <v>3</v>
      </c>
      <c r="O356" s="1">
        <v>0.89</v>
      </c>
      <c r="P356" s="1">
        <v>731</v>
      </c>
      <c r="Q356" s="1">
        <v>12.95</v>
      </c>
      <c r="R356" s="1">
        <v>0.4</v>
      </c>
      <c r="S356" s="2">
        <v>45458</v>
      </c>
      <c r="T356" s="1">
        <v>98</v>
      </c>
      <c r="U356" s="1">
        <v>0.72599999999999998</v>
      </c>
      <c r="V356" s="6">
        <f t="shared" si="15"/>
        <v>5259.46</v>
      </c>
      <c r="W356" s="6" t="str">
        <f t="shared" si="16"/>
        <v>Reorder Required</v>
      </c>
      <c r="X356" s="8" t="str">
        <f t="shared" si="17"/>
        <v>LOW</v>
      </c>
    </row>
    <row r="357" spans="1:24">
      <c r="A357" s="7" t="s">
        <v>486</v>
      </c>
      <c r="B357" s="1" t="s">
        <v>41</v>
      </c>
      <c r="C357" s="1">
        <v>35</v>
      </c>
      <c r="D357" s="1">
        <v>91</v>
      </c>
      <c r="E357" s="1">
        <v>11</v>
      </c>
      <c r="F357" s="1">
        <v>9</v>
      </c>
      <c r="G357" s="1">
        <v>42.53</v>
      </c>
      <c r="H357" s="1" t="s">
        <v>210</v>
      </c>
      <c r="I357" s="1" t="s">
        <v>45</v>
      </c>
      <c r="J357" s="1">
        <v>142</v>
      </c>
      <c r="K357" s="1">
        <v>1.71</v>
      </c>
      <c r="L357" s="4">
        <v>192.69</v>
      </c>
      <c r="M357" s="1">
        <v>0.24</v>
      </c>
      <c r="N357" s="1">
        <v>7</v>
      </c>
      <c r="O357" s="1">
        <v>0.96</v>
      </c>
      <c r="P357" s="1">
        <v>146</v>
      </c>
      <c r="Q357" s="1">
        <v>8.6999999999999993</v>
      </c>
      <c r="R357" s="1">
        <v>0.52</v>
      </c>
      <c r="S357" s="2">
        <v>45484</v>
      </c>
      <c r="T357" s="1">
        <v>34.46</v>
      </c>
      <c r="U357" s="1">
        <v>0.64800000000000002</v>
      </c>
      <c r="V357" s="6">
        <f t="shared" si="15"/>
        <v>6744.15</v>
      </c>
      <c r="W357" s="6" t="str">
        <f t="shared" si="16"/>
        <v>Reorder Required</v>
      </c>
      <c r="X357" s="8" t="str">
        <f t="shared" si="17"/>
        <v>LOW</v>
      </c>
    </row>
    <row r="358" spans="1:24">
      <c r="A358" s="7" t="s">
        <v>487</v>
      </c>
      <c r="B358" s="1" t="s">
        <v>33</v>
      </c>
      <c r="C358" s="1">
        <v>227</v>
      </c>
      <c r="D358" s="1">
        <v>97</v>
      </c>
      <c r="E358" s="1">
        <v>9</v>
      </c>
      <c r="F358" s="1">
        <v>8</v>
      </c>
      <c r="G358" s="1">
        <v>34.99</v>
      </c>
      <c r="H358" s="1" t="s">
        <v>238</v>
      </c>
      <c r="I358" s="1" t="s">
        <v>27</v>
      </c>
      <c r="J358" s="1">
        <v>111</v>
      </c>
      <c r="K358" s="1">
        <v>1.39</v>
      </c>
      <c r="L358" s="4">
        <v>50.35</v>
      </c>
      <c r="M358" s="1">
        <v>1.1000000000000001</v>
      </c>
      <c r="N358" s="1">
        <v>0</v>
      </c>
      <c r="O358" s="1">
        <v>0.88</v>
      </c>
      <c r="P358" s="1">
        <v>707</v>
      </c>
      <c r="Q358" s="1">
        <v>14.79</v>
      </c>
      <c r="R358" s="1">
        <v>0.64</v>
      </c>
      <c r="S358" s="2">
        <v>45435</v>
      </c>
      <c r="T358" s="1">
        <v>168.77</v>
      </c>
      <c r="U358" s="1">
        <v>0.79100000000000004</v>
      </c>
      <c r="V358" s="6">
        <f t="shared" si="15"/>
        <v>11429.45</v>
      </c>
      <c r="W358" s="6" t="str">
        <f t="shared" si="16"/>
        <v>Sufficient</v>
      </c>
      <c r="X358" s="8" t="str">
        <f t="shared" si="17"/>
        <v>Medium</v>
      </c>
    </row>
    <row r="359" spans="1:24">
      <c r="A359" s="7" t="s">
        <v>488</v>
      </c>
      <c r="B359" s="1" t="s">
        <v>25</v>
      </c>
      <c r="C359" s="1">
        <v>62</v>
      </c>
      <c r="D359" s="1">
        <v>56</v>
      </c>
      <c r="E359" s="1">
        <v>12</v>
      </c>
      <c r="F359" s="1">
        <v>6</v>
      </c>
      <c r="G359" s="1">
        <v>46.67</v>
      </c>
      <c r="H359" s="1" t="s">
        <v>214</v>
      </c>
      <c r="I359" s="1" t="s">
        <v>45</v>
      </c>
      <c r="J359" s="1">
        <v>91</v>
      </c>
      <c r="K359" s="1">
        <v>2.77</v>
      </c>
      <c r="L359" s="4">
        <v>24.83</v>
      </c>
      <c r="M359" s="1">
        <v>1.68</v>
      </c>
      <c r="N359" s="1">
        <v>4</v>
      </c>
      <c r="O359" s="1">
        <v>0.81</v>
      </c>
      <c r="P359" s="1">
        <v>950</v>
      </c>
      <c r="Q359" s="1">
        <v>10.24</v>
      </c>
      <c r="R359" s="1">
        <v>0.22</v>
      </c>
      <c r="S359" s="2">
        <v>45493</v>
      </c>
      <c r="T359" s="1">
        <v>98.73</v>
      </c>
      <c r="U359" s="1">
        <v>0.495</v>
      </c>
      <c r="V359" s="6">
        <f t="shared" si="15"/>
        <v>1539.4599999999998</v>
      </c>
      <c r="W359" s="6" t="str">
        <f t="shared" si="16"/>
        <v>Sufficient</v>
      </c>
      <c r="X359" s="8" t="str">
        <f t="shared" si="17"/>
        <v>LOW</v>
      </c>
    </row>
    <row r="360" spans="1:24">
      <c r="A360" s="7" t="s">
        <v>489</v>
      </c>
      <c r="B360" s="1" t="s">
        <v>29</v>
      </c>
      <c r="C360" s="1">
        <v>392</v>
      </c>
      <c r="D360" s="1">
        <v>49</v>
      </c>
      <c r="E360" s="1">
        <v>3</v>
      </c>
      <c r="F360" s="1">
        <v>4</v>
      </c>
      <c r="G360" s="1">
        <v>36.15</v>
      </c>
      <c r="H360" s="1" t="s">
        <v>210</v>
      </c>
      <c r="I360" s="1" t="s">
        <v>27</v>
      </c>
      <c r="J360" s="1">
        <v>72</v>
      </c>
      <c r="K360" s="1">
        <v>3.51</v>
      </c>
      <c r="L360" s="4">
        <v>101.94</v>
      </c>
      <c r="M360" s="1">
        <v>0.57999999999999996</v>
      </c>
      <c r="N360" s="1">
        <v>2</v>
      </c>
      <c r="O360" s="1">
        <v>0.75</v>
      </c>
      <c r="P360" s="1">
        <v>442</v>
      </c>
      <c r="Q360" s="1">
        <v>6.24</v>
      </c>
      <c r="R360" s="1">
        <v>0.87</v>
      </c>
      <c r="S360" s="2">
        <v>45478</v>
      </c>
      <c r="T360" s="1">
        <v>284.54000000000002</v>
      </c>
      <c r="U360" s="1">
        <v>0.70899999999999996</v>
      </c>
      <c r="V360" s="6">
        <f t="shared" si="15"/>
        <v>39960.479999999996</v>
      </c>
      <c r="W360" s="6" t="str">
        <f t="shared" si="16"/>
        <v>Sufficient</v>
      </c>
      <c r="X360" s="8" t="str">
        <f t="shared" si="17"/>
        <v>High</v>
      </c>
    </row>
    <row r="361" spans="1:24">
      <c r="A361" s="7" t="s">
        <v>490</v>
      </c>
      <c r="B361" s="1" t="s">
        <v>66</v>
      </c>
      <c r="C361" s="1">
        <v>480</v>
      </c>
      <c r="D361" s="1">
        <v>60</v>
      </c>
      <c r="E361" s="1">
        <v>12</v>
      </c>
      <c r="F361" s="1">
        <v>8</v>
      </c>
      <c r="G361" s="1">
        <v>38.47</v>
      </c>
      <c r="H361" s="1" t="s">
        <v>258</v>
      </c>
      <c r="I361" s="1" t="s">
        <v>27</v>
      </c>
      <c r="J361" s="1">
        <v>10</v>
      </c>
      <c r="K361" s="1">
        <v>4.54</v>
      </c>
      <c r="L361" s="4">
        <v>160.38999999999999</v>
      </c>
      <c r="M361" s="1">
        <v>0.98</v>
      </c>
      <c r="N361" s="1">
        <v>3</v>
      </c>
      <c r="O361" s="1">
        <v>0.9</v>
      </c>
      <c r="P361" s="1">
        <v>517</v>
      </c>
      <c r="Q361" s="1">
        <v>11.69</v>
      </c>
      <c r="R361" s="1">
        <v>0.61</v>
      </c>
      <c r="S361" s="2">
        <v>45350</v>
      </c>
      <c r="T361" s="1">
        <v>181.54</v>
      </c>
      <c r="U361" s="1">
        <v>0.7</v>
      </c>
      <c r="V361" s="6">
        <f t="shared" si="15"/>
        <v>76987.199999999997</v>
      </c>
      <c r="W361" s="6" t="str">
        <f t="shared" si="16"/>
        <v>Sufficient</v>
      </c>
      <c r="X361" s="8" t="str">
        <f t="shared" si="17"/>
        <v>High</v>
      </c>
    </row>
    <row r="362" spans="1:24">
      <c r="A362" s="7" t="s">
        <v>491</v>
      </c>
      <c r="B362" s="1" t="s">
        <v>29</v>
      </c>
      <c r="C362" s="1">
        <v>154</v>
      </c>
      <c r="D362" s="1">
        <v>51</v>
      </c>
      <c r="E362" s="1">
        <v>7</v>
      </c>
      <c r="F362" s="1">
        <v>5</v>
      </c>
      <c r="G362" s="1">
        <v>9.23</v>
      </c>
      <c r="H362" s="1" t="s">
        <v>244</v>
      </c>
      <c r="I362" s="1" t="s">
        <v>39</v>
      </c>
      <c r="J362" s="1">
        <v>34</v>
      </c>
      <c r="K362" s="1">
        <v>3.44</v>
      </c>
      <c r="L362" s="4">
        <v>156.41999999999999</v>
      </c>
      <c r="M362" s="1">
        <v>0.41</v>
      </c>
      <c r="N362" s="1">
        <v>3</v>
      </c>
      <c r="O362" s="1">
        <v>0.76</v>
      </c>
      <c r="P362" s="1">
        <v>919</v>
      </c>
      <c r="Q362" s="1">
        <v>8.14</v>
      </c>
      <c r="R362" s="1">
        <v>0.45</v>
      </c>
      <c r="S362" s="2">
        <v>45580</v>
      </c>
      <c r="T362" s="1">
        <v>92.67</v>
      </c>
      <c r="U362" s="1">
        <v>0.65</v>
      </c>
      <c r="V362" s="6">
        <f t="shared" si="15"/>
        <v>24088.679999999997</v>
      </c>
      <c r="W362" s="6" t="str">
        <f t="shared" si="16"/>
        <v>Sufficient</v>
      </c>
      <c r="X362" s="8" t="str">
        <f t="shared" si="17"/>
        <v>Medium</v>
      </c>
    </row>
    <row r="363" spans="1:24">
      <c r="A363" s="7" t="s">
        <v>492</v>
      </c>
      <c r="B363" s="1" t="s">
        <v>25</v>
      </c>
      <c r="C363" s="1">
        <v>247</v>
      </c>
      <c r="D363" s="1">
        <v>16</v>
      </c>
      <c r="E363" s="1">
        <v>11</v>
      </c>
      <c r="F363" s="1">
        <v>7</v>
      </c>
      <c r="G363" s="1">
        <v>21.56</v>
      </c>
      <c r="H363" s="1" t="s">
        <v>459</v>
      </c>
      <c r="I363" s="1" t="s">
        <v>27</v>
      </c>
      <c r="J363" s="1">
        <v>152</v>
      </c>
      <c r="K363" s="1">
        <v>2.68</v>
      </c>
      <c r="L363" s="4">
        <v>142.4</v>
      </c>
      <c r="M363" s="1">
        <v>0.87</v>
      </c>
      <c r="N363" s="1">
        <v>7</v>
      </c>
      <c r="O363" s="1">
        <v>0.83</v>
      </c>
      <c r="P363" s="1">
        <v>420</v>
      </c>
      <c r="Q363" s="1">
        <v>12.28</v>
      </c>
      <c r="R363" s="1">
        <v>0.52</v>
      </c>
      <c r="S363" s="2">
        <v>45394</v>
      </c>
      <c r="T363" s="1">
        <v>163.30000000000001</v>
      </c>
      <c r="U363" s="1">
        <v>0.60699999999999998</v>
      </c>
      <c r="V363" s="6">
        <f t="shared" si="15"/>
        <v>35172.800000000003</v>
      </c>
      <c r="W363" s="6" t="str">
        <f t="shared" si="16"/>
        <v>Sufficient</v>
      </c>
      <c r="X363" s="8" t="str">
        <f t="shared" si="17"/>
        <v>Medium</v>
      </c>
    </row>
    <row r="364" spans="1:24">
      <c r="A364" s="7" t="s">
        <v>493</v>
      </c>
      <c r="B364" s="1" t="s">
        <v>25</v>
      </c>
      <c r="C364" s="1">
        <v>130</v>
      </c>
      <c r="D364" s="1">
        <v>59</v>
      </c>
      <c r="E364" s="1">
        <v>14</v>
      </c>
      <c r="F364" s="1">
        <v>2</v>
      </c>
      <c r="G364" s="1">
        <v>24.77</v>
      </c>
      <c r="H364" s="1" t="s">
        <v>72</v>
      </c>
      <c r="I364" s="1" t="s">
        <v>45</v>
      </c>
      <c r="J364" s="1">
        <v>154</v>
      </c>
      <c r="K364" s="1">
        <v>0.65</v>
      </c>
      <c r="L364" s="4">
        <v>165.93</v>
      </c>
      <c r="M364" s="1">
        <v>0.13</v>
      </c>
      <c r="N364" s="1">
        <v>9</v>
      </c>
      <c r="O364" s="1">
        <v>0.95</v>
      </c>
      <c r="P364" s="1">
        <v>442</v>
      </c>
      <c r="Q364" s="1">
        <v>12.67</v>
      </c>
      <c r="R364" s="1">
        <v>0.24</v>
      </c>
      <c r="S364" s="2">
        <v>45595</v>
      </c>
      <c r="T364" s="1">
        <v>166.45</v>
      </c>
      <c r="U364" s="1">
        <v>0.61399999999999999</v>
      </c>
      <c r="V364" s="6">
        <f t="shared" si="15"/>
        <v>21570.9</v>
      </c>
      <c r="W364" s="6" t="str">
        <f t="shared" si="16"/>
        <v>Sufficient</v>
      </c>
      <c r="X364" s="8" t="str">
        <f t="shared" si="17"/>
        <v>Medium</v>
      </c>
    </row>
    <row r="365" spans="1:24">
      <c r="A365" s="7" t="s">
        <v>494</v>
      </c>
      <c r="B365" s="1" t="s">
        <v>25</v>
      </c>
      <c r="C365" s="1">
        <v>326</v>
      </c>
      <c r="D365" s="1">
        <v>57</v>
      </c>
      <c r="E365" s="1">
        <v>5</v>
      </c>
      <c r="F365" s="1">
        <v>7</v>
      </c>
      <c r="G365" s="1">
        <v>13.56</v>
      </c>
      <c r="H365" s="1" t="s">
        <v>274</v>
      </c>
      <c r="I365" s="1" t="s">
        <v>39</v>
      </c>
      <c r="J365" s="1">
        <v>158</v>
      </c>
      <c r="K365" s="1">
        <v>4.62</v>
      </c>
      <c r="L365" s="4">
        <v>43.25</v>
      </c>
      <c r="M365" s="1">
        <v>1.83</v>
      </c>
      <c r="N365" s="1">
        <v>9</v>
      </c>
      <c r="O365" s="1">
        <v>0.74</v>
      </c>
      <c r="P365" s="1">
        <v>67</v>
      </c>
      <c r="Q365" s="1">
        <v>9.64</v>
      </c>
      <c r="R365" s="1">
        <v>0.77</v>
      </c>
      <c r="S365" s="2">
        <v>45571</v>
      </c>
      <c r="T365" s="1">
        <v>220.76</v>
      </c>
      <c r="U365" s="1">
        <v>0.46800000000000003</v>
      </c>
      <c r="V365" s="6">
        <f t="shared" si="15"/>
        <v>14099.5</v>
      </c>
      <c r="W365" s="6" t="str">
        <f t="shared" si="16"/>
        <v>Sufficient</v>
      </c>
      <c r="X365" s="8" t="str">
        <f t="shared" si="17"/>
        <v>High</v>
      </c>
    </row>
    <row r="366" spans="1:24">
      <c r="A366" s="7" t="s">
        <v>495</v>
      </c>
      <c r="B366" s="1" t="s">
        <v>29</v>
      </c>
      <c r="C366" s="1">
        <v>476</v>
      </c>
      <c r="D366" s="1">
        <v>93</v>
      </c>
      <c r="E366" s="1">
        <v>11</v>
      </c>
      <c r="F366" s="1">
        <v>8</v>
      </c>
      <c r="G366" s="1">
        <v>26.9</v>
      </c>
      <c r="H366" s="1" t="s">
        <v>99</v>
      </c>
      <c r="I366" s="1" t="s">
        <v>31</v>
      </c>
      <c r="J366" s="1">
        <v>64</v>
      </c>
      <c r="K366" s="1">
        <v>4.5599999999999996</v>
      </c>
      <c r="L366" s="4">
        <v>133.87</v>
      </c>
      <c r="M366" s="1">
        <v>1.39</v>
      </c>
      <c r="N366" s="1">
        <v>2</v>
      </c>
      <c r="O366" s="1">
        <v>0.74</v>
      </c>
      <c r="P366" s="1">
        <v>233</v>
      </c>
      <c r="Q366" s="1">
        <v>13.21</v>
      </c>
      <c r="R366" s="1">
        <v>0.63</v>
      </c>
      <c r="S366" s="2">
        <v>45384</v>
      </c>
      <c r="T366" s="1">
        <v>271.64</v>
      </c>
      <c r="U366" s="1">
        <v>0.67100000000000004</v>
      </c>
      <c r="V366" s="6">
        <f t="shared" si="15"/>
        <v>63722.12</v>
      </c>
      <c r="W366" s="6" t="str">
        <f t="shared" si="16"/>
        <v>Sufficient</v>
      </c>
      <c r="X366" s="8" t="str">
        <f t="shared" si="17"/>
        <v>High</v>
      </c>
    </row>
    <row r="367" spans="1:24">
      <c r="A367" s="7" t="s">
        <v>496</v>
      </c>
      <c r="B367" s="1" t="s">
        <v>25</v>
      </c>
      <c r="C367" s="1">
        <v>179</v>
      </c>
      <c r="D367" s="1">
        <v>15</v>
      </c>
      <c r="E367" s="1">
        <v>7</v>
      </c>
      <c r="F367" s="1">
        <v>4</v>
      </c>
      <c r="G367" s="1">
        <v>15.25</v>
      </c>
      <c r="H367" s="1" t="s">
        <v>210</v>
      </c>
      <c r="I367" s="1" t="s">
        <v>45</v>
      </c>
      <c r="J367" s="1">
        <v>116</v>
      </c>
      <c r="K367" s="1">
        <v>2.2000000000000002</v>
      </c>
      <c r="L367" s="4">
        <v>125.08</v>
      </c>
      <c r="M367" s="1">
        <v>0.73</v>
      </c>
      <c r="N367" s="1">
        <v>0</v>
      </c>
      <c r="O367" s="1">
        <v>0.77</v>
      </c>
      <c r="P367" s="1">
        <v>192</v>
      </c>
      <c r="Q367" s="1">
        <v>6.65</v>
      </c>
      <c r="R367" s="1">
        <v>0.93</v>
      </c>
      <c r="S367" s="2">
        <v>45641</v>
      </c>
      <c r="T367" s="1">
        <v>289.14999999999998</v>
      </c>
      <c r="U367" s="1">
        <v>0.75600000000000001</v>
      </c>
      <c r="V367" s="6">
        <f t="shared" si="15"/>
        <v>22389.32</v>
      </c>
      <c r="W367" s="6" t="str">
        <f t="shared" si="16"/>
        <v>Sufficient</v>
      </c>
      <c r="X367" s="8" t="str">
        <f t="shared" si="17"/>
        <v>Medium</v>
      </c>
    </row>
    <row r="368" spans="1:24">
      <c r="A368" s="7" t="s">
        <v>497</v>
      </c>
      <c r="B368" s="1" t="s">
        <v>29</v>
      </c>
      <c r="C368" s="1">
        <v>350</v>
      </c>
      <c r="D368" s="1">
        <v>18</v>
      </c>
      <c r="E368" s="1">
        <v>11</v>
      </c>
      <c r="F368" s="1">
        <v>3</v>
      </c>
      <c r="G368" s="1">
        <v>34.69</v>
      </c>
      <c r="H368" s="1" t="s">
        <v>252</v>
      </c>
      <c r="I368" s="1" t="s">
        <v>39</v>
      </c>
      <c r="J368" s="1">
        <v>147</v>
      </c>
      <c r="K368" s="1">
        <v>0.63</v>
      </c>
      <c r="L368" s="4">
        <v>39.15</v>
      </c>
      <c r="M368" s="1">
        <v>1.77</v>
      </c>
      <c r="N368" s="1">
        <v>4</v>
      </c>
      <c r="O368" s="1">
        <v>0.87</v>
      </c>
      <c r="P368" s="1">
        <v>512</v>
      </c>
      <c r="Q368" s="1">
        <v>1.8</v>
      </c>
      <c r="R368" s="1">
        <v>0.56999999999999995</v>
      </c>
      <c r="S368" s="2">
        <v>45573</v>
      </c>
      <c r="T368" s="1">
        <v>218.19</v>
      </c>
      <c r="U368" s="1">
        <v>0.45500000000000002</v>
      </c>
      <c r="V368" s="6">
        <f t="shared" si="15"/>
        <v>13702.5</v>
      </c>
      <c r="W368" s="6" t="str">
        <f t="shared" si="16"/>
        <v>Sufficient</v>
      </c>
      <c r="X368" s="8" t="str">
        <f t="shared" si="17"/>
        <v>High</v>
      </c>
    </row>
    <row r="369" spans="1:24">
      <c r="A369" s="7" t="s">
        <v>498</v>
      </c>
      <c r="B369" s="1" t="s">
        <v>25</v>
      </c>
      <c r="C369" s="1">
        <v>283</v>
      </c>
      <c r="D369" s="1">
        <v>66</v>
      </c>
      <c r="E369" s="1">
        <v>12</v>
      </c>
      <c r="F369" s="1">
        <v>3</v>
      </c>
      <c r="G369" s="1">
        <v>24.04</v>
      </c>
      <c r="H369" s="1" t="s">
        <v>135</v>
      </c>
      <c r="I369" s="1" t="s">
        <v>27</v>
      </c>
      <c r="J369" s="1">
        <v>74</v>
      </c>
      <c r="K369" s="1">
        <v>3.8</v>
      </c>
      <c r="L369" s="4">
        <v>88.74</v>
      </c>
      <c r="M369" s="1">
        <v>0.45</v>
      </c>
      <c r="N369" s="1">
        <v>1</v>
      </c>
      <c r="O369" s="1">
        <v>0.78</v>
      </c>
      <c r="P369" s="1">
        <v>556</v>
      </c>
      <c r="Q369" s="1">
        <v>10.28</v>
      </c>
      <c r="R369" s="1">
        <v>0.86</v>
      </c>
      <c r="S369" s="2">
        <v>45305</v>
      </c>
      <c r="T369" s="1">
        <v>168.31</v>
      </c>
      <c r="U369" s="1">
        <v>0.8</v>
      </c>
      <c r="V369" s="6">
        <f t="shared" si="15"/>
        <v>25113.42</v>
      </c>
      <c r="W369" s="6" t="str">
        <f t="shared" si="16"/>
        <v>Sufficient</v>
      </c>
      <c r="X369" s="8" t="str">
        <f t="shared" si="17"/>
        <v>High</v>
      </c>
    </row>
    <row r="370" spans="1:24">
      <c r="A370" s="7" t="s">
        <v>499</v>
      </c>
      <c r="B370" s="1" t="s">
        <v>33</v>
      </c>
      <c r="C370" s="1">
        <v>244</v>
      </c>
      <c r="D370" s="1">
        <v>40</v>
      </c>
      <c r="E370" s="1">
        <v>8</v>
      </c>
      <c r="F370" s="1">
        <v>9</v>
      </c>
      <c r="G370" s="1">
        <v>23.48</v>
      </c>
      <c r="H370" s="1" t="s">
        <v>440</v>
      </c>
      <c r="I370" s="1" t="s">
        <v>45</v>
      </c>
      <c r="J370" s="1">
        <v>46</v>
      </c>
      <c r="K370" s="1">
        <v>4.0599999999999996</v>
      </c>
      <c r="L370" s="4">
        <v>171.98</v>
      </c>
      <c r="M370" s="1">
        <v>0.25</v>
      </c>
      <c r="N370" s="1">
        <v>5</v>
      </c>
      <c r="O370" s="1">
        <v>0.85</v>
      </c>
      <c r="P370" s="1">
        <v>383</v>
      </c>
      <c r="Q370" s="1">
        <v>11.7</v>
      </c>
      <c r="R370" s="1">
        <v>0.35</v>
      </c>
      <c r="S370" s="2">
        <v>45528</v>
      </c>
      <c r="T370" s="1">
        <v>75.23</v>
      </c>
      <c r="U370" s="1">
        <v>0.67100000000000004</v>
      </c>
      <c r="V370" s="6">
        <f t="shared" si="15"/>
        <v>41963.119999999995</v>
      </c>
      <c r="W370" s="6" t="str">
        <f t="shared" si="16"/>
        <v>Sufficient</v>
      </c>
      <c r="X370" s="8" t="str">
        <f t="shared" si="17"/>
        <v>Medium</v>
      </c>
    </row>
    <row r="371" spans="1:24">
      <c r="A371" s="7" t="s">
        <v>500</v>
      </c>
      <c r="B371" s="1" t="s">
        <v>25</v>
      </c>
      <c r="C371" s="1">
        <v>490</v>
      </c>
      <c r="D371" s="1">
        <v>30</v>
      </c>
      <c r="E371" s="1">
        <v>11</v>
      </c>
      <c r="F371" s="1">
        <v>7</v>
      </c>
      <c r="G371" s="1">
        <v>49.2</v>
      </c>
      <c r="H371" s="1" t="s">
        <v>153</v>
      </c>
      <c r="I371" s="1" t="s">
        <v>27</v>
      </c>
      <c r="J371" s="1">
        <v>121</v>
      </c>
      <c r="K371" s="1">
        <v>2.94</v>
      </c>
      <c r="L371" s="4">
        <v>194.64</v>
      </c>
      <c r="M371" s="1">
        <v>1.89</v>
      </c>
      <c r="N371" s="1">
        <v>3</v>
      </c>
      <c r="O371" s="1">
        <v>0.79</v>
      </c>
      <c r="P371" s="1">
        <v>111</v>
      </c>
      <c r="Q371" s="1">
        <v>2.02</v>
      </c>
      <c r="R371" s="1">
        <v>0.25</v>
      </c>
      <c r="S371" s="2">
        <v>45654</v>
      </c>
      <c r="T371" s="1">
        <v>126.88</v>
      </c>
      <c r="U371" s="1">
        <v>0.38600000000000001</v>
      </c>
      <c r="V371" s="6">
        <f t="shared" si="15"/>
        <v>95373.599999999991</v>
      </c>
      <c r="W371" s="6" t="str">
        <f t="shared" si="16"/>
        <v>Sufficient</v>
      </c>
      <c r="X371" s="8" t="str">
        <f t="shared" si="17"/>
        <v>High</v>
      </c>
    </row>
    <row r="372" spans="1:24">
      <c r="A372" s="7" t="s">
        <v>501</v>
      </c>
      <c r="B372" s="1" t="s">
        <v>29</v>
      </c>
      <c r="C372" s="1">
        <v>236</v>
      </c>
      <c r="D372" s="1">
        <v>99</v>
      </c>
      <c r="E372" s="1">
        <v>9</v>
      </c>
      <c r="F372" s="1">
        <v>7</v>
      </c>
      <c r="G372" s="1">
        <v>20.23</v>
      </c>
      <c r="H372" s="1" t="s">
        <v>266</v>
      </c>
      <c r="I372" s="1" t="s">
        <v>39</v>
      </c>
      <c r="J372" s="1">
        <v>16</v>
      </c>
      <c r="K372" s="1">
        <v>2.31</v>
      </c>
      <c r="L372" s="4">
        <v>136.43</v>
      </c>
      <c r="M372" s="1">
        <v>0.69</v>
      </c>
      <c r="N372" s="1">
        <v>8</v>
      </c>
      <c r="O372" s="1">
        <v>0.85</v>
      </c>
      <c r="P372" s="1">
        <v>212</v>
      </c>
      <c r="Q372" s="1">
        <v>11.79</v>
      </c>
      <c r="R372" s="1">
        <v>0.96</v>
      </c>
      <c r="S372" s="2">
        <v>45399</v>
      </c>
      <c r="T372" s="1">
        <v>151.75</v>
      </c>
      <c r="U372" s="1">
        <v>0.69</v>
      </c>
      <c r="V372" s="6">
        <f t="shared" si="15"/>
        <v>32197.480000000003</v>
      </c>
      <c r="W372" s="6" t="str">
        <f t="shared" si="16"/>
        <v>Sufficient</v>
      </c>
      <c r="X372" s="8" t="str">
        <f t="shared" si="17"/>
        <v>Medium</v>
      </c>
    </row>
    <row r="373" spans="1:24">
      <c r="A373" s="7" t="s">
        <v>502</v>
      </c>
      <c r="B373" s="1" t="s">
        <v>41</v>
      </c>
      <c r="C373" s="1">
        <v>475</v>
      </c>
      <c r="D373" s="1">
        <v>49</v>
      </c>
      <c r="E373" s="1">
        <v>9</v>
      </c>
      <c r="F373" s="1">
        <v>5</v>
      </c>
      <c r="G373" s="1">
        <v>18.75</v>
      </c>
      <c r="H373" s="1" t="s">
        <v>153</v>
      </c>
      <c r="I373" s="1" t="s">
        <v>39</v>
      </c>
      <c r="J373" s="1">
        <v>85</v>
      </c>
      <c r="K373" s="1">
        <v>4.33</v>
      </c>
      <c r="L373" s="4">
        <v>185.17</v>
      </c>
      <c r="M373" s="1">
        <v>1.88</v>
      </c>
      <c r="N373" s="1">
        <v>6</v>
      </c>
      <c r="O373" s="1">
        <v>0.78</v>
      </c>
      <c r="P373" s="1">
        <v>601</v>
      </c>
      <c r="Q373" s="1">
        <v>9.9499999999999993</v>
      </c>
      <c r="R373" s="1">
        <v>0.41</v>
      </c>
      <c r="S373" s="2">
        <v>45516</v>
      </c>
      <c r="T373" s="1">
        <v>47.23</v>
      </c>
      <c r="U373" s="1">
        <v>0.46300000000000002</v>
      </c>
      <c r="V373" s="6">
        <f t="shared" si="15"/>
        <v>87955.75</v>
      </c>
      <c r="W373" s="6" t="str">
        <f t="shared" si="16"/>
        <v>Sufficient</v>
      </c>
      <c r="X373" s="8" t="str">
        <f t="shared" si="17"/>
        <v>High</v>
      </c>
    </row>
    <row r="374" spans="1:24">
      <c r="A374" s="7" t="s">
        <v>503</v>
      </c>
      <c r="B374" s="1" t="s">
        <v>25</v>
      </c>
      <c r="C374" s="1">
        <v>64</v>
      </c>
      <c r="D374" s="1">
        <v>54</v>
      </c>
      <c r="E374" s="1">
        <v>10</v>
      </c>
      <c r="F374" s="1">
        <v>7</v>
      </c>
      <c r="G374" s="1">
        <v>16.61</v>
      </c>
      <c r="H374" s="1" t="s">
        <v>52</v>
      </c>
      <c r="I374" s="1" t="s">
        <v>31</v>
      </c>
      <c r="J374" s="1">
        <v>49</v>
      </c>
      <c r="K374" s="1">
        <v>1.37</v>
      </c>
      <c r="L374" s="4">
        <v>35.090000000000003</v>
      </c>
      <c r="M374" s="1">
        <v>1.31</v>
      </c>
      <c r="N374" s="1">
        <v>1</v>
      </c>
      <c r="O374" s="1">
        <v>0.99</v>
      </c>
      <c r="P374" s="1">
        <v>228</v>
      </c>
      <c r="Q374" s="1">
        <v>2.63</v>
      </c>
      <c r="R374" s="1">
        <v>0.87</v>
      </c>
      <c r="S374" s="2">
        <v>45441</v>
      </c>
      <c r="T374" s="1">
        <v>84.36</v>
      </c>
      <c r="U374" s="1">
        <v>0.65600000000000003</v>
      </c>
      <c r="V374" s="6">
        <f t="shared" si="15"/>
        <v>2245.7600000000002</v>
      </c>
      <c r="W374" s="6" t="str">
        <f t="shared" si="16"/>
        <v>Sufficient</v>
      </c>
      <c r="X374" s="8" t="str">
        <f t="shared" si="17"/>
        <v>LOW</v>
      </c>
    </row>
    <row r="375" spans="1:24">
      <c r="A375" s="7" t="s">
        <v>504</v>
      </c>
      <c r="B375" s="1" t="s">
        <v>41</v>
      </c>
      <c r="C375" s="1">
        <v>233</v>
      </c>
      <c r="D375" s="1">
        <v>86</v>
      </c>
      <c r="E375" s="1">
        <v>9</v>
      </c>
      <c r="F375" s="1">
        <v>4</v>
      </c>
      <c r="G375" s="1">
        <v>44.84</v>
      </c>
      <c r="H375" s="1" t="s">
        <v>333</v>
      </c>
      <c r="I375" s="1" t="s">
        <v>31</v>
      </c>
      <c r="J375" s="1">
        <v>10</v>
      </c>
      <c r="K375" s="1">
        <v>2.48</v>
      </c>
      <c r="L375" s="4">
        <v>195.26</v>
      </c>
      <c r="M375" s="1">
        <v>1.96</v>
      </c>
      <c r="N375" s="1">
        <v>6</v>
      </c>
      <c r="O375" s="1">
        <v>0.85</v>
      </c>
      <c r="P375" s="1">
        <v>284</v>
      </c>
      <c r="Q375" s="1">
        <v>8.56</v>
      </c>
      <c r="R375" s="1">
        <v>0.41</v>
      </c>
      <c r="S375" s="2">
        <v>45646</v>
      </c>
      <c r="T375" s="1">
        <v>295.49</v>
      </c>
      <c r="U375" s="1">
        <v>0.45</v>
      </c>
      <c r="V375" s="6">
        <f t="shared" si="15"/>
        <v>45495.579999999994</v>
      </c>
      <c r="W375" s="6" t="str">
        <f t="shared" si="16"/>
        <v>Sufficient</v>
      </c>
      <c r="X375" s="8" t="str">
        <f t="shared" si="17"/>
        <v>Medium</v>
      </c>
    </row>
    <row r="376" spans="1:24">
      <c r="A376" s="7" t="s">
        <v>505</v>
      </c>
      <c r="B376" s="1" t="s">
        <v>33</v>
      </c>
      <c r="C376" s="1">
        <v>78</v>
      </c>
      <c r="D376" s="1">
        <v>58</v>
      </c>
      <c r="E376" s="1">
        <v>14</v>
      </c>
      <c r="F376" s="1">
        <v>7</v>
      </c>
      <c r="G376" s="1">
        <v>25.34</v>
      </c>
      <c r="H376" s="1" t="s">
        <v>216</v>
      </c>
      <c r="I376" s="1" t="s">
        <v>45</v>
      </c>
      <c r="J376" s="1">
        <v>157</v>
      </c>
      <c r="K376" s="1">
        <v>0.61</v>
      </c>
      <c r="L376" s="4">
        <v>16.37</v>
      </c>
      <c r="M376" s="1">
        <v>1.53</v>
      </c>
      <c r="N376" s="1">
        <v>9</v>
      </c>
      <c r="O376" s="1">
        <v>0.92</v>
      </c>
      <c r="P376" s="1">
        <v>941</v>
      </c>
      <c r="Q376" s="1">
        <v>2.52</v>
      </c>
      <c r="R376" s="1">
        <v>0.32</v>
      </c>
      <c r="S376" s="2">
        <v>45327</v>
      </c>
      <c r="T376" s="1">
        <v>229.44</v>
      </c>
      <c r="U376" s="1">
        <v>0.34899999999999998</v>
      </c>
      <c r="V376" s="6">
        <f t="shared" si="15"/>
        <v>1276.8600000000001</v>
      </c>
      <c r="W376" s="6" t="str">
        <f t="shared" si="16"/>
        <v>Sufficient</v>
      </c>
      <c r="X376" s="8" t="str">
        <f t="shared" si="17"/>
        <v>LOW</v>
      </c>
    </row>
    <row r="377" spans="1:24">
      <c r="A377" s="7" t="s">
        <v>506</v>
      </c>
      <c r="B377" s="1" t="s">
        <v>66</v>
      </c>
      <c r="C377" s="1">
        <v>151</v>
      </c>
      <c r="D377" s="1">
        <v>96</v>
      </c>
      <c r="E377" s="1">
        <v>11</v>
      </c>
      <c r="F377" s="1">
        <v>6</v>
      </c>
      <c r="G377" s="1">
        <v>30.4</v>
      </c>
      <c r="H377" s="1" t="s">
        <v>132</v>
      </c>
      <c r="I377" s="1" t="s">
        <v>31</v>
      </c>
      <c r="J377" s="1">
        <v>117</v>
      </c>
      <c r="K377" s="1">
        <v>1.24</v>
      </c>
      <c r="L377" s="4">
        <v>110.18</v>
      </c>
      <c r="M377" s="1">
        <v>0.3</v>
      </c>
      <c r="N377" s="1">
        <v>7</v>
      </c>
      <c r="O377" s="1">
        <v>0.91</v>
      </c>
      <c r="P377" s="1">
        <v>109</v>
      </c>
      <c r="Q377" s="1">
        <v>5.5</v>
      </c>
      <c r="R377" s="1">
        <v>0.79</v>
      </c>
      <c r="S377" s="2">
        <v>45501</v>
      </c>
      <c r="T377" s="1">
        <v>149.78</v>
      </c>
      <c r="U377" s="1">
        <v>0.64300000000000002</v>
      </c>
      <c r="V377" s="6">
        <f t="shared" si="15"/>
        <v>16637.18</v>
      </c>
      <c r="W377" s="6" t="str">
        <f t="shared" si="16"/>
        <v>Sufficient</v>
      </c>
      <c r="X377" s="8" t="str">
        <f t="shared" si="17"/>
        <v>Medium</v>
      </c>
    </row>
    <row r="378" spans="1:24">
      <c r="A378" s="7" t="s">
        <v>507</v>
      </c>
      <c r="B378" s="1" t="s">
        <v>33</v>
      </c>
      <c r="C378" s="1">
        <v>123</v>
      </c>
      <c r="D378" s="1">
        <v>29</v>
      </c>
      <c r="E378" s="1">
        <v>13</v>
      </c>
      <c r="F378" s="1">
        <v>8</v>
      </c>
      <c r="G378" s="1">
        <v>9.86</v>
      </c>
      <c r="H378" s="1" t="s">
        <v>221</v>
      </c>
      <c r="I378" s="1" t="s">
        <v>27</v>
      </c>
      <c r="J378" s="1">
        <v>168</v>
      </c>
      <c r="K378" s="1">
        <v>4.7300000000000004</v>
      </c>
      <c r="L378" s="4">
        <v>65.290000000000006</v>
      </c>
      <c r="M378" s="1">
        <v>1.72</v>
      </c>
      <c r="N378" s="1">
        <v>2</v>
      </c>
      <c r="O378" s="1">
        <v>0.85</v>
      </c>
      <c r="P378" s="1">
        <v>277</v>
      </c>
      <c r="Q378" s="1">
        <v>12.26</v>
      </c>
      <c r="R378" s="1">
        <v>0.82</v>
      </c>
      <c r="S378" s="2">
        <v>45636</v>
      </c>
      <c r="T378" s="1">
        <v>75.55</v>
      </c>
      <c r="U378" s="1">
        <v>0.68500000000000005</v>
      </c>
      <c r="V378" s="6">
        <f t="shared" si="15"/>
        <v>8030.670000000001</v>
      </c>
      <c r="W378" s="6" t="str">
        <f t="shared" si="16"/>
        <v>Sufficient</v>
      </c>
      <c r="X378" s="8" t="str">
        <f t="shared" si="17"/>
        <v>Medium</v>
      </c>
    </row>
    <row r="379" spans="1:24">
      <c r="A379" s="7" t="s">
        <v>508</v>
      </c>
      <c r="B379" s="1" t="s">
        <v>25</v>
      </c>
      <c r="C379" s="1">
        <v>214</v>
      </c>
      <c r="D379" s="1">
        <v>26</v>
      </c>
      <c r="E379" s="1">
        <v>11</v>
      </c>
      <c r="F379" s="1">
        <v>9</v>
      </c>
      <c r="G379" s="1">
        <v>27.51</v>
      </c>
      <c r="H379" s="1" t="s">
        <v>42</v>
      </c>
      <c r="I379" s="1" t="s">
        <v>27</v>
      </c>
      <c r="J379" s="1">
        <v>77</v>
      </c>
      <c r="K379" s="1">
        <v>3.1</v>
      </c>
      <c r="L379" s="4">
        <v>164.64</v>
      </c>
      <c r="M379" s="1">
        <v>0.38</v>
      </c>
      <c r="N379" s="1">
        <v>2</v>
      </c>
      <c r="O379" s="1">
        <v>0.77</v>
      </c>
      <c r="P379" s="1">
        <v>288</v>
      </c>
      <c r="Q379" s="1">
        <v>2.41</v>
      </c>
      <c r="R379" s="1">
        <v>0.87</v>
      </c>
      <c r="S379" s="2">
        <v>45547</v>
      </c>
      <c r="T379" s="1">
        <v>176.3</v>
      </c>
      <c r="U379" s="1">
        <v>0.68200000000000005</v>
      </c>
      <c r="V379" s="6">
        <f t="shared" si="15"/>
        <v>35232.959999999999</v>
      </c>
      <c r="W379" s="6" t="str">
        <f t="shared" si="16"/>
        <v>Sufficient</v>
      </c>
      <c r="X379" s="8" t="str">
        <f t="shared" si="17"/>
        <v>Medium</v>
      </c>
    </row>
    <row r="380" spans="1:24">
      <c r="A380" s="7" t="s">
        <v>509</v>
      </c>
      <c r="B380" s="1" t="s">
        <v>41</v>
      </c>
      <c r="C380" s="1">
        <v>432</v>
      </c>
      <c r="D380" s="1">
        <v>37</v>
      </c>
      <c r="E380" s="1">
        <v>8</v>
      </c>
      <c r="F380" s="1">
        <v>4</v>
      </c>
      <c r="G380" s="1">
        <v>14.46</v>
      </c>
      <c r="H380" s="1" t="s">
        <v>244</v>
      </c>
      <c r="I380" s="1" t="s">
        <v>31</v>
      </c>
      <c r="J380" s="1">
        <v>21</v>
      </c>
      <c r="K380" s="1">
        <v>4.13</v>
      </c>
      <c r="L380" s="4">
        <v>51.33</v>
      </c>
      <c r="M380" s="1">
        <v>1.42</v>
      </c>
      <c r="N380" s="1">
        <v>1</v>
      </c>
      <c r="O380" s="1">
        <v>0.85</v>
      </c>
      <c r="P380" s="1">
        <v>617</v>
      </c>
      <c r="Q380" s="1">
        <v>7.43</v>
      </c>
      <c r="R380" s="1">
        <v>0.89</v>
      </c>
      <c r="S380" s="2">
        <v>45363</v>
      </c>
      <c r="T380" s="1">
        <v>77.239999999999995</v>
      </c>
      <c r="U380" s="1">
        <v>0.68500000000000005</v>
      </c>
      <c r="V380" s="6">
        <f t="shared" si="15"/>
        <v>22174.559999999998</v>
      </c>
      <c r="W380" s="6" t="str">
        <f t="shared" si="16"/>
        <v>Sufficient</v>
      </c>
      <c r="X380" s="8" t="str">
        <f t="shared" si="17"/>
        <v>High</v>
      </c>
    </row>
    <row r="381" spans="1:24">
      <c r="A381" s="7" t="s">
        <v>510</v>
      </c>
      <c r="B381" s="1" t="s">
        <v>41</v>
      </c>
      <c r="C381" s="1">
        <v>176</v>
      </c>
      <c r="D381" s="1">
        <v>50</v>
      </c>
      <c r="E381" s="1">
        <v>9</v>
      </c>
      <c r="F381" s="1">
        <v>5</v>
      </c>
      <c r="G381" s="1">
        <v>36.799999999999997</v>
      </c>
      <c r="H381" s="1" t="s">
        <v>266</v>
      </c>
      <c r="I381" s="1" t="s">
        <v>31</v>
      </c>
      <c r="J381" s="1">
        <v>159</v>
      </c>
      <c r="K381" s="1">
        <v>2.69</v>
      </c>
      <c r="L381" s="4">
        <v>12.19</v>
      </c>
      <c r="M381" s="1">
        <v>1.05</v>
      </c>
      <c r="N381" s="1">
        <v>0</v>
      </c>
      <c r="O381" s="1">
        <v>0.9</v>
      </c>
      <c r="P381" s="1">
        <v>795</v>
      </c>
      <c r="Q381" s="1">
        <v>9.48</v>
      </c>
      <c r="R381" s="1">
        <v>0.59</v>
      </c>
      <c r="S381" s="2">
        <v>45616</v>
      </c>
      <c r="T381" s="1">
        <v>66</v>
      </c>
      <c r="U381" s="1">
        <v>0.71899999999999997</v>
      </c>
      <c r="V381" s="6">
        <f t="shared" si="15"/>
        <v>2145.44</v>
      </c>
      <c r="W381" s="6" t="str">
        <f t="shared" si="16"/>
        <v>Sufficient</v>
      </c>
      <c r="X381" s="8" t="str">
        <f t="shared" si="17"/>
        <v>Medium</v>
      </c>
    </row>
    <row r="382" spans="1:24">
      <c r="A382" s="7" t="s">
        <v>511</v>
      </c>
      <c r="B382" s="1" t="s">
        <v>29</v>
      </c>
      <c r="C382" s="1">
        <v>117</v>
      </c>
      <c r="D382" s="1">
        <v>75</v>
      </c>
      <c r="E382" s="1">
        <v>4</v>
      </c>
      <c r="F382" s="1">
        <v>6</v>
      </c>
      <c r="G382" s="1">
        <v>41.79</v>
      </c>
      <c r="H382" s="1" t="s">
        <v>124</v>
      </c>
      <c r="I382" s="1" t="s">
        <v>31</v>
      </c>
      <c r="J382" s="1">
        <v>138</v>
      </c>
      <c r="K382" s="1">
        <v>4.26</v>
      </c>
      <c r="L382" s="4">
        <v>88.78</v>
      </c>
      <c r="M382" s="1">
        <v>1.44</v>
      </c>
      <c r="N382" s="1">
        <v>2</v>
      </c>
      <c r="O382" s="1">
        <v>0.84</v>
      </c>
      <c r="P382" s="1">
        <v>133</v>
      </c>
      <c r="Q382" s="1">
        <v>14.17</v>
      </c>
      <c r="R382" s="1">
        <v>0.52</v>
      </c>
      <c r="S382" s="2">
        <v>45447</v>
      </c>
      <c r="T382" s="1">
        <v>37.19</v>
      </c>
      <c r="U382" s="1">
        <v>0.67700000000000005</v>
      </c>
      <c r="V382" s="6">
        <f t="shared" si="15"/>
        <v>10387.26</v>
      </c>
      <c r="W382" s="6" t="str">
        <f t="shared" si="16"/>
        <v>Sufficient</v>
      </c>
      <c r="X382" s="8" t="str">
        <f t="shared" si="17"/>
        <v>Medium</v>
      </c>
    </row>
    <row r="383" spans="1:24">
      <c r="A383" s="7" t="s">
        <v>512</v>
      </c>
      <c r="B383" s="1" t="s">
        <v>41</v>
      </c>
      <c r="C383" s="1">
        <v>245</v>
      </c>
      <c r="D383" s="1">
        <v>34</v>
      </c>
      <c r="E383" s="1">
        <v>11</v>
      </c>
      <c r="F383" s="1">
        <v>6</v>
      </c>
      <c r="G383" s="1">
        <v>36.03</v>
      </c>
      <c r="H383" s="1" t="s">
        <v>143</v>
      </c>
      <c r="I383" s="1" t="s">
        <v>45</v>
      </c>
      <c r="J383" s="1">
        <v>135</v>
      </c>
      <c r="K383" s="1">
        <v>2.93</v>
      </c>
      <c r="L383" s="4">
        <v>22.18</v>
      </c>
      <c r="M383" s="1">
        <v>1.55</v>
      </c>
      <c r="N383" s="1">
        <v>9</v>
      </c>
      <c r="O383" s="1">
        <v>0.72</v>
      </c>
      <c r="P383" s="1">
        <v>764</v>
      </c>
      <c r="Q383" s="1">
        <v>11.32</v>
      </c>
      <c r="R383" s="1">
        <v>0.8</v>
      </c>
      <c r="S383" s="2">
        <v>45415</v>
      </c>
      <c r="T383" s="1">
        <v>110.3</v>
      </c>
      <c r="U383" s="1">
        <v>0.52</v>
      </c>
      <c r="V383" s="6">
        <f t="shared" si="15"/>
        <v>5434.1</v>
      </c>
      <c r="W383" s="6" t="str">
        <f t="shared" si="16"/>
        <v>Sufficient</v>
      </c>
      <c r="X383" s="8" t="str">
        <f t="shared" si="17"/>
        <v>Medium</v>
      </c>
    </row>
    <row r="384" spans="1:24">
      <c r="A384" s="7" t="s">
        <v>513</v>
      </c>
      <c r="B384" s="1" t="s">
        <v>29</v>
      </c>
      <c r="C384" s="1">
        <v>431</v>
      </c>
      <c r="D384" s="1">
        <v>67</v>
      </c>
      <c r="E384" s="1">
        <v>14</v>
      </c>
      <c r="F384" s="1">
        <v>8</v>
      </c>
      <c r="G384" s="1">
        <v>36.78</v>
      </c>
      <c r="H384" s="1" t="s">
        <v>135</v>
      </c>
      <c r="I384" s="1" t="s">
        <v>45</v>
      </c>
      <c r="J384" s="1">
        <v>10</v>
      </c>
      <c r="K384" s="1">
        <v>0.52</v>
      </c>
      <c r="L384" s="4">
        <v>65.12</v>
      </c>
      <c r="M384" s="1">
        <v>1.63</v>
      </c>
      <c r="N384" s="1">
        <v>6</v>
      </c>
      <c r="O384" s="1">
        <v>0.71</v>
      </c>
      <c r="P384" s="1">
        <v>90</v>
      </c>
      <c r="Q384" s="1">
        <v>2.95</v>
      </c>
      <c r="R384" s="1">
        <v>0.66</v>
      </c>
      <c r="S384" s="2">
        <v>45421</v>
      </c>
      <c r="T384" s="1">
        <v>167.1</v>
      </c>
      <c r="U384" s="1">
        <v>0.43</v>
      </c>
      <c r="V384" s="6">
        <f t="shared" si="15"/>
        <v>28066.720000000001</v>
      </c>
      <c r="W384" s="6" t="str">
        <f t="shared" si="16"/>
        <v>Sufficient</v>
      </c>
      <c r="X384" s="8" t="str">
        <f t="shared" si="17"/>
        <v>High</v>
      </c>
    </row>
    <row r="385" spans="1:24">
      <c r="A385" s="7" t="s">
        <v>514</v>
      </c>
      <c r="B385" s="1" t="s">
        <v>66</v>
      </c>
      <c r="C385" s="1">
        <v>224</v>
      </c>
      <c r="D385" s="1">
        <v>50</v>
      </c>
      <c r="E385" s="1">
        <v>3</v>
      </c>
      <c r="F385" s="1">
        <v>3</v>
      </c>
      <c r="G385" s="1">
        <v>26.11</v>
      </c>
      <c r="H385" s="1" t="s">
        <v>88</v>
      </c>
      <c r="I385" s="1" t="s">
        <v>27</v>
      </c>
      <c r="J385" s="1">
        <v>140</v>
      </c>
      <c r="K385" s="1">
        <v>4.55</v>
      </c>
      <c r="L385" s="4">
        <v>132.31</v>
      </c>
      <c r="M385" s="1">
        <v>1.69</v>
      </c>
      <c r="N385" s="1">
        <v>8</v>
      </c>
      <c r="O385" s="1">
        <v>0.8</v>
      </c>
      <c r="P385" s="1">
        <v>487</v>
      </c>
      <c r="Q385" s="1">
        <v>14.56</v>
      </c>
      <c r="R385" s="1">
        <v>0.97</v>
      </c>
      <c r="S385" s="2">
        <v>45629</v>
      </c>
      <c r="T385" s="1">
        <v>56.21</v>
      </c>
      <c r="U385" s="1">
        <v>0.61899999999999999</v>
      </c>
      <c r="V385" s="6">
        <f t="shared" si="15"/>
        <v>29637.440000000002</v>
      </c>
      <c r="W385" s="6" t="str">
        <f t="shared" si="16"/>
        <v>Sufficient</v>
      </c>
      <c r="X385" s="8" t="str">
        <f t="shared" si="17"/>
        <v>Medium</v>
      </c>
    </row>
    <row r="386" spans="1:24">
      <c r="A386" s="7" t="s">
        <v>515</v>
      </c>
      <c r="B386" s="1" t="s">
        <v>25</v>
      </c>
      <c r="C386" s="1">
        <v>98</v>
      </c>
      <c r="D386" s="1">
        <v>15</v>
      </c>
      <c r="E386" s="1">
        <v>3</v>
      </c>
      <c r="F386" s="1">
        <v>4</v>
      </c>
      <c r="G386" s="1">
        <v>35.89</v>
      </c>
      <c r="H386" s="1" t="s">
        <v>156</v>
      </c>
      <c r="I386" s="1" t="s">
        <v>45</v>
      </c>
      <c r="J386" s="1">
        <v>126</v>
      </c>
      <c r="K386" s="1">
        <v>1.17</v>
      </c>
      <c r="L386" s="4">
        <v>65.989999999999995</v>
      </c>
      <c r="M386" s="1">
        <v>1.71</v>
      </c>
      <c r="N386" s="1">
        <v>8</v>
      </c>
      <c r="O386" s="1">
        <v>0.75</v>
      </c>
      <c r="P386" s="1">
        <v>578</v>
      </c>
      <c r="Q386" s="1">
        <v>7.69</v>
      </c>
      <c r="R386" s="1">
        <v>0.5</v>
      </c>
      <c r="S386" s="2">
        <v>45370</v>
      </c>
      <c r="T386" s="1">
        <v>68.13</v>
      </c>
      <c r="U386" s="1">
        <v>0.42199999999999999</v>
      </c>
      <c r="V386" s="6">
        <f t="shared" si="15"/>
        <v>6467.0199999999995</v>
      </c>
      <c r="W386" s="6" t="str">
        <f t="shared" si="16"/>
        <v>Sufficient</v>
      </c>
      <c r="X386" s="8" t="str">
        <f t="shared" si="17"/>
        <v>LOW</v>
      </c>
    </row>
    <row r="387" spans="1:24">
      <c r="A387" s="7" t="s">
        <v>516</v>
      </c>
      <c r="B387" s="1" t="s">
        <v>29</v>
      </c>
      <c r="C387" s="1">
        <v>143</v>
      </c>
      <c r="D387" s="1">
        <v>84</v>
      </c>
      <c r="E387" s="1">
        <v>5</v>
      </c>
      <c r="F387" s="1">
        <v>8</v>
      </c>
      <c r="G387" s="1">
        <v>21.71</v>
      </c>
      <c r="H387" s="1" t="s">
        <v>244</v>
      </c>
      <c r="I387" s="1" t="s">
        <v>45</v>
      </c>
      <c r="J387" s="1">
        <v>158</v>
      </c>
      <c r="K387" s="1">
        <v>2.5299999999999998</v>
      </c>
      <c r="L387" s="4">
        <v>56.7</v>
      </c>
      <c r="M387" s="1">
        <v>0.88</v>
      </c>
      <c r="N387" s="1">
        <v>5</v>
      </c>
      <c r="O387" s="1">
        <v>0.97</v>
      </c>
      <c r="P387" s="1">
        <v>154</v>
      </c>
      <c r="Q387" s="1">
        <v>6.18</v>
      </c>
      <c r="R387" s="1">
        <v>0.23</v>
      </c>
      <c r="S387" s="2">
        <v>45508</v>
      </c>
      <c r="T387" s="1">
        <v>123.43</v>
      </c>
      <c r="U387" s="1">
        <v>0.53400000000000003</v>
      </c>
      <c r="V387" s="6">
        <f t="shared" si="15"/>
        <v>8108.1</v>
      </c>
      <c r="W387" s="6" t="str">
        <f t="shared" si="16"/>
        <v>Sufficient</v>
      </c>
      <c r="X387" s="8" t="str">
        <f t="shared" si="17"/>
        <v>Medium</v>
      </c>
    </row>
    <row r="388" spans="1:24">
      <c r="A388" s="7" t="s">
        <v>517</v>
      </c>
      <c r="B388" s="1" t="s">
        <v>66</v>
      </c>
      <c r="C388" s="1">
        <v>490</v>
      </c>
      <c r="D388" s="1">
        <v>47</v>
      </c>
      <c r="E388" s="1">
        <v>14</v>
      </c>
      <c r="F388" s="1">
        <v>6</v>
      </c>
      <c r="G388" s="1">
        <v>32.92</v>
      </c>
      <c r="H388" s="1" t="s">
        <v>221</v>
      </c>
      <c r="I388" s="1" t="s">
        <v>39</v>
      </c>
      <c r="J388" s="1">
        <v>22</v>
      </c>
      <c r="K388" s="1">
        <v>2.65</v>
      </c>
      <c r="L388" s="4">
        <v>39.54</v>
      </c>
      <c r="M388" s="1">
        <v>1.79</v>
      </c>
      <c r="N388" s="1">
        <v>5</v>
      </c>
      <c r="O388" s="1">
        <v>0.75</v>
      </c>
      <c r="P388" s="1">
        <v>586</v>
      </c>
      <c r="Q388" s="1">
        <v>2.8</v>
      </c>
      <c r="R388" s="1">
        <v>0.67</v>
      </c>
      <c r="S388" s="2">
        <v>45485</v>
      </c>
      <c r="T388" s="1">
        <v>151.96</v>
      </c>
      <c r="U388" s="1">
        <v>0.442</v>
      </c>
      <c r="V388" s="6">
        <f t="shared" ref="V388:V451" si="18">C388*L388</f>
        <v>19374.599999999999</v>
      </c>
      <c r="W388" s="6" t="str">
        <f t="shared" ref="W388:W451" si="19">IF(C388&lt;=D388,"Reorder Required","Sufficient")</f>
        <v>Sufficient</v>
      </c>
      <c r="X388" s="8" t="str">
        <f t="shared" ref="X388:X451" si="20">IF(C388&lt;100,"LOW",IF(C388&lt;250,"Medium","High"))</f>
        <v>High</v>
      </c>
    </row>
    <row r="389" spans="1:24">
      <c r="A389" s="7" t="s">
        <v>518</v>
      </c>
      <c r="B389" s="1" t="s">
        <v>41</v>
      </c>
      <c r="C389" s="1">
        <v>447</v>
      </c>
      <c r="D389" s="1">
        <v>15</v>
      </c>
      <c r="E389" s="1">
        <v>8</v>
      </c>
      <c r="F389" s="1">
        <v>5</v>
      </c>
      <c r="G389" s="1">
        <v>13.69</v>
      </c>
      <c r="H389" s="1" t="s">
        <v>372</v>
      </c>
      <c r="I389" s="1" t="s">
        <v>27</v>
      </c>
      <c r="J389" s="1">
        <v>150</v>
      </c>
      <c r="K389" s="1">
        <v>0.71</v>
      </c>
      <c r="L389" s="4">
        <v>35.68</v>
      </c>
      <c r="M389" s="1">
        <v>1.47</v>
      </c>
      <c r="N389" s="1">
        <v>4</v>
      </c>
      <c r="O389" s="1">
        <v>0.82</v>
      </c>
      <c r="P389" s="1">
        <v>431</v>
      </c>
      <c r="Q389" s="1">
        <v>14.07</v>
      </c>
      <c r="R389" s="1">
        <v>0.48</v>
      </c>
      <c r="S389" s="2">
        <v>45329</v>
      </c>
      <c r="T389" s="1">
        <v>231.06</v>
      </c>
      <c r="U389" s="1">
        <v>0.621</v>
      </c>
      <c r="V389" s="6">
        <f t="shared" si="18"/>
        <v>15948.96</v>
      </c>
      <c r="W389" s="6" t="str">
        <f t="shared" si="19"/>
        <v>Sufficient</v>
      </c>
      <c r="X389" s="8" t="str">
        <f t="shared" si="20"/>
        <v>High</v>
      </c>
    </row>
    <row r="390" spans="1:24">
      <c r="A390" s="7" t="s">
        <v>519</v>
      </c>
      <c r="B390" s="1" t="s">
        <v>41</v>
      </c>
      <c r="C390" s="1">
        <v>237</v>
      </c>
      <c r="D390" s="1">
        <v>54</v>
      </c>
      <c r="E390" s="1">
        <v>7</v>
      </c>
      <c r="F390" s="1">
        <v>8</v>
      </c>
      <c r="G390" s="1">
        <v>4.42</v>
      </c>
      <c r="H390" s="1" t="s">
        <v>214</v>
      </c>
      <c r="I390" s="1" t="s">
        <v>27</v>
      </c>
      <c r="J390" s="1">
        <v>114</v>
      </c>
      <c r="K390" s="1">
        <v>0.74</v>
      </c>
      <c r="L390" s="4">
        <v>109.91</v>
      </c>
      <c r="M390" s="1">
        <v>1.69</v>
      </c>
      <c r="N390" s="1">
        <v>1</v>
      </c>
      <c r="O390" s="1">
        <v>0.91</v>
      </c>
      <c r="P390" s="1">
        <v>142</v>
      </c>
      <c r="Q390" s="1">
        <v>9.2100000000000009</v>
      </c>
      <c r="R390" s="1">
        <v>0.47</v>
      </c>
      <c r="S390" s="2">
        <v>45521</v>
      </c>
      <c r="T390" s="1">
        <v>174.32</v>
      </c>
      <c r="U390" s="1">
        <v>0.61</v>
      </c>
      <c r="V390" s="6">
        <f t="shared" si="18"/>
        <v>26048.67</v>
      </c>
      <c r="W390" s="6" t="str">
        <f t="shared" si="19"/>
        <v>Sufficient</v>
      </c>
      <c r="X390" s="8" t="str">
        <f t="shared" si="20"/>
        <v>Medium</v>
      </c>
    </row>
    <row r="391" spans="1:24">
      <c r="A391" s="7" t="s">
        <v>520</v>
      </c>
      <c r="B391" s="1" t="s">
        <v>66</v>
      </c>
      <c r="C391" s="1">
        <v>23</v>
      </c>
      <c r="D391" s="1">
        <v>84</v>
      </c>
      <c r="E391" s="1">
        <v>4</v>
      </c>
      <c r="F391" s="1">
        <v>3</v>
      </c>
      <c r="G391" s="1">
        <v>21.26</v>
      </c>
      <c r="H391" s="1" t="s">
        <v>122</v>
      </c>
      <c r="I391" s="1" t="s">
        <v>31</v>
      </c>
      <c r="J391" s="1">
        <v>170</v>
      </c>
      <c r="K391" s="1">
        <v>3.93</v>
      </c>
      <c r="L391" s="4">
        <v>139.49</v>
      </c>
      <c r="M391" s="1">
        <v>1.98</v>
      </c>
      <c r="N391" s="1">
        <v>6</v>
      </c>
      <c r="O391" s="1">
        <v>0.94</v>
      </c>
      <c r="P391" s="1">
        <v>264</v>
      </c>
      <c r="Q391" s="1">
        <v>14.83</v>
      </c>
      <c r="R391" s="1">
        <v>0.65</v>
      </c>
      <c r="S391" s="2">
        <v>45598</v>
      </c>
      <c r="T391" s="1">
        <v>189.13</v>
      </c>
      <c r="U391" s="1">
        <v>0.59799999999999998</v>
      </c>
      <c r="V391" s="6">
        <f t="shared" si="18"/>
        <v>3208.2700000000004</v>
      </c>
      <c r="W391" s="6" t="str">
        <f t="shared" si="19"/>
        <v>Reorder Required</v>
      </c>
      <c r="X391" s="8" t="str">
        <f t="shared" si="20"/>
        <v>LOW</v>
      </c>
    </row>
    <row r="392" spans="1:24">
      <c r="A392" s="7" t="s">
        <v>521</v>
      </c>
      <c r="B392" s="1" t="s">
        <v>41</v>
      </c>
      <c r="C392" s="1">
        <v>109</v>
      </c>
      <c r="D392" s="1">
        <v>23</v>
      </c>
      <c r="E392" s="1">
        <v>11</v>
      </c>
      <c r="F392" s="1">
        <v>6</v>
      </c>
      <c r="G392" s="1">
        <v>23.63</v>
      </c>
      <c r="H392" s="1" t="s">
        <v>174</v>
      </c>
      <c r="I392" s="1" t="s">
        <v>39</v>
      </c>
      <c r="J392" s="1">
        <v>143</v>
      </c>
      <c r="K392" s="1">
        <v>1.85</v>
      </c>
      <c r="L392" s="4">
        <v>96.02</v>
      </c>
      <c r="M392" s="1">
        <v>0.32</v>
      </c>
      <c r="N392" s="1">
        <v>0</v>
      </c>
      <c r="O392" s="1">
        <v>0.84</v>
      </c>
      <c r="P392" s="1">
        <v>954</v>
      </c>
      <c r="Q392" s="1">
        <v>3.43</v>
      </c>
      <c r="R392" s="1">
        <v>0.94</v>
      </c>
      <c r="S392" s="2">
        <v>45537</v>
      </c>
      <c r="T392" s="1">
        <v>211.9</v>
      </c>
      <c r="U392" s="1">
        <v>0.77</v>
      </c>
      <c r="V392" s="6">
        <f t="shared" si="18"/>
        <v>10466.18</v>
      </c>
      <c r="W392" s="6" t="str">
        <f t="shared" si="19"/>
        <v>Sufficient</v>
      </c>
      <c r="X392" s="8" t="str">
        <f t="shared" si="20"/>
        <v>Medium</v>
      </c>
    </row>
    <row r="393" spans="1:24">
      <c r="A393" s="7" t="s">
        <v>522</v>
      </c>
      <c r="B393" s="1" t="s">
        <v>66</v>
      </c>
      <c r="C393" s="1">
        <v>123</v>
      </c>
      <c r="D393" s="1">
        <v>75</v>
      </c>
      <c r="E393" s="1">
        <v>12</v>
      </c>
      <c r="F393" s="1">
        <v>8</v>
      </c>
      <c r="G393" s="1">
        <v>13.56</v>
      </c>
      <c r="H393" s="1" t="s">
        <v>176</v>
      </c>
      <c r="I393" s="1" t="s">
        <v>31</v>
      </c>
      <c r="J393" s="1">
        <v>34</v>
      </c>
      <c r="K393" s="1">
        <v>2.34</v>
      </c>
      <c r="L393" s="4">
        <v>33.479999999999997</v>
      </c>
      <c r="M393" s="1">
        <v>0.8</v>
      </c>
      <c r="N393" s="1">
        <v>5</v>
      </c>
      <c r="O393" s="1">
        <v>0.75</v>
      </c>
      <c r="P393" s="1">
        <v>745</v>
      </c>
      <c r="Q393" s="1">
        <v>8.64</v>
      </c>
      <c r="R393" s="1">
        <v>0.41</v>
      </c>
      <c r="S393" s="2">
        <v>45590</v>
      </c>
      <c r="T393" s="1">
        <v>140.79</v>
      </c>
      <c r="U393" s="1">
        <v>0.56699999999999995</v>
      </c>
      <c r="V393" s="6">
        <f t="shared" si="18"/>
        <v>4118.04</v>
      </c>
      <c r="W393" s="6" t="str">
        <f t="shared" si="19"/>
        <v>Sufficient</v>
      </c>
      <c r="X393" s="8" t="str">
        <f t="shared" si="20"/>
        <v>Medium</v>
      </c>
    </row>
    <row r="394" spans="1:24">
      <c r="A394" s="7" t="s">
        <v>523</v>
      </c>
      <c r="B394" s="1" t="s">
        <v>29</v>
      </c>
      <c r="C394" s="1">
        <v>412</v>
      </c>
      <c r="D394" s="1">
        <v>49</v>
      </c>
      <c r="E394" s="1">
        <v>6</v>
      </c>
      <c r="F394" s="1">
        <v>4</v>
      </c>
      <c r="G394" s="1">
        <v>36.659999999999997</v>
      </c>
      <c r="H394" s="1" t="s">
        <v>81</v>
      </c>
      <c r="I394" s="1" t="s">
        <v>45</v>
      </c>
      <c r="J394" s="1">
        <v>160</v>
      </c>
      <c r="K394" s="1">
        <v>3.04</v>
      </c>
      <c r="L394" s="4">
        <v>133.07</v>
      </c>
      <c r="M394" s="1">
        <v>1.63</v>
      </c>
      <c r="N394" s="1">
        <v>3</v>
      </c>
      <c r="O394" s="1">
        <v>0.78</v>
      </c>
      <c r="P394" s="1">
        <v>266</v>
      </c>
      <c r="Q394" s="1">
        <v>2.54</v>
      </c>
      <c r="R394" s="1">
        <v>0.5</v>
      </c>
      <c r="S394" s="2">
        <v>45497</v>
      </c>
      <c r="T394" s="1">
        <v>109.51</v>
      </c>
      <c r="U394" s="1">
        <v>0.46700000000000003</v>
      </c>
      <c r="V394" s="6">
        <f t="shared" si="18"/>
        <v>54824.84</v>
      </c>
      <c r="W394" s="6" t="str">
        <f t="shared" si="19"/>
        <v>Sufficient</v>
      </c>
      <c r="X394" s="8" t="str">
        <f t="shared" si="20"/>
        <v>High</v>
      </c>
    </row>
    <row r="395" spans="1:24">
      <c r="A395" s="7" t="s">
        <v>524</v>
      </c>
      <c r="B395" s="1" t="s">
        <v>29</v>
      </c>
      <c r="C395" s="1">
        <v>138</v>
      </c>
      <c r="D395" s="1">
        <v>12</v>
      </c>
      <c r="E395" s="1">
        <v>6</v>
      </c>
      <c r="F395" s="1">
        <v>3</v>
      </c>
      <c r="G395" s="1">
        <v>4.5999999999999996</v>
      </c>
      <c r="H395" s="1" t="s">
        <v>214</v>
      </c>
      <c r="I395" s="1" t="s">
        <v>27</v>
      </c>
      <c r="J395" s="1">
        <v>97</v>
      </c>
      <c r="K395" s="1">
        <v>2.1800000000000002</v>
      </c>
      <c r="L395" s="4">
        <v>115.85</v>
      </c>
      <c r="M395" s="1">
        <v>0.26</v>
      </c>
      <c r="N395" s="1">
        <v>2</v>
      </c>
      <c r="O395" s="1">
        <v>0.83</v>
      </c>
      <c r="P395" s="1">
        <v>538</v>
      </c>
      <c r="Q395" s="1">
        <v>8.34</v>
      </c>
      <c r="R395" s="1">
        <v>0.91</v>
      </c>
      <c r="S395" s="2">
        <v>45565</v>
      </c>
      <c r="T395" s="1">
        <v>242.12</v>
      </c>
      <c r="U395" s="1">
        <v>0.79300000000000004</v>
      </c>
      <c r="V395" s="6">
        <f t="shared" si="18"/>
        <v>15987.3</v>
      </c>
      <c r="W395" s="6" t="str">
        <f t="shared" si="19"/>
        <v>Sufficient</v>
      </c>
      <c r="X395" s="8" t="str">
        <f t="shared" si="20"/>
        <v>Medium</v>
      </c>
    </row>
    <row r="396" spans="1:24">
      <c r="A396" s="7" t="s">
        <v>525</v>
      </c>
      <c r="B396" s="1" t="s">
        <v>66</v>
      </c>
      <c r="C396" s="1">
        <v>152</v>
      </c>
      <c r="D396" s="1">
        <v>33</v>
      </c>
      <c r="E396" s="1">
        <v>7</v>
      </c>
      <c r="F396" s="1">
        <v>4</v>
      </c>
      <c r="G396" s="1">
        <v>11.91</v>
      </c>
      <c r="H396" s="1" t="s">
        <v>333</v>
      </c>
      <c r="I396" s="1" t="s">
        <v>45</v>
      </c>
      <c r="J396" s="1">
        <v>110</v>
      </c>
      <c r="K396" s="1">
        <v>3.99</v>
      </c>
      <c r="L396" s="4">
        <v>82.44</v>
      </c>
      <c r="M396" s="1">
        <v>1.1299999999999999</v>
      </c>
      <c r="N396" s="1">
        <v>0</v>
      </c>
      <c r="O396" s="1">
        <v>0.81</v>
      </c>
      <c r="P396" s="1">
        <v>200</v>
      </c>
      <c r="Q396" s="1">
        <v>13.46</v>
      </c>
      <c r="R396" s="1">
        <v>0.92</v>
      </c>
      <c r="S396" s="2">
        <v>45551</v>
      </c>
      <c r="T396" s="1">
        <v>250.21</v>
      </c>
      <c r="U396" s="1">
        <v>0.81200000000000006</v>
      </c>
      <c r="V396" s="6">
        <f t="shared" si="18"/>
        <v>12530.88</v>
      </c>
      <c r="W396" s="6" t="str">
        <f t="shared" si="19"/>
        <v>Sufficient</v>
      </c>
      <c r="X396" s="8" t="str">
        <f t="shared" si="20"/>
        <v>Medium</v>
      </c>
    </row>
    <row r="397" spans="1:24">
      <c r="A397" s="7" t="s">
        <v>526</v>
      </c>
      <c r="B397" s="1" t="s">
        <v>29</v>
      </c>
      <c r="C397" s="1">
        <v>331</v>
      </c>
      <c r="D397" s="1">
        <v>28</v>
      </c>
      <c r="E397" s="1">
        <v>10</v>
      </c>
      <c r="F397" s="1">
        <v>4</v>
      </c>
      <c r="G397" s="1">
        <v>37.68</v>
      </c>
      <c r="H397" s="1" t="s">
        <v>122</v>
      </c>
      <c r="I397" s="1" t="s">
        <v>45</v>
      </c>
      <c r="J397" s="1">
        <v>35</v>
      </c>
      <c r="K397" s="1">
        <v>4.4800000000000004</v>
      </c>
      <c r="L397" s="4">
        <v>72.709999999999994</v>
      </c>
      <c r="M397" s="1">
        <v>1.73</v>
      </c>
      <c r="N397" s="1">
        <v>5</v>
      </c>
      <c r="O397" s="1">
        <v>0.8</v>
      </c>
      <c r="P397" s="1">
        <v>423</v>
      </c>
      <c r="Q397" s="1">
        <v>2.5299999999999998</v>
      </c>
      <c r="R397" s="1">
        <v>0.39</v>
      </c>
      <c r="S397" s="2">
        <v>45646</v>
      </c>
      <c r="T397" s="1">
        <v>54.65</v>
      </c>
      <c r="U397" s="1">
        <v>0.39900000000000002</v>
      </c>
      <c r="V397" s="6">
        <f t="shared" si="18"/>
        <v>24067.01</v>
      </c>
      <c r="W397" s="6" t="str">
        <f t="shared" si="19"/>
        <v>Sufficient</v>
      </c>
      <c r="X397" s="8" t="str">
        <f t="shared" si="20"/>
        <v>High</v>
      </c>
    </row>
    <row r="398" spans="1:24">
      <c r="A398" s="7" t="s">
        <v>527</v>
      </c>
      <c r="B398" s="1" t="s">
        <v>29</v>
      </c>
      <c r="C398" s="1">
        <v>115</v>
      </c>
      <c r="D398" s="1">
        <v>27</v>
      </c>
      <c r="E398" s="1">
        <v>12</v>
      </c>
      <c r="F398" s="1">
        <v>4</v>
      </c>
      <c r="G398" s="1">
        <v>22.42</v>
      </c>
      <c r="H398" s="1" t="s">
        <v>229</v>
      </c>
      <c r="I398" s="1" t="s">
        <v>39</v>
      </c>
      <c r="J398" s="1">
        <v>141</v>
      </c>
      <c r="K398" s="1">
        <v>0.77</v>
      </c>
      <c r="L398" s="4">
        <v>44.8</v>
      </c>
      <c r="M398" s="1">
        <v>0.14000000000000001</v>
      </c>
      <c r="N398" s="1">
        <v>6</v>
      </c>
      <c r="O398" s="1">
        <v>0.74</v>
      </c>
      <c r="P398" s="1">
        <v>819</v>
      </c>
      <c r="Q398" s="1">
        <v>4.78</v>
      </c>
      <c r="R398" s="1">
        <v>0.77</v>
      </c>
      <c r="S398" s="2">
        <v>45506</v>
      </c>
      <c r="T398" s="1">
        <v>286.48</v>
      </c>
      <c r="U398" s="1">
        <v>0.63200000000000001</v>
      </c>
      <c r="V398" s="6">
        <f t="shared" si="18"/>
        <v>5152</v>
      </c>
      <c r="W398" s="6" t="str">
        <f t="shared" si="19"/>
        <v>Sufficient</v>
      </c>
      <c r="X398" s="8" t="str">
        <f t="shared" si="20"/>
        <v>Medium</v>
      </c>
    </row>
    <row r="399" spans="1:24">
      <c r="A399" s="7" t="s">
        <v>528</v>
      </c>
      <c r="B399" s="1" t="s">
        <v>29</v>
      </c>
      <c r="C399" s="1">
        <v>487</v>
      </c>
      <c r="D399" s="1">
        <v>73</v>
      </c>
      <c r="E399" s="1">
        <v>6</v>
      </c>
      <c r="F399" s="1">
        <v>8</v>
      </c>
      <c r="G399" s="1">
        <v>35.56</v>
      </c>
      <c r="H399" s="1" t="s">
        <v>346</v>
      </c>
      <c r="I399" s="1" t="s">
        <v>39</v>
      </c>
      <c r="J399" s="1">
        <v>111</v>
      </c>
      <c r="K399" s="1">
        <v>3.36</v>
      </c>
      <c r="L399" s="4">
        <v>37.799999999999997</v>
      </c>
      <c r="M399" s="1">
        <v>1.89</v>
      </c>
      <c r="N399" s="1">
        <v>0</v>
      </c>
      <c r="O399" s="1">
        <v>0.97</v>
      </c>
      <c r="P399" s="1">
        <v>862</v>
      </c>
      <c r="Q399" s="1">
        <v>10.55</v>
      </c>
      <c r="R399" s="1">
        <v>0.53</v>
      </c>
      <c r="S399" s="2">
        <v>45570</v>
      </c>
      <c r="T399" s="1">
        <v>279.68</v>
      </c>
      <c r="U399" s="1">
        <v>0.65200000000000002</v>
      </c>
      <c r="V399" s="6">
        <f t="shared" si="18"/>
        <v>18408.599999999999</v>
      </c>
      <c r="W399" s="6" t="str">
        <f t="shared" si="19"/>
        <v>Sufficient</v>
      </c>
      <c r="X399" s="8" t="str">
        <f t="shared" si="20"/>
        <v>High</v>
      </c>
    </row>
    <row r="400" spans="1:24">
      <c r="A400" s="7" t="s">
        <v>529</v>
      </c>
      <c r="B400" s="1" t="s">
        <v>33</v>
      </c>
      <c r="C400" s="1">
        <v>453</v>
      </c>
      <c r="D400" s="1">
        <v>97</v>
      </c>
      <c r="E400" s="1">
        <v>7</v>
      </c>
      <c r="F400" s="1">
        <v>3</v>
      </c>
      <c r="G400" s="1">
        <v>28.81</v>
      </c>
      <c r="H400" s="1" t="s">
        <v>176</v>
      </c>
      <c r="I400" s="1" t="s">
        <v>27</v>
      </c>
      <c r="J400" s="1">
        <v>172</v>
      </c>
      <c r="K400" s="1">
        <v>1.93</v>
      </c>
      <c r="L400" s="4">
        <v>74.37</v>
      </c>
      <c r="M400" s="1">
        <v>1.96</v>
      </c>
      <c r="N400" s="1">
        <v>0</v>
      </c>
      <c r="O400" s="1">
        <v>0.71</v>
      </c>
      <c r="P400" s="1">
        <v>680</v>
      </c>
      <c r="Q400" s="1">
        <v>2.0699999999999998</v>
      </c>
      <c r="R400" s="1">
        <v>0.95</v>
      </c>
      <c r="S400" s="2">
        <v>45310</v>
      </c>
      <c r="T400" s="1">
        <v>262.55</v>
      </c>
      <c r="U400" s="1">
        <v>0.56399999999999995</v>
      </c>
      <c r="V400" s="6">
        <f t="shared" si="18"/>
        <v>33689.61</v>
      </c>
      <c r="W400" s="6" t="str">
        <f t="shared" si="19"/>
        <v>Sufficient</v>
      </c>
      <c r="X400" s="8" t="str">
        <f t="shared" si="20"/>
        <v>High</v>
      </c>
    </row>
    <row r="401" spans="1:24">
      <c r="A401" s="7" t="s">
        <v>530</v>
      </c>
      <c r="B401" s="1" t="s">
        <v>25</v>
      </c>
      <c r="C401" s="1">
        <v>350</v>
      </c>
      <c r="D401" s="1">
        <v>44</v>
      </c>
      <c r="E401" s="1">
        <v>14</v>
      </c>
      <c r="F401" s="1">
        <v>8</v>
      </c>
      <c r="G401" s="1">
        <v>47.58</v>
      </c>
      <c r="H401" s="1" t="s">
        <v>183</v>
      </c>
      <c r="I401" s="1" t="s">
        <v>27</v>
      </c>
      <c r="J401" s="1">
        <v>109</v>
      </c>
      <c r="K401" s="1">
        <v>3.12</v>
      </c>
      <c r="L401" s="4">
        <v>17.91</v>
      </c>
      <c r="M401" s="1">
        <v>0.71</v>
      </c>
      <c r="N401" s="1">
        <v>6</v>
      </c>
      <c r="O401" s="1">
        <v>0.83</v>
      </c>
      <c r="P401" s="1">
        <v>498</v>
      </c>
      <c r="Q401" s="1">
        <v>7.36</v>
      </c>
      <c r="R401" s="1">
        <v>0.79</v>
      </c>
      <c r="S401" s="2">
        <v>45476</v>
      </c>
      <c r="T401" s="1">
        <v>132.57</v>
      </c>
      <c r="U401" s="1">
        <v>0.63100000000000001</v>
      </c>
      <c r="V401" s="6">
        <f t="shared" si="18"/>
        <v>6268.5</v>
      </c>
      <c r="W401" s="6" t="str">
        <f t="shared" si="19"/>
        <v>Sufficient</v>
      </c>
      <c r="X401" s="8" t="str">
        <f t="shared" si="20"/>
        <v>High</v>
      </c>
    </row>
    <row r="402" spans="1:24">
      <c r="A402" s="7" t="s">
        <v>531</v>
      </c>
      <c r="B402" s="1" t="s">
        <v>41</v>
      </c>
      <c r="C402" s="1">
        <v>162</v>
      </c>
      <c r="D402" s="1">
        <v>71</v>
      </c>
      <c r="E402" s="1">
        <v>6</v>
      </c>
      <c r="F402" s="1">
        <v>8</v>
      </c>
      <c r="G402" s="1">
        <v>30.29</v>
      </c>
      <c r="H402" s="1" t="s">
        <v>309</v>
      </c>
      <c r="I402" s="1" t="s">
        <v>39</v>
      </c>
      <c r="J402" s="1">
        <v>34</v>
      </c>
      <c r="K402" s="1">
        <v>2.68</v>
      </c>
      <c r="L402" s="4">
        <v>92.96</v>
      </c>
      <c r="M402" s="1">
        <v>1.56</v>
      </c>
      <c r="N402" s="1">
        <v>5</v>
      </c>
      <c r="O402" s="1">
        <v>0.99</v>
      </c>
      <c r="P402" s="1">
        <v>471</v>
      </c>
      <c r="Q402" s="1">
        <v>5.66</v>
      </c>
      <c r="R402" s="1">
        <v>0.6</v>
      </c>
      <c r="S402" s="2">
        <v>45651</v>
      </c>
      <c r="T402" s="1">
        <v>254.23</v>
      </c>
      <c r="U402" s="1">
        <v>0.53700000000000003</v>
      </c>
      <c r="V402" s="6">
        <f t="shared" si="18"/>
        <v>15059.519999999999</v>
      </c>
      <c r="W402" s="6" t="str">
        <f t="shared" si="19"/>
        <v>Sufficient</v>
      </c>
      <c r="X402" s="8" t="str">
        <f t="shared" si="20"/>
        <v>Medium</v>
      </c>
    </row>
    <row r="403" spans="1:24">
      <c r="A403" s="7" t="s">
        <v>532</v>
      </c>
      <c r="B403" s="1" t="s">
        <v>33</v>
      </c>
      <c r="C403" s="1">
        <v>307</v>
      </c>
      <c r="D403" s="1">
        <v>10</v>
      </c>
      <c r="E403" s="1">
        <v>8</v>
      </c>
      <c r="F403" s="1">
        <v>8</v>
      </c>
      <c r="G403" s="1">
        <v>1.73</v>
      </c>
      <c r="H403" s="1" t="s">
        <v>128</v>
      </c>
      <c r="I403" s="1" t="s">
        <v>39</v>
      </c>
      <c r="J403" s="1">
        <v>157</v>
      </c>
      <c r="K403" s="1">
        <v>2</v>
      </c>
      <c r="L403" s="4">
        <v>124.3</v>
      </c>
      <c r="M403" s="1">
        <v>0.34</v>
      </c>
      <c r="N403" s="1">
        <v>6</v>
      </c>
      <c r="O403" s="1">
        <v>0.9</v>
      </c>
      <c r="P403" s="1">
        <v>695</v>
      </c>
      <c r="Q403" s="1">
        <v>12.73</v>
      </c>
      <c r="R403" s="1">
        <v>0.85</v>
      </c>
      <c r="S403" s="2">
        <v>45566</v>
      </c>
      <c r="T403" s="1">
        <v>192.14</v>
      </c>
      <c r="U403" s="1">
        <v>0.76600000000000001</v>
      </c>
      <c r="V403" s="6">
        <f t="shared" si="18"/>
        <v>38160.1</v>
      </c>
      <c r="W403" s="6" t="str">
        <f t="shared" si="19"/>
        <v>Sufficient</v>
      </c>
      <c r="X403" s="8" t="str">
        <f t="shared" si="20"/>
        <v>High</v>
      </c>
    </row>
    <row r="404" spans="1:24">
      <c r="A404" s="7" t="s">
        <v>533</v>
      </c>
      <c r="B404" s="1" t="s">
        <v>29</v>
      </c>
      <c r="C404" s="1">
        <v>47</v>
      </c>
      <c r="D404" s="1">
        <v>34</v>
      </c>
      <c r="E404" s="1">
        <v>14</v>
      </c>
      <c r="F404" s="1">
        <v>6</v>
      </c>
      <c r="G404" s="1">
        <v>18.29</v>
      </c>
      <c r="H404" s="1" t="s">
        <v>214</v>
      </c>
      <c r="I404" s="1" t="s">
        <v>39</v>
      </c>
      <c r="J404" s="1">
        <v>10</v>
      </c>
      <c r="K404" s="1">
        <v>0.93</v>
      </c>
      <c r="L404" s="4">
        <v>188.91</v>
      </c>
      <c r="M404" s="1">
        <v>1.57</v>
      </c>
      <c r="N404" s="1">
        <v>7</v>
      </c>
      <c r="O404" s="1">
        <v>0.81</v>
      </c>
      <c r="P404" s="1">
        <v>993</v>
      </c>
      <c r="Q404" s="1">
        <v>1.69</v>
      </c>
      <c r="R404" s="1">
        <v>1</v>
      </c>
      <c r="S404" s="2">
        <v>45596</v>
      </c>
      <c r="T404" s="1">
        <v>69.56</v>
      </c>
      <c r="U404" s="1">
        <v>0.48799999999999999</v>
      </c>
      <c r="V404" s="6">
        <f t="shared" si="18"/>
        <v>8878.77</v>
      </c>
      <c r="W404" s="6" t="str">
        <f t="shared" si="19"/>
        <v>Sufficient</v>
      </c>
      <c r="X404" s="8" t="str">
        <f t="shared" si="20"/>
        <v>LOW</v>
      </c>
    </row>
    <row r="405" spans="1:24">
      <c r="A405" s="7" t="s">
        <v>534</v>
      </c>
      <c r="B405" s="1" t="s">
        <v>66</v>
      </c>
      <c r="C405" s="1">
        <v>297</v>
      </c>
      <c r="D405" s="1">
        <v>54</v>
      </c>
      <c r="E405" s="1">
        <v>5</v>
      </c>
      <c r="F405" s="1">
        <v>7</v>
      </c>
      <c r="G405" s="1">
        <v>8.01</v>
      </c>
      <c r="H405" s="1" t="s">
        <v>256</v>
      </c>
      <c r="I405" s="1" t="s">
        <v>39</v>
      </c>
      <c r="J405" s="1">
        <v>103</v>
      </c>
      <c r="K405" s="1">
        <v>3.02</v>
      </c>
      <c r="L405" s="4">
        <v>128.91</v>
      </c>
      <c r="M405" s="1">
        <v>1.01</v>
      </c>
      <c r="N405" s="1">
        <v>7</v>
      </c>
      <c r="O405" s="1">
        <v>0.74</v>
      </c>
      <c r="P405" s="1">
        <v>989</v>
      </c>
      <c r="Q405" s="1">
        <v>13.09</v>
      </c>
      <c r="R405" s="1">
        <v>0.56000000000000005</v>
      </c>
      <c r="S405" s="2">
        <v>45618</v>
      </c>
      <c r="T405" s="1">
        <v>234.72</v>
      </c>
      <c r="U405" s="1">
        <v>0.59399999999999997</v>
      </c>
      <c r="V405" s="6">
        <f t="shared" si="18"/>
        <v>38286.269999999997</v>
      </c>
      <c r="W405" s="6" t="str">
        <f t="shared" si="19"/>
        <v>Sufficient</v>
      </c>
      <c r="X405" s="8" t="str">
        <f t="shared" si="20"/>
        <v>High</v>
      </c>
    </row>
    <row r="406" spans="1:24">
      <c r="A406" s="7" t="s">
        <v>535</v>
      </c>
      <c r="B406" s="1" t="s">
        <v>29</v>
      </c>
      <c r="C406" s="1">
        <v>252</v>
      </c>
      <c r="D406" s="1">
        <v>58</v>
      </c>
      <c r="E406" s="1">
        <v>10</v>
      </c>
      <c r="F406" s="1">
        <v>2</v>
      </c>
      <c r="G406" s="1">
        <v>46.31</v>
      </c>
      <c r="H406" s="1" t="s">
        <v>185</v>
      </c>
      <c r="I406" s="1" t="s">
        <v>27</v>
      </c>
      <c r="J406" s="1">
        <v>77</v>
      </c>
      <c r="K406" s="1">
        <v>1.01</v>
      </c>
      <c r="L406" s="4">
        <v>128.57</v>
      </c>
      <c r="M406" s="1">
        <v>1.73</v>
      </c>
      <c r="N406" s="1">
        <v>8</v>
      </c>
      <c r="O406" s="1">
        <v>0.99</v>
      </c>
      <c r="P406" s="1">
        <v>256</v>
      </c>
      <c r="Q406" s="1">
        <v>10.85</v>
      </c>
      <c r="R406" s="1">
        <v>0.5</v>
      </c>
      <c r="S406" s="2">
        <v>45335</v>
      </c>
      <c r="T406" s="1">
        <v>127.77</v>
      </c>
      <c r="U406" s="1">
        <v>0.51</v>
      </c>
      <c r="V406" s="6">
        <f t="shared" si="18"/>
        <v>32399.64</v>
      </c>
      <c r="W406" s="6" t="str">
        <f t="shared" si="19"/>
        <v>Sufficient</v>
      </c>
      <c r="X406" s="8" t="str">
        <f t="shared" si="20"/>
        <v>High</v>
      </c>
    </row>
    <row r="407" spans="1:24">
      <c r="A407" s="7" t="s">
        <v>536</v>
      </c>
      <c r="B407" s="1" t="s">
        <v>25</v>
      </c>
      <c r="C407" s="1">
        <v>36</v>
      </c>
      <c r="D407" s="1">
        <v>98</v>
      </c>
      <c r="E407" s="1">
        <v>8</v>
      </c>
      <c r="F407" s="1">
        <v>6</v>
      </c>
      <c r="G407" s="1">
        <v>6.1</v>
      </c>
      <c r="H407" s="1" t="s">
        <v>279</v>
      </c>
      <c r="I407" s="1" t="s">
        <v>27</v>
      </c>
      <c r="J407" s="1">
        <v>32</v>
      </c>
      <c r="K407" s="1">
        <v>1.2</v>
      </c>
      <c r="L407" s="4">
        <v>81.14</v>
      </c>
      <c r="M407" s="1">
        <v>0.5</v>
      </c>
      <c r="N407" s="1">
        <v>8</v>
      </c>
      <c r="O407" s="1">
        <v>0.7</v>
      </c>
      <c r="P407" s="1">
        <v>824</v>
      </c>
      <c r="Q407" s="1">
        <v>5.16</v>
      </c>
      <c r="R407" s="1">
        <v>0.69</v>
      </c>
      <c r="S407" s="2">
        <v>45347</v>
      </c>
      <c r="T407" s="1">
        <v>94.73</v>
      </c>
      <c r="U407" s="1">
        <v>0.53700000000000003</v>
      </c>
      <c r="V407" s="6">
        <f t="shared" si="18"/>
        <v>2921.04</v>
      </c>
      <c r="W407" s="6" t="str">
        <f t="shared" si="19"/>
        <v>Reorder Required</v>
      </c>
      <c r="X407" s="8" t="str">
        <f t="shared" si="20"/>
        <v>LOW</v>
      </c>
    </row>
    <row r="408" spans="1:24">
      <c r="A408" s="7" t="s">
        <v>537</v>
      </c>
      <c r="B408" s="1" t="s">
        <v>29</v>
      </c>
      <c r="C408" s="1">
        <v>78</v>
      </c>
      <c r="D408" s="1">
        <v>25</v>
      </c>
      <c r="E408" s="1">
        <v>12</v>
      </c>
      <c r="F408" s="1">
        <v>3</v>
      </c>
      <c r="G408" s="1">
        <v>20</v>
      </c>
      <c r="H408" s="1" t="s">
        <v>128</v>
      </c>
      <c r="I408" s="1" t="s">
        <v>45</v>
      </c>
      <c r="J408" s="1">
        <v>115</v>
      </c>
      <c r="K408" s="1">
        <v>4.92</v>
      </c>
      <c r="L408" s="4">
        <v>35.33</v>
      </c>
      <c r="M408" s="1">
        <v>1.38</v>
      </c>
      <c r="N408" s="1">
        <v>6</v>
      </c>
      <c r="O408" s="1">
        <v>0.9</v>
      </c>
      <c r="P408" s="1">
        <v>883</v>
      </c>
      <c r="Q408" s="1">
        <v>3.77</v>
      </c>
      <c r="R408" s="1">
        <v>0.75</v>
      </c>
      <c r="S408" s="2">
        <v>45419</v>
      </c>
      <c r="T408" s="1">
        <v>264.7</v>
      </c>
      <c r="U408" s="1">
        <v>0.52200000000000002</v>
      </c>
      <c r="V408" s="6">
        <f t="shared" si="18"/>
        <v>2755.74</v>
      </c>
      <c r="W408" s="6" t="str">
        <f t="shared" si="19"/>
        <v>Sufficient</v>
      </c>
      <c r="X408" s="8" t="str">
        <f t="shared" si="20"/>
        <v>LOW</v>
      </c>
    </row>
    <row r="409" spans="1:24">
      <c r="A409" s="7" t="s">
        <v>538</v>
      </c>
      <c r="B409" s="1" t="s">
        <v>66</v>
      </c>
      <c r="C409" s="1">
        <v>109</v>
      </c>
      <c r="D409" s="1">
        <v>28</v>
      </c>
      <c r="E409" s="1">
        <v>7</v>
      </c>
      <c r="F409" s="1">
        <v>2</v>
      </c>
      <c r="G409" s="1">
        <v>12.08</v>
      </c>
      <c r="H409" s="1" t="s">
        <v>143</v>
      </c>
      <c r="I409" s="1" t="s">
        <v>45</v>
      </c>
      <c r="J409" s="1">
        <v>159</v>
      </c>
      <c r="K409" s="1">
        <v>1.93</v>
      </c>
      <c r="L409" s="4">
        <v>94.92</v>
      </c>
      <c r="M409" s="1">
        <v>1.59</v>
      </c>
      <c r="N409" s="1">
        <v>8</v>
      </c>
      <c r="O409" s="1">
        <v>0.96</v>
      </c>
      <c r="P409" s="1">
        <v>751</v>
      </c>
      <c r="Q409" s="1">
        <v>14.3</v>
      </c>
      <c r="R409" s="1">
        <v>0.76</v>
      </c>
      <c r="S409" s="2">
        <v>45628</v>
      </c>
      <c r="T409" s="1">
        <v>260.06</v>
      </c>
      <c r="U409" s="1">
        <v>0.61599999999999999</v>
      </c>
      <c r="V409" s="6">
        <f t="shared" si="18"/>
        <v>10346.280000000001</v>
      </c>
      <c r="W409" s="6" t="str">
        <f t="shared" si="19"/>
        <v>Sufficient</v>
      </c>
      <c r="X409" s="8" t="str">
        <f t="shared" si="20"/>
        <v>Medium</v>
      </c>
    </row>
    <row r="410" spans="1:24">
      <c r="A410" s="7" t="s">
        <v>539</v>
      </c>
      <c r="B410" s="1" t="s">
        <v>25</v>
      </c>
      <c r="C410" s="1">
        <v>218</v>
      </c>
      <c r="D410" s="1">
        <v>32</v>
      </c>
      <c r="E410" s="1">
        <v>4</v>
      </c>
      <c r="F410" s="1">
        <v>2</v>
      </c>
      <c r="G410" s="1">
        <v>42.49</v>
      </c>
      <c r="H410" s="1" t="s">
        <v>221</v>
      </c>
      <c r="I410" s="1" t="s">
        <v>45</v>
      </c>
      <c r="J410" s="1">
        <v>104</v>
      </c>
      <c r="K410" s="1">
        <v>3.13</v>
      </c>
      <c r="L410" s="4">
        <v>123.75</v>
      </c>
      <c r="M410" s="1">
        <v>0.48</v>
      </c>
      <c r="N410" s="1">
        <v>5</v>
      </c>
      <c r="O410" s="1">
        <v>0.71</v>
      </c>
      <c r="P410" s="1">
        <v>719</v>
      </c>
      <c r="Q410" s="1">
        <v>8.75</v>
      </c>
      <c r="R410" s="1">
        <v>0.57999999999999996</v>
      </c>
      <c r="S410" s="2">
        <v>45632</v>
      </c>
      <c r="T410" s="1">
        <v>260.67</v>
      </c>
      <c r="U410" s="1">
        <v>0.627</v>
      </c>
      <c r="V410" s="6">
        <f t="shared" si="18"/>
        <v>26977.5</v>
      </c>
      <c r="W410" s="6" t="str">
        <f t="shared" si="19"/>
        <v>Sufficient</v>
      </c>
      <c r="X410" s="8" t="str">
        <f t="shared" si="20"/>
        <v>Medium</v>
      </c>
    </row>
    <row r="411" spans="1:24">
      <c r="A411" s="7" t="s">
        <v>540</v>
      </c>
      <c r="B411" s="1" t="s">
        <v>29</v>
      </c>
      <c r="C411" s="1">
        <v>381</v>
      </c>
      <c r="D411" s="1">
        <v>92</v>
      </c>
      <c r="E411" s="1">
        <v>12</v>
      </c>
      <c r="F411" s="1">
        <v>2</v>
      </c>
      <c r="G411" s="1">
        <v>16.12</v>
      </c>
      <c r="H411" s="1" t="s">
        <v>115</v>
      </c>
      <c r="I411" s="1" t="s">
        <v>27</v>
      </c>
      <c r="J411" s="1">
        <v>71</v>
      </c>
      <c r="K411" s="1">
        <v>1.73</v>
      </c>
      <c r="L411" s="4">
        <v>147.57</v>
      </c>
      <c r="M411" s="1">
        <v>1.65</v>
      </c>
      <c r="N411" s="1">
        <v>8</v>
      </c>
      <c r="O411" s="1">
        <v>0.92</v>
      </c>
      <c r="P411" s="1">
        <v>526</v>
      </c>
      <c r="Q411" s="1">
        <v>5.83</v>
      </c>
      <c r="R411" s="1">
        <v>0.47</v>
      </c>
      <c r="S411" s="2">
        <v>45473</v>
      </c>
      <c r="T411" s="1">
        <v>259.26</v>
      </c>
      <c r="U411" s="1">
        <v>0.43099999999999999</v>
      </c>
      <c r="V411" s="6">
        <f t="shared" si="18"/>
        <v>56224.17</v>
      </c>
      <c r="W411" s="6" t="str">
        <f t="shared" si="19"/>
        <v>Sufficient</v>
      </c>
      <c r="X411" s="8" t="str">
        <f t="shared" si="20"/>
        <v>High</v>
      </c>
    </row>
    <row r="412" spans="1:24">
      <c r="A412" s="7" t="s">
        <v>541</v>
      </c>
      <c r="B412" s="1" t="s">
        <v>25</v>
      </c>
      <c r="C412" s="1">
        <v>460</v>
      </c>
      <c r="D412" s="1">
        <v>34</v>
      </c>
      <c r="E412" s="1">
        <v>12</v>
      </c>
      <c r="F412" s="1">
        <v>7</v>
      </c>
      <c r="G412" s="1">
        <v>49.6</v>
      </c>
      <c r="H412" s="1" t="s">
        <v>185</v>
      </c>
      <c r="I412" s="1" t="s">
        <v>31</v>
      </c>
      <c r="J412" s="1">
        <v>138</v>
      </c>
      <c r="K412" s="1">
        <v>4.3899999999999997</v>
      </c>
      <c r="L412" s="4">
        <v>166.96</v>
      </c>
      <c r="M412" s="1">
        <v>1.92</v>
      </c>
      <c r="N412" s="1">
        <v>1</v>
      </c>
      <c r="O412" s="1">
        <v>1</v>
      </c>
      <c r="P412" s="1">
        <v>637</v>
      </c>
      <c r="Q412" s="1">
        <v>1.62</v>
      </c>
      <c r="R412" s="1">
        <v>0.86</v>
      </c>
      <c r="S412" s="2">
        <v>45377</v>
      </c>
      <c r="T412" s="1">
        <v>170.73</v>
      </c>
      <c r="U412" s="1">
        <v>0.58199999999999996</v>
      </c>
      <c r="V412" s="6">
        <f t="shared" si="18"/>
        <v>76801.600000000006</v>
      </c>
      <c r="W412" s="6" t="str">
        <f t="shared" si="19"/>
        <v>Sufficient</v>
      </c>
      <c r="X412" s="8" t="str">
        <f t="shared" si="20"/>
        <v>High</v>
      </c>
    </row>
    <row r="413" spans="1:24">
      <c r="A413" s="7" t="s">
        <v>542</v>
      </c>
      <c r="B413" s="1" t="s">
        <v>41</v>
      </c>
      <c r="C413" s="1">
        <v>45</v>
      </c>
      <c r="D413" s="1">
        <v>25</v>
      </c>
      <c r="E413" s="1">
        <v>9</v>
      </c>
      <c r="F413" s="1">
        <v>8</v>
      </c>
      <c r="G413" s="1">
        <v>2.89</v>
      </c>
      <c r="H413" s="1" t="s">
        <v>130</v>
      </c>
      <c r="I413" s="1" t="s">
        <v>45</v>
      </c>
      <c r="J413" s="1">
        <v>77</v>
      </c>
      <c r="K413" s="1">
        <v>1.78</v>
      </c>
      <c r="L413" s="4">
        <v>58.63</v>
      </c>
      <c r="M413" s="1">
        <v>1.27</v>
      </c>
      <c r="N413" s="1">
        <v>1</v>
      </c>
      <c r="O413" s="1">
        <v>0.89</v>
      </c>
      <c r="P413" s="1">
        <v>613</v>
      </c>
      <c r="Q413" s="1">
        <v>3.32</v>
      </c>
      <c r="R413" s="1">
        <v>0.97</v>
      </c>
      <c r="S413" s="2">
        <v>45623</v>
      </c>
      <c r="T413" s="1">
        <v>188.91</v>
      </c>
      <c r="U413" s="1">
        <v>0.66900000000000004</v>
      </c>
      <c r="V413" s="6">
        <f t="shared" si="18"/>
        <v>2638.35</v>
      </c>
      <c r="W413" s="6" t="str">
        <f t="shared" si="19"/>
        <v>Sufficient</v>
      </c>
      <c r="X413" s="8" t="str">
        <f t="shared" si="20"/>
        <v>LOW</v>
      </c>
    </row>
    <row r="414" spans="1:24">
      <c r="A414" s="7" t="s">
        <v>543</v>
      </c>
      <c r="B414" s="1" t="s">
        <v>41</v>
      </c>
      <c r="C414" s="1">
        <v>44</v>
      </c>
      <c r="D414" s="1">
        <v>63</v>
      </c>
      <c r="E414" s="1">
        <v>4</v>
      </c>
      <c r="F414" s="1">
        <v>9</v>
      </c>
      <c r="G414" s="1">
        <v>7.29</v>
      </c>
      <c r="H414" s="1" t="s">
        <v>68</v>
      </c>
      <c r="I414" s="1" t="s">
        <v>31</v>
      </c>
      <c r="J414" s="1">
        <v>156</v>
      </c>
      <c r="K414" s="1">
        <v>2.15</v>
      </c>
      <c r="L414" s="4">
        <v>55.83</v>
      </c>
      <c r="M414" s="1">
        <v>1.59</v>
      </c>
      <c r="N414" s="1">
        <v>5</v>
      </c>
      <c r="O414" s="1">
        <v>0.82</v>
      </c>
      <c r="P414" s="1">
        <v>275</v>
      </c>
      <c r="Q414" s="1">
        <v>9.3699999999999992</v>
      </c>
      <c r="R414" s="1">
        <v>0.89</v>
      </c>
      <c r="S414" s="2">
        <v>45605</v>
      </c>
      <c r="T414" s="1">
        <v>285.17</v>
      </c>
      <c r="U414" s="1">
        <v>0.60799999999999998</v>
      </c>
      <c r="V414" s="6">
        <f t="shared" si="18"/>
        <v>2456.52</v>
      </c>
      <c r="W414" s="6" t="str">
        <f t="shared" si="19"/>
        <v>Reorder Required</v>
      </c>
      <c r="X414" s="8" t="str">
        <f t="shared" si="20"/>
        <v>LOW</v>
      </c>
    </row>
    <row r="415" spans="1:24">
      <c r="A415" s="7" t="s">
        <v>544</v>
      </c>
      <c r="B415" s="1" t="s">
        <v>29</v>
      </c>
      <c r="C415" s="1">
        <v>413</v>
      </c>
      <c r="D415" s="1">
        <v>82</v>
      </c>
      <c r="E415" s="1">
        <v>3</v>
      </c>
      <c r="F415" s="1">
        <v>5</v>
      </c>
      <c r="G415" s="1">
        <v>12.01</v>
      </c>
      <c r="H415" s="1" t="s">
        <v>72</v>
      </c>
      <c r="I415" s="1" t="s">
        <v>31</v>
      </c>
      <c r="J415" s="1">
        <v>39</v>
      </c>
      <c r="K415" s="1">
        <v>3.24</v>
      </c>
      <c r="L415" s="4">
        <v>117.41</v>
      </c>
      <c r="M415" s="1">
        <v>1.1100000000000001</v>
      </c>
      <c r="N415" s="1">
        <v>2</v>
      </c>
      <c r="O415" s="1">
        <v>0.96</v>
      </c>
      <c r="P415" s="1">
        <v>655</v>
      </c>
      <c r="Q415" s="1">
        <v>8.18</v>
      </c>
      <c r="R415" s="1">
        <v>0.75</v>
      </c>
      <c r="S415" s="2">
        <v>45314</v>
      </c>
      <c r="T415" s="1">
        <v>47.51</v>
      </c>
      <c r="U415" s="1">
        <v>0.7</v>
      </c>
      <c r="V415" s="6">
        <f t="shared" si="18"/>
        <v>48490.33</v>
      </c>
      <c r="W415" s="6" t="str">
        <f t="shared" si="19"/>
        <v>Sufficient</v>
      </c>
      <c r="X415" s="8" t="str">
        <f t="shared" si="20"/>
        <v>High</v>
      </c>
    </row>
    <row r="416" spans="1:24">
      <c r="A416" s="7" t="s">
        <v>545</v>
      </c>
      <c r="B416" s="1" t="s">
        <v>25</v>
      </c>
      <c r="C416" s="1">
        <v>320</v>
      </c>
      <c r="D416" s="1">
        <v>10</v>
      </c>
      <c r="E416" s="1">
        <v>9</v>
      </c>
      <c r="F416" s="1">
        <v>3</v>
      </c>
      <c r="G416" s="1">
        <v>40.74</v>
      </c>
      <c r="H416" s="1" t="s">
        <v>122</v>
      </c>
      <c r="I416" s="1" t="s">
        <v>31</v>
      </c>
      <c r="J416" s="1">
        <v>138</v>
      </c>
      <c r="K416" s="1">
        <v>4.41</v>
      </c>
      <c r="L416" s="4">
        <v>117.54</v>
      </c>
      <c r="M416" s="1">
        <v>1.24</v>
      </c>
      <c r="N416" s="1">
        <v>1</v>
      </c>
      <c r="O416" s="1">
        <v>0.87</v>
      </c>
      <c r="P416" s="1">
        <v>853</v>
      </c>
      <c r="Q416" s="1">
        <v>11.61</v>
      </c>
      <c r="R416" s="1">
        <v>0.49</v>
      </c>
      <c r="S416" s="2">
        <v>45580</v>
      </c>
      <c r="T416" s="1">
        <v>243.82</v>
      </c>
      <c r="U416" s="1">
        <v>0.68300000000000005</v>
      </c>
      <c r="V416" s="6">
        <f t="shared" si="18"/>
        <v>37612.800000000003</v>
      </c>
      <c r="W416" s="6" t="str">
        <f t="shared" si="19"/>
        <v>Sufficient</v>
      </c>
      <c r="X416" s="8" t="str">
        <f t="shared" si="20"/>
        <v>High</v>
      </c>
    </row>
    <row r="417" spans="1:24">
      <c r="A417" s="7" t="s">
        <v>546</v>
      </c>
      <c r="B417" s="1" t="s">
        <v>66</v>
      </c>
      <c r="C417" s="1">
        <v>358</v>
      </c>
      <c r="D417" s="1">
        <v>51</v>
      </c>
      <c r="E417" s="1">
        <v>7</v>
      </c>
      <c r="F417" s="1">
        <v>9</v>
      </c>
      <c r="G417" s="1">
        <v>44.05</v>
      </c>
      <c r="H417" s="1" t="s">
        <v>346</v>
      </c>
      <c r="I417" s="1" t="s">
        <v>39</v>
      </c>
      <c r="J417" s="1">
        <v>57</v>
      </c>
      <c r="K417" s="1">
        <v>4.17</v>
      </c>
      <c r="L417" s="4">
        <v>51.41</v>
      </c>
      <c r="M417" s="1">
        <v>0.13</v>
      </c>
      <c r="N417" s="1">
        <v>7</v>
      </c>
      <c r="O417" s="1">
        <v>0.92</v>
      </c>
      <c r="P417" s="1">
        <v>852</v>
      </c>
      <c r="Q417" s="1">
        <v>12.69</v>
      </c>
      <c r="R417" s="1">
        <v>0.7</v>
      </c>
      <c r="S417" s="2">
        <v>45622</v>
      </c>
      <c r="T417" s="1">
        <v>162.62</v>
      </c>
      <c r="U417" s="1">
        <v>0.74</v>
      </c>
      <c r="V417" s="6">
        <f t="shared" si="18"/>
        <v>18404.78</v>
      </c>
      <c r="W417" s="6" t="str">
        <f t="shared" si="19"/>
        <v>Sufficient</v>
      </c>
      <c r="X417" s="8" t="str">
        <f t="shared" si="20"/>
        <v>High</v>
      </c>
    </row>
    <row r="418" spans="1:24">
      <c r="A418" s="7" t="s">
        <v>547</v>
      </c>
      <c r="B418" s="1" t="s">
        <v>29</v>
      </c>
      <c r="C418" s="1">
        <v>286</v>
      </c>
      <c r="D418" s="1">
        <v>28</v>
      </c>
      <c r="E418" s="1">
        <v>3</v>
      </c>
      <c r="F418" s="1">
        <v>7</v>
      </c>
      <c r="G418" s="1">
        <v>4.5</v>
      </c>
      <c r="H418" s="1" t="s">
        <v>119</v>
      </c>
      <c r="I418" s="1" t="s">
        <v>27</v>
      </c>
      <c r="J418" s="1">
        <v>28</v>
      </c>
      <c r="K418" s="1">
        <v>1.69</v>
      </c>
      <c r="L418" s="4">
        <v>121.62</v>
      </c>
      <c r="M418" s="1">
        <v>1.1000000000000001</v>
      </c>
      <c r="N418" s="1">
        <v>6</v>
      </c>
      <c r="O418" s="1">
        <v>0.88</v>
      </c>
      <c r="P418" s="1">
        <v>883</v>
      </c>
      <c r="Q418" s="1">
        <v>6.56</v>
      </c>
      <c r="R418" s="1">
        <v>0.28000000000000003</v>
      </c>
      <c r="S418" s="2">
        <v>45638</v>
      </c>
      <c r="T418" s="1">
        <v>293.74</v>
      </c>
      <c r="U418" s="1">
        <v>0.48899999999999999</v>
      </c>
      <c r="V418" s="6">
        <f t="shared" si="18"/>
        <v>34783.32</v>
      </c>
      <c r="W418" s="6" t="str">
        <f t="shared" si="19"/>
        <v>Sufficient</v>
      </c>
      <c r="X418" s="8" t="str">
        <f t="shared" si="20"/>
        <v>High</v>
      </c>
    </row>
    <row r="419" spans="1:24">
      <c r="A419" s="7" t="s">
        <v>548</v>
      </c>
      <c r="B419" s="1" t="s">
        <v>41</v>
      </c>
      <c r="C419" s="1">
        <v>480</v>
      </c>
      <c r="D419" s="1">
        <v>43</v>
      </c>
      <c r="E419" s="1">
        <v>6</v>
      </c>
      <c r="F419" s="1">
        <v>7</v>
      </c>
      <c r="G419" s="1">
        <v>2.59</v>
      </c>
      <c r="H419" s="1" t="s">
        <v>153</v>
      </c>
      <c r="I419" s="1" t="s">
        <v>27</v>
      </c>
      <c r="J419" s="1">
        <v>136</v>
      </c>
      <c r="K419" s="1">
        <v>4.2300000000000004</v>
      </c>
      <c r="L419" s="4">
        <v>75.72</v>
      </c>
      <c r="M419" s="1">
        <v>1.19</v>
      </c>
      <c r="N419" s="1">
        <v>7</v>
      </c>
      <c r="O419" s="1">
        <v>0.71</v>
      </c>
      <c r="P419" s="1">
        <v>739</v>
      </c>
      <c r="Q419" s="1">
        <v>2.41</v>
      </c>
      <c r="R419" s="1">
        <v>0.63</v>
      </c>
      <c r="S419" s="2">
        <v>45623</v>
      </c>
      <c r="T419" s="1">
        <v>195.37</v>
      </c>
      <c r="U419" s="1">
        <v>0.441</v>
      </c>
      <c r="V419" s="6">
        <f t="shared" si="18"/>
        <v>36345.599999999999</v>
      </c>
      <c r="W419" s="6" t="str">
        <f t="shared" si="19"/>
        <v>Sufficient</v>
      </c>
      <c r="X419" s="8" t="str">
        <f t="shared" si="20"/>
        <v>High</v>
      </c>
    </row>
    <row r="420" spans="1:24">
      <c r="A420" s="7" t="s">
        <v>549</v>
      </c>
      <c r="B420" s="1" t="s">
        <v>41</v>
      </c>
      <c r="C420" s="1">
        <v>200</v>
      </c>
      <c r="D420" s="1">
        <v>89</v>
      </c>
      <c r="E420" s="1">
        <v>14</v>
      </c>
      <c r="F420" s="1">
        <v>5</v>
      </c>
      <c r="G420" s="1">
        <v>37.479999999999997</v>
      </c>
      <c r="H420" s="1" t="s">
        <v>42</v>
      </c>
      <c r="I420" s="1" t="s">
        <v>45</v>
      </c>
      <c r="J420" s="1">
        <v>159</v>
      </c>
      <c r="K420" s="1">
        <v>3.66</v>
      </c>
      <c r="L420" s="4">
        <v>131.47</v>
      </c>
      <c r="M420" s="1">
        <v>1.37</v>
      </c>
      <c r="N420" s="1">
        <v>5</v>
      </c>
      <c r="O420" s="1">
        <v>0.76</v>
      </c>
      <c r="P420" s="1">
        <v>436</v>
      </c>
      <c r="Q420" s="1">
        <v>12.08</v>
      </c>
      <c r="R420" s="1">
        <v>0.82</v>
      </c>
      <c r="S420" s="2">
        <v>45496</v>
      </c>
      <c r="T420" s="1">
        <v>57.14</v>
      </c>
      <c r="U420" s="1">
        <v>0.64</v>
      </c>
      <c r="V420" s="6">
        <f t="shared" si="18"/>
        <v>26294</v>
      </c>
      <c r="W420" s="6" t="str">
        <f t="shared" si="19"/>
        <v>Sufficient</v>
      </c>
      <c r="X420" s="8" t="str">
        <f t="shared" si="20"/>
        <v>Medium</v>
      </c>
    </row>
    <row r="421" spans="1:24">
      <c r="A421" s="7" t="s">
        <v>550</v>
      </c>
      <c r="B421" s="1" t="s">
        <v>29</v>
      </c>
      <c r="C421" s="1">
        <v>475</v>
      </c>
      <c r="D421" s="1">
        <v>64</v>
      </c>
      <c r="E421" s="1">
        <v>6</v>
      </c>
      <c r="F421" s="1">
        <v>2</v>
      </c>
      <c r="G421" s="1">
        <v>7.53</v>
      </c>
      <c r="H421" s="1" t="s">
        <v>171</v>
      </c>
      <c r="I421" s="1" t="s">
        <v>45</v>
      </c>
      <c r="J421" s="1">
        <v>59</v>
      </c>
      <c r="K421" s="1">
        <v>4.95</v>
      </c>
      <c r="L421" s="4">
        <v>65.3</v>
      </c>
      <c r="M421" s="1">
        <v>0.42</v>
      </c>
      <c r="N421" s="1">
        <v>8</v>
      </c>
      <c r="O421" s="1">
        <v>0.72</v>
      </c>
      <c r="P421" s="1">
        <v>155</v>
      </c>
      <c r="Q421" s="1">
        <v>8.75</v>
      </c>
      <c r="R421" s="1">
        <v>0.4</v>
      </c>
      <c r="S421" s="2">
        <v>45461</v>
      </c>
      <c r="T421" s="1">
        <v>246.49</v>
      </c>
      <c r="U421" s="1">
        <v>0.53900000000000003</v>
      </c>
      <c r="V421" s="6">
        <f t="shared" si="18"/>
        <v>31017.5</v>
      </c>
      <c r="W421" s="6" t="str">
        <f t="shared" si="19"/>
        <v>Sufficient</v>
      </c>
      <c r="X421" s="8" t="str">
        <f t="shared" si="20"/>
        <v>High</v>
      </c>
    </row>
    <row r="422" spans="1:24">
      <c r="A422" s="7" t="s">
        <v>551</v>
      </c>
      <c r="B422" s="1" t="s">
        <v>25</v>
      </c>
      <c r="C422" s="1">
        <v>379</v>
      </c>
      <c r="D422" s="1">
        <v>27</v>
      </c>
      <c r="E422" s="1">
        <v>12</v>
      </c>
      <c r="F422" s="1">
        <v>8</v>
      </c>
      <c r="G422" s="1">
        <v>7.52</v>
      </c>
      <c r="H422" s="1" t="s">
        <v>470</v>
      </c>
      <c r="I422" s="1" t="s">
        <v>27</v>
      </c>
      <c r="J422" s="1">
        <v>143</v>
      </c>
      <c r="K422" s="1">
        <v>4.71</v>
      </c>
      <c r="L422" s="4">
        <v>122.54</v>
      </c>
      <c r="M422" s="1">
        <v>0.56000000000000005</v>
      </c>
      <c r="N422" s="1">
        <v>8</v>
      </c>
      <c r="O422" s="1">
        <v>0.73</v>
      </c>
      <c r="P422" s="1">
        <v>125</v>
      </c>
      <c r="Q422" s="1">
        <v>14.72</v>
      </c>
      <c r="R422" s="1">
        <v>0.6</v>
      </c>
      <c r="S422" s="2">
        <v>45512</v>
      </c>
      <c r="T422" s="1">
        <v>205.07</v>
      </c>
      <c r="U422" s="1">
        <v>0.64600000000000002</v>
      </c>
      <c r="V422" s="6">
        <f t="shared" si="18"/>
        <v>46442.66</v>
      </c>
      <c r="W422" s="6" t="str">
        <f t="shared" si="19"/>
        <v>Sufficient</v>
      </c>
      <c r="X422" s="8" t="str">
        <f t="shared" si="20"/>
        <v>High</v>
      </c>
    </row>
    <row r="423" spans="1:24">
      <c r="A423" s="7" t="s">
        <v>552</v>
      </c>
      <c r="B423" s="1" t="s">
        <v>41</v>
      </c>
      <c r="C423" s="1">
        <v>87</v>
      </c>
      <c r="D423" s="1">
        <v>43</v>
      </c>
      <c r="E423" s="1">
        <v>9</v>
      </c>
      <c r="F423" s="1">
        <v>5</v>
      </c>
      <c r="G423" s="1">
        <v>2.1</v>
      </c>
      <c r="H423" s="1" t="s">
        <v>99</v>
      </c>
      <c r="I423" s="1" t="s">
        <v>39</v>
      </c>
      <c r="J423" s="1">
        <v>158</v>
      </c>
      <c r="K423" s="1">
        <v>2.9</v>
      </c>
      <c r="L423" s="4">
        <v>155.97999999999999</v>
      </c>
      <c r="M423" s="1">
        <v>1.54</v>
      </c>
      <c r="N423" s="1">
        <v>1</v>
      </c>
      <c r="O423" s="1">
        <v>0.7</v>
      </c>
      <c r="P423" s="1">
        <v>565</v>
      </c>
      <c r="Q423" s="1">
        <v>12.15</v>
      </c>
      <c r="R423" s="1">
        <v>0.26</v>
      </c>
      <c r="S423" s="2">
        <v>45346</v>
      </c>
      <c r="T423" s="1">
        <v>53.19</v>
      </c>
      <c r="U423" s="1">
        <v>0.57999999999999996</v>
      </c>
      <c r="V423" s="6">
        <f t="shared" si="18"/>
        <v>13570.259999999998</v>
      </c>
      <c r="W423" s="6" t="str">
        <f t="shared" si="19"/>
        <v>Sufficient</v>
      </c>
      <c r="X423" s="8" t="str">
        <f t="shared" si="20"/>
        <v>LOW</v>
      </c>
    </row>
    <row r="424" spans="1:24">
      <c r="A424" s="7" t="s">
        <v>553</v>
      </c>
      <c r="B424" s="1" t="s">
        <v>25</v>
      </c>
      <c r="C424" s="1">
        <v>370</v>
      </c>
      <c r="D424" s="1">
        <v>98</v>
      </c>
      <c r="E424" s="1">
        <v>11</v>
      </c>
      <c r="F424" s="1">
        <v>9</v>
      </c>
      <c r="G424" s="1">
        <v>3.44</v>
      </c>
      <c r="H424" s="1" t="s">
        <v>370</v>
      </c>
      <c r="I424" s="1" t="s">
        <v>27</v>
      </c>
      <c r="J424" s="1">
        <v>156</v>
      </c>
      <c r="K424" s="1">
        <v>3.87</v>
      </c>
      <c r="L424" s="4">
        <v>196.23</v>
      </c>
      <c r="M424" s="1">
        <v>0.42</v>
      </c>
      <c r="N424" s="1">
        <v>9</v>
      </c>
      <c r="O424" s="1">
        <v>0.83</v>
      </c>
      <c r="P424" s="1">
        <v>872</v>
      </c>
      <c r="Q424" s="1">
        <v>5.61</v>
      </c>
      <c r="R424" s="1">
        <v>0.87</v>
      </c>
      <c r="S424" s="2">
        <v>45297</v>
      </c>
      <c r="T424" s="1">
        <v>12.61</v>
      </c>
      <c r="U424" s="1">
        <v>0.59299999999999997</v>
      </c>
      <c r="V424" s="6">
        <f t="shared" si="18"/>
        <v>72605.099999999991</v>
      </c>
      <c r="W424" s="6" t="str">
        <f t="shared" si="19"/>
        <v>Sufficient</v>
      </c>
      <c r="X424" s="8" t="str">
        <f t="shared" si="20"/>
        <v>High</v>
      </c>
    </row>
    <row r="425" spans="1:24">
      <c r="A425" s="7" t="s">
        <v>554</v>
      </c>
      <c r="B425" s="1" t="s">
        <v>41</v>
      </c>
      <c r="C425" s="1">
        <v>431</v>
      </c>
      <c r="D425" s="1">
        <v>54</v>
      </c>
      <c r="E425" s="1">
        <v>4</v>
      </c>
      <c r="F425" s="1">
        <v>9</v>
      </c>
      <c r="G425" s="1">
        <v>13.92</v>
      </c>
      <c r="H425" s="1" t="s">
        <v>55</v>
      </c>
      <c r="I425" s="1" t="s">
        <v>31</v>
      </c>
      <c r="J425" s="1">
        <v>174</v>
      </c>
      <c r="K425" s="1">
        <v>3.07</v>
      </c>
      <c r="L425" s="4">
        <v>183.1</v>
      </c>
      <c r="M425" s="1">
        <v>0.89</v>
      </c>
      <c r="N425" s="1">
        <v>4</v>
      </c>
      <c r="O425" s="1">
        <v>0.75</v>
      </c>
      <c r="P425" s="1">
        <v>997</v>
      </c>
      <c r="Q425" s="1">
        <v>7</v>
      </c>
      <c r="R425" s="1">
        <v>0.48</v>
      </c>
      <c r="S425" s="2">
        <v>45342</v>
      </c>
      <c r="T425" s="1">
        <v>167.66</v>
      </c>
      <c r="U425" s="1">
        <v>0.56999999999999995</v>
      </c>
      <c r="V425" s="6">
        <f t="shared" si="18"/>
        <v>78916.099999999991</v>
      </c>
      <c r="W425" s="6" t="str">
        <f t="shared" si="19"/>
        <v>Sufficient</v>
      </c>
      <c r="X425" s="8" t="str">
        <f t="shared" si="20"/>
        <v>High</v>
      </c>
    </row>
    <row r="426" spans="1:24">
      <c r="A426" s="7" t="s">
        <v>555</v>
      </c>
      <c r="B426" s="1" t="s">
        <v>41</v>
      </c>
      <c r="C426" s="1">
        <v>478</v>
      </c>
      <c r="D426" s="1">
        <v>15</v>
      </c>
      <c r="E426" s="1">
        <v>14</v>
      </c>
      <c r="F426" s="1">
        <v>5</v>
      </c>
      <c r="G426" s="1">
        <v>4.1900000000000004</v>
      </c>
      <c r="H426" s="1" t="s">
        <v>151</v>
      </c>
      <c r="I426" s="1" t="s">
        <v>27</v>
      </c>
      <c r="J426" s="1">
        <v>72</v>
      </c>
      <c r="K426" s="1">
        <v>3.18</v>
      </c>
      <c r="L426" s="4">
        <v>105.67</v>
      </c>
      <c r="M426" s="1">
        <v>0.57999999999999996</v>
      </c>
      <c r="N426" s="1">
        <v>8</v>
      </c>
      <c r="O426" s="1">
        <v>0.96</v>
      </c>
      <c r="P426" s="1">
        <v>236</v>
      </c>
      <c r="Q426" s="1">
        <v>4.3</v>
      </c>
      <c r="R426" s="1">
        <v>0.67</v>
      </c>
      <c r="S426" s="2">
        <v>45424</v>
      </c>
      <c r="T426" s="1">
        <v>80.03</v>
      </c>
      <c r="U426" s="1">
        <v>0.56499999999999995</v>
      </c>
      <c r="V426" s="6">
        <f t="shared" si="18"/>
        <v>50510.26</v>
      </c>
      <c r="W426" s="6" t="str">
        <f t="shared" si="19"/>
        <v>Sufficient</v>
      </c>
      <c r="X426" s="8" t="str">
        <f t="shared" si="20"/>
        <v>High</v>
      </c>
    </row>
    <row r="427" spans="1:24">
      <c r="A427" s="7" t="s">
        <v>556</v>
      </c>
      <c r="B427" s="1" t="s">
        <v>33</v>
      </c>
      <c r="C427" s="1">
        <v>340</v>
      </c>
      <c r="D427" s="1">
        <v>30</v>
      </c>
      <c r="E427" s="1">
        <v>3</v>
      </c>
      <c r="F427" s="1">
        <v>7</v>
      </c>
      <c r="G427" s="1">
        <v>19.079999999999998</v>
      </c>
      <c r="H427" s="1" t="s">
        <v>309</v>
      </c>
      <c r="I427" s="1" t="s">
        <v>39</v>
      </c>
      <c r="J427" s="1">
        <v>166</v>
      </c>
      <c r="K427" s="1">
        <v>0.96</v>
      </c>
      <c r="L427" s="4">
        <v>102.79</v>
      </c>
      <c r="M427" s="1">
        <v>1.1399999999999999</v>
      </c>
      <c r="N427" s="1">
        <v>2</v>
      </c>
      <c r="O427" s="1">
        <v>0.93</v>
      </c>
      <c r="P427" s="1">
        <v>581</v>
      </c>
      <c r="Q427" s="1">
        <v>8.17</v>
      </c>
      <c r="R427" s="1">
        <v>0.5</v>
      </c>
      <c r="S427" s="2">
        <v>45405</v>
      </c>
      <c r="T427" s="1">
        <v>261.5</v>
      </c>
      <c r="U427" s="1">
        <v>0.64100000000000001</v>
      </c>
      <c r="V427" s="6">
        <f t="shared" si="18"/>
        <v>34948.6</v>
      </c>
      <c r="W427" s="6" t="str">
        <f t="shared" si="19"/>
        <v>Sufficient</v>
      </c>
      <c r="X427" s="8" t="str">
        <f t="shared" si="20"/>
        <v>High</v>
      </c>
    </row>
    <row r="428" spans="1:24">
      <c r="A428" s="7" t="s">
        <v>557</v>
      </c>
      <c r="B428" s="1" t="s">
        <v>41</v>
      </c>
      <c r="C428" s="1">
        <v>68</v>
      </c>
      <c r="D428" s="1">
        <v>79</v>
      </c>
      <c r="E428" s="1">
        <v>4</v>
      </c>
      <c r="F428" s="1">
        <v>3</v>
      </c>
      <c r="G428" s="1">
        <v>41.81</v>
      </c>
      <c r="H428" s="1" t="s">
        <v>558</v>
      </c>
      <c r="I428" s="1" t="s">
        <v>27</v>
      </c>
      <c r="J428" s="1">
        <v>171</v>
      </c>
      <c r="K428" s="1">
        <v>0.51</v>
      </c>
      <c r="L428" s="4">
        <v>93.16</v>
      </c>
      <c r="M428" s="1">
        <v>1.98</v>
      </c>
      <c r="N428" s="1">
        <v>4</v>
      </c>
      <c r="O428" s="1">
        <v>0.87</v>
      </c>
      <c r="P428" s="1">
        <v>324</v>
      </c>
      <c r="Q428" s="1">
        <v>10.95</v>
      </c>
      <c r="R428" s="1">
        <v>0.68</v>
      </c>
      <c r="S428" s="2">
        <v>45553</v>
      </c>
      <c r="T428" s="1">
        <v>82.77</v>
      </c>
      <c r="U428" s="1">
        <v>0.57799999999999996</v>
      </c>
      <c r="V428" s="6">
        <f t="shared" si="18"/>
        <v>6334.88</v>
      </c>
      <c r="W428" s="6" t="str">
        <f t="shared" si="19"/>
        <v>Reorder Required</v>
      </c>
      <c r="X428" s="8" t="str">
        <f t="shared" si="20"/>
        <v>LOW</v>
      </c>
    </row>
    <row r="429" spans="1:24">
      <c r="A429" s="7" t="s">
        <v>559</v>
      </c>
      <c r="B429" s="1" t="s">
        <v>66</v>
      </c>
      <c r="C429" s="1">
        <v>194</v>
      </c>
      <c r="D429" s="1">
        <v>57</v>
      </c>
      <c r="E429" s="1">
        <v>9</v>
      </c>
      <c r="F429" s="1">
        <v>4</v>
      </c>
      <c r="G429" s="1">
        <v>16.989999999999998</v>
      </c>
      <c r="H429" s="1" t="s">
        <v>83</v>
      </c>
      <c r="I429" s="1" t="s">
        <v>27</v>
      </c>
      <c r="J429" s="1">
        <v>138</v>
      </c>
      <c r="K429" s="1">
        <v>0.72</v>
      </c>
      <c r="L429" s="4">
        <v>15.27</v>
      </c>
      <c r="M429" s="1">
        <v>1.72</v>
      </c>
      <c r="N429" s="1">
        <v>7</v>
      </c>
      <c r="O429" s="1">
        <v>0.85</v>
      </c>
      <c r="P429" s="1">
        <v>697</v>
      </c>
      <c r="Q429" s="1">
        <v>9.57</v>
      </c>
      <c r="R429" s="1">
        <v>0.8</v>
      </c>
      <c r="S429" s="2">
        <v>45557</v>
      </c>
      <c r="T429" s="1">
        <v>202.23</v>
      </c>
      <c r="U429" s="1">
        <v>0.54600000000000004</v>
      </c>
      <c r="V429" s="6">
        <f t="shared" si="18"/>
        <v>2962.38</v>
      </c>
      <c r="W429" s="6" t="str">
        <f t="shared" si="19"/>
        <v>Sufficient</v>
      </c>
      <c r="X429" s="8" t="str">
        <f t="shared" si="20"/>
        <v>Medium</v>
      </c>
    </row>
    <row r="430" spans="1:24">
      <c r="A430" s="7" t="s">
        <v>560</v>
      </c>
      <c r="B430" s="1" t="s">
        <v>29</v>
      </c>
      <c r="C430" s="1">
        <v>71</v>
      </c>
      <c r="D430" s="1">
        <v>48</v>
      </c>
      <c r="E430" s="1">
        <v>12</v>
      </c>
      <c r="F430" s="1">
        <v>8</v>
      </c>
      <c r="G430" s="1">
        <v>36.659999999999997</v>
      </c>
      <c r="H430" s="1" t="s">
        <v>274</v>
      </c>
      <c r="I430" s="1" t="s">
        <v>27</v>
      </c>
      <c r="J430" s="1">
        <v>57</v>
      </c>
      <c r="K430" s="1">
        <v>4.8499999999999996</v>
      </c>
      <c r="L430" s="4">
        <v>41.53</v>
      </c>
      <c r="M430" s="1">
        <v>0.61</v>
      </c>
      <c r="N430" s="1">
        <v>1</v>
      </c>
      <c r="O430" s="1">
        <v>0.78</v>
      </c>
      <c r="P430" s="1">
        <v>588</v>
      </c>
      <c r="Q430" s="1">
        <v>5.79</v>
      </c>
      <c r="R430" s="1">
        <v>0.46</v>
      </c>
      <c r="S430" s="2">
        <v>45577</v>
      </c>
      <c r="T430" s="1">
        <v>110.09</v>
      </c>
      <c r="U430" s="1">
        <v>0.64400000000000002</v>
      </c>
      <c r="V430" s="6">
        <f t="shared" si="18"/>
        <v>2948.63</v>
      </c>
      <c r="W430" s="6" t="str">
        <f t="shared" si="19"/>
        <v>Sufficient</v>
      </c>
      <c r="X430" s="8" t="str">
        <f t="shared" si="20"/>
        <v>LOW</v>
      </c>
    </row>
    <row r="431" spans="1:24">
      <c r="A431" s="7" t="s">
        <v>561</v>
      </c>
      <c r="B431" s="1" t="s">
        <v>29</v>
      </c>
      <c r="C431" s="1">
        <v>121</v>
      </c>
      <c r="D431" s="1">
        <v>40</v>
      </c>
      <c r="E431" s="1">
        <v>8</v>
      </c>
      <c r="F431" s="1">
        <v>9</v>
      </c>
      <c r="G431" s="1">
        <v>5.6</v>
      </c>
      <c r="H431" s="1" t="s">
        <v>279</v>
      </c>
      <c r="I431" s="1" t="s">
        <v>31</v>
      </c>
      <c r="J431" s="1">
        <v>98</v>
      </c>
      <c r="K431" s="1">
        <v>1.07</v>
      </c>
      <c r="L431" s="4">
        <v>21.25</v>
      </c>
      <c r="M431" s="1">
        <v>0.8</v>
      </c>
      <c r="N431" s="1">
        <v>5</v>
      </c>
      <c r="O431" s="1">
        <v>0.84</v>
      </c>
      <c r="P431" s="1">
        <v>697</v>
      </c>
      <c r="Q431" s="1">
        <v>12.53</v>
      </c>
      <c r="R431" s="1">
        <v>0.62</v>
      </c>
      <c r="S431" s="2">
        <v>45589</v>
      </c>
      <c r="T431" s="1">
        <v>111.59</v>
      </c>
      <c r="U431" s="1">
        <v>0.67900000000000005</v>
      </c>
      <c r="V431" s="6">
        <f t="shared" si="18"/>
        <v>2571.25</v>
      </c>
      <c r="W431" s="6" t="str">
        <f t="shared" si="19"/>
        <v>Sufficient</v>
      </c>
      <c r="X431" s="8" t="str">
        <f t="shared" si="20"/>
        <v>Medium</v>
      </c>
    </row>
    <row r="432" spans="1:24">
      <c r="A432" s="7" t="s">
        <v>562</v>
      </c>
      <c r="B432" s="1" t="s">
        <v>25</v>
      </c>
      <c r="C432" s="1">
        <v>235</v>
      </c>
      <c r="D432" s="1">
        <v>19</v>
      </c>
      <c r="E432" s="1">
        <v>6</v>
      </c>
      <c r="F432" s="1">
        <v>9</v>
      </c>
      <c r="G432" s="1">
        <v>33.31</v>
      </c>
      <c r="H432" s="1" t="s">
        <v>176</v>
      </c>
      <c r="I432" s="1" t="s">
        <v>45</v>
      </c>
      <c r="J432" s="1">
        <v>136</v>
      </c>
      <c r="K432" s="1">
        <v>0.7</v>
      </c>
      <c r="L432" s="4">
        <v>142.31</v>
      </c>
      <c r="M432" s="1">
        <v>1.85</v>
      </c>
      <c r="N432" s="1">
        <v>3</v>
      </c>
      <c r="O432" s="1">
        <v>0.89</v>
      </c>
      <c r="P432" s="1">
        <v>67</v>
      </c>
      <c r="Q432" s="1">
        <v>2.4700000000000002</v>
      </c>
      <c r="R432" s="1">
        <v>0.84</v>
      </c>
      <c r="S432" s="2">
        <v>45644</v>
      </c>
      <c r="T432" s="1">
        <v>62.73</v>
      </c>
      <c r="U432" s="1">
        <v>0.53400000000000003</v>
      </c>
      <c r="V432" s="6">
        <f t="shared" si="18"/>
        <v>33442.85</v>
      </c>
      <c r="W432" s="6" t="str">
        <f t="shared" si="19"/>
        <v>Sufficient</v>
      </c>
      <c r="X432" s="8" t="str">
        <f t="shared" si="20"/>
        <v>Medium</v>
      </c>
    </row>
    <row r="433" spans="1:24">
      <c r="A433" s="7" t="s">
        <v>563</v>
      </c>
      <c r="B433" s="1" t="s">
        <v>41</v>
      </c>
      <c r="C433" s="1">
        <v>457</v>
      </c>
      <c r="D433" s="1">
        <v>39</v>
      </c>
      <c r="E433" s="1">
        <v>3</v>
      </c>
      <c r="F433" s="1">
        <v>5</v>
      </c>
      <c r="G433" s="1">
        <v>16.52</v>
      </c>
      <c r="H433" s="1" t="s">
        <v>137</v>
      </c>
      <c r="I433" s="1" t="s">
        <v>39</v>
      </c>
      <c r="J433" s="1">
        <v>158</v>
      </c>
      <c r="K433" s="1">
        <v>1.89</v>
      </c>
      <c r="L433" s="4">
        <v>88.51</v>
      </c>
      <c r="M433" s="1">
        <v>1.81</v>
      </c>
      <c r="N433" s="1">
        <v>5</v>
      </c>
      <c r="O433" s="1">
        <v>0.93</v>
      </c>
      <c r="P433" s="1">
        <v>334</v>
      </c>
      <c r="Q433" s="1">
        <v>3</v>
      </c>
      <c r="R433" s="1">
        <v>0.75</v>
      </c>
      <c r="S433" s="2">
        <v>45586</v>
      </c>
      <c r="T433" s="1">
        <v>155.79</v>
      </c>
      <c r="U433" s="1">
        <v>0.495</v>
      </c>
      <c r="V433" s="6">
        <f t="shared" si="18"/>
        <v>40449.07</v>
      </c>
      <c r="W433" s="6" t="str">
        <f t="shared" si="19"/>
        <v>Sufficient</v>
      </c>
      <c r="X433" s="8" t="str">
        <f t="shared" si="20"/>
        <v>High</v>
      </c>
    </row>
    <row r="434" spans="1:24">
      <c r="A434" s="7" t="s">
        <v>564</v>
      </c>
      <c r="B434" s="1" t="s">
        <v>66</v>
      </c>
      <c r="C434" s="1">
        <v>207</v>
      </c>
      <c r="D434" s="1">
        <v>27</v>
      </c>
      <c r="E434" s="1">
        <v>3</v>
      </c>
      <c r="F434" s="1">
        <v>8</v>
      </c>
      <c r="G434" s="1">
        <v>37.74</v>
      </c>
      <c r="H434" s="1" t="s">
        <v>309</v>
      </c>
      <c r="I434" s="1" t="s">
        <v>31</v>
      </c>
      <c r="J434" s="1">
        <v>171</v>
      </c>
      <c r="K434" s="1">
        <v>3.15</v>
      </c>
      <c r="L434" s="4">
        <v>22.12</v>
      </c>
      <c r="M434" s="1">
        <v>0.41</v>
      </c>
      <c r="N434" s="1">
        <v>2</v>
      </c>
      <c r="O434" s="1">
        <v>0.72</v>
      </c>
      <c r="P434" s="1">
        <v>351</v>
      </c>
      <c r="Q434" s="1">
        <v>6.66</v>
      </c>
      <c r="R434" s="1">
        <v>0.25</v>
      </c>
      <c r="S434" s="2">
        <v>45405</v>
      </c>
      <c r="T434" s="1">
        <v>177.99</v>
      </c>
      <c r="U434" s="1">
        <v>0.60199999999999998</v>
      </c>
      <c r="V434" s="6">
        <f t="shared" si="18"/>
        <v>4578.84</v>
      </c>
      <c r="W434" s="6" t="str">
        <f t="shared" si="19"/>
        <v>Sufficient</v>
      </c>
      <c r="X434" s="8" t="str">
        <f t="shared" si="20"/>
        <v>Medium</v>
      </c>
    </row>
    <row r="435" spans="1:24">
      <c r="A435" s="7" t="s">
        <v>565</v>
      </c>
      <c r="B435" s="1" t="s">
        <v>25</v>
      </c>
      <c r="C435" s="1">
        <v>76</v>
      </c>
      <c r="D435" s="1">
        <v>69</v>
      </c>
      <c r="E435" s="1">
        <v>7</v>
      </c>
      <c r="F435" s="1">
        <v>5</v>
      </c>
      <c r="G435" s="1">
        <v>7.68</v>
      </c>
      <c r="H435" s="1" t="s">
        <v>156</v>
      </c>
      <c r="I435" s="1" t="s">
        <v>27</v>
      </c>
      <c r="J435" s="1">
        <v>163</v>
      </c>
      <c r="K435" s="1">
        <v>4.7699999999999996</v>
      </c>
      <c r="L435" s="4">
        <v>141.21</v>
      </c>
      <c r="M435" s="1">
        <v>1.68</v>
      </c>
      <c r="N435" s="1">
        <v>5</v>
      </c>
      <c r="O435" s="1">
        <v>0.91</v>
      </c>
      <c r="P435" s="1">
        <v>548</v>
      </c>
      <c r="Q435" s="1">
        <v>10.83</v>
      </c>
      <c r="R435" s="1">
        <v>0.66</v>
      </c>
      <c r="S435" s="2">
        <v>45520</v>
      </c>
      <c r="T435" s="1">
        <v>178.49</v>
      </c>
      <c r="U435" s="1">
        <v>0.59</v>
      </c>
      <c r="V435" s="6">
        <f t="shared" si="18"/>
        <v>10731.960000000001</v>
      </c>
      <c r="W435" s="6" t="str">
        <f t="shared" si="19"/>
        <v>Sufficient</v>
      </c>
      <c r="X435" s="8" t="str">
        <f t="shared" si="20"/>
        <v>LOW</v>
      </c>
    </row>
    <row r="436" spans="1:24">
      <c r="A436" s="7" t="s">
        <v>566</v>
      </c>
      <c r="B436" s="1" t="s">
        <v>33</v>
      </c>
      <c r="C436" s="1">
        <v>66</v>
      </c>
      <c r="D436" s="1">
        <v>97</v>
      </c>
      <c r="E436" s="1">
        <v>3</v>
      </c>
      <c r="F436" s="1">
        <v>2</v>
      </c>
      <c r="G436" s="1">
        <v>45</v>
      </c>
      <c r="H436" s="1" t="s">
        <v>50</v>
      </c>
      <c r="I436" s="1" t="s">
        <v>27</v>
      </c>
      <c r="J436" s="1">
        <v>45</v>
      </c>
      <c r="K436" s="1">
        <v>3.65</v>
      </c>
      <c r="L436" s="4">
        <v>132.44</v>
      </c>
      <c r="M436" s="1">
        <v>0.67</v>
      </c>
      <c r="N436" s="1">
        <v>6</v>
      </c>
      <c r="O436" s="1">
        <v>0.92</v>
      </c>
      <c r="P436" s="1">
        <v>981</v>
      </c>
      <c r="Q436" s="1">
        <v>10.72</v>
      </c>
      <c r="R436" s="1">
        <v>0.5</v>
      </c>
      <c r="S436" s="2">
        <v>45483</v>
      </c>
      <c r="T436" s="1">
        <v>258.42</v>
      </c>
      <c r="U436" s="1">
        <v>0.64</v>
      </c>
      <c r="V436" s="6">
        <f t="shared" si="18"/>
        <v>8741.0399999999991</v>
      </c>
      <c r="W436" s="6" t="str">
        <f t="shared" si="19"/>
        <v>Reorder Required</v>
      </c>
      <c r="X436" s="8" t="str">
        <f t="shared" si="20"/>
        <v>LOW</v>
      </c>
    </row>
    <row r="437" spans="1:24">
      <c r="A437" s="7" t="s">
        <v>567</v>
      </c>
      <c r="B437" s="1" t="s">
        <v>25</v>
      </c>
      <c r="C437" s="1">
        <v>178</v>
      </c>
      <c r="D437" s="1">
        <v>82</v>
      </c>
      <c r="E437" s="1">
        <v>14</v>
      </c>
      <c r="F437" s="1">
        <v>8</v>
      </c>
      <c r="G437" s="1">
        <v>12.89</v>
      </c>
      <c r="H437" s="1" t="s">
        <v>47</v>
      </c>
      <c r="I437" s="1" t="s">
        <v>45</v>
      </c>
      <c r="J437" s="1">
        <v>160</v>
      </c>
      <c r="K437" s="1">
        <v>1.74</v>
      </c>
      <c r="L437" s="4">
        <v>146.79</v>
      </c>
      <c r="M437" s="1">
        <v>1.1299999999999999</v>
      </c>
      <c r="N437" s="1">
        <v>9</v>
      </c>
      <c r="O437" s="1">
        <v>0.87</v>
      </c>
      <c r="P437" s="1">
        <v>948</v>
      </c>
      <c r="Q437" s="1">
        <v>6.13</v>
      </c>
      <c r="R437" s="1">
        <v>0.77</v>
      </c>
      <c r="S437" s="2">
        <v>45492</v>
      </c>
      <c r="T437" s="1">
        <v>199.18</v>
      </c>
      <c r="U437" s="1">
        <v>0.51700000000000002</v>
      </c>
      <c r="V437" s="6">
        <f t="shared" si="18"/>
        <v>26128.62</v>
      </c>
      <c r="W437" s="6" t="str">
        <f t="shared" si="19"/>
        <v>Sufficient</v>
      </c>
      <c r="X437" s="8" t="str">
        <f t="shared" si="20"/>
        <v>Medium</v>
      </c>
    </row>
    <row r="438" spans="1:24">
      <c r="A438" s="7" t="s">
        <v>568</v>
      </c>
      <c r="B438" s="1" t="s">
        <v>25</v>
      </c>
      <c r="C438" s="1">
        <v>193</v>
      </c>
      <c r="D438" s="1">
        <v>24</v>
      </c>
      <c r="E438" s="1">
        <v>9</v>
      </c>
      <c r="F438" s="1">
        <v>2</v>
      </c>
      <c r="G438" s="1">
        <v>18.3</v>
      </c>
      <c r="H438" s="1" t="s">
        <v>122</v>
      </c>
      <c r="I438" s="1" t="s">
        <v>45</v>
      </c>
      <c r="J438" s="1">
        <v>90</v>
      </c>
      <c r="K438" s="1">
        <v>4.7300000000000004</v>
      </c>
      <c r="L438" s="4">
        <v>123.97</v>
      </c>
      <c r="M438" s="1">
        <v>0.11</v>
      </c>
      <c r="N438" s="1">
        <v>2</v>
      </c>
      <c r="O438" s="1">
        <v>0.76</v>
      </c>
      <c r="P438" s="1">
        <v>954</v>
      </c>
      <c r="Q438" s="1">
        <v>10.75</v>
      </c>
      <c r="R438" s="1">
        <v>0.21</v>
      </c>
      <c r="S438" s="2">
        <v>45529</v>
      </c>
      <c r="T438" s="1">
        <v>224.67</v>
      </c>
      <c r="U438" s="1">
        <v>0.68600000000000005</v>
      </c>
      <c r="V438" s="6">
        <f t="shared" si="18"/>
        <v>23926.21</v>
      </c>
      <c r="W438" s="6" t="str">
        <f t="shared" si="19"/>
        <v>Sufficient</v>
      </c>
      <c r="X438" s="8" t="str">
        <f t="shared" si="20"/>
        <v>Medium</v>
      </c>
    </row>
    <row r="439" spans="1:24">
      <c r="A439" s="7" t="s">
        <v>569</v>
      </c>
      <c r="B439" s="1" t="s">
        <v>41</v>
      </c>
      <c r="C439" s="1">
        <v>261</v>
      </c>
      <c r="D439" s="1">
        <v>13</v>
      </c>
      <c r="E439" s="1">
        <v>13</v>
      </c>
      <c r="F439" s="1">
        <v>9</v>
      </c>
      <c r="G439" s="1">
        <v>47.56</v>
      </c>
      <c r="H439" s="1" t="s">
        <v>30</v>
      </c>
      <c r="I439" s="1" t="s">
        <v>45</v>
      </c>
      <c r="J439" s="1">
        <v>56</v>
      </c>
      <c r="K439" s="1">
        <v>0.66</v>
      </c>
      <c r="L439" s="4">
        <v>40.69</v>
      </c>
      <c r="M439" s="1">
        <v>2</v>
      </c>
      <c r="N439" s="1">
        <v>4</v>
      </c>
      <c r="O439" s="1">
        <v>0.86</v>
      </c>
      <c r="P439" s="1">
        <v>699</v>
      </c>
      <c r="Q439" s="1">
        <v>1.85</v>
      </c>
      <c r="R439" s="1">
        <v>0.46</v>
      </c>
      <c r="S439" s="2">
        <v>45639</v>
      </c>
      <c r="T439" s="1">
        <v>103.8</v>
      </c>
      <c r="U439" s="1">
        <v>0.40899999999999997</v>
      </c>
      <c r="V439" s="6">
        <f t="shared" si="18"/>
        <v>10620.09</v>
      </c>
      <c r="W439" s="6" t="str">
        <f t="shared" si="19"/>
        <v>Sufficient</v>
      </c>
      <c r="X439" s="8" t="str">
        <f t="shared" si="20"/>
        <v>High</v>
      </c>
    </row>
    <row r="440" spans="1:24">
      <c r="A440" s="7" t="s">
        <v>570</v>
      </c>
      <c r="B440" s="1" t="s">
        <v>33</v>
      </c>
      <c r="C440" s="1">
        <v>301</v>
      </c>
      <c r="D440" s="1">
        <v>72</v>
      </c>
      <c r="E440" s="1">
        <v>3</v>
      </c>
      <c r="F440" s="1">
        <v>7</v>
      </c>
      <c r="G440" s="1">
        <v>29.35</v>
      </c>
      <c r="H440" s="1" t="s">
        <v>50</v>
      </c>
      <c r="I440" s="1" t="s">
        <v>31</v>
      </c>
      <c r="J440" s="1">
        <v>157</v>
      </c>
      <c r="K440" s="1">
        <v>4.91</v>
      </c>
      <c r="L440" s="4">
        <v>21.66</v>
      </c>
      <c r="M440" s="1">
        <v>1.55</v>
      </c>
      <c r="N440" s="1">
        <v>7</v>
      </c>
      <c r="O440" s="1">
        <v>0.85</v>
      </c>
      <c r="P440" s="1">
        <v>793</v>
      </c>
      <c r="Q440" s="1">
        <v>5.0599999999999996</v>
      </c>
      <c r="R440" s="1">
        <v>0.27</v>
      </c>
      <c r="S440" s="2">
        <v>45593</v>
      </c>
      <c r="T440" s="1">
        <v>132</v>
      </c>
      <c r="U440" s="1">
        <v>0.39600000000000002</v>
      </c>
      <c r="V440" s="6">
        <f t="shared" si="18"/>
        <v>6519.66</v>
      </c>
      <c r="W440" s="6" t="str">
        <f t="shared" si="19"/>
        <v>Sufficient</v>
      </c>
      <c r="X440" s="8" t="str">
        <f t="shared" si="20"/>
        <v>High</v>
      </c>
    </row>
    <row r="441" spans="1:24">
      <c r="A441" s="7" t="s">
        <v>571</v>
      </c>
      <c r="B441" s="1" t="s">
        <v>25</v>
      </c>
      <c r="C441" s="1">
        <v>260</v>
      </c>
      <c r="D441" s="1">
        <v>49</v>
      </c>
      <c r="E441" s="1">
        <v>3</v>
      </c>
      <c r="F441" s="1">
        <v>2</v>
      </c>
      <c r="G441" s="1">
        <v>18.920000000000002</v>
      </c>
      <c r="H441" s="1" t="s">
        <v>238</v>
      </c>
      <c r="I441" s="1" t="s">
        <v>39</v>
      </c>
      <c r="J441" s="1">
        <v>36</v>
      </c>
      <c r="K441" s="1">
        <v>0.76</v>
      </c>
      <c r="L441" s="4">
        <v>165.26</v>
      </c>
      <c r="M441" s="1">
        <v>0.56000000000000005</v>
      </c>
      <c r="N441" s="1">
        <v>1</v>
      </c>
      <c r="O441" s="1">
        <v>0.84</v>
      </c>
      <c r="P441" s="1">
        <v>901</v>
      </c>
      <c r="Q441" s="1">
        <v>10.71</v>
      </c>
      <c r="R441" s="1">
        <v>0.94</v>
      </c>
      <c r="S441" s="2">
        <v>45645</v>
      </c>
      <c r="T441" s="1">
        <v>15.3</v>
      </c>
      <c r="U441" s="1">
        <v>0.82299999999999995</v>
      </c>
      <c r="V441" s="6">
        <f t="shared" si="18"/>
        <v>42967.6</v>
      </c>
      <c r="W441" s="6" t="str">
        <f t="shared" si="19"/>
        <v>Sufficient</v>
      </c>
      <c r="X441" s="8" t="str">
        <f t="shared" si="20"/>
        <v>High</v>
      </c>
    </row>
    <row r="442" spans="1:24">
      <c r="A442" s="7" t="s">
        <v>572</v>
      </c>
      <c r="B442" s="1" t="s">
        <v>66</v>
      </c>
      <c r="C442" s="1">
        <v>389</v>
      </c>
      <c r="D442" s="1">
        <v>18</v>
      </c>
      <c r="E442" s="1">
        <v>4</v>
      </c>
      <c r="F442" s="1">
        <v>8</v>
      </c>
      <c r="G442" s="1">
        <v>47.53</v>
      </c>
      <c r="H442" s="1" t="s">
        <v>137</v>
      </c>
      <c r="I442" s="1" t="s">
        <v>45</v>
      </c>
      <c r="J442" s="1">
        <v>174</v>
      </c>
      <c r="K442" s="1">
        <v>3.89</v>
      </c>
      <c r="L442" s="4">
        <v>51</v>
      </c>
      <c r="M442" s="1">
        <v>1.4</v>
      </c>
      <c r="N442" s="1">
        <v>6</v>
      </c>
      <c r="O442" s="1">
        <v>0.84</v>
      </c>
      <c r="P442" s="1">
        <v>306</v>
      </c>
      <c r="Q442" s="1">
        <v>3.58</v>
      </c>
      <c r="R442" s="1">
        <v>0.9</v>
      </c>
      <c r="S442" s="2">
        <v>45548</v>
      </c>
      <c r="T442" s="1">
        <v>32.94</v>
      </c>
      <c r="U442" s="1">
        <v>0.53600000000000003</v>
      </c>
      <c r="V442" s="6">
        <f t="shared" si="18"/>
        <v>19839</v>
      </c>
      <c r="W442" s="6" t="str">
        <f t="shared" si="19"/>
        <v>Sufficient</v>
      </c>
      <c r="X442" s="8" t="str">
        <f t="shared" si="20"/>
        <v>High</v>
      </c>
    </row>
    <row r="443" spans="1:24">
      <c r="A443" s="7" t="s">
        <v>573</v>
      </c>
      <c r="B443" s="1" t="s">
        <v>66</v>
      </c>
      <c r="C443" s="1">
        <v>24</v>
      </c>
      <c r="D443" s="1">
        <v>18</v>
      </c>
      <c r="E443" s="1">
        <v>13</v>
      </c>
      <c r="F443" s="1">
        <v>6</v>
      </c>
      <c r="G443" s="1">
        <v>17.12</v>
      </c>
      <c r="H443" s="1" t="s">
        <v>106</v>
      </c>
      <c r="I443" s="1" t="s">
        <v>27</v>
      </c>
      <c r="J443" s="1">
        <v>61</v>
      </c>
      <c r="K443" s="1">
        <v>0.7</v>
      </c>
      <c r="L443" s="4">
        <v>113.08</v>
      </c>
      <c r="M443" s="1">
        <v>0.66</v>
      </c>
      <c r="N443" s="1">
        <v>0</v>
      </c>
      <c r="O443" s="1">
        <v>0.73</v>
      </c>
      <c r="P443" s="1">
        <v>268</v>
      </c>
      <c r="Q443" s="1">
        <v>3.98</v>
      </c>
      <c r="R443" s="1">
        <v>0.97</v>
      </c>
      <c r="S443" s="2">
        <v>45369</v>
      </c>
      <c r="T443" s="1">
        <v>121.68</v>
      </c>
      <c r="U443" s="1">
        <v>0.72699999999999998</v>
      </c>
      <c r="V443" s="6">
        <f t="shared" si="18"/>
        <v>2713.92</v>
      </c>
      <c r="W443" s="6" t="str">
        <f t="shared" si="19"/>
        <v>Sufficient</v>
      </c>
      <c r="X443" s="8" t="str">
        <f t="shared" si="20"/>
        <v>LOW</v>
      </c>
    </row>
    <row r="444" spans="1:24">
      <c r="A444" s="7" t="s">
        <v>574</v>
      </c>
      <c r="B444" s="1" t="s">
        <v>29</v>
      </c>
      <c r="C444" s="1">
        <v>103</v>
      </c>
      <c r="D444" s="1">
        <v>35</v>
      </c>
      <c r="E444" s="1">
        <v>14</v>
      </c>
      <c r="F444" s="1">
        <v>8</v>
      </c>
      <c r="G444" s="1">
        <v>5.65</v>
      </c>
      <c r="H444" s="1" t="s">
        <v>178</v>
      </c>
      <c r="I444" s="1" t="s">
        <v>39</v>
      </c>
      <c r="J444" s="1">
        <v>84</v>
      </c>
      <c r="K444" s="1">
        <v>4.6900000000000004</v>
      </c>
      <c r="L444" s="4">
        <v>102.19</v>
      </c>
      <c r="M444" s="1">
        <v>0.27</v>
      </c>
      <c r="N444" s="1">
        <v>6</v>
      </c>
      <c r="O444" s="1">
        <v>0.75</v>
      </c>
      <c r="P444" s="1">
        <v>693</v>
      </c>
      <c r="Q444" s="1">
        <v>2.2200000000000002</v>
      </c>
      <c r="R444" s="1">
        <v>0.71</v>
      </c>
      <c r="S444" s="2">
        <v>45468</v>
      </c>
      <c r="T444" s="1">
        <v>70.819999999999993</v>
      </c>
      <c r="U444" s="1">
        <v>0.57499999999999996</v>
      </c>
      <c r="V444" s="6">
        <f t="shared" si="18"/>
        <v>10525.57</v>
      </c>
      <c r="W444" s="6" t="str">
        <f t="shared" si="19"/>
        <v>Sufficient</v>
      </c>
      <c r="X444" s="8" t="str">
        <f t="shared" si="20"/>
        <v>Medium</v>
      </c>
    </row>
    <row r="445" spans="1:24">
      <c r="A445" s="7" t="s">
        <v>575</v>
      </c>
      <c r="B445" s="1" t="s">
        <v>33</v>
      </c>
      <c r="C445" s="1">
        <v>327</v>
      </c>
      <c r="D445" s="1">
        <v>13</v>
      </c>
      <c r="E445" s="1">
        <v>12</v>
      </c>
      <c r="F445" s="1">
        <v>5</v>
      </c>
      <c r="G445" s="1">
        <v>49.85</v>
      </c>
      <c r="H445" s="1" t="s">
        <v>470</v>
      </c>
      <c r="I445" s="1" t="s">
        <v>27</v>
      </c>
      <c r="J445" s="1">
        <v>101</v>
      </c>
      <c r="K445" s="1">
        <v>0.99</v>
      </c>
      <c r="L445" s="4">
        <v>185</v>
      </c>
      <c r="M445" s="1">
        <v>0.91</v>
      </c>
      <c r="N445" s="1">
        <v>0</v>
      </c>
      <c r="O445" s="1">
        <v>0.73</v>
      </c>
      <c r="P445" s="1">
        <v>993</v>
      </c>
      <c r="Q445" s="1">
        <v>6.1</v>
      </c>
      <c r="R445" s="1">
        <v>0.85</v>
      </c>
      <c r="S445" s="2">
        <v>45304</v>
      </c>
      <c r="T445" s="1">
        <v>245.76</v>
      </c>
      <c r="U445" s="1">
        <v>0.70599999999999996</v>
      </c>
      <c r="V445" s="6">
        <f t="shared" si="18"/>
        <v>60495</v>
      </c>
      <c r="W445" s="6" t="str">
        <f t="shared" si="19"/>
        <v>Sufficient</v>
      </c>
      <c r="X445" s="8" t="str">
        <f t="shared" si="20"/>
        <v>High</v>
      </c>
    </row>
    <row r="446" spans="1:24">
      <c r="A446" s="7" t="s">
        <v>576</v>
      </c>
      <c r="B446" s="1" t="s">
        <v>33</v>
      </c>
      <c r="C446" s="1">
        <v>380</v>
      </c>
      <c r="D446" s="1">
        <v>90</v>
      </c>
      <c r="E446" s="1">
        <v>5</v>
      </c>
      <c r="F446" s="1">
        <v>2</v>
      </c>
      <c r="G446" s="1">
        <v>14.12</v>
      </c>
      <c r="H446" s="1" t="s">
        <v>74</v>
      </c>
      <c r="I446" s="1" t="s">
        <v>27</v>
      </c>
      <c r="J446" s="1">
        <v>71</v>
      </c>
      <c r="K446" s="1">
        <v>0.73</v>
      </c>
      <c r="L446" s="4">
        <v>114.96</v>
      </c>
      <c r="M446" s="1">
        <v>1.27</v>
      </c>
      <c r="N446" s="1">
        <v>3</v>
      </c>
      <c r="O446" s="1">
        <v>0.77</v>
      </c>
      <c r="P446" s="1">
        <v>406</v>
      </c>
      <c r="Q446" s="1">
        <v>12.55</v>
      </c>
      <c r="R446" s="1">
        <v>0.69</v>
      </c>
      <c r="S446" s="2">
        <v>45539</v>
      </c>
      <c r="T446" s="1">
        <v>206.18</v>
      </c>
      <c r="U446" s="1">
        <v>0.67200000000000004</v>
      </c>
      <c r="V446" s="6">
        <f t="shared" si="18"/>
        <v>43684.799999999996</v>
      </c>
      <c r="W446" s="6" t="str">
        <f t="shared" si="19"/>
        <v>Sufficient</v>
      </c>
      <c r="X446" s="8" t="str">
        <f t="shared" si="20"/>
        <v>High</v>
      </c>
    </row>
    <row r="447" spans="1:24">
      <c r="A447" s="7" t="s">
        <v>577</v>
      </c>
      <c r="B447" s="1" t="s">
        <v>29</v>
      </c>
      <c r="C447" s="1">
        <v>478</v>
      </c>
      <c r="D447" s="1">
        <v>25</v>
      </c>
      <c r="E447" s="1">
        <v>13</v>
      </c>
      <c r="F447" s="1">
        <v>3</v>
      </c>
      <c r="G447" s="1">
        <v>42.71</v>
      </c>
      <c r="H447" s="1" t="s">
        <v>174</v>
      </c>
      <c r="I447" s="1" t="s">
        <v>39</v>
      </c>
      <c r="J447" s="1">
        <v>75</v>
      </c>
      <c r="K447" s="1">
        <v>4.5</v>
      </c>
      <c r="L447" s="4">
        <v>120.2</v>
      </c>
      <c r="M447" s="1">
        <v>0.27</v>
      </c>
      <c r="N447" s="1">
        <v>3</v>
      </c>
      <c r="O447" s="1">
        <v>0.78</v>
      </c>
      <c r="P447" s="1">
        <v>305</v>
      </c>
      <c r="Q447" s="1">
        <v>12.71</v>
      </c>
      <c r="R447" s="1">
        <v>0.59</v>
      </c>
      <c r="S447" s="2">
        <v>45345</v>
      </c>
      <c r="T447" s="1">
        <v>291.39</v>
      </c>
      <c r="U447" s="1">
        <v>0.75600000000000001</v>
      </c>
      <c r="V447" s="6">
        <f t="shared" si="18"/>
        <v>57455.6</v>
      </c>
      <c r="W447" s="6" t="str">
        <f t="shared" si="19"/>
        <v>Sufficient</v>
      </c>
      <c r="X447" s="8" t="str">
        <f t="shared" si="20"/>
        <v>High</v>
      </c>
    </row>
    <row r="448" spans="1:24">
      <c r="A448" s="7" t="s">
        <v>578</v>
      </c>
      <c r="B448" s="1" t="s">
        <v>25</v>
      </c>
      <c r="C448" s="1">
        <v>267</v>
      </c>
      <c r="D448" s="1">
        <v>24</v>
      </c>
      <c r="E448" s="1">
        <v>3</v>
      </c>
      <c r="F448" s="1">
        <v>6</v>
      </c>
      <c r="G448" s="1">
        <v>9.11</v>
      </c>
      <c r="H448" s="1" t="s">
        <v>81</v>
      </c>
      <c r="I448" s="1" t="s">
        <v>31</v>
      </c>
      <c r="J448" s="1">
        <v>161</v>
      </c>
      <c r="K448" s="1">
        <v>0.93</v>
      </c>
      <c r="L448" s="4">
        <v>70.709999999999994</v>
      </c>
      <c r="M448" s="1">
        <v>1.08</v>
      </c>
      <c r="N448" s="1">
        <v>4</v>
      </c>
      <c r="O448" s="1">
        <v>0.77</v>
      </c>
      <c r="P448" s="1">
        <v>657</v>
      </c>
      <c r="Q448" s="1">
        <v>13.07</v>
      </c>
      <c r="R448" s="1">
        <v>0.87</v>
      </c>
      <c r="S448" s="2">
        <v>45443</v>
      </c>
      <c r="T448" s="1">
        <v>267.24</v>
      </c>
      <c r="U448" s="1">
        <v>0.71399999999999997</v>
      </c>
      <c r="V448" s="6">
        <f t="shared" si="18"/>
        <v>18879.57</v>
      </c>
      <c r="W448" s="6" t="str">
        <f t="shared" si="19"/>
        <v>Sufficient</v>
      </c>
      <c r="X448" s="8" t="str">
        <f t="shared" si="20"/>
        <v>High</v>
      </c>
    </row>
    <row r="449" spans="1:24">
      <c r="A449" s="7" t="s">
        <v>579</v>
      </c>
      <c r="B449" s="1" t="s">
        <v>33</v>
      </c>
      <c r="C449" s="1">
        <v>73</v>
      </c>
      <c r="D449" s="1">
        <v>61</v>
      </c>
      <c r="E449" s="1">
        <v>11</v>
      </c>
      <c r="F449" s="1">
        <v>7</v>
      </c>
      <c r="G449" s="1">
        <v>36.840000000000003</v>
      </c>
      <c r="H449" s="1" t="s">
        <v>103</v>
      </c>
      <c r="I449" s="1" t="s">
        <v>39</v>
      </c>
      <c r="J449" s="1">
        <v>89</v>
      </c>
      <c r="K449" s="1">
        <v>4.09</v>
      </c>
      <c r="L449" s="4">
        <v>192.15</v>
      </c>
      <c r="M449" s="1">
        <v>1.08</v>
      </c>
      <c r="N449" s="1">
        <v>1</v>
      </c>
      <c r="O449" s="1">
        <v>0.76</v>
      </c>
      <c r="P449" s="1">
        <v>323</v>
      </c>
      <c r="Q449" s="1">
        <v>1.51</v>
      </c>
      <c r="R449" s="1">
        <v>0.82</v>
      </c>
      <c r="S449" s="2">
        <v>45504</v>
      </c>
      <c r="T449" s="1">
        <v>293.52</v>
      </c>
      <c r="U449" s="1">
        <v>0.60799999999999998</v>
      </c>
      <c r="V449" s="6">
        <f t="shared" si="18"/>
        <v>14026.95</v>
      </c>
      <c r="W449" s="6" t="str">
        <f t="shared" si="19"/>
        <v>Sufficient</v>
      </c>
      <c r="X449" s="8" t="str">
        <f t="shared" si="20"/>
        <v>LOW</v>
      </c>
    </row>
    <row r="450" spans="1:24">
      <c r="A450" s="7" t="s">
        <v>580</v>
      </c>
      <c r="B450" s="1" t="s">
        <v>66</v>
      </c>
      <c r="C450" s="1">
        <v>180</v>
      </c>
      <c r="D450" s="1">
        <v>78</v>
      </c>
      <c r="E450" s="1">
        <v>12</v>
      </c>
      <c r="F450" s="1">
        <v>4</v>
      </c>
      <c r="G450" s="1">
        <v>26.7</v>
      </c>
      <c r="H450" s="1" t="s">
        <v>174</v>
      </c>
      <c r="I450" s="1" t="s">
        <v>45</v>
      </c>
      <c r="J450" s="1">
        <v>149</v>
      </c>
      <c r="K450" s="1">
        <v>3.86</v>
      </c>
      <c r="L450" s="4">
        <v>126.35</v>
      </c>
      <c r="M450" s="1">
        <v>1.29</v>
      </c>
      <c r="N450" s="1">
        <v>5</v>
      </c>
      <c r="O450" s="1">
        <v>0.92</v>
      </c>
      <c r="P450" s="1">
        <v>383</v>
      </c>
      <c r="Q450" s="1">
        <v>14.91</v>
      </c>
      <c r="R450" s="1">
        <v>0.79</v>
      </c>
      <c r="S450" s="2">
        <v>45335</v>
      </c>
      <c r="T450" s="1">
        <v>115.93</v>
      </c>
      <c r="U450" s="1">
        <v>0.71199999999999997</v>
      </c>
      <c r="V450" s="6">
        <f t="shared" si="18"/>
        <v>22743</v>
      </c>
      <c r="W450" s="6" t="str">
        <f t="shared" si="19"/>
        <v>Sufficient</v>
      </c>
      <c r="X450" s="8" t="str">
        <f t="shared" si="20"/>
        <v>Medium</v>
      </c>
    </row>
    <row r="451" spans="1:24">
      <c r="A451" s="7" t="s">
        <v>581</v>
      </c>
      <c r="B451" s="1" t="s">
        <v>66</v>
      </c>
      <c r="C451" s="1">
        <v>453</v>
      </c>
      <c r="D451" s="1">
        <v>14</v>
      </c>
      <c r="E451" s="1">
        <v>10</v>
      </c>
      <c r="F451" s="1">
        <v>5</v>
      </c>
      <c r="G451" s="1">
        <v>49.06</v>
      </c>
      <c r="H451" s="1" t="s">
        <v>181</v>
      </c>
      <c r="I451" s="1" t="s">
        <v>39</v>
      </c>
      <c r="J451" s="1">
        <v>153</v>
      </c>
      <c r="K451" s="1">
        <v>3.19</v>
      </c>
      <c r="L451" s="4">
        <v>10.95</v>
      </c>
      <c r="M451" s="1">
        <v>0.56000000000000005</v>
      </c>
      <c r="N451" s="1">
        <v>5</v>
      </c>
      <c r="O451" s="1">
        <v>0.95</v>
      </c>
      <c r="P451" s="1">
        <v>862</v>
      </c>
      <c r="Q451" s="1">
        <v>8.0399999999999991</v>
      </c>
      <c r="R451" s="1">
        <v>0.92</v>
      </c>
      <c r="S451" s="2">
        <v>45351</v>
      </c>
      <c r="T451" s="1">
        <v>150.47</v>
      </c>
      <c r="U451" s="1">
        <v>0.72499999999999998</v>
      </c>
      <c r="V451" s="6">
        <f t="shared" si="18"/>
        <v>4960.3499999999995</v>
      </c>
      <c r="W451" s="6" t="str">
        <f t="shared" si="19"/>
        <v>Sufficient</v>
      </c>
      <c r="X451" s="8" t="str">
        <f t="shared" si="20"/>
        <v>High</v>
      </c>
    </row>
    <row r="452" spans="1:24">
      <c r="A452" s="7" t="s">
        <v>582</v>
      </c>
      <c r="B452" s="1" t="s">
        <v>41</v>
      </c>
      <c r="C452" s="1">
        <v>441</v>
      </c>
      <c r="D452" s="1">
        <v>29</v>
      </c>
      <c r="E452" s="1">
        <v>7</v>
      </c>
      <c r="F452" s="1">
        <v>5</v>
      </c>
      <c r="G452" s="1">
        <v>28.09</v>
      </c>
      <c r="H452" s="1" t="s">
        <v>26</v>
      </c>
      <c r="I452" s="1" t="s">
        <v>45</v>
      </c>
      <c r="J452" s="1">
        <v>173</v>
      </c>
      <c r="K452" s="1">
        <v>2.2000000000000002</v>
      </c>
      <c r="L452" s="4">
        <v>115.66</v>
      </c>
      <c r="M452" s="1">
        <v>0.14000000000000001</v>
      </c>
      <c r="N452" s="1">
        <v>7</v>
      </c>
      <c r="O452" s="1">
        <v>0.8</v>
      </c>
      <c r="P452" s="1">
        <v>417</v>
      </c>
      <c r="Q452" s="1">
        <v>13.22</v>
      </c>
      <c r="R452" s="1">
        <v>0.94</v>
      </c>
      <c r="S452" s="2">
        <v>45364</v>
      </c>
      <c r="T452" s="1">
        <v>118.06</v>
      </c>
      <c r="U452" s="1">
        <v>0.77</v>
      </c>
      <c r="V452" s="6">
        <f t="shared" ref="V452:V515" si="21">C452*L452</f>
        <v>51006.06</v>
      </c>
      <c r="W452" s="6" t="str">
        <f t="shared" ref="W452:W515" si="22">IF(C452&lt;=D452,"Reorder Required","Sufficient")</f>
        <v>Sufficient</v>
      </c>
      <c r="X452" s="8" t="str">
        <f t="shared" ref="X452:X515" si="23">IF(C452&lt;100,"LOW",IF(C452&lt;250,"Medium","High"))</f>
        <v>High</v>
      </c>
    </row>
    <row r="453" spans="1:24">
      <c r="A453" s="7" t="s">
        <v>583</v>
      </c>
      <c r="B453" s="1" t="s">
        <v>33</v>
      </c>
      <c r="C453" s="1">
        <v>430</v>
      </c>
      <c r="D453" s="1">
        <v>88</v>
      </c>
      <c r="E453" s="1">
        <v>13</v>
      </c>
      <c r="F453" s="1">
        <v>3</v>
      </c>
      <c r="G453" s="1">
        <v>2.23</v>
      </c>
      <c r="H453" s="1" t="s">
        <v>122</v>
      </c>
      <c r="I453" s="1" t="s">
        <v>45</v>
      </c>
      <c r="J453" s="1">
        <v>139</v>
      </c>
      <c r="K453" s="1">
        <v>4.62</v>
      </c>
      <c r="L453" s="4">
        <v>79.13</v>
      </c>
      <c r="M453" s="1">
        <v>0.72</v>
      </c>
      <c r="N453" s="1">
        <v>9</v>
      </c>
      <c r="O453" s="1">
        <v>0.79</v>
      </c>
      <c r="P453" s="1">
        <v>64</v>
      </c>
      <c r="Q453" s="1">
        <v>13.67</v>
      </c>
      <c r="R453" s="1">
        <v>0.56000000000000005</v>
      </c>
      <c r="S453" s="2">
        <v>45470</v>
      </c>
      <c r="T453" s="1">
        <v>289.64999999999998</v>
      </c>
      <c r="U453" s="1">
        <v>0.6</v>
      </c>
      <c r="V453" s="6">
        <f t="shared" si="21"/>
        <v>34025.9</v>
      </c>
      <c r="W453" s="6" t="str">
        <f t="shared" si="22"/>
        <v>Sufficient</v>
      </c>
      <c r="X453" s="8" t="str">
        <f t="shared" si="23"/>
        <v>High</v>
      </c>
    </row>
    <row r="454" spans="1:24">
      <c r="A454" s="7" t="s">
        <v>584</v>
      </c>
      <c r="B454" s="1" t="s">
        <v>25</v>
      </c>
      <c r="C454" s="1">
        <v>245</v>
      </c>
      <c r="D454" s="1">
        <v>27</v>
      </c>
      <c r="E454" s="1">
        <v>4</v>
      </c>
      <c r="F454" s="1">
        <v>4</v>
      </c>
      <c r="G454" s="1">
        <v>30.59</v>
      </c>
      <c r="H454" s="1" t="s">
        <v>72</v>
      </c>
      <c r="I454" s="1" t="s">
        <v>39</v>
      </c>
      <c r="J454" s="1">
        <v>73</v>
      </c>
      <c r="K454" s="1">
        <v>4.42</v>
      </c>
      <c r="L454" s="4">
        <v>16.100000000000001</v>
      </c>
      <c r="M454" s="1">
        <v>0.86</v>
      </c>
      <c r="N454" s="1">
        <v>0</v>
      </c>
      <c r="O454" s="1">
        <v>0.95</v>
      </c>
      <c r="P454" s="1">
        <v>228</v>
      </c>
      <c r="Q454" s="1">
        <v>8.1999999999999993</v>
      </c>
      <c r="R454" s="1">
        <v>0.43</v>
      </c>
      <c r="S454" s="2">
        <v>45451</v>
      </c>
      <c r="T454" s="1">
        <v>126.79</v>
      </c>
      <c r="U454" s="1">
        <v>0.69899999999999995</v>
      </c>
      <c r="V454" s="6">
        <f t="shared" si="21"/>
        <v>3944.5000000000005</v>
      </c>
      <c r="W454" s="6" t="str">
        <f t="shared" si="22"/>
        <v>Sufficient</v>
      </c>
      <c r="X454" s="8" t="str">
        <f t="shared" si="23"/>
        <v>Medium</v>
      </c>
    </row>
    <row r="455" spans="1:24">
      <c r="A455" s="7" t="s">
        <v>585</v>
      </c>
      <c r="B455" s="1" t="s">
        <v>29</v>
      </c>
      <c r="C455" s="1">
        <v>34</v>
      </c>
      <c r="D455" s="1">
        <v>11</v>
      </c>
      <c r="E455" s="1">
        <v>7</v>
      </c>
      <c r="F455" s="1">
        <v>9</v>
      </c>
      <c r="G455" s="1">
        <v>8.1199999999999992</v>
      </c>
      <c r="H455" s="1" t="s">
        <v>325</v>
      </c>
      <c r="I455" s="1" t="s">
        <v>39</v>
      </c>
      <c r="J455" s="1">
        <v>38</v>
      </c>
      <c r="K455" s="1">
        <v>2.42</v>
      </c>
      <c r="L455" s="4">
        <v>91.99</v>
      </c>
      <c r="M455" s="1">
        <v>1.31</v>
      </c>
      <c r="N455" s="1">
        <v>3</v>
      </c>
      <c r="O455" s="1">
        <v>0.89</v>
      </c>
      <c r="P455" s="1">
        <v>494</v>
      </c>
      <c r="Q455" s="1">
        <v>1.72</v>
      </c>
      <c r="R455" s="1">
        <v>0.61</v>
      </c>
      <c r="S455" s="2">
        <v>45467</v>
      </c>
      <c r="T455" s="1">
        <v>43.86</v>
      </c>
      <c r="U455" s="1">
        <v>0.53200000000000003</v>
      </c>
      <c r="V455" s="6">
        <f t="shared" si="21"/>
        <v>3127.66</v>
      </c>
      <c r="W455" s="6" t="str">
        <f t="shared" si="22"/>
        <v>Sufficient</v>
      </c>
      <c r="X455" s="8" t="str">
        <f t="shared" si="23"/>
        <v>LOW</v>
      </c>
    </row>
    <row r="456" spans="1:24">
      <c r="A456" s="7" t="s">
        <v>586</v>
      </c>
      <c r="B456" s="1" t="s">
        <v>29</v>
      </c>
      <c r="C456" s="1">
        <v>243</v>
      </c>
      <c r="D456" s="1">
        <v>22</v>
      </c>
      <c r="E456" s="1">
        <v>8</v>
      </c>
      <c r="F456" s="1">
        <v>4</v>
      </c>
      <c r="G456" s="1">
        <v>40.130000000000003</v>
      </c>
      <c r="H456" s="1" t="s">
        <v>276</v>
      </c>
      <c r="I456" s="1" t="s">
        <v>45</v>
      </c>
      <c r="J456" s="1">
        <v>96</v>
      </c>
      <c r="K456" s="1">
        <v>1.54</v>
      </c>
      <c r="L456" s="4">
        <v>156.97999999999999</v>
      </c>
      <c r="M456" s="1">
        <v>1.87</v>
      </c>
      <c r="N456" s="1">
        <v>1</v>
      </c>
      <c r="O456" s="1">
        <v>0.79</v>
      </c>
      <c r="P456" s="1">
        <v>821</v>
      </c>
      <c r="Q456" s="1">
        <v>9.36</v>
      </c>
      <c r="R456" s="1">
        <v>0.27</v>
      </c>
      <c r="S456" s="2">
        <v>45525</v>
      </c>
      <c r="T456" s="1">
        <v>82.65</v>
      </c>
      <c r="U456" s="1">
        <v>0.53</v>
      </c>
      <c r="V456" s="6">
        <f t="shared" si="21"/>
        <v>38146.14</v>
      </c>
      <c r="W456" s="6" t="str">
        <f t="shared" si="22"/>
        <v>Sufficient</v>
      </c>
      <c r="X456" s="8" t="str">
        <f t="shared" si="23"/>
        <v>Medium</v>
      </c>
    </row>
    <row r="457" spans="1:24">
      <c r="A457" s="7" t="s">
        <v>587</v>
      </c>
      <c r="B457" s="1" t="s">
        <v>25</v>
      </c>
      <c r="C457" s="1">
        <v>80</v>
      </c>
      <c r="D457" s="1">
        <v>13</v>
      </c>
      <c r="E457" s="1">
        <v>3</v>
      </c>
      <c r="F457" s="1">
        <v>7</v>
      </c>
      <c r="G457" s="1">
        <v>42.97</v>
      </c>
      <c r="H457" s="1" t="s">
        <v>258</v>
      </c>
      <c r="I457" s="1" t="s">
        <v>27</v>
      </c>
      <c r="J457" s="1">
        <v>105</v>
      </c>
      <c r="K457" s="1">
        <v>1.73</v>
      </c>
      <c r="L457" s="4">
        <v>105.72</v>
      </c>
      <c r="M457" s="1">
        <v>0.49</v>
      </c>
      <c r="N457" s="1">
        <v>7</v>
      </c>
      <c r="O457" s="1">
        <v>0.91</v>
      </c>
      <c r="P457" s="1">
        <v>452</v>
      </c>
      <c r="Q457" s="1">
        <v>5.68</v>
      </c>
      <c r="R457" s="1">
        <v>0.95</v>
      </c>
      <c r="S457" s="2">
        <v>45397</v>
      </c>
      <c r="T457" s="1">
        <v>133.19999999999999</v>
      </c>
      <c r="U457" s="1">
        <v>0.65900000000000003</v>
      </c>
      <c r="V457" s="6">
        <f t="shared" si="21"/>
        <v>8457.6</v>
      </c>
      <c r="W457" s="6" t="str">
        <f t="shared" si="22"/>
        <v>Sufficient</v>
      </c>
      <c r="X457" s="8" t="str">
        <f t="shared" si="23"/>
        <v>LOW</v>
      </c>
    </row>
    <row r="458" spans="1:24">
      <c r="A458" s="7" t="s">
        <v>588</v>
      </c>
      <c r="B458" s="1" t="s">
        <v>41</v>
      </c>
      <c r="C458" s="1">
        <v>141</v>
      </c>
      <c r="D458" s="1">
        <v>51</v>
      </c>
      <c r="E458" s="1">
        <v>13</v>
      </c>
      <c r="F458" s="1">
        <v>7</v>
      </c>
      <c r="G458" s="1">
        <v>24.62</v>
      </c>
      <c r="H458" s="1" t="s">
        <v>57</v>
      </c>
      <c r="I458" s="1" t="s">
        <v>39</v>
      </c>
      <c r="J458" s="1">
        <v>40</v>
      </c>
      <c r="K458" s="1">
        <v>1.49</v>
      </c>
      <c r="L458" s="4">
        <v>131.5</v>
      </c>
      <c r="M458" s="1">
        <v>1.41</v>
      </c>
      <c r="N458" s="1">
        <v>3</v>
      </c>
      <c r="O458" s="1">
        <v>0.8</v>
      </c>
      <c r="P458" s="1">
        <v>137</v>
      </c>
      <c r="Q458" s="1">
        <v>3.89</v>
      </c>
      <c r="R458" s="1">
        <v>0.99</v>
      </c>
      <c r="S458" s="2">
        <v>45558</v>
      </c>
      <c r="T458" s="1">
        <v>184.87</v>
      </c>
      <c r="U458" s="1">
        <v>0.60899999999999999</v>
      </c>
      <c r="V458" s="6">
        <f t="shared" si="21"/>
        <v>18541.5</v>
      </c>
      <c r="W458" s="6" t="str">
        <f t="shared" si="22"/>
        <v>Sufficient</v>
      </c>
      <c r="X458" s="8" t="str">
        <f t="shared" si="23"/>
        <v>Medium</v>
      </c>
    </row>
    <row r="459" spans="1:24">
      <c r="A459" s="7" t="s">
        <v>589</v>
      </c>
      <c r="B459" s="1" t="s">
        <v>29</v>
      </c>
      <c r="C459" s="1">
        <v>296</v>
      </c>
      <c r="D459" s="1">
        <v>83</v>
      </c>
      <c r="E459" s="1">
        <v>6</v>
      </c>
      <c r="F459" s="1">
        <v>6</v>
      </c>
      <c r="G459" s="1">
        <v>39.380000000000003</v>
      </c>
      <c r="H459" s="1" t="s">
        <v>26</v>
      </c>
      <c r="I459" s="1" t="s">
        <v>31</v>
      </c>
      <c r="J459" s="1">
        <v>92</v>
      </c>
      <c r="K459" s="1">
        <v>2.94</v>
      </c>
      <c r="L459" s="4">
        <v>131.55000000000001</v>
      </c>
      <c r="M459" s="1">
        <v>0.28999999999999998</v>
      </c>
      <c r="N459" s="1">
        <v>7</v>
      </c>
      <c r="O459" s="1">
        <v>0.88</v>
      </c>
      <c r="P459" s="1">
        <v>143</v>
      </c>
      <c r="Q459" s="1">
        <v>3.56</v>
      </c>
      <c r="R459" s="1">
        <v>0.72</v>
      </c>
      <c r="S459" s="2">
        <v>45539</v>
      </c>
      <c r="T459" s="1">
        <v>189.25</v>
      </c>
      <c r="U459" s="1">
        <v>0.59799999999999998</v>
      </c>
      <c r="V459" s="6">
        <f t="shared" si="21"/>
        <v>38938.800000000003</v>
      </c>
      <c r="W459" s="6" t="str">
        <f t="shared" si="22"/>
        <v>Sufficient</v>
      </c>
      <c r="X459" s="8" t="str">
        <f t="shared" si="23"/>
        <v>High</v>
      </c>
    </row>
    <row r="460" spans="1:24">
      <c r="A460" s="7" t="s">
        <v>590</v>
      </c>
      <c r="B460" s="1" t="s">
        <v>33</v>
      </c>
      <c r="C460" s="1">
        <v>65</v>
      </c>
      <c r="D460" s="1">
        <v>70</v>
      </c>
      <c r="E460" s="1">
        <v>11</v>
      </c>
      <c r="F460" s="1">
        <v>9</v>
      </c>
      <c r="G460" s="1">
        <v>8.11</v>
      </c>
      <c r="H460" s="1" t="s">
        <v>61</v>
      </c>
      <c r="I460" s="1" t="s">
        <v>45</v>
      </c>
      <c r="J460" s="1">
        <v>152</v>
      </c>
      <c r="K460" s="1">
        <v>4.41</v>
      </c>
      <c r="L460" s="4">
        <v>137.49</v>
      </c>
      <c r="M460" s="1">
        <v>0.46</v>
      </c>
      <c r="N460" s="1">
        <v>1</v>
      </c>
      <c r="O460" s="1">
        <v>1</v>
      </c>
      <c r="P460" s="1">
        <v>894</v>
      </c>
      <c r="Q460" s="1">
        <v>8.83</v>
      </c>
      <c r="R460" s="1">
        <v>0.8</v>
      </c>
      <c r="S460" s="2">
        <v>45470</v>
      </c>
      <c r="T460" s="1">
        <v>230.05</v>
      </c>
      <c r="U460" s="1">
        <v>0.81200000000000006</v>
      </c>
      <c r="V460" s="6">
        <f t="shared" si="21"/>
        <v>8936.85</v>
      </c>
      <c r="W460" s="6" t="str">
        <f t="shared" si="22"/>
        <v>Reorder Required</v>
      </c>
      <c r="X460" s="8" t="str">
        <f t="shared" si="23"/>
        <v>LOW</v>
      </c>
    </row>
    <row r="461" spans="1:24">
      <c r="A461" s="7" t="s">
        <v>591</v>
      </c>
      <c r="B461" s="1" t="s">
        <v>41</v>
      </c>
      <c r="C461" s="1">
        <v>472</v>
      </c>
      <c r="D461" s="1">
        <v>17</v>
      </c>
      <c r="E461" s="1">
        <v>4</v>
      </c>
      <c r="F461" s="1">
        <v>5</v>
      </c>
      <c r="G461" s="1">
        <v>25.11</v>
      </c>
      <c r="H461" s="1" t="s">
        <v>38</v>
      </c>
      <c r="I461" s="1" t="s">
        <v>27</v>
      </c>
      <c r="J461" s="1">
        <v>42</v>
      </c>
      <c r="K461" s="1">
        <v>3.98</v>
      </c>
      <c r="L461" s="4">
        <v>83.64</v>
      </c>
      <c r="M461" s="1">
        <v>1.07</v>
      </c>
      <c r="N461" s="1">
        <v>3</v>
      </c>
      <c r="O461" s="1">
        <v>0.79</v>
      </c>
      <c r="P461" s="1">
        <v>444</v>
      </c>
      <c r="Q461" s="1">
        <v>2.46</v>
      </c>
      <c r="R461" s="1">
        <v>0.46</v>
      </c>
      <c r="S461" s="2">
        <v>45535</v>
      </c>
      <c r="T461" s="1">
        <v>197.88</v>
      </c>
      <c r="U461" s="1">
        <v>0.51600000000000001</v>
      </c>
      <c r="V461" s="6">
        <f t="shared" si="21"/>
        <v>39478.080000000002</v>
      </c>
      <c r="W461" s="6" t="str">
        <f t="shared" si="22"/>
        <v>Sufficient</v>
      </c>
      <c r="X461" s="8" t="str">
        <f t="shared" si="23"/>
        <v>High</v>
      </c>
    </row>
    <row r="462" spans="1:24">
      <c r="A462" s="7" t="s">
        <v>592</v>
      </c>
      <c r="B462" s="1" t="s">
        <v>33</v>
      </c>
      <c r="C462" s="1">
        <v>409</v>
      </c>
      <c r="D462" s="1">
        <v>76</v>
      </c>
      <c r="E462" s="1">
        <v>7</v>
      </c>
      <c r="F462" s="1">
        <v>2</v>
      </c>
      <c r="G462" s="1">
        <v>20.3</v>
      </c>
      <c r="H462" s="1" t="s">
        <v>124</v>
      </c>
      <c r="I462" s="1" t="s">
        <v>39</v>
      </c>
      <c r="J462" s="1">
        <v>109</v>
      </c>
      <c r="K462" s="1">
        <v>4.08</v>
      </c>
      <c r="L462" s="4">
        <v>80.3</v>
      </c>
      <c r="M462" s="1">
        <v>1.45</v>
      </c>
      <c r="N462" s="1">
        <v>8</v>
      </c>
      <c r="O462" s="1">
        <v>0.98</v>
      </c>
      <c r="P462" s="1">
        <v>77</v>
      </c>
      <c r="Q462" s="1">
        <v>12.5</v>
      </c>
      <c r="R462" s="1">
        <v>0.89</v>
      </c>
      <c r="S462" s="2">
        <v>45341</v>
      </c>
      <c r="T462" s="1">
        <v>152.54</v>
      </c>
      <c r="U462" s="1">
        <v>0.63600000000000001</v>
      </c>
      <c r="V462" s="6">
        <f t="shared" si="21"/>
        <v>32842.699999999997</v>
      </c>
      <c r="W462" s="6" t="str">
        <f t="shared" si="22"/>
        <v>Sufficient</v>
      </c>
      <c r="X462" s="8" t="str">
        <f t="shared" si="23"/>
        <v>High</v>
      </c>
    </row>
    <row r="463" spans="1:24">
      <c r="A463" s="7" t="s">
        <v>593</v>
      </c>
      <c r="B463" s="1" t="s">
        <v>66</v>
      </c>
      <c r="C463" s="1">
        <v>313</v>
      </c>
      <c r="D463" s="1">
        <v>72</v>
      </c>
      <c r="E463" s="1">
        <v>3</v>
      </c>
      <c r="F463" s="1">
        <v>7</v>
      </c>
      <c r="G463" s="1">
        <v>30.95</v>
      </c>
      <c r="H463" s="1" t="s">
        <v>95</v>
      </c>
      <c r="I463" s="1" t="s">
        <v>39</v>
      </c>
      <c r="J463" s="1">
        <v>157</v>
      </c>
      <c r="K463" s="1">
        <v>2.52</v>
      </c>
      <c r="L463" s="4">
        <v>10.87</v>
      </c>
      <c r="M463" s="1">
        <v>1.73</v>
      </c>
      <c r="N463" s="1">
        <v>4</v>
      </c>
      <c r="O463" s="1">
        <v>0.8</v>
      </c>
      <c r="P463" s="1">
        <v>746</v>
      </c>
      <c r="Q463" s="1">
        <v>4.18</v>
      </c>
      <c r="R463" s="1">
        <v>0.92</v>
      </c>
      <c r="S463" s="2">
        <v>45516</v>
      </c>
      <c r="T463" s="1">
        <v>18.75</v>
      </c>
      <c r="U463" s="1">
        <v>0.54700000000000004</v>
      </c>
      <c r="V463" s="6">
        <f t="shared" si="21"/>
        <v>3402.31</v>
      </c>
      <c r="W463" s="6" t="str">
        <f t="shared" si="22"/>
        <v>Sufficient</v>
      </c>
      <c r="X463" s="8" t="str">
        <f t="shared" si="23"/>
        <v>High</v>
      </c>
    </row>
    <row r="464" spans="1:24">
      <c r="A464" s="7" t="s">
        <v>594</v>
      </c>
      <c r="B464" s="1" t="s">
        <v>41</v>
      </c>
      <c r="C464" s="1">
        <v>81</v>
      </c>
      <c r="D464" s="1">
        <v>18</v>
      </c>
      <c r="E464" s="1">
        <v>6</v>
      </c>
      <c r="F464" s="1">
        <v>3</v>
      </c>
      <c r="G464" s="1">
        <v>3.18</v>
      </c>
      <c r="H464" s="1" t="s">
        <v>394</v>
      </c>
      <c r="I464" s="1" t="s">
        <v>27</v>
      </c>
      <c r="J464" s="1">
        <v>82</v>
      </c>
      <c r="K464" s="1">
        <v>1.95</v>
      </c>
      <c r="L464" s="4">
        <v>39.299999999999997</v>
      </c>
      <c r="M464" s="1">
        <v>1.51</v>
      </c>
      <c r="N464" s="1">
        <v>5</v>
      </c>
      <c r="O464" s="1">
        <v>0.86</v>
      </c>
      <c r="P464" s="1">
        <v>124</v>
      </c>
      <c r="Q464" s="1">
        <v>8.69</v>
      </c>
      <c r="R464" s="1">
        <v>0.26</v>
      </c>
      <c r="S464" s="2">
        <v>45648</v>
      </c>
      <c r="T464" s="1">
        <v>211.56</v>
      </c>
      <c r="U464" s="1">
        <v>0.48899999999999999</v>
      </c>
      <c r="V464" s="6">
        <f t="shared" si="21"/>
        <v>3183.2999999999997</v>
      </c>
      <c r="W464" s="6" t="str">
        <f t="shared" si="22"/>
        <v>Sufficient</v>
      </c>
      <c r="X464" s="8" t="str">
        <f t="shared" si="23"/>
        <v>LOW</v>
      </c>
    </row>
    <row r="465" spans="1:24">
      <c r="A465" s="7" t="s">
        <v>595</v>
      </c>
      <c r="B465" s="1" t="s">
        <v>29</v>
      </c>
      <c r="C465" s="1">
        <v>105</v>
      </c>
      <c r="D465" s="1">
        <v>20</v>
      </c>
      <c r="E465" s="1">
        <v>6</v>
      </c>
      <c r="F465" s="1">
        <v>3</v>
      </c>
      <c r="G465" s="1">
        <v>37.85</v>
      </c>
      <c r="H465" s="1" t="s">
        <v>159</v>
      </c>
      <c r="I465" s="1" t="s">
        <v>31</v>
      </c>
      <c r="J465" s="1">
        <v>175</v>
      </c>
      <c r="K465" s="1">
        <v>3.91</v>
      </c>
      <c r="L465" s="4">
        <v>190.65</v>
      </c>
      <c r="M465" s="1">
        <v>0.13</v>
      </c>
      <c r="N465" s="1">
        <v>9</v>
      </c>
      <c r="O465" s="1">
        <v>0.84</v>
      </c>
      <c r="P465" s="1">
        <v>103</v>
      </c>
      <c r="Q465" s="1">
        <v>2.76</v>
      </c>
      <c r="R465" s="1">
        <v>0.31</v>
      </c>
      <c r="S465" s="2">
        <v>45523</v>
      </c>
      <c r="T465" s="1">
        <v>34.78</v>
      </c>
      <c r="U465" s="1">
        <v>0.47399999999999998</v>
      </c>
      <c r="V465" s="6">
        <f t="shared" si="21"/>
        <v>20018.25</v>
      </c>
      <c r="W465" s="6" t="str">
        <f t="shared" si="22"/>
        <v>Sufficient</v>
      </c>
      <c r="X465" s="8" t="str">
        <f t="shared" si="23"/>
        <v>Medium</v>
      </c>
    </row>
    <row r="466" spans="1:24">
      <c r="A466" s="7" t="s">
        <v>596</v>
      </c>
      <c r="B466" s="1" t="s">
        <v>41</v>
      </c>
      <c r="C466" s="1">
        <v>465</v>
      </c>
      <c r="D466" s="1">
        <v>51</v>
      </c>
      <c r="E466" s="1">
        <v>8</v>
      </c>
      <c r="F466" s="1">
        <v>3</v>
      </c>
      <c r="G466" s="1">
        <v>4.88</v>
      </c>
      <c r="H466" s="1" t="s">
        <v>346</v>
      </c>
      <c r="I466" s="1" t="s">
        <v>45</v>
      </c>
      <c r="J466" s="1">
        <v>140</v>
      </c>
      <c r="K466" s="1">
        <v>4.07</v>
      </c>
      <c r="L466" s="4">
        <v>170.06</v>
      </c>
      <c r="M466" s="1">
        <v>1.4</v>
      </c>
      <c r="N466" s="1">
        <v>8</v>
      </c>
      <c r="O466" s="1">
        <v>0.93</v>
      </c>
      <c r="P466" s="1">
        <v>370</v>
      </c>
      <c r="Q466" s="1">
        <v>13.03</v>
      </c>
      <c r="R466" s="1">
        <v>0.41</v>
      </c>
      <c r="S466" s="2">
        <v>45455</v>
      </c>
      <c r="T466" s="1">
        <v>145.96</v>
      </c>
      <c r="U466" s="1">
        <v>0.54200000000000004</v>
      </c>
      <c r="V466" s="6">
        <f t="shared" si="21"/>
        <v>79077.899999999994</v>
      </c>
      <c r="W466" s="6" t="str">
        <f t="shared" si="22"/>
        <v>Sufficient</v>
      </c>
      <c r="X466" s="8" t="str">
        <f t="shared" si="23"/>
        <v>High</v>
      </c>
    </row>
    <row r="467" spans="1:24">
      <c r="A467" s="7" t="s">
        <v>597</v>
      </c>
      <c r="B467" s="1" t="s">
        <v>41</v>
      </c>
      <c r="C467" s="1">
        <v>229</v>
      </c>
      <c r="D467" s="1">
        <v>22</v>
      </c>
      <c r="E467" s="1">
        <v>12</v>
      </c>
      <c r="F467" s="1">
        <v>8</v>
      </c>
      <c r="G467" s="1">
        <v>33.17</v>
      </c>
      <c r="H467" s="1" t="s">
        <v>26</v>
      </c>
      <c r="I467" s="1" t="s">
        <v>39</v>
      </c>
      <c r="J467" s="1">
        <v>27</v>
      </c>
      <c r="K467" s="1">
        <v>3.63</v>
      </c>
      <c r="L467" s="4">
        <v>62.27</v>
      </c>
      <c r="M467" s="1">
        <v>1.67</v>
      </c>
      <c r="N467" s="1">
        <v>8</v>
      </c>
      <c r="O467" s="1">
        <v>0.72</v>
      </c>
      <c r="P467" s="1">
        <v>608</v>
      </c>
      <c r="Q467" s="1">
        <v>10.69</v>
      </c>
      <c r="R467" s="1">
        <v>0.76</v>
      </c>
      <c r="S467" s="2">
        <v>45326</v>
      </c>
      <c r="T467" s="1">
        <v>269.95</v>
      </c>
      <c r="U467" s="1">
        <v>0.51200000000000001</v>
      </c>
      <c r="V467" s="6">
        <f t="shared" si="21"/>
        <v>14259.83</v>
      </c>
      <c r="W467" s="6" t="str">
        <f t="shared" si="22"/>
        <v>Sufficient</v>
      </c>
      <c r="X467" s="8" t="str">
        <f t="shared" si="23"/>
        <v>Medium</v>
      </c>
    </row>
    <row r="468" spans="1:24">
      <c r="A468" s="7" t="s">
        <v>598</v>
      </c>
      <c r="B468" s="1" t="s">
        <v>41</v>
      </c>
      <c r="C468" s="1">
        <v>97</v>
      </c>
      <c r="D468" s="1">
        <v>45</v>
      </c>
      <c r="E468" s="1">
        <v>11</v>
      </c>
      <c r="F468" s="1">
        <v>9</v>
      </c>
      <c r="G468" s="1">
        <v>1.9</v>
      </c>
      <c r="H468" s="1" t="s">
        <v>122</v>
      </c>
      <c r="I468" s="1" t="s">
        <v>31</v>
      </c>
      <c r="J468" s="1">
        <v>135</v>
      </c>
      <c r="K468" s="1">
        <v>0.64</v>
      </c>
      <c r="L468" s="4">
        <v>86.23</v>
      </c>
      <c r="M468" s="1">
        <v>1.1000000000000001</v>
      </c>
      <c r="N468" s="1">
        <v>6</v>
      </c>
      <c r="O468" s="1">
        <v>0.89</v>
      </c>
      <c r="P468" s="1">
        <v>809</v>
      </c>
      <c r="Q468" s="1">
        <v>3.89</v>
      </c>
      <c r="R468" s="1">
        <v>0.35</v>
      </c>
      <c r="S468" s="2">
        <v>45445</v>
      </c>
      <c r="T468" s="1">
        <v>183.09</v>
      </c>
      <c r="U468" s="1">
        <v>0.47</v>
      </c>
      <c r="V468" s="6">
        <f t="shared" si="21"/>
        <v>8364.31</v>
      </c>
      <c r="W468" s="6" t="str">
        <f t="shared" si="22"/>
        <v>Sufficient</v>
      </c>
      <c r="X468" s="8" t="str">
        <f t="shared" si="23"/>
        <v>LOW</v>
      </c>
    </row>
    <row r="469" spans="1:24">
      <c r="A469" s="7" t="s">
        <v>599</v>
      </c>
      <c r="B469" s="1" t="s">
        <v>41</v>
      </c>
      <c r="C469" s="1">
        <v>221</v>
      </c>
      <c r="D469" s="1">
        <v>22</v>
      </c>
      <c r="E469" s="1">
        <v>5</v>
      </c>
      <c r="F469" s="1">
        <v>9</v>
      </c>
      <c r="G469" s="1">
        <v>41.76</v>
      </c>
      <c r="H469" s="1" t="s">
        <v>99</v>
      </c>
      <c r="I469" s="1" t="s">
        <v>45</v>
      </c>
      <c r="J469" s="1">
        <v>16</v>
      </c>
      <c r="K469" s="1">
        <v>3.15</v>
      </c>
      <c r="L469" s="4">
        <v>188.59</v>
      </c>
      <c r="M469" s="1">
        <v>1.93</v>
      </c>
      <c r="N469" s="1">
        <v>1</v>
      </c>
      <c r="O469" s="1">
        <v>0.93</v>
      </c>
      <c r="P469" s="1">
        <v>283</v>
      </c>
      <c r="Q469" s="1">
        <v>11.02</v>
      </c>
      <c r="R469" s="1">
        <v>0.38</v>
      </c>
      <c r="S469" s="2">
        <v>45314</v>
      </c>
      <c r="T469" s="1">
        <v>67.7</v>
      </c>
      <c r="U469" s="1">
        <v>0.59599999999999997</v>
      </c>
      <c r="V469" s="6">
        <f t="shared" si="21"/>
        <v>41678.39</v>
      </c>
      <c r="W469" s="6" t="str">
        <f t="shared" si="22"/>
        <v>Sufficient</v>
      </c>
      <c r="X469" s="8" t="str">
        <f t="shared" si="23"/>
        <v>Medium</v>
      </c>
    </row>
    <row r="470" spans="1:24">
      <c r="A470" s="7" t="s">
        <v>600</v>
      </c>
      <c r="B470" s="1" t="s">
        <v>33</v>
      </c>
      <c r="C470" s="1">
        <v>321</v>
      </c>
      <c r="D470" s="1">
        <v>21</v>
      </c>
      <c r="E470" s="1">
        <v>11</v>
      </c>
      <c r="F470" s="1">
        <v>7</v>
      </c>
      <c r="G470" s="1">
        <v>9.56</v>
      </c>
      <c r="H470" s="1" t="s">
        <v>36</v>
      </c>
      <c r="I470" s="1" t="s">
        <v>31</v>
      </c>
      <c r="J470" s="1">
        <v>172</v>
      </c>
      <c r="K470" s="1">
        <v>2.06</v>
      </c>
      <c r="L470" s="4">
        <v>57.58</v>
      </c>
      <c r="M470" s="1">
        <v>0.11</v>
      </c>
      <c r="N470" s="1">
        <v>6</v>
      </c>
      <c r="O470" s="1">
        <v>0.84</v>
      </c>
      <c r="P470" s="1">
        <v>679</v>
      </c>
      <c r="Q470" s="1">
        <v>2.16</v>
      </c>
      <c r="R470" s="1">
        <v>0.51</v>
      </c>
      <c r="S470" s="2">
        <v>45655</v>
      </c>
      <c r="T470" s="1">
        <v>244.31</v>
      </c>
      <c r="U470" s="1">
        <v>0.56799999999999995</v>
      </c>
      <c r="V470" s="6">
        <f t="shared" si="21"/>
        <v>18483.18</v>
      </c>
      <c r="W470" s="6" t="str">
        <f t="shared" si="22"/>
        <v>Sufficient</v>
      </c>
      <c r="X470" s="8" t="str">
        <f t="shared" si="23"/>
        <v>High</v>
      </c>
    </row>
    <row r="471" spans="1:24">
      <c r="A471" s="7" t="s">
        <v>601</v>
      </c>
      <c r="B471" s="1" t="s">
        <v>66</v>
      </c>
      <c r="C471" s="1">
        <v>416</v>
      </c>
      <c r="D471" s="1">
        <v>46</v>
      </c>
      <c r="E471" s="1">
        <v>8</v>
      </c>
      <c r="F471" s="1">
        <v>7</v>
      </c>
      <c r="G471" s="1">
        <v>26.26</v>
      </c>
      <c r="H471" s="1" t="s">
        <v>370</v>
      </c>
      <c r="I471" s="1" t="s">
        <v>45</v>
      </c>
      <c r="J471" s="1">
        <v>133</v>
      </c>
      <c r="K471" s="1">
        <v>1.38</v>
      </c>
      <c r="L471" s="4">
        <v>111.18</v>
      </c>
      <c r="M471" s="1">
        <v>1.66</v>
      </c>
      <c r="N471" s="1">
        <v>8</v>
      </c>
      <c r="O471" s="1">
        <v>0.73</v>
      </c>
      <c r="P471" s="1">
        <v>821</v>
      </c>
      <c r="Q471" s="1">
        <v>11.81</v>
      </c>
      <c r="R471" s="1">
        <v>0.69</v>
      </c>
      <c r="S471" s="2">
        <v>45350</v>
      </c>
      <c r="T471" s="1">
        <v>97.12</v>
      </c>
      <c r="U471" s="1">
        <v>0.51500000000000001</v>
      </c>
      <c r="V471" s="6">
        <f t="shared" si="21"/>
        <v>46250.880000000005</v>
      </c>
      <c r="W471" s="6" t="str">
        <f t="shared" si="22"/>
        <v>Sufficient</v>
      </c>
      <c r="X471" s="8" t="str">
        <f t="shared" si="23"/>
        <v>High</v>
      </c>
    </row>
    <row r="472" spans="1:24">
      <c r="A472" s="7" t="s">
        <v>602</v>
      </c>
      <c r="B472" s="1" t="s">
        <v>25</v>
      </c>
      <c r="C472" s="1">
        <v>242</v>
      </c>
      <c r="D472" s="1">
        <v>83</v>
      </c>
      <c r="E472" s="1">
        <v>9</v>
      </c>
      <c r="F472" s="1">
        <v>3</v>
      </c>
      <c r="G472" s="1">
        <v>13.81</v>
      </c>
      <c r="H472" s="1" t="s">
        <v>137</v>
      </c>
      <c r="I472" s="1" t="s">
        <v>45</v>
      </c>
      <c r="J472" s="1">
        <v>123</v>
      </c>
      <c r="K472" s="1">
        <v>3.62</v>
      </c>
      <c r="L472" s="4">
        <v>14.2</v>
      </c>
      <c r="M472" s="1">
        <v>0.74</v>
      </c>
      <c r="N472" s="1">
        <v>1</v>
      </c>
      <c r="O472" s="1">
        <v>0.77</v>
      </c>
      <c r="P472" s="1">
        <v>279</v>
      </c>
      <c r="Q472" s="1">
        <v>7.86</v>
      </c>
      <c r="R472" s="1">
        <v>0.98</v>
      </c>
      <c r="S472" s="2">
        <v>45303</v>
      </c>
      <c r="T472" s="1">
        <v>177.41</v>
      </c>
      <c r="U472" s="1">
        <v>0.76100000000000001</v>
      </c>
      <c r="V472" s="6">
        <f t="shared" si="21"/>
        <v>3436.3999999999996</v>
      </c>
      <c r="W472" s="6" t="str">
        <f t="shared" si="22"/>
        <v>Sufficient</v>
      </c>
      <c r="X472" s="8" t="str">
        <f t="shared" si="23"/>
        <v>Medium</v>
      </c>
    </row>
    <row r="473" spans="1:24">
      <c r="A473" s="7" t="s">
        <v>603</v>
      </c>
      <c r="B473" s="1" t="s">
        <v>41</v>
      </c>
      <c r="C473" s="1">
        <v>241</v>
      </c>
      <c r="D473" s="1">
        <v>82</v>
      </c>
      <c r="E473" s="1">
        <v>14</v>
      </c>
      <c r="F473" s="1">
        <v>9</v>
      </c>
      <c r="G473" s="1">
        <v>36.409999999999997</v>
      </c>
      <c r="H473" s="1" t="s">
        <v>151</v>
      </c>
      <c r="I473" s="1" t="s">
        <v>31</v>
      </c>
      <c r="J473" s="1">
        <v>93</v>
      </c>
      <c r="K473" s="1">
        <v>1.71</v>
      </c>
      <c r="L473" s="4">
        <v>127.75</v>
      </c>
      <c r="M473" s="1">
        <v>1.34</v>
      </c>
      <c r="N473" s="1">
        <v>6</v>
      </c>
      <c r="O473" s="1">
        <v>0.9</v>
      </c>
      <c r="P473" s="1">
        <v>851</v>
      </c>
      <c r="Q473" s="1">
        <v>2.68</v>
      </c>
      <c r="R473" s="1">
        <v>0.83</v>
      </c>
      <c r="S473" s="2">
        <v>45467</v>
      </c>
      <c r="T473" s="1">
        <v>194.4</v>
      </c>
      <c r="U473" s="1">
        <v>0.52800000000000002</v>
      </c>
      <c r="V473" s="6">
        <f t="shared" si="21"/>
        <v>30787.75</v>
      </c>
      <c r="W473" s="6" t="str">
        <f t="shared" si="22"/>
        <v>Sufficient</v>
      </c>
      <c r="X473" s="8" t="str">
        <f t="shared" si="23"/>
        <v>Medium</v>
      </c>
    </row>
    <row r="474" spans="1:24">
      <c r="A474" s="7" t="s">
        <v>604</v>
      </c>
      <c r="B474" s="1" t="s">
        <v>29</v>
      </c>
      <c r="C474" s="1">
        <v>22</v>
      </c>
      <c r="D474" s="1">
        <v>61</v>
      </c>
      <c r="E474" s="1">
        <v>12</v>
      </c>
      <c r="F474" s="1">
        <v>9</v>
      </c>
      <c r="G474" s="1">
        <v>16.75</v>
      </c>
      <c r="H474" s="1" t="s">
        <v>61</v>
      </c>
      <c r="I474" s="1" t="s">
        <v>45</v>
      </c>
      <c r="J474" s="1">
        <v>93</v>
      </c>
      <c r="K474" s="1">
        <v>4.6100000000000003</v>
      </c>
      <c r="L474" s="4">
        <v>186.71</v>
      </c>
      <c r="M474" s="1">
        <v>1.42</v>
      </c>
      <c r="N474" s="1">
        <v>6</v>
      </c>
      <c r="O474" s="1">
        <v>0.97</v>
      </c>
      <c r="P474" s="1">
        <v>802</v>
      </c>
      <c r="Q474" s="1">
        <v>8.7100000000000009</v>
      </c>
      <c r="R474" s="1">
        <v>0.65</v>
      </c>
      <c r="S474" s="2">
        <v>45623</v>
      </c>
      <c r="T474" s="1">
        <v>222.03</v>
      </c>
      <c r="U474" s="1">
        <v>0.57799999999999996</v>
      </c>
      <c r="V474" s="6">
        <f t="shared" si="21"/>
        <v>4107.62</v>
      </c>
      <c r="W474" s="6" t="str">
        <f t="shared" si="22"/>
        <v>Reorder Required</v>
      </c>
      <c r="X474" s="8" t="str">
        <f t="shared" si="23"/>
        <v>LOW</v>
      </c>
    </row>
    <row r="475" spans="1:24">
      <c r="A475" s="7" t="s">
        <v>605</v>
      </c>
      <c r="B475" s="1" t="s">
        <v>41</v>
      </c>
      <c r="C475" s="1">
        <v>497</v>
      </c>
      <c r="D475" s="1">
        <v>80</v>
      </c>
      <c r="E475" s="1">
        <v>4</v>
      </c>
      <c r="F475" s="1">
        <v>7</v>
      </c>
      <c r="G475" s="1">
        <v>36.51</v>
      </c>
      <c r="H475" s="1" t="s">
        <v>77</v>
      </c>
      <c r="I475" s="1" t="s">
        <v>39</v>
      </c>
      <c r="J475" s="1">
        <v>92</v>
      </c>
      <c r="K475" s="1">
        <v>1.84</v>
      </c>
      <c r="L475" s="4">
        <v>178.1</v>
      </c>
      <c r="M475" s="1">
        <v>0.68</v>
      </c>
      <c r="N475" s="1">
        <v>2</v>
      </c>
      <c r="O475" s="1">
        <v>0.83</v>
      </c>
      <c r="P475" s="1">
        <v>381</v>
      </c>
      <c r="Q475" s="1">
        <v>3.81</v>
      </c>
      <c r="R475" s="1">
        <v>0.24</v>
      </c>
      <c r="S475" s="2">
        <v>45347</v>
      </c>
      <c r="T475" s="1">
        <v>28.84</v>
      </c>
      <c r="U475" s="1">
        <v>0.55700000000000005</v>
      </c>
      <c r="V475" s="6">
        <f t="shared" si="21"/>
        <v>88515.7</v>
      </c>
      <c r="W475" s="6" t="str">
        <f t="shared" si="22"/>
        <v>Sufficient</v>
      </c>
      <c r="X475" s="8" t="str">
        <f t="shared" si="23"/>
        <v>High</v>
      </c>
    </row>
    <row r="476" spans="1:24">
      <c r="A476" s="7" t="s">
        <v>606</v>
      </c>
      <c r="B476" s="1" t="s">
        <v>29</v>
      </c>
      <c r="C476" s="1">
        <v>25</v>
      </c>
      <c r="D476" s="1">
        <v>11</v>
      </c>
      <c r="E476" s="1">
        <v>13</v>
      </c>
      <c r="F476" s="1">
        <v>8</v>
      </c>
      <c r="G476" s="1">
        <v>14.96</v>
      </c>
      <c r="H476" s="1" t="s">
        <v>279</v>
      </c>
      <c r="I476" s="1" t="s">
        <v>39</v>
      </c>
      <c r="J476" s="1">
        <v>114</v>
      </c>
      <c r="K476" s="1">
        <v>3</v>
      </c>
      <c r="L476" s="4">
        <v>105.37</v>
      </c>
      <c r="M476" s="1">
        <v>1.99</v>
      </c>
      <c r="N476" s="1">
        <v>5</v>
      </c>
      <c r="O476" s="1">
        <v>0.87</v>
      </c>
      <c r="P476" s="1">
        <v>743</v>
      </c>
      <c r="Q476" s="1">
        <v>10.42</v>
      </c>
      <c r="R476" s="1">
        <v>0.61</v>
      </c>
      <c r="S476" s="2">
        <v>45638</v>
      </c>
      <c r="T476" s="1">
        <v>257.74</v>
      </c>
      <c r="U476" s="1">
        <v>0.53600000000000003</v>
      </c>
      <c r="V476" s="6">
        <f t="shared" si="21"/>
        <v>2634.25</v>
      </c>
      <c r="W476" s="6" t="str">
        <f t="shared" si="22"/>
        <v>Sufficient</v>
      </c>
      <c r="X476" s="8" t="str">
        <f t="shared" si="23"/>
        <v>LOW</v>
      </c>
    </row>
    <row r="477" spans="1:24">
      <c r="A477" s="7" t="s">
        <v>607</v>
      </c>
      <c r="B477" s="1" t="s">
        <v>33</v>
      </c>
      <c r="C477" s="1">
        <v>112</v>
      </c>
      <c r="D477" s="1">
        <v>65</v>
      </c>
      <c r="E477" s="1">
        <v>12</v>
      </c>
      <c r="F477" s="1">
        <v>2</v>
      </c>
      <c r="G477" s="1">
        <v>37.869999999999997</v>
      </c>
      <c r="H477" s="1" t="s">
        <v>30</v>
      </c>
      <c r="I477" s="1" t="s">
        <v>31</v>
      </c>
      <c r="J477" s="1">
        <v>111</v>
      </c>
      <c r="K477" s="1">
        <v>4.22</v>
      </c>
      <c r="L477" s="4">
        <v>133.43</v>
      </c>
      <c r="M477" s="1">
        <v>0.3</v>
      </c>
      <c r="N477" s="1">
        <v>7</v>
      </c>
      <c r="O477" s="1">
        <v>0.77</v>
      </c>
      <c r="P477" s="1">
        <v>521</v>
      </c>
      <c r="Q477" s="1">
        <v>10.92</v>
      </c>
      <c r="R477" s="1">
        <v>0.36</v>
      </c>
      <c r="S477" s="2">
        <v>45376</v>
      </c>
      <c r="T477" s="1">
        <v>43.02</v>
      </c>
      <c r="U477" s="1">
        <v>0.60199999999999998</v>
      </c>
      <c r="V477" s="6">
        <f t="shared" si="21"/>
        <v>14944.16</v>
      </c>
      <c r="W477" s="6" t="str">
        <f t="shared" si="22"/>
        <v>Sufficient</v>
      </c>
      <c r="X477" s="8" t="str">
        <f t="shared" si="23"/>
        <v>Medium</v>
      </c>
    </row>
    <row r="478" spans="1:24">
      <c r="A478" s="7" t="s">
        <v>608</v>
      </c>
      <c r="B478" s="1" t="s">
        <v>29</v>
      </c>
      <c r="C478" s="1">
        <v>27</v>
      </c>
      <c r="D478" s="1">
        <v>69</v>
      </c>
      <c r="E478" s="1">
        <v>8</v>
      </c>
      <c r="F478" s="1">
        <v>2</v>
      </c>
      <c r="G478" s="1">
        <v>2.5</v>
      </c>
      <c r="H478" s="1" t="s">
        <v>185</v>
      </c>
      <c r="I478" s="1" t="s">
        <v>31</v>
      </c>
      <c r="J478" s="1">
        <v>102</v>
      </c>
      <c r="K478" s="1">
        <v>2.31</v>
      </c>
      <c r="L478" s="4">
        <v>118.26</v>
      </c>
      <c r="M478" s="1">
        <v>0.4</v>
      </c>
      <c r="N478" s="1">
        <v>9</v>
      </c>
      <c r="O478" s="1">
        <v>0.82</v>
      </c>
      <c r="P478" s="1">
        <v>366</v>
      </c>
      <c r="Q478" s="1">
        <v>11.65</v>
      </c>
      <c r="R478" s="1">
        <v>0.44</v>
      </c>
      <c r="S478" s="2">
        <v>45416</v>
      </c>
      <c r="T478" s="1">
        <v>37.409999999999997</v>
      </c>
      <c r="U478" s="1">
        <v>0.58699999999999997</v>
      </c>
      <c r="V478" s="6">
        <f t="shared" si="21"/>
        <v>3193.02</v>
      </c>
      <c r="W478" s="6" t="str">
        <f t="shared" si="22"/>
        <v>Reorder Required</v>
      </c>
      <c r="X478" s="8" t="str">
        <f t="shared" si="23"/>
        <v>LOW</v>
      </c>
    </row>
    <row r="479" spans="1:24">
      <c r="A479" s="7" t="s">
        <v>609</v>
      </c>
      <c r="B479" s="1" t="s">
        <v>25</v>
      </c>
      <c r="C479" s="1">
        <v>447</v>
      </c>
      <c r="D479" s="1">
        <v>32</v>
      </c>
      <c r="E479" s="1">
        <v>8</v>
      </c>
      <c r="F479" s="1">
        <v>6</v>
      </c>
      <c r="G479" s="1">
        <v>14.88</v>
      </c>
      <c r="H479" s="1" t="s">
        <v>200</v>
      </c>
      <c r="I479" s="1" t="s">
        <v>45</v>
      </c>
      <c r="J479" s="1">
        <v>69</v>
      </c>
      <c r="K479" s="1">
        <v>4.2300000000000004</v>
      </c>
      <c r="L479" s="4">
        <v>22.73</v>
      </c>
      <c r="M479" s="1">
        <v>1.8</v>
      </c>
      <c r="N479" s="1">
        <v>7</v>
      </c>
      <c r="O479" s="1">
        <v>0.8</v>
      </c>
      <c r="P479" s="1">
        <v>150</v>
      </c>
      <c r="Q479" s="1">
        <v>13.53</v>
      </c>
      <c r="R479" s="1">
        <v>0.4</v>
      </c>
      <c r="S479" s="2">
        <v>45556</v>
      </c>
      <c r="T479" s="1">
        <v>142.5</v>
      </c>
      <c r="U479" s="1">
        <v>0.5</v>
      </c>
      <c r="V479" s="6">
        <f t="shared" si="21"/>
        <v>10160.31</v>
      </c>
      <c r="W479" s="6" t="str">
        <f t="shared" si="22"/>
        <v>Sufficient</v>
      </c>
      <c r="X479" s="8" t="str">
        <f t="shared" si="23"/>
        <v>High</v>
      </c>
    </row>
    <row r="480" spans="1:24">
      <c r="A480" s="7" t="s">
        <v>610</v>
      </c>
      <c r="B480" s="1" t="s">
        <v>66</v>
      </c>
      <c r="C480" s="1">
        <v>254</v>
      </c>
      <c r="D480" s="1">
        <v>49</v>
      </c>
      <c r="E480" s="1">
        <v>4</v>
      </c>
      <c r="F480" s="1">
        <v>9</v>
      </c>
      <c r="G480" s="1">
        <v>25.43</v>
      </c>
      <c r="H480" s="1" t="s">
        <v>106</v>
      </c>
      <c r="I480" s="1" t="s">
        <v>45</v>
      </c>
      <c r="J480" s="1">
        <v>111</v>
      </c>
      <c r="K480" s="1">
        <v>3.76</v>
      </c>
      <c r="L480" s="4">
        <v>40.159999999999997</v>
      </c>
      <c r="M480" s="1">
        <v>0.33</v>
      </c>
      <c r="N480" s="1">
        <v>2</v>
      </c>
      <c r="O480" s="1">
        <v>0.9</v>
      </c>
      <c r="P480" s="1">
        <v>297</v>
      </c>
      <c r="Q480" s="1">
        <v>10.17</v>
      </c>
      <c r="R480" s="1">
        <v>0.48</v>
      </c>
      <c r="S480" s="2">
        <v>45381</v>
      </c>
      <c r="T480" s="1">
        <v>117.93</v>
      </c>
      <c r="U480" s="1">
        <v>0.73899999999999999</v>
      </c>
      <c r="V480" s="6">
        <f t="shared" si="21"/>
        <v>10200.64</v>
      </c>
      <c r="W480" s="6" t="str">
        <f t="shared" si="22"/>
        <v>Sufficient</v>
      </c>
      <c r="X480" s="8" t="str">
        <f t="shared" si="23"/>
        <v>High</v>
      </c>
    </row>
    <row r="481" spans="1:24">
      <c r="A481" s="7" t="s">
        <v>611</v>
      </c>
      <c r="B481" s="1" t="s">
        <v>29</v>
      </c>
      <c r="C481" s="1">
        <v>127</v>
      </c>
      <c r="D481" s="1">
        <v>73</v>
      </c>
      <c r="E481" s="1">
        <v>4</v>
      </c>
      <c r="F481" s="1">
        <v>5</v>
      </c>
      <c r="G481" s="1">
        <v>3.21</v>
      </c>
      <c r="H481" s="1" t="s">
        <v>55</v>
      </c>
      <c r="I481" s="1" t="s">
        <v>31</v>
      </c>
      <c r="J481" s="1">
        <v>33</v>
      </c>
      <c r="K481" s="1">
        <v>4.6399999999999997</v>
      </c>
      <c r="L481" s="4">
        <v>193.13</v>
      </c>
      <c r="M481" s="1">
        <v>0.82</v>
      </c>
      <c r="N481" s="1">
        <v>5</v>
      </c>
      <c r="O481" s="1">
        <v>1</v>
      </c>
      <c r="P481" s="1">
        <v>529</v>
      </c>
      <c r="Q481" s="1">
        <v>7.88</v>
      </c>
      <c r="R481" s="1">
        <v>0.25</v>
      </c>
      <c r="S481" s="2">
        <v>45574</v>
      </c>
      <c r="T481" s="1">
        <v>25.84</v>
      </c>
      <c r="U481" s="1">
        <v>0.57299999999999995</v>
      </c>
      <c r="V481" s="6">
        <f t="shared" si="21"/>
        <v>24527.51</v>
      </c>
      <c r="W481" s="6" t="str">
        <f t="shared" si="22"/>
        <v>Sufficient</v>
      </c>
      <c r="X481" s="8" t="str">
        <f t="shared" si="23"/>
        <v>Medium</v>
      </c>
    </row>
    <row r="482" spans="1:24">
      <c r="A482" s="7" t="s">
        <v>612</v>
      </c>
      <c r="B482" s="1" t="s">
        <v>29</v>
      </c>
      <c r="C482" s="1">
        <v>180</v>
      </c>
      <c r="D482" s="1">
        <v>94</v>
      </c>
      <c r="E482" s="1">
        <v>4</v>
      </c>
      <c r="F482" s="1">
        <v>2</v>
      </c>
      <c r="G482" s="1">
        <v>10.119999999999999</v>
      </c>
      <c r="H482" s="1" t="s">
        <v>63</v>
      </c>
      <c r="I482" s="1" t="s">
        <v>27</v>
      </c>
      <c r="J482" s="1">
        <v>118</v>
      </c>
      <c r="K482" s="1">
        <v>1.97</v>
      </c>
      <c r="L482" s="4">
        <v>58.63</v>
      </c>
      <c r="M482" s="1">
        <v>1.49</v>
      </c>
      <c r="N482" s="1">
        <v>1</v>
      </c>
      <c r="O482" s="1">
        <v>0.94</v>
      </c>
      <c r="P482" s="1">
        <v>910</v>
      </c>
      <c r="Q482" s="1">
        <v>12.96</v>
      </c>
      <c r="R482" s="1">
        <v>0.66</v>
      </c>
      <c r="S482" s="2">
        <v>45373</v>
      </c>
      <c r="T482" s="1">
        <v>58.14</v>
      </c>
      <c r="U482" s="1">
        <v>0.72399999999999998</v>
      </c>
      <c r="V482" s="6">
        <f t="shared" si="21"/>
        <v>10553.4</v>
      </c>
      <c r="W482" s="6" t="str">
        <f t="shared" si="22"/>
        <v>Sufficient</v>
      </c>
      <c r="X482" s="8" t="str">
        <f t="shared" si="23"/>
        <v>Medium</v>
      </c>
    </row>
    <row r="483" spans="1:24">
      <c r="A483" s="7" t="s">
        <v>613</v>
      </c>
      <c r="B483" s="1" t="s">
        <v>66</v>
      </c>
      <c r="C483" s="1">
        <v>228</v>
      </c>
      <c r="D483" s="1">
        <v>32</v>
      </c>
      <c r="E483" s="1">
        <v>12</v>
      </c>
      <c r="F483" s="1">
        <v>6</v>
      </c>
      <c r="G483" s="1">
        <v>46.79</v>
      </c>
      <c r="H483" s="1" t="s">
        <v>171</v>
      </c>
      <c r="I483" s="1" t="s">
        <v>31</v>
      </c>
      <c r="J483" s="1">
        <v>176</v>
      </c>
      <c r="K483" s="1">
        <v>0.97</v>
      </c>
      <c r="L483" s="4">
        <v>83.05</v>
      </c>
      <c r="M483" s="1">
        <v>1.6</v>
      </c>
      <c r="N483" s="1">
        <v>1</v>
      </c>
      <c r="O483" s="1">
        <v>0.76</v>
      </c>
      <c r="P483" s="1">
        <v>919</v>
      </c>
      <c r="Q483" s="1">
        <v>13.6</v>
      </c>
      <c r="R483" s="1">
        <v>0.24</v>
      </c>
      <c r="S483" s="2">
        <v>45461</v>
      </c>
      <c r="T483" s="1">
        <v>137.37</v>
      </c>
      <c r="U483" s="1">
        <v>0.60099999999999998</v>
      </c>
      <c r="V483" s="6">
        <f t="shared" si="21"/>
        <v>18935.399999999998</v>
      </c>
      <c r="W483" s="6" t="str">
        <f t="shared" si="22"/>
        <v>Sufficient</v>
      </c>
      <c r="X483" s="8" t="str">
        <f t="shared" si="23"/>
        <v>Medium</v>
      </c>
    </row>
    <row r="484" spans="1:24">
      <c r="A484" s="7" t="s">
        <v>614</v>
      </c>
      <c r="B484" s="1" t="s">
        <v>25</v>
      </c>
      <c r="C484" s="1">
        <v>259</v>
      </c>
      <c r="D484" s="1">
        <v>38</v>
      </c>
      <c r="E484" s="1">
        <v>14</v>
      </c>
      <c r="F484" s="1">
        <v>4</v>
      </c>
      <c r="G484" s="1">
        <v>48.86</v>
      </c>
      <c r="H484" s="1" t="s">
        <v>244</v>
      </c>
      <c r="I484" s="1" t="s">
        <v>27</v>
      </c>
      <c r="J484" s="1">
        <v>149</v>
      </c>
      <c r="K484" s="1">
        <v>2.44</v>
      </c>
      <c r="L484" s="4">
        <v>106.7</v>
      </c>
      <c r="M484" s="1">
        <v>1.91</v>
      </c>
      <c r="N484" s="1">
        <v>7</v>
      </c>
      <c r="O484" s="1">
        <v>0.87</v>
      </c>
      <c r="P484" s="1">
        <v>674</v>
      </c>
      <c r="Q484" s="1">
        <v>11.94</v>
      </c>
      <c r="R484" s="1">
        <v>0.73</v>
      </c>
      <c r="S484" s="2">
        <v>45578</v>
      </c>
      <c r="T484" s="1">
        <v>250.43</v>
      </c>
      <c r="U484" s="1">
        <v>0.54800000000000004</v>
      </c>
      <c r="V484" s="6">
        <f t="shared" si="21"/>
        <v>27635.3</v>
      </c>
      <c r="W484" s="6" t="str">
        <f t="shared" si="22"/>
        <v>Sufficient</v>
      </c>
      <c r="X484" s="8" t="str">
        <f t="shared" si="23"/>
        <v>High</v>
      </c>
    </row>
    <row r="485" spans="1:24">
      <c r="A485" s="7" t="s">
        <v>615</v>
      </c>
      <c r="B485" s="1" t="s">
        <v>41</v>
      </c>
      <c r="C485" s="1">
        <v>350</v>
      </c>
      <c r="D485" s="1">
        <v>87</v>
      </c>
      <c r="E485" s="1">
        <v>3</v>
      </c>
      <c r="F485" s="1">
        <v>5</v>
      </c>
      <c r="G485" s="1">
        <v>37.25</v>
      </c>
      <c r="H485" s="1" t="s">
        <v>137</v>
      </c>
      <c r="I485" s="1" t="s">
        <v>27</v>
      </c>
      <c r="J485" s="1">
        <v>103</v>
      </c>
      <c r="K485" s="1">
        <v>4.04</v>
      </c>
      <c r="L485" s="4">
        <v>196.04</v>
      </c>
      <c r="M485" s="1">
        <v>1.6</v>
      </c>
      <c r="N485" s="1">
        <v>9</v>
      </c>
      <c r="O485" s="1">
        <v>0.72</v>
      </c>
      <c r="P485" s="1">
        <v>270</v>
      </c>
      <c r="Q485" s="1">
        <v>14.19</v>
      </c>
      <c r="R485" s="1">
        <v>0.78</v>
      </c>
      <c r="S485" s="2">
        <v>45510</v>
      </c>
      <c r="T485" s="1">
        <v>45.18</v>
      </c>
      <c r="U485" s="1">
        <v>0.54900000000000004</v>
      </c>
      <c r="V485" s="6">
        <f t="shared" si="21"/>
        <v>68614</v>
      </c>
      <c r="W485" s="6" t="str">
        <f t="shared" si="22"/>
        <v>Sufficient</v>
      </c>
      <c r="X485" s="8" t="str">
        <f t="shared" si="23"/>
        <v>High</v>
      </c>
    </row>
    <row r="486" spans="1:24">
      <c r="A486" s="7" t="s">
        <v>616</v>
      </c>
      <c r="B486" s="1" t="s">
        <v>29</v>
      </c>
      <c r="C486" s="1">
        <v>352</v>
      </c>
      <c r="D486" s="1">
        <v>99</v>
      </c>
      <c r="E486" s="1">
        <v>7</v>
      </c>
      <c r="F486" s="1">
        <v>9</v>
      </c>
      <c r="G486" s="1">
        <v>13.36</v>
      </c>
      <c r="H486" s="1" t="s">
        <v>233</v>
      </c>
      <c r="I486" s="1" t="s">
        <v>31</v>
      </c>
      <c r="J486" s="1">
        <v>73</v>
      </c>
      <c r="K486" s="1">
        <v>2.5299999999999998</v>
      </c>
      <c r="L486" s="4">
        <v>141.1</v>
      </c>
      <c r="M486" s="1">
        <v>1.7</v>
      </c>
      <c r="N486" s="1">
        <v>4</v>
      </c>
      <c r="O486" s="1">
        <v>0.77</v>
      </c>
      <c r="P486" s="1">
        <v>388</v>
      </c>
      <c r="Q486" s="1">
        <v>14.71</v>
      </c>
      <c r="R486" s="1">
        <v>0.59</v>
      </c>
      <c r="S486" s="2">
        <v>45528</v>
      </c>
      <c r="T486" s="1">
        <v>40.31</v>
      </c>
      <c r="U486" s="1">
        <v>0.61799999999999999</v>
      </c>
      <c r="V486" s="6">
        <f t="shared" si="21"/>
        <v>49667.199999999997</v>
      </c>
      <c r="W486" s="6" t="str">
        <f t="shared" si="22"/>
        <v>Sufficient</v>
      </c>
      <c r="X486" s="8" t="str">
        <f t="shared" si="23"/>
        <v>High</v>
      </c>
    </row>
    <row r="487" spans="1:24">
      <c r="A487" s="7" t="s">
        <v>617</v>
      </c>
      <c r="B487" s="1" t="s">
        <v>66</v>
      </c>
      <c r="C487" s="1">
        <v>69</v>
      </c>
      <c r="D487" s="1">
        <v>60</v>
      </c>
      <c r="E487" s="1">
        <v>10</v>
      </c>
      <c r="F487" s="1">
        <v>2</v>
      </c>
      <c r="G487" s="1">
        <v>13.77</v>
      </c>
      <c r="H487" s="1" t="s">
        <v>294</v>
      </c>
      <c r="I487" s="1" t="s">
        <v>31</v>
      </c>
      <c r="J487" s="1">
        <v>13</v>
      </c>
      <c r="K487" s="1">
        <v>1.68</v>
      </c>
      <c r="L487" s="4">
        <v>129.62</v>
      </c>
      <c r="M487" s="1">
        <v>1.9</v>
      </c>
      <c r="N487" s="1">
        <v>4</v>
      </c>
      <c r="O487" s="1">
        <v>0.75</v>
      </c>
      <c r="P487" s="1">
        <v>197</v>
      </c>
      <c r="Q487" s="1">
        <v>4.5199999999999996</v>
      </c>
      <c r="R487" s="1">
        <v>0.83</v>
      </c>
      <c r="S487" s="2">
        <v>45410</v>
      </c>
      <c r="T487" s="1">
        <v>243.4</v>
      </c>
      <c r="U487" s="1">
        <v>0.50600000000000001</v>
      </c>
      <c r="V487" s="6">
        <f t="shared" si="21"/>
        <v>8943.7800000000007</v>
      </c>
      <c r="W487" s="6" t="str">
        <f t="shared" si="22"/>
        <v>Sufficient</v>
      </c>
      <c r="X487" s="8" t="str">
        <f t="shared" si="23"/>
        <v>LOW</v>
      </c>
    </row>
    <row r="488" spans="1:24">
      <c r="A488" s="7" t="s">
        <v>618</v>
      </c>
      <c r="B488" s="1" t="s">
        <v>33</v>
      </c>
      <c r="C488" s="1">
        <v>30</v>
      </c>
      <c r="D488" s="1">
        <v>78</v>
      </c>
      <c r="E488" s="1">
        <v>4</v>
      </c>
      <c r="F488" s="1">
        <v>8</v>
      </c>
      <c r="G488" s="1">
        <v>32.64</v>
      </c>
      <c r="H488" s="1" t="s">
        <v>346</v>
      </c>
      <c r="I488" s="1" t="s">
        <v>31</v>
      </c>
      <c r="J488" s="1">
        <v>103</v>
      </c>
      <c r="K488" s="1">
        <v>0.62</v>
      </c>
      <c r="L488" s="4">
        <v>109.64</v>
      </c>
      <c r="M488" s="1">
        <v>1.1499999999999999</v>
      </c>
      <c r="N488" s="1">
        <v>3</v>
      </c>
      <c r="O488" s="1">
        <v>0.8</v>
      </c>
      <c r="P488" s="1">
        <v>948</v>
      </c>
      <c r="Q488" s="1">
        <v>3.57</v>
      </c>
      <c r="R488" s="1">
        <v>0.97</v>
      </c>
      <c r="S488" s="2">
        <v>45499</v>
      </c>
      <c r="T488" s="1">
        <v>152.77000000000001</v>
      </c>
      <c r="U488" s="1">
        <v>0.627</v>
      </c>
      <c r="V488" s="6">
        <f t="shared" si="21"/>
        <v>3289.2</v>
      </c>
      <c r="W488" s="6" t="str">
        <f t="shared" si="22"/>
        <v>Reorder Required</v>
      </c>
      <c r="X488" s="8" t="str">
        <f t="shared" si="23"/>
        <v>LOW</v>
      </c>
    </row>
    <row r="489" spans="1:24">
      <c r="A489" s="7" t="s">
        <v>619</v>
      </c>
      <c r="B489" s="1" t="s">
        <v>66</v>
      </c>
      <c r="C489" s="1">
        <v>370</v>
      </c>
      <c r="D489" s="1">
        <v>98</v>
      </c>
      <c r="E489" s="1">
        <v>7</v>
      </c>
      <c r="F489" s="1">
        <v>4</v>
      </c>
      <c r="G489" s="1">
        <v>6.76</v>
      </c>
      <c r="H489" s="1" t="s">
        <v>124</v>
      </c>
      <c r="I489" s="1" t="s">
        <v>27</v>
      </c>
      <c r="J489" s="1">
        <v>142</v>
      </c>
      <c r="K489" s="1">
        <v>1.91</v>
      </c>
      <c r="L489" s="4">
        <v>143.13</v>
      </c>
      <c r="M489" s="1">
        <v>0.75</v>
      </c>
      <c r="N489" s="1">
        <v>9</v>
      </c>
      <c r="O489" s="1">
        <v>0.9</v>
      </c>
      <c r="P489" s="1">
        <v>345</v>
      </c>
      <c r="Q489" s="1">
        <v>7.28</v>
      </c>
      <c r="R489" s="1">
        <v>0.47</v>
      </c>
      <c r="S489" s="2">
        <v>45614</v>
      </c>
      <c r="T489" s="1">
        <v>114.47</v>
      </c>
      <c r="U489" s="1">
        <v>0.51600000000000001</v>
      </c>
      <c r="V489" s="6">
        <f t="shared" si="21"/>
        <v>52958.1</v>
      </c>
      <c r="W489" s="6" t="str">
        <f t="shared" si="22"/>
        <v>Sufficient</v>
      </c>
      <c r="X489" s="8" t="str">
        <f t="shared" si="23"/>
        <v>High</v>
      </c>
    </row>
    <row r="490" spans="1:24">
      <c r="A490" s="7" t="s">
        <v>620</v>
      </c>
      <c r="B490" s="1" t="s">
        <v>33</v>
      </c>
      <c r="C490" s="1">
        <v>175</v>
      </c>
      <c r="D490" s="1">
        <v>40</v>
      </c>
      <c r="E490" s="1">
        <v>14</v>
      </c>
      <c r="F490" s="1">
        <v>6</v>
      </c>
      <c r="G490" s="1">
        <v>47.47</v>
      </c>
      <c r="H490" s="1" t="s">
        <v>331</v>
      </c>
      <c r="I490" s="1" t="s">
        <v>39</v>
      </c>
      <c r="J490" s="1">
        <v>25</v>
      </c>
      <c r="K490" s="1">
        <v>3.71</v>
      </c>
      <c r="L490" s="4">
        <v>136.16</v>
      </c>
      <c r="M490" s="1">
        <v>1.55</v>
      </c>
      <c r="N490" s="1">
        <v>3</v>
      </c>
      <c r="O490" s="1">
        <v>0.85</v>
      </c>
      <c r="P490" s="1">
        <v>758</v>
      </c>
      <c r="Q490" s="1">
        <v>14.96</v>
      </c>
      <c r="R490" s="1">
        <v>0.7</v>
      </c>
      <c r="S490" s="2">
        <v>45386</v>
      </c>
      <c r="T490" s="1">
        <v>143.79</v>
      </c>
      <c r="U490" s="1">
        <v>0.69399999999999995</v>
      </c>
      <c r="V490" s="6">
        <f t="shared" si="21"/>
        <v>23828</v>
      </c>
      <c r="W490" s="6" t="str">
        <f t="shared" si="22"/>
        <v>Sufficient</v>
      </c>
      <c r="X490" s="8" t="str">
        <f t="shared" si="23"/>
        <v>Medium</v>
      </c>
    </row>
    <row r="491" spans="1:24">
      <c r="A491" s="7" t="s">
        <v>621</v>
      </c>
      <c r="B491" s="1" t="s">
        <v>25</v>
      </c>
      <c r="C491" s="1">
        <v>89</v>
      </c>
      <c r="D491" s="1">
        <v>59</v>
      </c>
      <c r="E491" s="1">
        <v>10</v>
      </c>
      <c r="F491" s="1">
        <v>2</v>
      </c>
      <c r="G491" s="1">
        <v>12.02</v>
      </c>
      <c r="H491" s="1" t="s">
        <v>145</v>
      </c>
      <c r="I491" s="1" t="s">
        <v>39</v>
      </c>
      <c r="J491" s="1">
        <v>36</v>
      </c>
      <c r="K491" s="1">
        <v>1.1599999999999999</v>
      </c>
      <c r="L491" s="4">
        <v>181.54</v>
      </c>
      <c r="M491" s="1">
        <v>0.41</v>
      </c>
      <c r="N491" s="1">
        <v>7</v>
      </c>
      <c r="O491" s="1">
        <v>0.98</v>
      </c>
      <c r="P491" s="1">
        <v>456</v>
      </c>
      <c r="Q491" s="1">
        <v>2.2400000000000002</v>
      </c>
      <c r="R491" s="1">
        <v>0.46</v>
      </c>
      <c r="S491" s="2">
        <v>45387</v>
      </c>
      <c r="T491" s="1">
        <v>129.15</v>
      </c>
      <c r="U491" s="1">
        <v>0.53700000000000003</v>
      </c>
      <c r="V491" s="6">
        <f t="shared" si="21"/>
        <v>16157.06</v>
      </c>
      <c r="W491" s="6" t="str">
        <f t="shared" si="22"/>
        <v>Sufficient</v>
      </c>
      <c r="X491" s="8" t="str">
        <f t="shared" si="23"/>
        <v>LOW</v>
      </c>
    </row>
    <row r="492" spans="1:24">
      <c r="A492" s="7" t="s">
        <v>622</v>
      </c>
      <c r="B492" s="1" t="s">
        <v>41</v>
      </c>
      <c r="C492" s="1">
        <v>188</v>
      </c>
      <c r="D492" s="1">
        <v>29</v>
      </c>
      <c r="E492" s="1">
        <v>12</v>
      </c>
      <c r="F492" s="1">
        <v>9</v>
      </c>
      <c r="G492" s="1">
        <v>49.98</v>
      </c>
      <c r="H492" s="1" t="s">
        <v>124</v>
      </c>
      <c r="I492" s="1" t="s">
        <v>31</v>
      </c>
      <c r="J492" s="1">
        <v>141</v>
      </c>
      <c r="K492" s="1">
        <v>2.0299999999999998</v>
      </c>
      <c r="L492" s="4">
        <v>112.95</v>
      </c>
      <c r="M492" s="1">
        <v>0.23</v>
      </c>
      <c r="N492" s="1">
        <v>2</v>
      </c>
      <c r="O492" s="1">
        <v>0.76</v>
      </c>
      <c r="P492" s="1">
        <v>630</v>
      </c>
      <c r="Q492" s="1">
        <v>10.97</v>
      </c>
      <c r="R492" s="1">
        <v>0.55000000000000004</v>
      </c>
      <c r="S492" s="2">
        <v>45619</v>
      </c>
      <c r="T492" s="1">
        <v>236.75</v>
      </c>
      <c r="U492" s="1">
        <v>0.745</v>
      </c>
      <c r="V492" s="6">
        <f t="shared" si="21"/>
        <v>21234.600000000002</v>
      </c>
      <c r="W492" s="6" t="str">
        <f t="shared" si="22"/>
        <v>Sufficient</v>
      </c>
      <c r="X492" s="8" t="str">
        <f t="shared" si="23"/>
        <v>Medium</v>
      </c>
    </row>
    <row r="493" spans="1:24">
      <c r="A493" s="7" t="s">
        <v>623</v>
      </c>
      <c r="B493" s="1" t="s">
        <v>66</v>
      </c>
      <c r="C493" s="1">
        <v>291</v>
      </c>
      <c r="D493" s="1">
        <v>64</v>
      </c>
      <c r="E493" s="1">
        <v>7</v>
      </c>
      <c r="F493" s="1">
        <v>2</v>
      </c>
      <c r="G493" s="1">
        <v>25.29</v>
      </c>
      <c r="H493" s="1" t="s">
        <v>117</v>
      </c>
      <c r="I493" s="1" t="s">
        <v>31</v>
      </c>
      <c r="J493" s="1">
        <v>81</v>
      </c>
      <c r="K493" s="1">
        <v>0.59</v>
      </c>
      <c r="L493" s="4">
        <v>90.09</v>
      </c>
      <c r="M493" s="1">
        <v>1.59</v>
      </c>
      <c r="N493" s="1">
        <v>2</v>
      </c>
      <c r="O493" s="1">
        <v>0.81</v>
      </c>
      <c r="P493" s="1">
        <v>527</v>
      </c>
      <c r="Q493" s="1">
        <v>12.91</v>
      </c>
      <c r="R493" s="1">
        <v>0.22</v>
      </c>
      <c r="S493" s="2">
        <v>45628</v>
      </c>
      <c r="T493" s="1">
        <v>12.7</v>
      </c>
      <c r="U493" s="1">
        <v>0.57899999999999996</v>
      </c>
      <c r="V493" s="6">
        <f t="shared" si="21"/>
        <v>26216.190000000002</v>
      </c>
      <c r="W493" s="6" t="str">
        <f t="shared" si="22"/>
        <v>Sufficient</v>
      </c>
      <c r="X493" s="8" t="str">
        <f t="shared" si="23"/>
        <v>High</v>
      </c>
    </row>
    <row r="494" spans="1:24">
      <c r="A494" s="7" t="s">
        <v>624</v>
      </c>
      <c r="B494" s="1" t="s">
        <v>29</v>
      </c>
      <c r="C494" s="1">
        <v>87</v>
      </c>
      <c r="D494" s="1">
        <v>90</v>
      </c>
      <c r="E494" s="1">
        <v>4</v>
      </c>
      <c r="F494" s="1">
        <v>7</v>
      </c>
      <c r="G494" s="1">
        <v>38.799999999999997</v>
      </c>
      <c r="H494" s="1" t="s">
        <v>174</v>
      </c>
      <c r="I494" s="1" t="s">
        <v>45</v>
      </c>
      <c r="J494" s="1">
        <v>57</v>
      </c>
      <c r="K494" s="1">
        <v>3.75</v>
      </c>
      <c r="L494" s="4">
        <v>163.36000000000001</v>
      </c>
      <c r="M494" s="1">
        <v>1.91</v>
      </c>
      <c r="N494" s="1">
        <v>7</v>
      </c>
      <c r="O494" s="1">
        <v>0.8</v>
      </c>
      <c r="P494" s="1">
        <v>849</v>
      </c>
      <c r="Q494" s="1">
        <v>14.95</v>
      </c>
      <c r="R494" s="1">
        <v>0.26</v>
      </c>
      <c r="S494" s="2">
        <v>45513</v>
      </c>
      <c r="T494" s="1">
        <v>135.62</v>
      </c>
      <c r="U494" s="1">
        <v>0.48</v>
      </c>
      <c r="V494" s="6">
        <f t="shared" si="21"/>
        <v>14212.320000000002</v>
      </c>
      <c r="W494" s="6" t="str">
        <f t="shared" si="22"/>
        <v>Reorder Required</v>
      </c>
      <c r="X494" s="8" t="str">
        <f t="shared" si="23"/>
        <v>LOW</v>
      </c>
    </row>
    <row r="495" spans="1:24">
      <c r="A495" s="7" t="s">
        <v>625</v>
      </c>
      <c r="B495" s="1" t="s">
        <v>25</v>
      </c>
      <c r="C495" s="1">
        <v>374</v>
      </c>
      <c r="D495" s="1">
        <v>11</v>
      </c>
      <c r="E495" s="1">
        <v>5</v>
      </c>
      <c r="F495" s="1">
        <v>4</v>
      </c>
      <c r="G495" s="1">
        <v>1.1100000000000001</v>
      </c>
      <c r="H495" s="1" t="s">
        <v>181</v>
      </c>
      <c r="I495" s="1" t="s">
        <v>45</v>
      </c>
      <c r="J495" s="1">
        <v>145</v>
      </c>
      <c r="K495" s="1">
        <v>4.46</v>
      </c>
      <c r="L495" s="4">
        <v>161.96</v>
      </c>
      <c r="M495" s="1">
        <v>0.94</v>
      </c>
      <c r="N495" s="1">
        <v>2</v>
      </c>
      <c r="O495" s="1">
        <v>0.77</v>
      </c>
      <c r="P495" s="1">
        <v>73</v>
      </c>
      <c r="Q495" s="1">
        <v>9.68</v>
      </c>
      <c r="R495" s="1">
        <v>0.84</v>
      </c>
      <c r="S495" s="2">
        <v>45494</v>
      </c>
      <c r="T495" s="1">
        <v>56.07</v>
      </c>
      <c r="U495" s="1">
        <v>0.71699999999999997</v>
      </c>
      <c r="V495" s="6">
        <f t="shared" si="21"/>
        <v>60573.04</v>
      </c>
      <c r="W495" s="6" t="str">
        <f t="shared" si="22"/>
        <v>Sufficient</v>
      </c>
      <c r="X495" s="8" t="str">
        <f t="shared" si="23"/>
        <v>High</v>
      </c>
    </row>
    <row r="496" spans="1:24">
      <c r="A496" s="7" t="s">
        <v>626</v>
      </c>
      <c r="B496" s="1" t="s">
        <v>66</v>
      </c>
      <c r="C496" s="1">
        <v>271</v>
      </c>
      <c r="D496" s="1">
        <v>34</v>
      </c>
      <c r="E496" s="1">
        <v>8</v>
      </c>
      <c r="F496" s="1">
        <v>2</v>
      </c>
      <c r="G496" s="1">
        <v>44.55</v>
      </c>
      <c r="H496" s="1" t="s">
        <v>42</v>
      </c>
      <c r="I496" s="1" t="s">
        <v>45</v>
      </c>
      <c r="J496" s="1">
        <v>90</v>
      </c>
      <c r="K496" s="1">
        <v>3.06</v>
      </c>
      <c r="L496" s="4">
        <v>42.27</v>
      </c>
      <c r="M496" s="1">
        <v>0.41</v>
      </c>
      <c r="N496" s="1">
        <v>1</v>
      </c>
      <c r="O496" s="1">
        <v>1</v>
      </c>
      <c r="P496" s="1">
        <v>930</v>
      </c>
      <c r="Q496" s="1">
        <v>6.32</v>
      </c>
      <c r="R496" s="1">
        <v>0.31</v>
      </c>
      <c r="S496" s="2">
        <v>45306</v>
      </c>
      <c r="T496" s="1">
        <v>99.4</v>
      </c>
      <c r="U496" s="1">
        <v>0.68500000000000005</v>
      </c>
      <c r="V496" s="6">
        <f t="shared" si="21"/>
        <v>11455.17</v>
      </c>
      <c r="W496" s="6" t="str">
        <f t="shared" si="22"/>
        <v>Sufficient</v>
      </c>
      <c r="X496" s="8" t="str">
        <f t="shared" si="23"/>
        <v>High</v>
      </c>
    </row>
    <row r="497" spans="1:24">
      <c r="A497" s="7" t="s">
        <v>627</v>
      </c>
      <c r="B497" s="1" t="s">
        <v>29</v>
      </c>
      <c r="C497" s="1">
        <v>67</v>
      </c>
      <c r="D497" s="1">
        <v>22</v>
      </c>
      <c r="E497" s="1">
        <v>13</v>
      </c>
      <c r="F497" s="1">
        <v>3</v>
      </c>
      <c r="G497" s="1">
        <v>14.23</v>
      </c>
      <c r="H497" s="1" t="s">
        <v>176</v>
      </c>
      <c r="I497" s="1" t="s">
        <v>31</v>
      </c>
      <c r="J497" s="1">
        <v>53</v>
      </c>
      <c r="K497" s="1">
        <v>0.62</v>
      </c>
      <c r="L497" s="4">
        <v>54.99</v>
      </c>
      <c r="M497" s="1">
        <v>1.04</v>
      </c>
      <c r="N497" s="1">
        <v>4</v>
      </c>
      <c r="O497" s="1">
        <v>0.82</v>
      </c>
      <c r="P497" s="1">
        <v>996</v>
      </c>
      <c r="Q497" s="1">
        <v>3.33</v>
      </c>
      <c r="R497" s="1">
        <v>0.76</v>
      </c>
      <c r="S497" s="2">
        <v>45606</v>
      </c>
      <c r="T497" s="1">
        <v>42.53</v>
      </c>
      <c r="U497" s="1">
        <v>0.57599999999999996</v>
      </c>
      <c r="V497" s="6">
        <f t="shared" si="21"/>
        <v>3684.33</v>
      </c>
      <c r="W497" s="6" t="str">
        <f t="shared" si="22"/>
        <v>Sufficient</v>
      </c>
      <c r="X497" s="8" t="str">
        <f t="shared" si="23"/>
        <v>LOW</v>
      </c>
    </row>
    <row r="498" spans="1:24">
      <c r="A498" s="7" t="s">
        <v>628</v>
      </c>
      <c r="B498" s="1" t="s">
        <v>66</v>
      </c>
      <c r="C498" s="1">
        <v>203</v>
      </c>
      <c r="D498" s="1">
        <v>79</v>
      </c>
      <c r="E498" s="1">
        <v>13</v>
      </c>
      <c r="F498" s="1">
        <v>8</v>
      </c>
      <c r="G498" s="1">
        <v>33.729999999999997</v>
      </c>
      <c r="H498" s="1" t="s">
        <v>50</v>
      </c>
      <c r="I498" s="1" t="s">
        <v>39</v>
      </c>
      <c r="J498" s="1">
        <v>61</v>
      </c>
      <c r="K498" s="1">
        <v>1.48</v>
      </c>
      <c r="L498" s="4">
        <v>192.14</v>
      </c>
      <c r="M498" s="1">
        <v>0.85</v>
      </c>
      <c r="N498" s="1">
        <v>2</v>
      </c>
      <c r="O498" s="1">
        <v>0.98</v>
      </c>
      <c r="P498" s="1">
        <v>932</v>
      </c>
      <c r="Q498" s="1">
        <v>14.74</v>
      </c>
      <c r="R498" s="1">
        <v>0.77</v>
      </c>
      <c r="S498" s="2">
        <v>45393</v>
      </c>
      <c r="T498" s="1">
        <v>133.83000000000001</v>
      </c>
      <c r="U498" s="1">
        <v>0.82199999999999995</v>
      </c>
      <c r="V498" s="6">
        <f t="shared" si="21"/>
        <v>39004.42</v>
      </c>
      <c r="W498" s="6" t="str">
        <f t="shared" si="22"/>
        <v>Sufficient</v>
      </c>
      <c r="X498" s="8" t="str">
        <f t="shared" si="23"/>
        <v>Medium</v>
      </c>
    </row>
    <row r="499" spans="1:24">
      <c r="A499" s="7" t="s">
        <v>629</v>
      </c>
      <c r="B499" s="1" t="s">
        <v>33</v>
      </c>
      <c r="C499" s="1">
        <v>339</v>
      </c>
      <c r="D499" s="1">
        <v>76</v>
      </c>
      <c r="E499" s="1">
        <v>7</v>
      </c>
      <c r="F499" s="1">
        <v>7</v>
      </c>
      <c r="G499" s="1">
        <v>40.51</v>
      </c>
      <c r="H499" s="1" t="s">
        <v>117</v>
      </c>
      <c r="I499" s="1" t="s">
        <v>39</v>
      </c>
      <c r="J499" s="1">
        <v>43</v>
      </c>
      <c r="K499" s="1">
        <v>2.4700000000000002</v>
      </c>
      <c r="L499" s="4">
        <v>94.38</v>
      </c>
      <c r="M499" s="1">
        <v>0.81</v>
      </c>
      <c r="N499" s="1">
        <v>5</v>
      </c>
      <c r="O499" s="1">
        <v>0.82</v>
      </c>
      <c r="P499" s="1">
        <v>235</v>
      </c>
      <c r="Q499" s="1">
        <v>13.94</v>
      </c>
      <c r="R499" s="1">
        <v>1</v>
      </c>
      <c r="S499" s="2">
        <v>45522</v>
      </c>
      <c r="T499" s="1">
        <v>196.56</v>
      </c>
      <c r="U499" s="1">
        <v>0.76900000000000002</v>
      </c>
      <c r="V499" s="6">
        <f t="shared" si="21"/>
        <v>31994.82</v>
      </c>
      <c r="W499" s="6" t="str">
        <f t="shared" si="22"/>
        <v>Sufficient</v>
      </c>
      <c r="X499" s="8" t="str">
        <f t="shared" si="23"/>
        <v>High</v>
      </c>
    </row>
    <row r="500" spans="1:24">
      <c r="A500" s="7" t="s">
        <v>630</v>
      </c>
      <c r="B500" s="1" t="s">
        <v>66</v>
      </c>
      <c r="C500" s="1">
        <v>206</v>
      </c>
      <c r="D500" s="1">
        <v>67</v>
      </c>
      <c r="E500" s="1">
        <v>13</v>
      </c>
      <c r="F500" s="1">
        <v>7</v>
      </c>
      <c r="G500" s="1">
        <v>9.0399999999999991</v>
      </c>
      <c r="H500" s="1" t="s">
        <v>208</v>
      </c>
      <c r="I500" s="1" t="s">
        <v>31</v>
      </c>
      <c r="J500" s="1">
        <v>30</v>
      </c>
      <c r="K500" s="1">
        <v>3.14</v>
      </c>
      <c r="L500" s="4">
        <v>108.74</v>
      </c>
      <c r="M500" s="1">
        <v>1.29</v>
      </c>
      <c r="N500" s="1">
        <v>6</v>
      </c>
      <c r="O500" s="1">
        <v>0.76</v>
      </c>
      <c r="P500" s="1">
        <v>219</v>
      </c>
      <c r="Q500" s="1">
        <v>12.26</v>
      </c>
      <c r="R500" s="1">
        <v>0.76</v>
      </c>
      <c r="S500" s="2">
        <v>45595</v>
      </c>
      <c r="T500" s="1">
        <v>201.86</v>
      </c>
      <c r="U500" s="1">
        <v>0.61799999999999999</v>
      </c>
      <c r="V500" s="6">
        <f t="shared" si="21"/>
        <v>22400.44</v>
      </c>
      <c r="W500" s="6" t="str">
        <f t="shared" si="22"/>
        <v>Sufficient</v>
      </c>
      <c r="X500" s="8" t="str">
        <f t="shared" si="23"/>
        <v>Medium</v>
      </c>
    </row>
    <row r="501" spans="1:24">
      <c r="A501" s="7" t="s">
        <v>631</v>
      </c>
      <c r="B501" s="1" t="s">
        <v>66</v>
      </c>
      <c r="C501" s="1">
        <v>109</v>
      </c>
      <c r="D501" s="1">
        <v>91</v>
      </c>
      <c r="E501" s="1">
        <v>6</v>
      </c>
      <c r="F501" s="1">
        <v>2</v>
      </c>
      <c r="G501" s="1">
        <v>22.68</v>
      </c>
      <c r="H501" s="1" t="s">
        <v>77</v>
      </c>
      <c r="I501" s="1" t="s">
        <v>31</v>
      </c>
      <c r="J501" s="1">
        <v>33</v>
      </c>
      <c r="K501" s="1">
        <v>2.73</v>
      </c>
      <c r="L501" s="4">
        <v>68.930000000000007</v>
      </c>
      <c r="M501" s="1">
        <v>0.43</v>
      </c>
      <c r="N501" s="1">
        <v>2</v>
      </c>
      <c r="O501" s="1">
        <v>0.74</v>
      </c>
      <c r="P501" s="1">
        <v>852</v>
      </c>
      <c r="Q501" s="1">
        <v>14.21</v>
      </c>
      <c r="R501" s="1">
        <v>0.3</v>
      </c>
      <c r="S501" s="2">
        <v>45511</v>
      </c>
      <c r="T501" s="1">
        <v>241.06</v>
      </c>
      <c r="U501" s="1">
        <v>0.71399999999999997</v>
      </c>
      <c r="V501" s="6">
        <f t="shared" si="21"/>
        <v>7513.3700000000008</v>
      </c>
      <c r="W501" s="6" t="str">
        <f t="shared" si="22"/>
        <v>Sufficient</v>
      </c>
      <c r="X501" s="8" t="str">
        <f t="shared" si="23"/>
        <v>Medium</v>
      </c>
    </row>
    <row r="502" spans="1:24">
      <c r="A502" s="7" t="s">
        <v>632</v>
      </c>
      <c r="B502" s="1" t="s">
        <v>66</v>
      </c>
      <c r="C502" s="1">
        <v>465</v>
      </c>
      <c r="D502" s="1">
        <v>84</v>
      </c>
      <c r="E502" s="1">
        <v>6</v>
      </c>
      <c r="F502" s="1">
        <v>8</v>
      </c>
      <c r="G502" s="1">
        <v>25.2</v>
      </c>
      <c r="H502" s="1" t="s">
        <v>411</v>
      </c>
      <c r="I502" s="1" t="s">
        <v>27</v>
      </c>
      <c r="J502" s="1">
        <v>53</v>
      </c>
      <c r="K502" s="1">
        <v>4.62</v>
      </c>
      <c r="L502" s="4">
        <v>101.4</v>
      </c>
      <c r="M502" s="1">
        <v>0.82</v>
      </c>
      <c r="N502" s="1">
        <v>8</v>
      </c>
      <c r="O502" s="1">
        <v>0.96</v>
      </c>
      <c r="P502" s="1">
        <v>593</v>
      </c>
      <c r="Q502" s="1">
        <v>1.85</v>
      </c>
      <c r="R502" s="1">
        <v>0.7</v>
      </c>
      <c r="S502" s="2">
        <v>45491</v>
      </c>
      <c r="T502" s="1">
        <v>246.35</v>
      </c>
      <c r="U502" s="1">
        <v>0.51500000000000001</v>
      </c>
      <c r="V502" s="6">
        <f t="shared" si="21"/>
        <v>47151</v>
      </c>
      <c r="W502" s="6" t="str">
        <f t="shared" si="22"/>
        <v>Sufficient</v>
      </c>
      <c r="X502" s="8" t="str">
        <f t="shared" si="23"/>
        <v>High</v>
      </c>
    </row>
    <row r="503" spans="1:24">
      <c r="A503" s="7" t="s">
        <v>633</v>
      </c>
      <c r="B503" s="1" t="s">
        <v>25</v>
      </c>
      <c r="C503" s="1">
        <v>351</v>
      </c>
      <c r="D503" s="1">
        <v>93</v>
      </c>
      <c r="E503" s="1">
        <v>7</v>
      </c>
      <c r="F503" s="1">
        <v>7</v>
      </c>
      <c r="G503" s="1">
        <v>16.29</v>
      </c>
      <c r="H503" s="1" t="s">
        <v>143</v>
      </c>
      <c r="I503" s="1" t="s">
        <v>27</v>
      </c>
      <c r="J503" s="1">
        <v>123</v>
      </c>
      <c r="K503" s="1">
        <v>4.72</v>
      </c>
      <c r="L503" s="4">
        <v>151.24</v>
      </c>
      <c r="M503" s="1">
        <v>1.75</v>
      </c>
      <c r="N503" s="1">
        <v>9</v>
      </c>
      <c r="O503" s="1">
        <v>0.71</v>
      </c>
      <c r="P503" s="1">
        <v>487</v>
      </c>
      <c r="Q503" s="1">
        <v>9.84</v>
      </c>
      <c r="R503" s="1">
        <v>0.62</v>
      </c>
      <c r="S503" s="2">
        <v>45294</v>
      </c>
      <c r="T503" s="1">
        <v>183.34</v>
      </c>
      <c r="U503" s="1">
        <v>0.442</v>
      </c>
      <c r="V503" s="6">
        <f t="shared" si="21"/>
        <v>53085.240000000005</v>
      </c>
      <c r="W503" s="6" t="str">
        <f t="shared" si="22"/>
        <v>Sufficient</v>
      </c>
      <c r="X503" s="8" t="str">
        <f t="shared" si="23"/>
        <v>High</v>
      </c>
    </row>
    <row r="504" spans="1:24">
      <c r="A504" s="7" t="s">
        <v>634</v>
      </c>
      <c r="B504" s="1" t="s">
        <v>66</v>
      </c>
      <c r="C504" s="1">
        <v>158</v>
      </c>
      <c r="D504" s="1">
        <v>73</v>
      </c>
      <c r="E504" s="1">
        <v>4</v>
      </c>
      <c r="F504" s="1">
        <v>5</v>
      </c>
      <c r="G504" s="1">
        <v>24.61</v>
      </c>
      <c r="H504" s="1" t="s">
        <v>238</v>
      </c>
      <c r="I504" s="1" t="s">
        <v>39</v>
      </c>
      <c r="J504" s="1">
        <v>178</v>
      </c>
      <c r="K504" s="1">
        <v>0.98</v>
      </c>
      <c r="L504" s="4">
        <v>101.65</v>
      </c>
      <c r="M504" s="1">
        <v>1.49</v>
      </c>
      <c r="N504" s="1">
        <v>0</v>
      </c>
      <c r="O504" s="1">
        <v>0.99</v>
      </c>
      <c r="P504" s="1">
        <v>350</v>
      </c>
      <c r="Q504" s="1">
        <v>4.8499999999999996</v>
      </c>
      <c r="R504" s="1">
        <v>0.93</v>
      </c>
      <c r="S504" s="2">
        <v>45652</v>
      </c>
      <c r="T504" s="1">
        <v>112.41</v>
      </c>
      <c r="U504" s="1">
        <v>0.7</v>
      </c>
      <c r="V504" s="6">
        <f t="shared" si="21"/>
        <v>16060.7</v>
      </c>
      <c r="W504" s="6" t="str">
        <f t="shared" si="22"/>
        <v>Sufficient</v>
      </c>
      <c r="X504" s="8" t="str">
        <f t="shared" si="23"/>
        <v>Medium</v>
      </c>
    </row>
    <row r="505" spans="1:24">
      <c r="A505" s="7" t="s">
        <v>635</v>
      </c>
      <c r="B505" s="1" t="s">
        <v>29</v>
      </c>
      <c r="C505" s="1">
        <v>376</v>
      </c>
      <c r="D505" s="1">
        <v>78</v>
      </c>
      <c r="E505" s="1">
        <v>11</v>
      </c>
      <c r="F505" s="1">
        <v>4</v>
      </c>
      <c r="G505" s="1">
        <v>16.559999999999999</v>
      </c>
      <c r="H505" s="1" t="s">
        <v>106</v>
      </c>
      <c r="I505" s="1" t="s">
        <v>45</v>
      </c>
      <c r="J505" s="1">
        <v>166</v>
      </c>
      <c r="K505" s="1">
        <v>1.1200000000000001</v>
      </c>
      <c r="L505" s="4">
        <v>69.81</v>
      </c>
      <c r="M505" s="1">
        <v>0.21</v>
      </c>
      <c r="N505" s="1">
        <v>6</v>
      </c>
      <c r="O505" s="1">
        <v>0.83</v>
      </c>
      <c r="P505" s="1">
        <v>737</v>
      </c>
      <c r="Q505" s="1">
        <v>11.72</v>
      </c>
      <c r="R505" s="1">
        <v>0.75</v>
      </c>
      <c r="S505" s="2">
        <v>45401</v>
      </c>
      <c r="T505" s="1">
        <v>24.88</v>
      </c>
      <c r="U505" s="1">
        <v>0.73099999999999998</v>
      </c>
      <c r="V505" s="6">
        <f t="shared" si="21"/>
        <v>26248.560000000001</v>
      </c>
      <c r="W505" s="6" t="str">
        <f t="shared" si="22"/>
        <v>Sufficient</v>
      </c>
      <c r="X505" s="8" t="str">
        <f t="shared" si="23"/>
        <v>High</v>
      </c>
    </row>
    <row r="506" spans="1:24">
      <c r="A506" s="7" t="s">
        <v>636</v>
      </c>
      <c r="B506" s="1" t="s">
        <v>33</v>
      </c>
      <c r="C506" s="1">
        <v>108</v>
      </c>
      <c r="D506" s="1">
        <v>92</v>
      </c>
      <c r="E506" s="1">
        <v>4</v>
      </c>
      <c r="F506" s="1">
        <v>5</v>
      </c>
      <c r="G506" s="1">
        <v>18.68</v>
      </c>
      <c r="H506" s="1" t="s">
        <v>333</v>
      </c>
      <c r="I506" s="1" t="s">
        <v>39</v>
      </c>
      <c r="J506" s="1">
        <v>112</v>
      </c>
      <c r="K506" s="1">
        <v>2.11</v>
      </c>
      <c r="L506" s="4">
        <v>28.24</v>
      </c>
      <c r="M506" s="1">
        <v>1.08</v>
      </c>
      <c r="N506" s="1">
        <v>3</v>
      </c>
      <c r="O506" s="1">
        <v>0.77</v>
      </c>
      <c r="P506" s="1">
        <v>413</v>
      </c>
      <c r="Q506" s="1">
        <v>2.34</v>
      </c>
      <c r="R506" s="1">
        <v>0.61</v>
      </c>
      <c r="S506" s="2">
        <v>45397</v>
      </c>
      <c r="T506" s="1">
        <v>20.399999999999999</v>
      </c>
      <c r="U506" s="1">
        <v>0.53900000000000003</v>
      </c>
      <c r="V506" s="6">
        <f t="shared" si="21"/>
        <v>3049.9199999999996</v>
      </c>
      <c r="W506" s="6" t="str">
        <f t="shared" si="22"/>
        <v>Sufficient</v>
      </c>
      <c r="X506" s="8" t="str">
        <f t="shared" si="23"/>
        <v>Medium</v>
      </c>
    </row>
    <row r="507" spans="1:24">
      <c r="A507" s="7" t="s">
        <v>637</v>
      </c>
      <c r="B507" s="1" t="s">
        <v>33</v>
      </c>
      <c r="C507" s="1">
        <v>293</v>
      </c>
      <c r="D507" s="1">
        <v>95</v>
      </c>
      <c r="E507" s="1">
        <v>12</v>
      </c>
      <c r="F507" s="1">
        <v>6</v>
      </c>
      <c r="G507" s="1">
        <v>33.799999999999997</v>
      </c>
      <c r="H507" s="1" t="s">
        <v>99</v>
      </c>
      <c r="I507" s="1" t="s">
        <v>27</v>
      </c>
      <c r="J507" s="1">
        <v>143</v>
      </c>
      <c r="K507" s="1">
        <v>2.4</v>
      </c>
      <c r="L507" s="4">
        <v>186.37</v>
      </c>
      <c r="M507" s="1">
        <v>0.27</v>
      </c>
      <c r="N507" s="1">
        <v>6</v>
      </c>
      <c r="O507" s="1">
        <v>0.89</v>
      </c>
      <c r="P507" s="1">
        <v>903</v>
      </c>
      <c r="Q507" s="1">
        <v>4.62</v>
      </c>
      <c r="R507" s="1">
        <v>0.7</v>
      </c>
      <c r="S507" s="2">
        <v>45434</v>
      </c>
      <c r="T507" s="1">
        <v>42.85</v>
      </c>
      <c r="U507" s="1">
        <v>0.63300000000000001</v>
      </c>
      <c r="V507" s="6">
        <f t="shared" si="21"/>
        <v>54606.41</v>
      </c>
      <c r="W507" s="6" t="str">
        <f t="shared" si="22"/>
        <v>Sufficient</v>
      </c>
      <c r="X507" s="8" t="str">
        <f t="shared" si="23"/>
        <v>High</v>
      </c>
    </row>
    <row r="508" spans="1:24">
      <c r="A508" s="7" t="s">
        <v>638</v>
      </c>
      <c r="B508" s="1" t="s">
        <v>66</v>
      </c>
      <c r="C508" s="1">
        <v>38</v>
      </c>
      <c r="D508" s="1">
        <v>68</v>
      </c>
      <c r="E508" s="1">
        <v>4</v>
      </c>
      <c r="F508" s="1">
        <v>5</v>
      </c>
      <c r="G508" s="1">
        <v>32</v>
      </c>
      <c r="H508" s="1" t="s">
        <v>304</v>
      </c>
      <c r="I508" s="1" t="s">
        <v>39</v>
      </c>
      <c r="J508" s="1">
        <v>65</v>
      </c>
      <c r="K508" s="1">
        <v>3.14</v>
      </c>
      <c r="L508" s="4">
        <v>175.61</v>
      </c>
      <c r="M508" s="1">
        <v>1.92</v>
      </c>
      <c r="N508" s="1">
        <v>8</v>
      </c>
      <c r="O508" s="1">
        <v>0.74</v>
      </c>
      <c r="P508" s="1">
        <v>226</v>
      </c>
      <c r="Q508" s="1">
        <v>12.9</v>
      </c>
      <c r="R508" s="1">
        <v>0.55000000000000004</v>
      </c>
      <c r="S508" s="2">
        <v>45652</v>
      </c>
      <c r="T508" s="1">
        <v>295.31</v>
      </c>
      <c r="U508" s="1">
        <v>0.47799999999999998</v>
      </c>
      <c r="V508" s="6">
        <f t="shared" si="21"/>
        <v>6673.18</v>
      </c>
      <c r="W508" s="6" t="str">
        <f t="shared" si="22"/>
        <v>Reorder Required</v>
      </c>
      <c r="X508" s="8" t="str">
        <f t="shared" si="23"/>
        <v>LOW</v>
      </c>
    </row>
    <row r="509" spans="1:24">
      <c r="A509" s="7" t="s">
        <v>639</v>
      </c>
      <c r="B509" s="1" t="s">
        <v>25</v>
      </c>
      <c r="C509" s="1">
        <v>490</v>
      </c>
      <c r="D509" s="1">
        <v>69</v>
      </c>
      <c r="E509" s="1">
        <v>12</v>
      </c>
      <c r="F509" s="1">
        <v>8</v>
      </c>
      <c r="G509" s="1">
        <v>12.38</v>
      </c>
      <c r="H509" s="1" t="s">
        <v>411</v>
      </c>
      <c r="I509" s="1" t="s">
        <v>27</v>
      </c>
      <c r="J509" s="1">
        <v>23</v>
      </c>
      <c r="K509" s="1">
        <v>3.98</v>
      </c>
      <c r="L509" s="4">
        <v>160.36000000000001</v>
      </c>
      <c r="M509" s="1">
        <v>0.56000000000000005</v>
      </c>
      <c r="N509" s="1">
        <v>8</v>
      </c>
      <c r="O509" s="1">
        <v>0.72</v>
      </c>
      <c r="P509" s="1">
        <v>851</v>
      </c>
      <c r="Q509" s="1">
        <v>11.49</v>
      </c>
      <c r="R509" s="1">
        <v>0.61</v>
      </c>
      <c r="S509" s="2">
        <v>45324</v>
      </c>
      <c r="T509" s="1">
        <v>237.93</v>
      </c>
      <c r="U509" s="1">
        <v>0.60299999999999998</v>
      </c>
      <c r="V509" s="6">
        <f t="shared" si="21"/>
        <v>78576.400000000009</v>
      </c>
      <c r="W509" s="6" t="str">
        <f t="shared" si="22"/>
        <v>Sufficient</v>
      </c>
      <c r="X509" s="8" t="str">
        <f t="shared" si="23"/>
        <v>High</v>
      </c>
    </row>
    <row r="510" spans="1:24">
      <c r="A510" s="7" t="s">
        <v>640</v>
      </c>
      <c r="B510" s="1" t="s">
        <v>25</v>
      </c>
      <c r="C510" s="1">
        <v>330</v>
      </c>
      <c r="D510" s="1">
        <v>92</v>
      </c>
      <c r="E510" s="1">
        <v>11</v>
      </c>
      <c r="F510" s="1">
        <v>3</v>
      </c>
      <c r="G510" s="1">
        <v>44.98</v>
      </c>
      <c r="H510" s="1" t="s">
        <v>34</v>
      </c>
      <c r="I510" s="1" t="s">
        <v>27</v>
      </c>
      <c r="J510" s="1">
        <v>110</v>
      </c>
      <c r="K510" s="1">
        <v>1.1100000000000001</v>
      </c>
      <c r="L510" s="4">
        <v>141.87</v>
      </c>
      <c r="M510" s="1">
        <v>1.87</v>
      </c>
      <c r="N510" s="1">
        <v>0</v>
      </c>
      <c r="O510" s="1">
        <v>0.95</v>
      </c>
      <c r="P510" s="1">
        <v>193</v>
      </c>
      <c r="Q510" s="1">
        <v>14.89</v>
      </c>
      <c r="R510" s="1">
        <v>0.78</v>
      </c>
      <c r="S510" s="2">
        <v>45587</v>
      </c>
      <c r="T510" s="1">
        <v>127.41</v>
      </c>
      <c r="U510" s="1">
        <v>0.75800000000000001</v>
      </c>
      <c r="V510" s="6">
        <f t="shared" si="21"/>
        <v>46817.1</v>
      </c>
      <c r="W510" s="6" t="str">
        <f t="shared" si="22"/>
        <v>Sufficient</v>
      </c>
      <c r="X510" s="8" t="str">
        <f t="shared" si="23"/>
        <v>High</v>
      </c>
    </row>
    <row r="511" spans="1:24">
      <c r="A511" s="7" t="s">
        <v>641</v>
      </c>
      <c r="B511" s="1" t="s">
        <v>29</v>
      </c>
      <c r="C511" s="1">
        <v>377</v>
      </c>
      <c r="D511" s="1">
        <v>71</v>
      </c>
      <c r="E511" s="1">
        <v>5</v>
      </c>
      <c r="F511" s="1">
        <v>7</v>
      </c>
      <c r="G511" s="1">
        <v>43.28</v>
      </c>
      <c r="H511" s="1" t="s">
        <v>304</v>
      </c>
      <c r="I511" s="1" t="s">
        <v>45</v>
      </c>
      <c r="J511" s="1">
        <v>10</v>
      </c>
      <c r="K511" s="1">
        <v>4.1100000000000003</v>
      </c>
      <c r="L511" s="4">
        <v>107.95</v>
      </c>
      <c r="M511" s="1">
        <v>1.68</v>
      </c>
      <c r="N511" s="1">
        <v>9</v>
      </c>
      <c r="O511" s="1">
        <v>0.83</v>
      </c>
      <c r="P511" s="1">
        <v>572</v>
      </c>
      <c r="Q511" s="1">
        <v>10.02</v>
      </c>
      <c r="R511" s="1">
        <v>0.26</v>
      </c>
      <c r="S511" s="2">
        <v>45344</v>
      </c>
      <c r="T511" s="1">
        <v>145.19999999999999</v>
      </c>
      <c r="U511" s="1">
        <v>0.40400000000000003</v>
      </c>
      <c r="V511" s="6">
        <f t="shared" si="21"/>
        <v>40697.15</v>
      </c>
      <c r="W511" s="6" t="str">
        <f t="shared" si="22"/>
        <v>Sufficient</v>
      </c>
      <c r="X511" s="8" t="str">
        <f t="shared" si="23"/>
        <v>High</v>
      </c>
    </row>
    <row r="512" spans="1:24">
      <c r="A512" s="7" t="s">
        <v>642</v>
      </c>
      <c r="B512" s="1" t="s">
        <v>66</v>
      </c>
      <c r="C512" s="1">
        <v>393</v>
      </c>
      <c r="D512" s="1">
        <v>25</v>
      </c>
      <c r="E512" s="1">
        <v>12</v>
      </c>
      <c r="F512" s="1">
        <v>8</v>
      </c>
      <c r="G512" s="1">
        <v>25.95</v>
      </c>
      <c r="H512" s="1" t="s">
        <v>36</v>
      </c>
      <c r="I512" s="1" t="s">
        <v>45</v>
      </c>
      <c r="J512" s="1">
        <v>21</v>
      </c>
      <c r="K512" s="1">
        <v>3.25</v>
      </c>
      <c r="L512" s="4">
        <v>180.51</v>
      </c>
      <c r="M512" s="1">
        <v>1.1499999999999999</v>
      </c>
      <c r="N512" s="1">
        <v>3</v>
      </c>
      <c r="O512" s="1">
        <v>0.86</v>
      </c>
      <c r="P512" s="1">
        <v>530</v>
      </c>
      <c r="Q512" s="1">
        <v>5.24</v>
      </c>
      <c r="R512" s="1">
        <v>0.69</v>
      </c>
      <c r="S512" s="2">
        <v>45566</v>
      </c>
      <c r="T512" s="1">
        <v>223.84</v>
      </c>
      <c r="U512" s="1">
        <v>0.60499999999999998</v>
      </c>
      <c r="V512" s="6">
        <f t="shared" si="21"/>
        <v>70940.429999999993</v>
      </c>
      <c r="W512" s="6" t="str">
        <f t="shared" si="22"/>
        <v>Sufficient</v>
      </c>
      <c r="X512" s="8" t="str">
        <f t="shared" si="23"/>
        <v>High</v>
      </c>
    </row>
    <row r="513" spans="1:24">
      <c r="A513" s="7" t="s">
        <v>643</v>
      </c>
      <c r="B513" s="1" t="s">
        <v>33</v>
      </c>
      <c r="C513" s="1">
        <v>485</v>
      </c>
      <c r="D513" s="1">
        <v>97</v>
      </c>
      <c r="E513" s="1">
        <v>9</v>
      </c>
      <c r="F513" s="1">
        <v>7</v>
      </c>
      <c r="G513" s="1">
        <v>22.23</v>
      </c>
      <c r="H513" s="1" t="s">
        <v>394</v>
      </c>
      <c r="I513" s="1" t="s">
        <v>27</v>
      </c>
      <c r="J513" s="1">
        <v>124</v>
      </c>
      <c r="K513" s="1">
        <v>4.91</v>
      </c>
      <c r="L513" s="4">
        <v>160.41999999999999</v>
      </c>
      <c r="M513" s="1">
        <v>0.74</v>
      </c>
      <c r="N513" s="1">
        <v>6</v>
      </c>
      <c r="O513" s="1">
        <v>0.75</v>
      </c>
      <c r="P513" s="1">
        <v>541</v>
      </c>
      <c r="Q513" s="1">
        <v>8.67</v>
      </c>
      <c r="R513" s="1">
        <v>0.27</v>
      </c>
      <c r="S513" s="2">
        <v>45387</v>
      </c>
      <c r="T513" s="1">
        <v>159.18</v>
      </c>
      <c r="U513" s="1">
        <v>0.52600000000000002</v>
      </c>
      <c r="V513" s="6">
        <f t="shared" si="21"/>
        <v>77803.7</v>
      </c>
      <c r="W513" s="6" t="str">
        <f t="shared" si="22"/>
        <v>Sufficient</v>
      </c>
      <c r="X513" s="8" t="str">
        <f t="shared" si="23"/>
        <v>High</v>
      </c>
    </row>
    <row r="514" spans="1:24">
      <c r="A514" s="7" t="s">
        <v>644</v>
      </c>
      <c r="B514" s="1" t="s">
        <v>25</v>
      </c>
      <c r="C514" s="1">
        <v>173</v>
      </c>
      <c r="D514" s="1">
        <v>77</v>
      </c>
      <c r="E514" s="1">
        <v>6</v>
      </c>
      <c r="F514" s="1">
        <v>9</v>
      </c>
      <c r="G514" s="1">
        <v>19.47</v>
      </c>
      <c r="H514" s="1" t="s">
        <v>411</v>
      </c>
      <c r="I514" s="1" t="s">
        <v>31</v>
      </c>
      <c r="J514" s="1">
        <v>115</v>
      </c>
      <c r="K514" s="1">
        <v>3.43</v>
      </c>
      <c r="L514" s="4">
        <v>165.04</v>
      </c>
      <c r="M514" s="1">
        <v>1.73</v>
      </c>
      <c r="N514" s="1">
        <v>9</v>
      </c>
      <c r="O514" s="1">
        <v>0.72</v>
      </c>
      <c r="P514" s="1">
        <v>535</v>
      </c>
      <c r="Q514" s="1">
        <v>14.22</v>
      </c>
      <c r="R514" s="1">
        <v>0.88</v>
      </c>
      <c r="S514" s="2">
        <v>45479</v>
      </c>
      <c r="T514" s="1">
        <v>114.52</v>
      </c>
      <c r="U514" s="1">
        <v>0.55700000000000005</v>
      </c>
      <c r="V514" s="6">
        <f t="shared" si="21"/>
        <v>28551.919999999998</v>
      </c>
      <c r="W514" s="6" t="str">
        <f t="shared" si="22"/>
        <v>Sufficient</v>
      </c>
      <c r="X514" s="8" t="str">
        <f t="shared" si="23"/>
        <v>Medium</v>
      </c>
    </row>
    <row r="515" spans="1:24">
      <c r="A515" s="7" t="s">
        <v>645</v>
      </c>
      <c r="B515" s="1" t="s">
        <v>66</v>
      </c>
      <c r="C515" s="1">
        <v>409</v>
      </c>
      <c r="D515" s="1">
        <v>24</v>
      </c>
      <c r="E515" s="1">
        <v>8</v>
      </c>
      <c r="F515" s="1">
        <v>3</v>
      </c>
      <c r="G515" s="1">
        <v>35.659999999999997</v>
      </c>
      <c r="H515" s="1" t="s">
        <v>176</v>
      </c>
      <c r="I515" s="1" t="s">
        <v>45</v>
      </c>
      <c r="J515" s="1">
        <v>161</v>
      </c>
      <c r="K515" s="1">
        <v>3.72</v>
      </c>
      <c r="L515" s="4">
        <v>68.81</v>
      </c>
      <c r="M515" s="1">
        <v>0.39</v>
      </c>
      <c r="N515" s="1">
        <v>5</v>
      </c>
      <c r="O515" s="1">
        <v>0.81</v>
      </c>
      <c r="P515" s="1">
        <v>708</v>
      </c>
      <c r="Q515" s="1">
        <v>10.119999999999999</v>
      </c>
      <c r="R515" s="1">
        <v>0.95</v>
      </c>
      <c r="S515" s="2">
        <v>45458</v>
      </c>
      <c r="T515" s="1">
        <v>111.37</v>
      </c>
      <c r="U515" s="1">
        <v>0.748</v>
      </c>
      <c r="V515" s="6">
        <f t="shared" si="21"/>
        <v>28143.29</v>
      </c>
      <c r="W515" s="6" t="str">
        <f t="shared" si="22"/>
        <v>Sufficient</v>
      </c>
      <c r="X515" s="8" t="str">
        <f t="shared" si="23"/>
        <v>High</v>
      </c>
    </row>
    <row r="516" spans="1:24">
      <c r="A516" s="7" t="s">
        <v>646</v>
      </c>
      <c r="B516" s="1" t="s">
        <v>25</v>
      </c>
      <c r="C516" s="1">
        <v>279</v>
      </c>
      <c r="D516" s="1">
        <v>98</v>
      </c>
      <c r="E516" s="1">
        <v>6</v>
      </c>
      <c r="F516" s="1">
        <v>7</v>
      </c>
      <c r="G516" s="1">
        <v>33.909999999999997</v>
      </c>
      <c r="H516" s="1" t="s">
        <v>36</v>
      </c>
      <c r="I516" s="1" t="s">
        <v>27</v>
      </c>
      <c r="J516" s="1">
        <v>46</v>
      </c>
      <c r="K516" s="1">
        <v>1.38</v>
      </c>
      <c r="L516" s="4">
        <v>90.46</v>
      </c>
      <c r="M516" s="1">
        <v>0.44</v>
      </c>
      <c r="N516" s="1">
        <v>8</v>
      </c>
      <c r="O516" s="1">
        <v>0.85</v>
      </c>
      <c r="P516" s="1">
        <v>909</v>
      </c>
      <c r="Q516" s="1">
        <v>13.34</v>
      </c>
      <c r="R516" s="1">
        <v>0.82</v>
      </c>
      <c r="S516" s="2">
        <v>45392</v>
      </c>
      <c r="T516" s="1">
        <v>70.8</v>
      </c>
      <c r="U516" s="1">
        <v>0.70799999999999996</v>
      </c>
      <c r="V516" s="6">
        <f t="shared" ref="V516:V579" si="24">C516*L516</f>
        <v>25238.339999999997</v>
      </c>
      <c r="W516" s="6" t="str">
        <f t="shared" ref="W516:W579" si="25">IF(C516&lt;=D516,"Reorder Required","Sufficient")</f>
        <v>Sufficient</v>
      </c>
      <c r="X516" s="8" t="str">
        <f t="shared" ref="X516:X579" si="26">IF(C516&lt;100,"LOW",IF(C516&lt;250,"Medium","High"))</f>
        <v>High</v>
      </c>
    </row>
    <row r="517" spans="1:24">
      <c r="A517" s="7" t="s">
        <v>647</v>
      </c>
      <c r="B517" s="1" t="s">
        <v>25</v>
      </c>
      <c r="C517" s="1">
        <v>127</v>
      </c>
      <c r="D517" s="1">
        <v>64</v>
      </c>
      <c r="E517" s="1">
        <v>12</v>
      </c>
      <c r="F517" s="1">
        <v>5</v>
      </c>
      <c r="G517" s="1">
        <v>10.61</v>
      </c>
      <c r="H517" s="1" t="s">
        <v>42</v>
      </c>
      <c r="I517" s="1" t="s">
        <v>31</v>
      </c>
      <c r="J517" s="1">
        <v>12</v>
      </c>
      <c r="K517" s="1">
        <v>3.96</v>
      </c>
      <c r="L517" s="4">
        <v>144.29</v>
      </c>
      <c r="M517" s="1">
        <v>0.53</v>
      </c>
      <c r="N517" s="1">
        <v>6</v>
      </c>
      <c r="O517" s="1">
        <v>0.93</v>
      </c>
      <c r="P517" s="1">
        <v>974</v>
      </c>
      <c r="Q517" s="1">
        <v>1.32</v>
      </c>
      <c r="R517" s="1">
        <v>0.77</v>
      </c>
      <c r="S517" s="2">
        <v>45526</v>
      </c>
      <c r="T517" s="1">
        <v>266.83</v>
      </c>
      <c r="U517" s="1">
        <v>0.58499999999999996</v>
      </c>
      <c r="V517" s="6">
        <f t="shared" si="24"/>
        <v>18324.829999999998</v>
      </c>
      <c r="W517" s="6" t="str">
        <f t="shared" si="25"/>
        <v>Sufficient</v>
      </c>
      <c r="X517" s="8" t="str">
        <f t="shared" si="26"/>
        <v>Medium</v>
      </c>
    </row>
    <row r="518" spans="1:24">
      <c r="A518" s="7" t="s">
        <v>648</v>
      </c>
      <c r="B518" s="1" t="s">
        <v>33</v>
      </c>
      <c r="C518" s="1">
        <v>390</v>
      </c>
      <c r="D518" s="1">
        <v>44</v>
      </c>
      <c r="E518" s="1">
        <v>9</v>
      </c>
      <c r="F518" s="1">
        <v>9</v>
      </c>
      <c r="G518" s="1">
        <v>33.9</v>
      </c>
      <c r="H518" s="1" t="s">
        <v>178</v>
      </c>
      <c r="I518" s="1" t="s">
        <v>31</v>
      </c>
      <c r="J518" s="1">
        <v>164</v>
      </c>
      <c r="K518" s="1">
        <v>0.86</v>
      </c>
      <c r="L518" s="4">
        <v>80.5</v>
      </c>
      <c r="M518" s="1">
        <v>1.24</v>
      </c>
      <c r="N518" s="1">
        <v>2</v>
      </c>
      <c r="O518" s="1">
        <v>0.85</v>
      </c>
      <c r="P518" s="1">
        <v>534</v>
      </c>
      <c r="Q518" s="1">
        <v>6.17</v>
      </c>
      <c r="R518" s="1">
        <v>0.95</v>
      </c>
      <c r="S518" s="2">
        <v>45350</v>
      </c>
      <c r="T518" s="1">
        <v>130.1</v>
      </c>
      <c r="U518" s="1">
        <v>0.67800000000000005</v>
      </c>
      <c r="V518" s="6">
        <f t="shared" si="24"/>
        <v>31395</v>
      </c>
      <c r="W518" s="6" t="str">
        <f t="shared" si="25"/>
        <v>Sufficient</v>
      </c>
      <c r="X518" s="8" t="str">
        <f t="shared" si="26"/>
        <v>High</v>
      </c>
    </row>
    <row r="519" spans="1:24">
      <c r="A519" s="7" t="s">
        <v>649</v>
      </c>
      <c r="B519" s="1" t="s">
        <v>41</v>
      </c>
      <c r="C519" s="1">
        <v>304</v>
      </c>
      <c r="D519" s="1">
        <v>64</v>
      </c>
      <c r="E519" s="1">
        <v>3</v>
      </c>
      <c r="F519" s="1">
        <v>9</v>
      </c>
      <c r="G519" s="1">
        <v>13.37</v>
      </c>
      <c r="H519" s="1" t="s">
        <v>99</v>
      </c>
      <c r="I519" s="1" t="s">
        <v>39</v>
      </c>
      <c r="J519" s="1">
        <v>62</v>
      </c>
      <c r="K519" s="1">
        <v>3.45</v>
      </c>
      <c r="L519" s="4">
        <v>103.86</v>
      </c>
      <c r="M519" s="1">
        <v>0.7</v>
      </c>
      <c r="N519" s="1">
        <v>6</v>
      </c>
      <c r="O519" s="1">
        <v>0.93</v>
      </c>
      <c r="P519" s="1">
        <v>871</v>
      </c>
      <c r="Q519" s="1">
        <v>14.09</v>
      </c>
      <c r="R519" s="1">
        <v>0.37</v>
      </c>
      <c r="S519" s="2">
        <v>45426</v>
      </c>
      <c r="T519" s="1">
        <v>228.19</v>
      </c>
      <c r="U519" s="1">
        <v>0.65800000000000003</v>
      </c>
      <c r="V519" s="6">
        <f t="shared" si="24"/>
        <v>31573.439999999999</v>
      </c>
      <c r="W519" s="6" t="str">
        <f t="shared" si="25"/>
        <v>Sufficient</v>
      </c>
      <c r="X519" s="8" t="str">
        <f t="shared" si="26"/>
        <v>High</v>
      </c>
    </row>
    <row r="520" spans="1:24">
      <c r="A520" s="7" t="s">
        <v>650</v>
      </c>
      <c r="B520" s="1" t="s">
        <v>29</v>
      </c>
      <c r="C520" s="1">
        <v>78</v>
      </c>
      <c r="D520" s="1">
        <v>23</v>
      </c>
      <c r="E520" s="1">
        <v>5</v>
      </c>
      <c r="F520" s="1">
        <v>6</v>
      </c>
      <c r="G520" s="1">
        <v>1.91</v>
      </c>
      <c r="H520" s="1" t="s">
        <v>85</v>
      </c>
      <c r="I520" s="1" t="s">
        <v>39</v>
      </c>
      <c r="J520" s="1">
        <v>109</v>
      </c>
      <c r="K520" s="1">
        <v>0.75</v>
      </c>
      <c r="L520" s="4">
        <v>132.84</v>
      </c>
      <c r="M520" s="1">
        <v>1.98</v>
      </c>
      <c r="N520" s="1">
        <v>9</v>
      </c>
      <c r="O520" s="1">
        <v>0.73</v>
      </c>
      <c r="P520" s="1">
        <v>486</v>
      </c>
      <c r="Q520" s="1">
        <v>1.55</v>
      </c>
      <c r="R520" s="1">
        <v>0.38</v>
      </c>
      <c r="S520" s="2">
        <v>45635</v>
      </c>
      <c r="T520" s="1">
        <v>176.39</v>
      </c>
      <c r="U520" s="1">
        <v>0.26500000000000001</v>
      </c>
      <c r="V520" s="6">
        <f t="shared" si="24"/>
        <v>10361.52</v>
      </c>
      <c r="W520" s="6" t="str">
        <f t="shared" si="25"/>
        <v>Sufficient</v>
      </c>
      <c r="X520" s="8" t="str">
        <f t="shared" si="26"/>
        <v>LOW</v>
      </c>
    </row>
    <row r="521" spans="1:24">
      <c r="A521" s="7" t="s">
        <v>651</v>
      </c>
      <c r="B521" s="1" t="s">
        <v>29</v>
      </c>
      <c r="C521" s="1">
        <v>144</v>
      </c>
      <c r="D521" s="1">
        <v>58</v>
      </c>
      <c r="E521" s="1">
        <v>5</v>
      </c>
      <c r="F521" s="1">
        <v>9</v>
      </c>
      <c r="G521" s="1">
        <v>35.26</v>
      </c>
      <c r="H521" s="1" t="s">
        <v>50</v>
      </c>
      <c r="I521" s="1" t="s">
        <v>45</v>
      </c>
      <c r="J521" s="1">
        <v>26</v>
      </c>
      <c r="K521" s="1">
        <v>1.02</v>
      </c>
      <c r="L521" s="4">
        <v>93.17</v>
      </c>
      <c r="M521" s="1">
        <v>0.47</v>
      </c>
      <c r="N521" s="1">
        <v>4</v>
      </c>
      <c r="O521" s="1">
        <v>0.72</v>
      </c>
      <c r="P521" s="1">
        <v>244</v>
      </c>
      <c r="Q521" s="1">
        <v>8.27</v>
      </c>
      <c r="R521" s="1">
        <v>0.57999999999999996</v>
      </c>
      <c r="S521" s="2">
        <v>45542</v>
      </c>
      <c r="T521" s="1">
        <v>228.69</v>
      </c>
      <c r="U521" s="1">
        <v>0.64300000000000002</v>
      </c>
      <c r="V521" s="6">
        <f t="shared" si="24"/>
        <v>13416.48</v>
      </c>
      <c r="W521" s="6" t="str">
        <f t="shared" si="25"/>
        <v>Sufficient</v>
      </c>
      <c r="X521" s="8" t="str">
        <f t="shared" si="26"/>
        <v>Medium</v>
      </c>
    </row>
    <row r="522" spans="1:24">
      <c r="A522" s="7" t="s">
        <v>652</v>
      </c>
      <c r="B522" s="1" t="s">
        <v>33</v>
      </c>
      <c r="C522" s="1">
        <v>373</v>
      </c>
      <c r="D522" s="1">
        <v>92</v>
      </c>
      <c r="E522" s="1">
        <v>3</v>
      </c>
      <c r="F522" s="1">
        <v>9</v>
      </c>
      <c r="G522" s="1">
        <v>32.590000000000003</v>
      </c>
      <c r="H522" s="1" t="s">
        <v>113</v>
      </c>
      <c r="I522" s="1" t="s">
        <v>31</v>
      </c>
      <c r="J522" s="1">
        <v>122</v>
      </c>
      <c r="K522" s="1">
        <v>0.99</v>
      </c>
      <c r="L522" s="4">
        <v>160.68</v>
      </c>
      <c r="M522" s="1">
        <v>1.63</v>
      </c>
      <c r="N522" s="1">
        <v>1</v>
      </c>
      <c r="O522" s="1">
        <v>0.75</v>
      </c>
      <c r="P522" s="1">
        <v>515</v>
      </c>
      <c r="Q522" s="1">
        <v>5.85</v>
      </c>
      <c r="R522" s="1">
        <v>0.21</v>
      </c>
      <c r="S522" s="2">
        <v>45562</v>
      </c>
      <c r="T522" s="1">
        <v>103.06</v>
      </c>
      <c r="U522" s="1">
        <v>0.48699999999999999</v>
      </c>
      <c r="V522" s="6">
        <f t="shared" si="24"/>
        <v>59933.64</v>
      </c>
      <c r="W522" s="6" t="str">
        <f t="shared" si="25"/>
        <v>Sufficient</v>
      </c>
      <c r="X522" s="8" t="str">
        <f t="shared" si="26"/>
        <v>High</v>
      </c>
    </row>
    <row r="523" spans="1:24">
      <c r="A523" s="7" t="s">
        <v>653</v>
      </c>
      <c r="B523" s="1" t="s">
        <v>25</v>
      </c>
      <c r="C523" s="1">
        <v>292</v>
      </c>
      <c r="D523" s="1">
        <v>16</v>
      </c>
      <c r="E523" s="1">
        <v>8</v>
      </c>
      <c r="F523" s="1">
        <v>2</v>
      </c>
      <c r="G523" s="1">
        <v>21.13</v>
      </c>
      <c r="H523" s="1" t="s">
        <v>63</v>
      </c>
      <c r="I523" s="1" t="s">
        <v>45</v>
      </c>
      <c r="J523" s="1">
        <v>119</v>
      </c>
      <c r="K523" s="1">
        <v>0.74</v>
      </c>
      <c r="L523" s="4">
        <v>32.090000000000003</v>
      </c>
      <c r="M523" s="1">
        <v>0.28000000000000003</v>
      </c>
      <c r="N523" s="1">
        <v>9</v>
      </c>
      <c r="O523" s="1">
        <v>0.93</v>
      </c>
      <c r="P523" s="1">
        <v>125</v>
      </c>
      <c r="Q523" s="1">
        <v>10.050000000000001</v>
      </c>
      <c r="R523" s="1">
        <v>0.97</v>
      </c>
      <c r="S523" s="2">
        <v>45619</v>
      </c>
      <c r="T523" s="1">
        <v>228.08</v>
      </c>
      <c r="U523" s="1">
        <v>0.70599999999999996</v>
      </c>
      <c r="V523" s="6">
        <f t="shared" si="24"/>
        <v>9370.2800000000007</v>
      </c>
      <c r="W523" s="6" t="str">
        <f t="shared" si="25"/>
        <v>Sufficient</v>
      </c>
      <c r="X523" s="8" t="str">
        <f t="shared" si="26"/>
        <v>High</v>
      </c>
    </row>
    <row r="524" spans="1:24">
      <c r="A524" s="7" t="s">
        <v>654</v>
      </c>
      <c r="B524" s="1" t="s">
        <v>66</v>
      </c>
      <c r="C524" s="1">
        <v>126</v>
      </c>
      <c r="D524" s="1">
        <v>39</v>
      </c>
      <c r="E524" s="1">
        <v>13</v>
      </c>
      <c r="F524" s="1">
        <v>3</v>
      </c>
      <c r="G524" s="1">
        <v>26.76</v>
      </c>
      <c r="H524" s="1" t="s">
        <v>350</v>
      </c>
      <c r="I524" s="1" t="s">
        <v>27</v>
      </c>
      <c r="J524" s="1">
        <v>152</v>
      </c>
      <c r="K524" s="1">
        <v>1.95</v>
      </c>
      <c r="L524" s="4">
        <v>146.43</v>
      </c>
      <c r="M524" s="1">
        <v>0.77</v>
      </c>
      <c r="N524" s="1">
        <v>2</v>
      </c>
      <c r="O524" s="1">
        <v>0.93</v>
      </c>
      <c r="P524" s="1">
        <v>209</v>
      </c>
      <c r="Q524" s="1">
        <v>3.27</v>
      </c>
      <c r="R524" s="1">
        <v>0.23</v>
      </c>
      <c r="S524" s="2">
        <v>45452</v>
      </c>
      <c r="T524" s="1">
        <v>239.09</v>
      </c>
      <c r="U524" s="1">
        <v>0.55900000000000005</v>
      </c>
      <c r="V524" s="6">
        <f t="shared" si="24"/>
        <v>18450.18</v>
      </c>
      <c r="W524" s="6" t="str">
        <f t="shared" si="25"/>
        <v>Sufficient</v>
      </c>
      <c r="X524" s="8" t="str">
        <f t="shared" si="26"/>
        <v>Medium</v>
      </c>
    </row>
    <row r="525" spans="1:24">
      <c r="A525" s="7" t="s">
        <v>655</v>
      </c>
      <c r="B525" s="1" t="s">
        <v>25</v>
      </c>
      <c r="C525" s="1">
        <v>318</v>
      </c>
      <c r="D525" s="1">
        <v>92</v>
      </c>
      <c r="E525" s="1">
        <v>11</v>
      </c>
      <c r="F525" s="1">
        <v>5</v>
      </c>
      <c r="G525" s="1">
        <v>47.41</v>
      </c>
      <c r="H525" s="1" t="s">
        <v>44</v>
      </c>
      <c r="I525" s="1" t="s">
        <v>45</v>
      </c>
      <c r="J525" s="1">
        <v>176</v>
      </c>
      <c r="K525" s="1">
        <v>4.97</v>
      </c>
      <c r="L525" s="4">
        <v>37.590000000000003</v>
      </c>
      <c r="M525" s="1">
        <v>0.56000000000000005</v>
      </c>
      <c r="N525" s="1">
        <v>5</v>
      </c>
      <c r="O525" s="1">
        <v>0.74</v>
      </c>
      <c r="P525" s="1">
        <v>539</v>
      </c>
      <c r="Q525" s="1">
        <v>10.15</v>
      </c>
      <c r="R525" s="1">
        <v>0.68</v>
      </c>
      <c r="S525" s="2">
        <v>45597</v>
      </c>
      <c r="T525" s="1">
        <v>40.24</v>
      </c>
      <c r="U525" s="1">
        <v>0.66300000000000003</v>
      </c>
      <c r="V525" s="6">
        <f t="shared" si="24"/>
        <v>11953.62</v>
      </c>
      <c r="W525" s="6" t="str">
        <f t="shared" si="25"/>
        <v>Sufficient</v>
      </c>
      <c r="X525" s="8" t="str">
        <f t="shared" si="26"/>
        <v>High</v>
      </c>
    </row>
    <row r="526" spans="1:24">
      <c r="A526" s="7" t="s">
        <v>656</v>
      </c>
      <c r="B526" s="1" t="s">
        <v>33</v>
      </c>
      <c r="C526" s="1">
        <v>264</v>
      </c>
      <c r="D526" s="1">
        <v>58</v>
      </c>
      <c r="E526" s="1">
        <v>10</v>
      </c>
      <c r="F526" s="1">
        <v>8</v>
      </c>
      <c r="G526" s="1">
        <v>30.16</v>
      </c>
      <c r="H526" s="1" t="s">
        <v>79</v>
      </c>
      <c r="I526" s="1" t="s">
        <v>31</v>
      </c>
      <c r="J526" s="1">
        <v>13</v>
      </c>
      <c r="K526" s="1">
        <v>2.0699999999999998</v>
      </c>
      <c r="L526" s="4">
        <v>188.19</v>
      </c>
      <c r="M526" s="1">
        <v>1.96</v>
      </c>
      <c r="N526" s="1">
        <v>5</v>
      </c>
      <c r="O526" s="1">
        <v>0.71</v>
      </c>
      <c r="P526" s="1">
        <v>149</v>
      </c>
      <c r="Q526" s="1">
        <v>14.89</v>
      </c>
      <c r="R526" s="1">
        <v>0.48</v>
      </c>
      <c r="S526" s="2">
        <v>45490</v>
      </c>
      <c r="T526" s="1">
        <v>36.520000000000003</v>
      </c>
      <c r="U526" s="1">
        <v>0.54100000000000004</v>
      </c>
      <c r="V526" s="6">
        <f t="shared" si="24"/>
        <v>49682.159999999996</v>
      </c>
      <c r="W526" s="6" t="str">
        <f t="shared" si="25"/>
        <v>Sufficient</v>
      </c>
      <c r="X526" s="8" t="str">
        <f t="shared" si="26"/>
        <v>High</v>
      </c>
    </row>
    <row r="527" spans="1:24">
      <c r="A527" s="7" t="s">
        <v>657</v>
      </c>
      <c r="B527" s="1" t="s">
        <v>29</v>
      </c>
      <c r="C527" s="1">
        <v>355</v>
      </c>
      <c r="D527" s="1">
        <v>98</v>
      </c>
      <c r="E527" s="1">
        <v>13</v>
      </c>
      <c r="F527" s="1">
        <v>5</v>
      </c>
      <c r="G527" s="1">
        <v>33.24</v>
      </c>
      <c r="H527" s="1" t="s">
        <v>128</v>
      </c>
      <c r="I527" s="1" t="s">
        <v>39</v>
      </c>
      <c r="J527" s="1">
        <v>154</v>
      </c>
      <c r="K527" s="1">
        <v>3.92</v>
      </c>
      <c r="L527" s="4">
        <v>69.67</v>
      </c>
      <c r="M527" s="1">
        <v>0.15</v>
      </c>
      <c r="N527" s="1">
        <v>6</v>
      </c>
      <c r="O527" s="1">
        <v>0.91</v>
      </c>
      <c r="P527" s="1">
        <v>165</v>
      </c>
      <c r="Q527" s="1">
        <v>4.8</v>
      </c>
      <c r="R527" s="1">
        <v>0.28000000000000003</v>
      </c>
      <c r="S527" s="2">
        <v>45604</v>
      </c>
      <c r="T527" s="1">
        <v>295.79000000000002</v>
      </c>
      <c r="U527" s="1">
        <v>0.56699999999999995</v>
      </c>
      <c r="V527" s="6">
        <f t="shared" si="24"/>
        <v>24732.850000000002</v>
      </c>
      <c r="W527" s="6" t="str">
        <f t="shared" si="25"/>
        <v>Sufficient</v>
      </c>
      <c r="X527" s="8" t="str">
        <f t="shared" si="26"/>
        <v>High</v>
      </c>
    </row>
    <row r="528" spans="1:24">
      <c r="A528" s="7" t="s">
        <v>658</v>
      </c>
      <c r="B528" s="1" t="s">
        <v>25</v>
      </c>
      <c r="C528" s="1">
        <v>469</v>
      </c>
      <c r="D528" s="1">
        <v>25</v>
      </c>
      <c r="E528" s="1">
        <v>9</v>
      </c>
      <c r="F528" s="1">
        <v>5</v>
      </c>
      <c r="G528" s="1">
        <v>4.13</v>
      </c>
      <c r="H528" s="1" t="s">
        <v>119</v>
      </c>
      <c r="I528" s="1" t="s">
        <v>45</v>
      </c>
      <c r="J528" s="1">
        <v>148</v>
      </c>
      <c r="K528" s="1">
        <v>1.1000000000000001</v>
      </c>
      <c r="L528" s="4">
        <v>161.13</v>
      </c>
      <c r="M528" s="1">
        <v>1.47</v>
      </c>
      <c r="N528" s="1">
        <v>5</v>
      </c>
      <c r="O528" s="1">
        <v>0.96</v>
      </c>
      <c r="P528" s="1">
        <v>429</v>
      </c>
      <c r="Q528" s="1">
        <v>7.46</v>
      </c>
      <c r="R528" s="1">
        <v>0.22</v>
      </c>
      <c r="S528" s="2">
        <v>45492</v>
      </c>
      <c r="T528" s="1">
        <v>44.21</v>
      </c>
      <c r="U528" s="1">
        <v>0.48799999999999999</v>
      </c>
      <c r="V528" s="6">
        <f t="shared" si="24"/>
        <v>75569.97</v>
      </c>
      <c r="W528" s="6" t="str">
        <f t="shared" si="25"/>
        <v>Sufficient</v>
      </c>
      <c r="X528" s="8" t="str">
        <f t="shared" si="26"/>
        <v>High</v>
      </c>
    </row>
    <row r="529" spans="1:24">
      <c r="A529" s="7" t="s">
        <v>659</v>
      </c>
      <c r="B529" s="1" t="s">
        <v>29</v>
      </c>
      <c r="C529" s="1">
        <v>437</v>
      </c>
      <c r="D529" s="1">
        <v>60</v>
      </c>
      <c r="E529" s="1">
        <v>12</v>
      </c>
      <c r="F529" s="1">
        <v>2</v>
      </c>
      <c r="G529" s="1">
        <v>9.1300000000000008</v>
      </c>
      <c r="H529" s="1" t="s">
        <v>331</v>
      </c>
      <c r="I529" s="1" t="s">
        <v>39</v>
      </c>
      <c r="J529" s="1">
        <v>21</v>
      </c>
      <c r="K529" s="1">
        <v>2.5499999999999998</v>
      </c>
      <c r="L529" s="4">
        <v>109.07</v>
      </c>
      <c r="M529" s="1">
        <v>0.56999999999999995</v>
      </c>
      <c r="N529" s="1">
        <v>8</v>
      </c>
      <c r="O529" s="1">
        <v>0.93</v>
      </c>
      <c r="P529" s="1">
        <v>644</v>
      </c>
      <c r="Q529" s="1">
        <v>1.42</v>
      </c>
      <c r="R529" s="1">
        <v>0.41</v>
      </c>
      <c r="S529" s="2">
        <v>45592</v>
      </c>
      <c r="T529" s="1">
        <v>208.6</v>
      </c>
      <c r="U529" s="1">
        <v>0.47</v>
      </c>
      <c r="V529" s="6">
        <f t="shared" si="24"/>
        <v>47663.59</v>
      </c>
      <c r="W529" s="6" t="str">
        <f t="shared" si="25"/>
        <v>Sufficient</v>
      </c>
      <c r="X529" s="8" t="str">
        <f t="shared" si="26"/>
        <v>High</v>
      </c>
    </row>
    <row r="530" spans="1:24">
      <c r="A530" s="7" t="s">
        <v>660</v>
      </c>
      <c r="B530" s="1" t="s">
        <v>66</v>
      </c>
      <c r="C530" s="1">
        <v>266</v>
      </c>
      <c r="D530" s="1">
        <v>81</v>
      </c>
      <c r="E530" s="1">
        <v>10</v>
      </c>
      <c r="F530" s="1">
        <v>4</v>
      </c>
      <c r="G530" s="1">
        <v>15.75</v>
      </c>
      <c r="H530" s="1" t="s">
        <v>70</v>
      </c>
      <c r="I530" s="1" t="s">
        <v>45</v>
      </c>
      <c r="J530" s="1">
        <v>41</v>
      </c>
      <c r="K530" s="1">
        <v>1.33</v>
      </c>
      <c r="L530" s="4">
        <v>27.31</v>
      </c>
      <c r="M530" s="1">
        <v>1.64</v>
      </c>
      <c r="N530" s="1">
        <v>4</v>
      </c>
      <c r="O530" s="1">
        <v>0.76</v>
      </c>
      <c r="P530" s="1">
        <v>873</v>
      </c>
      <c r="Q530" s="1">
        <v>7.08</v>
      </c>
      <c r="R530" s="1">
        <v>0.28999999999999998</v>
      </c>
      <c r="S530" s="2">
        <v>45350</v>
      </c>
      <c r="T530" s="1">
        <v>226.87</v>
      </c>
      <c r="U530" s="1">
        <v>0.46</v>
      </c>
      <c r="V530" s="6">
        <f t="shared" si="24"/>
        <v>7264.46</v>
      </c>
      <c r="W530" s="6" t="str">
        <f t="shared" si="25"/>
        <v>Sufficient</v>
      </c>
      <c r="X530" s="8" t="str">
        <f t="shared" si="26"/>
        <v>High</v>
      </c>
    </row>
    <row r="531" spans="1:24">
      <c r="A531" s="7" t="s">
        <v>661</v>
      </c>
      <c r="B531" s="1" t="s">
        <v>29</v>
      </c>
      <c r="C531" s="1">
        <v>27</v>
      </c>
      <c r="D531" s="1">
        <v>91</v>
      </c>
      <c r="E531" s="1">
        <v>8</v>
      </c>
      <c r="F531" s="1">
        <v>7</v>
      </c>
      <c r="G531" s="1">
        <v>27.43</v>
      </c>
      <c r="H531" s="1" t="s">
        <v>44</v>
      </c>
      <c r="I531" s="1" t="s">
        <v>27</v>
      </c>
      <c r="J531" s="1">
        <v>164</v>
      </c>
      <c r="K531" s="1">
        <v>1.36</v>
      </c>
      <c r="L531" s="4">
        <v>120.69</v>
      </c>
      <c r="M531" s="1">
        <v>0.69</v>
      </c>
      <c r="N531" s="1">
        <v>4</v>
      </c>
      <c r="O531" s="1">
        <v>0.88</v>
      </c>
      <c r="P531" s="1">
        <v>112</v>
      </c>
      <c r="Q531" s="1">
        <v>6.68</v>
      </c>
      <c r="R531" s="1">
        <v>0.95</v>
      </c>
      <c r="S531" s="2">
        <v>45470</v>
      </c>
      <c r="T531" s="1">
        <v>28.42</v>
      </c>
      <c r="U531" s="1">
        <v>0.70599999999999996</v>
      </c>
      <c r="V531" s="6">
        <f t="shared" si="24"/>
        <v>3258.63</v>
      </c>
      <c r="W531" s="6" t="str">
        <f t="shared" si="25"/>
        <v>Reorder Required</v>
      </c>
      <c r="X531" s="8" t="str">
        <f t="shared" si="26"/>
        <v>LOW</v>
      </c>
    </row>
    <row r="532" spans="1:24">
      <c r="A532" s="7" t="s">
        <v>662</v>
      </c>
      <c r="B532" s="1" t="s">
        <v>29</v>
      </c>
      <c r="C532" s="1">
        <v>160</v>
      </c>
      <c r="D532" s="1">
        <v>89</v>
      </c>
      <c r="E532" s="1">
        <v>11</v>
      </c>
      <c r="F532" s="1">
        <v>7</v>
      </c>
      <c r="G532" s="1">
        <v>39.049999999999997</v>
      </c>
      <c r="H532" s="1" t="s">
        <v>34</v>
      </c>
      <c r="I532" s="1" t="s">
        <v>31</v>
      </c>
      <c r="J532" s="1">
        <v>52</v>
      </c>
      <c r="K532" s="1">
        <v>0.95</v>
      </c>
      <c r="L532" s="4">
        <v>183.31</v>
      </c>
      <c r="M532" s="1">
        <v>0.46</v>
      </c>
      <c r="N532" s="1">
        <v>7</v>
      </c>
      <c r="O532" s="1">
        <v>0.93</v>
      </c>
      <c r="P532" s="1">
        <v>181</v>
      </c>
      <c r="Q532" s="1">
        <v>8.91</v>
      </c>
      <c r="R532" s="1">
        <v>0.4</v>
      </c>
      <c r="S532" s="2">
        <v>45472</v>
      </c>
      <c r="T532" s="1">
        <v>226.49</v>
      </c>
      <c r="U532" s="1">
        <v>0.59899999999999998</v>
      </c>
      <c r="V532" s="6">
        <f t="shared" si="24"/>
        <v>29329.599999999999</v>
      </c>
      <c r="W532" s="6" t="str">
        <f t="shared" si="25"/>
        <v>Sufficient</v>
      </c>
      <c r="X532" s="8" t="str">
        <f t="shared" si="26"/>
        <v>Medium</v>
      </c>
    </row>
    <row r="533" spans="1:24">
      <c r="A533" s="7" t="s">
        <v>663</v>
      </c>
      <c r="B533" s="1" t="s">
        <v>41</v>
      </c>
      <c r="C533" s="1">
        <v>381</v>
      </c>
      <c r="D533" s="1">
        <v>92</v>
      </c>
      <c r="E533" s="1">
        <v>5</v>
      </c>
      <c r="F533" s="1">
        <v>8</v>
      </c>
      <c r="G533" s="1">
        <v>16.739999999999998</v>
      </c>
      <c r="H533" s="1" t="s">
        <v>156</v>
      </c>
      <c r="I533" s="1" t="s">
        <v>45</v>
      </c>
      <c r="J533" s="1">
        <v>113</v>
      </c>
      <c r="K533" s="1">
        <v>2.44</v>
      </c>
      <c r="L533" s="4">
        <v>39.869999999999997</v>
      </c>
      <c r="M533" s="1">
        <v>1.42</v>
      </c>
      <c r="N533" s="1">
        <v>7</v>
      </c>
      <c r="O533" s="1">
        <v>0.78</v>
      </c>
      <c r="P533" s="1">
        <v>297</v>
      </c>
      <c r="Q533" s="1">
        <v>4.59</v>
      </c>
      <c r="R533" s="1">
        <v>0.28000000000000003</v>
      </c>
      <c r="S533" s="2">
        <v>45526</v>
      </c>
      <c r="T533" s="1">
        <v>131.66</v>
      </c>
      <c r="U533" s="1">
        <v>0.39100000000000001</v>
      </c>
      <c r="V533" s="6">
        <f t="shared" si="24"/>
        <v>15190.47</v>
      </c>
      <c r="W533" s="6" t="str">
        <f t="shared" si="25"/>
        <v>Sufficient</v>
      </c>
      <c r="X533" s="8" t="str">
        <f t="shared" si="26"/>
        <v>High</v>
      </c>
    </row>
    <row r="534" spans="1:24">
      <c r="A534" s="7" t="s">
        <v>664</v>
      </c>
      <c r="B534" s="1" t="s">
        <v>41</v>
      </c>
      <c r="C534" s="1">
        <v>27</v>
      </c>
      <c r="D534" s="1">
        <v>51</v>
      </c>
      <c r="E534" s="1">
        <v>12</v>
      </c>
      <c r="F534" s="1">
        <v>9</v>
      </c>
      <c r="G534" s="1">
        <v>18.46</v>
      </c>
      <c r="H534" s="1" t="s">
        <v>149</v>
      </c>
      <c r="I534" s="1" t="s">
        <v>27</v>
      </c>
      <c r="J534" s="1">
        <v>102</v>
      </c>
      <c r="K534" s="1">
        <v>0.84</v>
      </c>
      <c r="L534" s="4">
        <v>71.05</v>
      </c>
      <c r="M534" s="1">
        <v>0.59</v>
      </c>
      <c r="N534" s="1">
        <v>0</v>
      </c>
      <c r="O534" s="1">
        <v>0.86</v>
      </c>
      <c r="P534" s="1">
        <v>444</v>
      </c>
      <c r="Q534" s="1">
        <v>5.6</v>
      </c>
      <c r="R534" s="1">
        <v>0.82</v>
      </c>
      <c r="S534" s="2">
        <v>45608</v>
      </c>
      <c r="T534" s="1">
        <v>89.66</v>
      </c>
      <c r="U534" s="1">
        <v>0.752</v>
      </c>
      <c r="V534" s="6">
        <f t="shared" si="24"/>
        <v>1918.35</v>
      </c>
      <c r="W534" s="6" t="str">
        <f t="shared" si="25"/>
        <v>Reorder Required</v>
      </c>
      <c r="X534" s="8" t="str">
        <f t="shared" si="26"/>
        <v>LOW</v>
      </c>
    </row>
    <row r="535" spans="1:24">
      <c r="A535" s="7" t="s">
        <v>665</v>
      </c>
      <c r="B535" s="1" t="s">
        <v>41</v>
      </c>
      <c r="C535" s="1">
        <v>497</v>
      </c>
      <c r="D535" s="1">
        <v>26</v>
      </c>
      <c r="E535" s="1">
        <v>12</v>
      </c>
      <c r="F535" s="1">
        <v>6</v>
      </c>
      <c r="G535" s="1">
        <v>13.55</v>
      </c>
      <c r="H535" s="1" t="s">
        <v>216</v>
      </c>
      <c r="I535" s="1" t="s">
        <v>27</v>
      </c>
      <c r="J535" s="1">
        <v>52</v>
      </c>
      <c r="K535" s="1">
        <v>4.59</v>
      </c>
      <c r="L535" s="4">
        <v>93.44</v>
      </c>
      <c r="M535" s="1">
        <v>1.02</v>
      </c>
      <c r="N535" s="1">
        <v>2</v>
      </c>
      <c r="O535" s="1">
        <v>0.79</v>
      </c>
      <c r="P535" s="1">
        <v>692</v>
      </c>
      <c r="Q535" s="1">
        <v>9.5399999999999991</v>
      </c>
      <c r="R535" s="1">
        <v>0.53</v>
      </c>
      <c r="S535" s="2">
        <v>45380</v>
      </c>
      <c r="T535" s="1">
        <v>202.95</v>
      </c>
      <c r="U535" s="1">
        <v>0.64900000000000002</v>
      </c>
      <c r="V535" s="6">
        <f t="shared" si="24"/>
        <v>46439.68</v>
      </c>
      <c r="W535" s="6" t="str">
        <f t="shared" si="25"/>
        <v>Sufficient</v>
      </c>
      <c r="X535" s="8" t="str">
        <f t="shared" si="26"/>
        <v>High</v>
      </c>
    </row>
    <row r="536" spans="1:24">
      <c r="A536" s="7" t="s">
        <v>666</v>
      </c>
      <c r="B536" s="1" t="s">
        <v>29</v>
      </c>
      <c r="C536" s="1">
        <v>371</v>
      </c>
      <c r="D536" s="1">
        <v>72</v>
      </c>
      <c r="E536" s="1">
        <v>11</v>
      </c>
      <c r="F536" s="1">
        <v>8</v>
      </c>
      <c r="G536" s="1">
        <v>13.48</v>
      </c>
      <c r="H536" s="1" t="s">
        <v>394</v>
      </c>
      <c r="I536" s="1" t="s">
        <v>27</v>
      </c>
      <c r="J536" s="1">
        <v>140</v>
      </c>
      <c r="K536" s="1">
        <v>2.52</v>
      </c>
      <c r="L536" s="4">
        <v>62.26</v>
      </c>
      <c r="M536" s="1">
        <v>0.35</v>
      </c>
      <c r="N536" s="1">
        <v>5</v>
      </c>
      <c r="O536" s="1">
        <v>0.77</v>
      </c>
      <c r="P536" s="1">
        <v>460</v>
      </c>
      <c r="Q536" s="1">
        <v>13.72</v>
      </c>
      <c r="R536" s="1">
        <v>0.87</v>
      </c>
      <c r="S536" s="2">
        <v>45636</v>
      </c>
      <c r="T536" s="1">
        <v>251.61</v>
      </c>
      <c r="U536" s="1">
        <v>0.77600000000000002</v>
      </c>
      <c r="V536" s="6">
        <f t="shared" si="24"/>
        <v>23098.46</v>
      </c>
      <c r="W536" s="6" t="str">
        <f t="shared" si="25"/>
        <v>Sufficient</v>
      </c>
      <c r="X536" s="8" t="str">
        <f t="shared" si="26"/>
        <v>High</v>
      </c>
    </row>
    <row r="537" spans="1:24">
      <c r="A537" s="7" t="s">
        <v>667</v>
      </c>
      <c r="B537" s="1" t="s">
        <v>33</v>
      </c>
      <c r="C537" s="1">
        <v>113</v>
      </c>
      <c r="D537" s="1">
        <v>54</v>
      </c>
      <c r="E537" s="1">
        <v>6</v>
      </c>
      <c r="F537" s="1">
        <v>4</v>
      </c>
      <c r="G537" s="1">
        <v>47.49</v>
      </c>
      <c r="H537" s="1" t="s">
        <v>38</v>
      </c>
      <c r="I537" s="1" t="s">
        <v>39</v>
      </c>
      <c r="J537" s="1">
        <v>166</v>
      </c>
      <c r="K537" s="1">
        <v>4.2699999999999996</v>
      </c>
      <c r="L537" s="4">
        <v>189.32</v>
      </c>
      <c r="M537" s="1">
        <v>1.48</v>
      </c>
      <c r="N537" s="1">
        <v>5</v>
      </c>
      <c r="O537" s="1">
        <v>0.99</v>
      </c>
      <c r="P537" s="1">
        <v>928</v>
      </c>
      <c r="Q537" s="1">
        <v>4.29</v>
      </c>
      <c r="R537" s="1">
        <v>0.87</v>
      </c>
      <c r="S537" s="2">
        <v>45653</v>
      </c>
      <c r="T537" s="1">
        <v>176.11</v>
      </c>
      <c r="U537" s="1">
        <v>0.58099999999999996</v>
      </c>
      <c r="V537" s="6">
        <f t="shared" si="24"/>
        <v>21393.16</v>
      </c>
      <c r="W537" s="6" t="str">
        <f t="shared" si="25"/>
        <v>Sufficient</v>
      </c>
      <c r="X537" s="8" t="str">
        <f t="shared" si="26"/>
        <v>Medium</v>
      </c>
    </row>
    <row r="538" spans="1:24">
      <c r="A538" s="7" t="s">
        <v>668</v>
      </c>
      <c r="B538" s="1" t="s">
        <v>29</v>
      </c>
      <c r="C538" s="1">
        <v>340</v>
      </c>
      <c r="D538" s="1">
        <v>86</v>
      </c>
      <c r="E538" s="1">
        <v>9</v>
      </c>
      <c r="F538" s="1">
        <v>7</v>
      </c>
      <c r="G538" s="1">
        <v>32.14</v>
      </c>
      <c r="H538" s="1" t="s">
        <v>153</v>
      </c>
      <c r="I538" s="1" t="s">
        <v>39</v>
      </c>
      <c r="J538" s="1">
        <v>94</v>
      </c>
      <c r="K538" s="1">
        <v>4.91</v>
      </c>
      <c r="L538" s="4">
        <v>81.73</v>
      </c>
      <c r="M538" s="1">
        <v>0.87</v>
      </c>
      <c r="N538" s="1">
        <v>0</v>
      </c>
      <c r="O538" s="1">
        <v>0.97</v>
      </c>
      <c r="P538" s="1">
        <v>477</v>
      </c>
      <c r="Q538" s="1">
        <v>10.48</v>
      </c>
      <c r="R538" s="1">
        <v>0.99</v>
      </c>
      <c r="S538" s="2">
        <v>45444</v>
      </c>
      <c r="T538" s="1">
        <v>262.48</v>
      </c>
      <c r="U538" s="1">
        <v>0.84499999999999997</v>
      </c>
      <c r="V538" s="6">
        <f t="shared" si="24"/>
        <v>27788.2</v>
      </c>
      <c r="W538" s="6" t="str">
        <f t="shared" si="25"/>
        <v>Sufficient</v>
      </c>
      <c r="X538" s="8" t="str">
        <f t="shared" si="26"/>
        <v>High</v>
      </c>
    </row>
    <row r="539" spans="1:24">
      <c r="A539" s="7" t="s">
        <v>669</v>
      </c>
      <c r="B539" s="1" t="s">
        <v>33</v>
      </c>
      <c r="C539" s="1">
        <v>446</v>
      </c>
      <c r="D539" s="1">
        <v>16</v>
      </c>
      <c r="E539" s="1">
        <v>11</v>
      </c>
      <c r="F539" s="1">
        <v>6</v>
      </c>
      <c r="G539" s="1">
        <v>8.64</v>
      </c>
      <c r="H539" s="1" t="s">
        <v>159</v>
      </c>
      <c r="I539" s="1" t="s">
        <v>27</v>
      </c>
      <c r="J539" s="1">
        <v>44</v>
      </c>
      <c r="K539" s="1">
        <v>3.55</v>
      </c>
      <c r="L539" s="4">
        <v>135.03</v>
      </c>
      <c r="M539" s="1">
        <v>0.37</v>
      </c>
      <c r="N539" s="1">
        <v>1</v>
      </c>
      <c r="O539" s="1">
        <v>0.83</v>
      </c>
      <c r="P539" s="1">
        <v>963</v>
      </c>
      <c r="Q539" s="1">
        <v>8.33</v>
      </c>
      <c r="R539" s="1">
        <v>0.84</v>
      </c>
      <c r="S539" s="2">
        <v>45606</v>
      </c>
      <c r="T539" s="1">
        <v>16.48</v>
      </c>
      <c r="U539" s="1">
        <v>0.78800000000000003</v>
      </c>
      <c r="V539" s="6">
        <f t="shared" si="24"/>
        <v>60223.38</v>
      </c>
      <c r="W539" s="6" t="str">
        <f t="shared" si="25"/>
        <v>Sufficient</v>
      </c>
      <c r="X539" s="8" t="str">
        <f t="shared" si="26"/>
        <v>High</v>
      </c>
    </row>
    <row r="540" spans="1:24">
      <c r="A540" s="7" t="s">
        <v>670</v>
      </c>
      <c r="B540" s="1" t="s">
        <v>33</v>
      </c>
      <c r="C540" s="1">
        <v>58</v>
      </c>
      <c r="D540" s="1">
        <v>36</v>
      </c>
      <c r="E540" s="1">
        <v>4</v>
      </c>
      <c r="F540" s="1">
        <v>8</v>
      </c>
      <c r="G540" s="1">
        <v>36.39</v>
      </c>
      <c r="H540" s="1" t="s">
        <v>38</v>
      </c>
      <c r="I540" s="1" t="s">
        <v>27</v>
      </c>
      <c r="J540" s="1">
        <v>126</v>
      </c>
      <c r="K540" s="1">
        <v>4.5599999999999996</v>
      </c>
      <c r="L540" s="4">
        <v>52.54</v>
      </c>
      <c r="M540" s="1">
        <v>1.51</v>
      </c>
      <c r="N540" s="1">
        <v>9</v>
      </c>
      <c r="O540" s="1">
        <v>0.74</v>
      </c>
      <c r="P540" s="1">
        <v>719</v>
      </c>
      <c r="Q540" s="1">
        <v>2.46</v>
      </c>
      <c r="R540" s="1">
        <v>0.37</v>
      </c>
      <c r="S540" s="2">
        <v>45594</v>
      </c>
      <c r="T540" s="1">
        <v>224.2</v>
      </c>
      <c r="U540" s="1">
        <v>0.32400000000000001</v>
      </c>
      <c r="V540" s="6">
        <f t="shared" si="24"/>
        <v>3047.32</v>
      </c>
      <c r="W540" s="6" t="str">
        <f t="shared" si="25"/>
        <v>Sufficient</v>
      </c>
      <c r="X540" s="8" t="str">
        <f t="shared" si="26"/>
        <v>LOW</v>
      </c>
    </row>
    <row r="541" spans="1:24">
      <c r="A541" s="7" t="s">
        <v>671</v>
      </c>
      <c r="B541" s="1" t="s">
        <v>41</v>
      </c>
      <c r="C541" s="1">
        <v>100</v>
      </c>
      <c r="D541" s="1">
        <v>19</v>
      </c>
      <c r="E541" s="1">
        <v>4</v>
      </c>
      <c r="F541" s="1">
        <v>6</v>
      </c>
      <c r="G541" s="1">
        <v>36.380000000000003</v>
      </c>
      <c r="H541" s="1" t="s">
        <v>119</v>
      </c>
      <c r="I541" s="1" t="s">
        <v>45</v>
      </c>
      <c r="J541" s="1">
        <v>176</v>
      </c>
      <c r="K541" s="1">
        <v>1.1100000000000001</v>
      </c>
      <c r="L541" s="4">
        <v>51.74</v>
      </c>
      <c r="M541" s="1">
        <v>0.3</v>
      </c>
      <c r="N541" s="1">
        <v>6</v>
      </c>
      <c r="O541" s="1">
        <v>0.92</v>
      </c>
      <c r="P541" s="1">
        <v>777</v>
      </c>
      <c r="Q541" s="1">
        <v>8.92</v>
      </c>
      <c r="R541" s="1">
        <v>0.67</v>
      </c>
      <c r="S541" s="2">
        <v>45335</v>
      </c>
      <c r="T541" s="1">
        <v>59.13</v>
      </c>
      <c r="U541" s="1">
        <v>0.68700000000000006</v>
      </c>
      <c r="V541" s="6">
        <f t="shared" si="24"/>
        <v>5174</v>
      </c>
      <c r="W541" s="6" t="str">
        <f t="shared" si="25"/>
        <v>Sufficient</v>
      </c>
      <c r="X541" s="8" t="str">
        <f t="shared" si="26"/>
        <v>Medium</v>
      </c>
    </row>
    <row r="542" spans="1:24">
      <c r="A542" s="7" t="s">
        <v>672</v>
      </c>
      <c r="B542" s="1" t="s">
        <v>25</v>
      </c>
      <c r="C542" s="1">
        <v>206</v>
      </c>
      <c r="D542" s="1">
        <v>43</v>
      </c>
      <c r="E542" s="1">
        <v>11</v>
      </c>
      <c r="F542" s="1">
        <v>5</v>
      </c>
      <c r="G542" s="1">
        <v>33.659999999999997</v>
      </c>
      <c r="H542" s="1" t="s">
        <v>183</v>
      </c>
      <c r="I542" s="1" t="s">
        <v>45</v>
      </c>
      <c r="J542" s="1">
        <v>161</v>
      </c>
      <c r="K542" s="1">
        <v>4.2300000000000004</v>
      </c>
      <c r="L542" s="4">
        <v>43.41</v>
      </c>
      <c r="M542" s="1">
        <v>1.19</v>
      </c>
      <c r="N542" s="1">
        <v>0</v>
      </c>
      <c r="O542" s="1">
        <v>0.78</v>
      </c>
      <c r="P542" s="1">
        <v>375</v>
      </c>
      <c r="Q542" s="1">
        <v>10.92</v>
      </c>
      <c r="R542" s="1">
        <v>0.62</v>
      </c>
      <c r="S542" s="2">
        <v>45636</v>
      </c>
      <c r="T542" s="1">
        <v>92.96</v>
      </c>
      <c r="U542" s="1">
        <v>0.70699999999999996</v>
      </c>
      <c r="V542" s="6">
        <f t="shared" si="24"/>
        <v>8942.4599999999991</v>
      </c>
      <c r="W542" s="6" t="str">
        <f t="shared" si="25"/>
        <v>Sufficient</v>
      </c>
      <c r="X542" s="8" t="str">
        <f t="shared" si="26"/>
        <v>Medium</v>
      </c>
    </row>
    <row r="543" spans="1:24">
      <c r="A543" s="7" t="s">
        <v>673</v>
      </c>
      <c r="B543" s="1" t="s">
        <v>66</v>
      </c>
      <c r="C543" s="1">
        <v>103</v>
      </c>
      <c r="D543" s="1">
        <v>45</v>
      </c>
      <c r="E543" s="1">
        <v>14</v>
      </c>
      <c r="F543" s="1">
        <v>3</v>
      </c>
      <c r="G543" s="1">
        <v>7.6</v>
      </c>
      <c r="H543" s="1" t="s">
        <v>252</v>
      </c>
      <c r="I543" s="1" t="s">
        <v>31</v>
      </c>
      <c r="J543" s="1">
        <v>29</v>
      </c>
      <c r="K543" s="1">
        <v>1.72</v>
      </c>
      <c r="L543" s="4">
        <v>92.61</v>
      </c>
      <c r="M543" s="1">
        <v>1.25</v>
      </c>
      <c r="N543" s="1">
        <v>9</v>
      </c>
      <c r="O543" s="1">
        <v>0.75</v>
      </c>
      <c r="P543" s="1">
        <v>992</v>
      </c>
      <c r="Q543" s="1">
        <v>9.3800000000000008</v>
      </c>
      <c r="R543" s="1">
        <v>0.61</v>
      </c>
      <c r="S543" s="2">
        <v>45360</v>
      </c>
      <c r="T543" s="1">
        <v>175.95</v>
      </c>
      <c r="U543" s="1">
        <v>0.49199999999999999</v>
      </c>
      <c r="V543" s="6">
        <f t="shared" si="24"/>
        <v>9538.83</v>
      </c>
      <c r="W543" s="6" t="str">
        <f t="shared" si="25"/>
        <v>Sufficient</v>
      </c>
      <c r="X543" s="8" t="str">
        <f t="shared" si="26"/>
        <v>Medium</v>
      </c>
    </row>
    <row r="544" spans="1:24">
      <c r="A544" s="7" t="s">
        <v>674</v>
      </c>
      <c r="B544" s="1" t="s">
        <v>41</v>
      </c>
      <c r="C544" s="1">
        <v>107</v>
      </c>
      <c r="D544" s="1">
        <v>34</v>
      </c>
      <c r="E544" s="1">
        <v>5</v>
      </c>
      <c r="F544" s="1">
        <v>5</v>
      </c>
      <c r="G544" s="1">
        <v>20.99</v>
      </c>
      <c r="H544" s="1" t="s">
        <v>216</v>
      </c>
      <c r="I544" s="1" t="s">
        <v>45</v>
      </c>
      <c r="J544" s="1">
        <v>152</v>
      </c>
      <c r="K544" s="1">
        <v>2.63</v>
      </c>
      <c r="L544" s="4">
        <v>111.24</v>
      </c>
      <c r="M544" s="1">
        <v>1.87</v>
      </c>
      <c r="N544" s="1">
        <v>4</v>
      </c>
      <c r="O544" s="1">
        <v>0.81</v>
      </c>
      <c r="P544" s="1">
        <v>595</v>
      </c>
      <c r="Q544" s="1">
        <v>2.46</v>
      </c>
      <c r="R544" s="1">
        <v>0.44</v>
      </c>
      <c r="S544" s="2">
        <v>45452</v>
      </c>
      <c r="T544" s="1">
        <v>89.59</v>
      </c>
      <c r="U544" s="1">
        <v>0.41599999999999998</v>
      </c>
      <c r="V544" s="6">
        <f t="shared" si="24"/>
        <v>11902.68</v>
      </c>
      <c r="W544" s="6" t="str">
        <f t="shared" si="25"/>
        <v>Sufficient</v>
      </c>
      <c r="X544" s="8" t="str">
        <f t="shared" si="26"/>
        <v>Medium</v>
      </c>
    </row>
    <row r="545" spans="1:24">
      <c r="A545" s="7" t="s">
        <v>675</v>
      </c>
      <c r="B545" s="1" t="s">
        <v>41</v>
      </c>
      <c r="C545" s="1">
        <v>261</v>
      </c>
      <c r="D545" s="1">
        <v>15</v>
      </c>
      <c r="E545" s="1">
        <v>11</v>
      </c>
      <c r="F545" s="1">
        <v>2</v>
      </c>
      <c r="G545" s="1">
        <v>6.23</v>
      </c>
      <c r="H545" s="1" t="s">
        <v>52</v>
      </c>
      <c r="I545" s="1" t="s">
        <v>31</v>
      </c>
      <c r="J545" s="1">
        <v>94</v>
      </c>
      <c r="K545" s="1">
        <v>3.41</v>
      </c>
      <c r="L545" s="4">
        <v>12.04</v>
      </c>
      <c r="M545" s="1">
        <v>0.39</v>
      </c>
      <c r="N545" s="1">
        <v>0</v>
      </c>
      <c r="O545" s="1">
        <v>0.86</v>
      </c>
      <c r="P545" s="1">
        <v>424</v>
      </c>
      <c r="Q545" s="1">
        <v>12.96</v>
      </c>
      <c r="R545" s="1">
        <v>0.37</v>
      </c>
      <c r="S545" s="2">
        <v>45352</v>
      </c>
      <c r="T545" s="1">
        <v>58.76</v>
      </c>
      <c r="U545" s="1">
        <v>0.78</v>
      </c>
      <c r="V545" s="6">
        <f t="shared" si="24"/>
        <v>3142.4399999999996</v>
      </c>
      <c r="W545" s="6" t="str">
        <f t="shared" si="25"/>
        <v>Sufficient</v>
      </c>
      <c r="X545" s="8" t="str">
        <f t="shared" si="26"/>
        <v>High</v>
      </c>
    </row>
    <row r="546" spans="1:24">
      <c r="A546" s="7" t="s">
        <v>676</v>
      </c>
      <c r="B546" s="1" t="s">
        <v>25</v>
      </c>
      <c r="C546" s="1">
        <v>361</v>
      </c>
      <c r="D546" s="1">
        <v>33</v>
      </c>
      <c r="E546" s="1">
        <v>7</v>
      </c>
      <c r="F546" s="1">
        <v>9</v>
      </c>
      <c r="G546" s="1">
        <v>41.01</v>
      </c>
      <c r="H546" s="1" t="s">
        <v>130</v>
      </c>
      <c r="I546" s="1" t="s">
        <v>31</v>
      </c>
      <c r="J546" s="1">
        <v>126</v>
      </c>
      <c r="K546" s="1">
        <v>4.57</v>
      </c>
      <c r="L546" s="4">
        <v>168.26</v>
      </c>
      <c r="M546" s="1">
        <v>1.34</v>
      </c>
      <c r="N546" s="1">
        <v>5</v>
      </c>
      <c r="O546" s="1">
        <v>0.73</v>
      </c>
      <c r="P546" s="1">
        <v>893</v>
      </c>
      <c r="Q546" s="1">
        <v>1.57</v>
      </c>
      <c r="R546" s="1">
        <v>0.77</v>
      </c>
      <c r="S546" s="2">
        <v>45414</v>
      </c>
      <c r="T546" s="1">
        <v>266.79000000000002</v>
      </c>
      <c r="U546" s="1">
        <v>0.48699999999999999</v>
      </c>
      <c r="V546" s="6">
        <f t="shared" si="24"/>
        <v>60741.859999999993</v>
      </c>
      <c r="W546" s="6" t="str">
        <f t="shared" si="25"/>
        <v>Sufficient</v>
      </c>
      <c r="X546" s="8" t="str">
        <f t="shared" si="26"/>
        <v>High</v>
      </c>
    </row>
    <row r="547" spans="1:24">
      <c r="A547" s="7" t="s">
        <v>677</v>
      </c>
      <c r="B547" s="1" t="s">
        <v>66</v>
      </c>
      <c r="C547" s="1">
        <v>112</v>
      </c>
      <c r="D547" s="1">
        <v>27</v>
      </c>
      <c r="E547" s="1">
        <v>8</v>
      </c>
      <c r="F547" s="1">
        <v>7</v>
      </c>
      <c r="G547" s="1">
        <v>33.1</v>
      </c>
      <c r="H547" s="1" t="s">
        <v>394</v>
      </c>
      <c r="I547" s="1" t="s">
        <v>31</v>
      </c>
      <c r="J547" s="1">
        <v>115</v>
      </c>
      <c r="K547" s="1">
        <v>4.5999999999999996</v>
      </c>
      <c r="L547" s="4">
        <v>107.42</v>
      </c>
      <c r="M547" s="1">
        <v>0.82</v>
      </c>
      <c r="N547" s="1">
        <v>6</v>
      </c>
      <c r="O547" s="1">
        <v>0.87</v>
      </c>
      <c r="P547" s="1">
        <v>347</v>
      </c>
      <c r="Q547" s="1">
        <v>4.3</v>
      </c>
      <c r="R547" s="1">
        <v>0.28000000000000003</v>
      </c>
      <c r="S547" s="2">
        <v>45448</v>
      </c>
      <c r="T547" s="1">
        <v>272.95</v>
      </c>
      <c r="U547" s="1">
        <v>0.48499999999999999</v>
      </c>
      <c r="V547" s="6">
        <f t="shared" si="24"/>
        <v>12031.04</v>
      </c>
      <c r="W547" s="6" t="str">
        <f t="shared" si="25"/>
        <v>Sufficient</v>
      </c>
      <c r="X547" s="8" t="str">
        <f t="shared" si="26"/>
        <v>Medium</v>
      </c>
    </row>
    <row r="548" spans="1:24">
      <c r="A548" s="7" t="s">
        <v>678</v>
      </c>
      <c r="B548" s="1" t="s">
        <v>29</v>
      </c>
      <c r="C548" s="1">
        <v>105</v>
      </c>
      <c r="D548" s="1">
        <v>96</v>
      </c>
      <c r="E548" s="1">
        <v>4</v>
      </c>
      <c r="F548" s="1">
        <v>6</v>
      </c>
      <c r="G548" s="1">
        <v>25.85</v>
      </c>
      <c r="H548" s="1" t="s">
        <v>34</v>
      </c>
      <c r="I548" s="1" t="s">
        <v>39</v>
      </c>
      <c r="J548" s="1">
        <v>155</v>
      </c>
      <c r="K548" s="1">
        <v>0.91</v>
      </c>
      <c r="L548" s="4">
        <v>39.869999999999997</v>
      </c>
      <c r="M548" s="1">
        <v>0.86</v>
      </c>
      <c r="N548" s="1">
        <v>7</v>
      </c>
      <c r="O548" s="1">
        <v>0.7</v>
      </c>
      <c r="P548" s="1">
        <v>328</v>
      </c>
      <c r="Q548" s="1">
        <v>9.6199999999999992</v>
      </c>
      <c r="R548" s="1">
        <v>0.24</v>
      </c>
      <c r="S548" s="2">
        <v>45351</v>
      </c>
      <c r="T548" s="1">
        <v>20.55</v>
      </c>
      <c r="U548" s="1">
        <v>0.49</v>
      </c>
      <c r="V548" s="6">
        <f t="shared" si="24"/>
        <v>4186.3499999999995</v>
      </c>
      <c r="W548" s="6" t="str">
        <f t="shared" si="25"/>
        <v>Sufficient</v>
      </c>
      <c r="X548" s="8" t="str">
        <f t="shared" si="26"/>
        <v>Medium</v>
      </c>
    </row>
    <row r="549" spans="1:24">
      <c r="A549" s="7" t="s">
        <v>679</v>
      </c>
      <c r="B549" s="1" t="s">
        <v>29</v>
      </c>
      <c r="C549" s="1">
        <v>63</v>
      </c>
      <c r="D549" s="1">
        <v>15</v>
      </c>
      <c r="E549" s="1">
        <v>10</v>
      </c>
      <c r="F549" s="1">
        <v>8</v>
      </c>
      <c r="G549" s="1">
        <v>17.809999999999999</v>
      </c>
      <c r="H549" s="1" t="s">
        <v>30</v>
      </c>
      <c r="I549" s="1" t="s">
        <v>45</v>
      </c>
      <c r="J549" s="1">
        <v>114</v>
      </c>
      <c r="K549" s="1">
        <v>2.14</v>
      </c>
      <c r="L549" s="4">
        <v>22.79</v>
      </c>
      <c r="M549" s="1">
        <v>1.05</v>
      </c>
      <c r="N549" s="1">
        <v>2</v>
      </c>
      <c r="O549" s="1">
        <v>0.97</v>
      </c>
      <c r="P549" s="1">
        <v>345</v>
      </c>
      <c r="Q549" s="1">
        <v>4.05</v>
      </c>
      <c r="R549" s="1">
        <v>0.5</v>
      </c>
      <c r="S549" s="2">
        <v>45385</v>
      </c>
      <c r="T549" s="1">
        <v>155.04</v>
      </c>
      <c r="U549" s="1">
        <v>0.60299999999999998</v>
      </c>
      <c r="V549" s="6">
        <f t="shared" si="24"/>
        <v>1435.77</v>
      </c>
      <c r="W549" s="6" t="str">
        <f t="shared" si="25"/>
        <v>Sufficient</v>
      </c>
      <c r="X549" s="8" t="str">
        <f t="shared" si="26"/>
        <v>LOW</v>
      </c>
    </row>
    <row r="550" spans="1:24">
      <c r="A550" s="7" t="s">
        <v>680</v>
      </c>
      <c r="B550" s="1" t="s">
        <v>41</v>
      </c>
      <c r="C550" s="1">
        <v>156</v>
      </c>
      <c r="D550" s="1">
        <v>38</v>
      </c>
      <c r="E550" s="1">
        <v>13</v>
      </c>
      <c r="F550" s="1">
        <v>9</v>
      </c>
      <c r="G550" s="1">
        <v>10.029999999999999</v>
      </c>
      <c r="H550" s="1" t="s">
        <v>122</v>
      </c>
      <c r="I550" s="1" t="s">
        <v>27</v>
      </c>
      <c r="J550" s="1">
        <v>102</v>
      </c>
      <c r="K550" s="1">
        <v>4.07</v>
      </c>
      <c r="L550" s="4">
        <v>22.01</v>
      </c>
      <c r="M550" s="1">
        <v>0.54</v>
      </c>
      <c r="N550" s="1">
        <v>2</v>
      </c>
      <c r="O550" s="1">
        <v>0.98</v>
      </c>
      <c r="P550" s="1">
        <v>576</v>
      </c>
      <c r="Q550" s="1">
        <v>2.4300000000000002</v>
      </c>
      <c r="R550" s="1">
        <v>0.8</v>
      </c>
      <c r="S550" s="2">
        <v>45483</v>
      </c>
      <c r="T550" s="1">
        <v>69.069999999999993</v>
      </c>
      <c r="U550" s="1">
        <v>0.69399999999999995</v>
      </c>
      <c r="V550" s="6">
        <f t="shared" si="24"/>
        <v>3433.5600000000004</v>
      </c>
      <c r="W550" s="6" t="str">
        <f t="shared" si="25"/>
        <v>Sufficient</v>
      </c>
      <c r="X550" s="8" t="str">
        <f t="shared" si="26"/>
        <v>Medium</v>
      </c>
    </row>
    <row r="551" spans="1:24">
      <c r="A551" s="7" t="s">
        <v>681</v>
      </c>
      <c r="B551" s="1" t="s">
        <v>66</v>
      </c>
      <c r="C551" s="1">
        <v>440</v>
      </c>
      <c r="D551" s="1">
        <v>34</v>
      </c>
      <c r="E551" s="1">
        <v>11</v>
      </c>
      <c r="F551" s="1">
        <v>3</v>
      </c>
      <c r="G551" s="1">
        <v>6.22</v>
      </c>
      <c r="H551" s="1" t="s">
        <v>304</v>
      </c>
      <c r="I551" s="1" t="s">
        <v>31</v>
      </c>
      <c r="J551" s="1">
        <v>50</v>
      </c>
      <c r="K551" s="1">
        <v>3.66</v>
      </c>
      <c r="L551" s="4">
        <v>58.95</v>
      </c>
      <c r="M551" s="1">
        <v>0.98</v>
      </c>
      <c r="N551" s="1">
        <v>0</v>
      </c>
      <c r="O551" s="1">
        <v>0.92</v>
      </c>
      <c r="P551" s="1">
        <v>164</v>
      </c>
      <c r="Q551" s="1">
        <v>8.17</v>
      </c>
      <c r="R551" s="1">
        <v>0.89</v>
      </c>
      <c r="S551" s="2">
        <v>45647</v>
      </c>
      <c r="T551" s="1">
        <v>260.39</v>
      </c>
      <c r="U551" s="1">
        <v>0.77300000000000002</v>
      </c>
      <c r="V551" s="6">
        <f t="shared" si="24"/>
        <v>25938</v>
      </c>
      <c r="W551" s="6" t="str">
        <f t="shared" si="25"/>
        <v>Sufficient</v>
      </c>
      <c r="X551" s="8" t="str">
        <f t="shared" si="26"/>
        <v>High</v>
      </c>
    </row>
    <row r="552" spans="1:24">
      <c r="A552" s="7" t="s">
        <v>682</v>
      </c>
      <c r="B552" s="1" t="s">
        <v>41</v>
      </c>
      <c r="C552" s="1">
        <v>93</v>
      </c>
      <c r="D552" s="1">
        <v>64</v>
      </c>
      <c r="E552" s="1">
        <v>4</v>
      </c>
      <c r="F552" s="1">
        <v>8</v>
      </c>
      <c r="G552" s="1">
        <v>48.49</v>
      </c>
      <c r="H552" s="1" t="s">
        <v>244</v>
      </c>
      <c r="I552" s="1" t="s">
        <v>27</v>
      </c>
      <c r="J552" s="1">
        <v>109</v>
      </c>
      <c r="K552" s="1">
        <v>0.62</v>
      </c>
      <c r="L552" s="4">
        <v>104.87</v>
      </c>
      <c r="M552" s="1">
        <v>1.41</v>
      </c>
      <c r="N552" s="1">
        <v>2</v>
      </c>
      <c r="O552" s="1">
        <v>0.84</v>
      </c>
      <c r="P552" s="1">
        <v>542</v>
      </c>
      <c r="Q552" s="1">
        <v>11.11</v>
      </c>
      <c r="R552" s="1">
        <v>0.63</v>
      </c>
      <c r="S552" s="2">
        <v>45364</v>
      </c>
      <c r="T552" s="1">
        <v>144.13</v>
      </c>
      <c r="U552" s="1">
        <v>0.66100000000000003</v>
      </c>
      <c r="V552" s="6">
        <f t="shared" si="24"/>
        <v>9752.91</v>
      </c>
      <c r="W552" s="6" t="str">
        <f t="shared" si="25"/>
        <v>Sufficient</v>
      </c>
      <c r="X552" s="8" t="str">
        <f t="shared" si="26"/>
        <v>LOW</v>
      </c>
    </row>
    <row r="553" spans="1:24">
      <c r="A553" s="7" t="s">
        <v>683</v>
      </c>
      <c r="B553" s="1" t="s">
        <v>33</v>
      </c>
      <c r="C553" s="1">
        <v>55</v>
      </c>
      <c r="D553" s="1">
        <v>90</v>
      </c>
      <c r="E553" s="1">
        <v>8</v>
      </c>
      <c r="F553" s="1">
        <v>7</v>
      </c>
      <c r="G553" s="1">
        <v>10.78</v>
      </c>
      <c r="H553" s="1" t="s">
        <v>122</v>
      </c>
      <c r="I553" s="1" t="s">
        <v>31</v>
      </c>
      <c r="J553" s="1">
        <v>78</v>
      </c>
      <c r="K553" s="1">
        <v>2.52</v>
      </c>
      <c r="L553" s="4">
        <v>173.45</v>
      </c>
      <c r="M553" s="1">
        <v>0.97</v>
      </c>
      <c r="N553" s="1">
        <v>4</v>
      </c>
      <c r="O553" s="1">
        <v>0.78</v>
      </c>
      <c r="P553" s="1">
        <v>106</v>
      </c>
      <c r="Q553" s="1">
        <v>6.75</v>
      </c>
      <c r="R553" s="1">
        <v>0.87</v>
      </c>
      <c r="S553" s="2">
        <v>45553</v>
      </c>
      <c r="T553" s="1">
        <v>148.75</v>
      </c>
      <c r="U553" s="1">
        <v>0.64300000000000002</v>
      </c>
      <c r="V553" s="6">
        <f t="shared" si="24"/>
        <v>9539.75</v>
      </c>
      <c r="W553" s="6" t="str">
        <f t="shared" si="25"/>
        <v>Reorder Required</v>
      </c>
      <c r="X553" s="8" t="str">
        <f t="shared" si="26"/>
        <v>LOW</v>
      </c>
    </row>
    <row r="554" spans="1:24">
      <c r="A554" s="7" t="s">
        <v>684</v>
      </c>
      <c r="B554" s="1" t="s">
        <v>41</v>
      </c>
      <c r="C554" s="1">
        <v>120</v>
      </c>
      <c r="D554" s="1">
        <v>55</v>
      </c>
      <c r="E554" s="1">
        <v>8</v>
      </c>
      <c r="F554" s="1">
        <v>6</v>
      </c>
      <c r="G554" s="1">
        <v>3.93</v>
      </c>
      <c r="H554" s="1" t="s">
        <v>63</v>
      </c>
      <c r="I554" s="1" t="s">
        <v>45</v>
      </c>
      <c r="J554" s="1">
        <v>115</v>
      </c>
      <c r="K554" s="1">
        <v>4.2300000000000004</v>
      </c>
      <c r="L554" s="4">
        <v>181.56</v>
      </c>
      <c r="M554" s="1">
        <v>0.18</v>
      </c>
      <c r="N554" s="1">
        <v>5</v>
      </c>
      <c r="O554" s="1">
        <v>0.92</v>
      </c>
      <c r="P554" s="1">
        <v>928</v>
      </c>
      <c r="Q554" s="1">
        <v>10.78</v>
      </c>
      <c r="R554" s="1">
        <v>0.22</v>
      </c>
      <c r="S554" s="2">
        <v>45490</v>
      </c>
      <c r="T554" s="1">
        <v>191.97</v>
      </c>
      <c r="U554" s="1">
        <v>0.65400000000000003</v>
      </c>
      <c r="V554" s="6">
        <f t="shared" si="24"/>
        <v>21787.200000000001</v>
      </c>
      <c r="W554" s="6" t="str">
        <f t="shared" si="25"/>
        <v>Sufficient</v>
      </c>
      <c r="X554" s="8" t="str">
        <f t="shared" si="26"/>
        <v>Medium</v>
      </c>
    </row>
    <row r="555" spans="1:24">
      <c r="A555" s="7" t="s">
        <v>685</v>
      </c>
      <c r="B555" s="1" t="s">
        <v>41</v>
      </c>
      <c r="C555" s="1">
        <v>495</v>
      </c>
      <c r="D555" s="1">
        <v>33</v>
      </c>
      <c r="E555" s="1">
        <v>10</v>
      </c>
      <c r="F555" s="1">
        <v>6</v>
      </c>
      <c r="G555" s="1">
        <v>48.12</v>
      </c>
      <c r="H555" s="1" t="s">
        <v>50</v>
      </c>
      <c r="I555" s="1" t="s">
        <v>31</v>
      </c>
      <c r="J555" s="1">
        <v>148</v>
      </c>
      <c r="K555" s="1">
        <v>3.82</v>
      </c>
      <c r="L555" s="4">
        <v>168.14</v>
      </c>
      <c r="M555" s="1">
        <v>0.59</v>
      </c>
      <c r="N555" s="1">
        <v>2</v>
      </c>
      <c r="O555" s="1">
        <v>0.98</v>
      </c>
      <c r="P555" s="1">
        <v>191</v>
      </c>
      <c r="Q555" s="1">
        <v>13.05</v>
      </c>
      <c r="R555" s="1">
        <v>0.56000000000000005</v>
      </c>
      <c r="S555" s="2">
        <v>45506</v>
      </c>
      <c r="T555" s="1">
        <v>26.13</v>
      </c>
      <c r="U555" s="1">
        <v>0.78300000000000003</v>
      </c>
      <c r="V555" s="6">
        <f t="shared" si="24"/>
        <v>83229.299999999988</v>
      </c>
      <c r="W555" s="6" t="str">
        <f t="shared" si="25"/>
        <v>Sufficient</v>
      </c>
      <c r="X555" s="8" t="str">
        <f t="shared" si="26"/>
        <v>High</v>
      </c>
    </row>
    <row r="556" spans="1:24">
      <c r="A556" s="7" t="s">
        <v>686</v>
      </c>
      <c r="B556" s="1" t="s">
        <v>29</v>
      </c>
      <c r="C556" s="1">
        <v>175</v>
      </c>
      <c r="D556" s="1">
        <v>84</v>
      </c>
      <c r="E556" s="1">
        <v>12</v>
      </c>
      <c r="F556" s="1">
        <v>5</v>
      </c>
      <c r="G556" s="1">
        <v>27.9</v>
      </c>
      <c r="H556" s="1" t="s">
        <v>266</v>
      </c>
      <c r="I556" s="1" t="s">
        <v>45</v>
      </c>
      <c r="J556" s="1">
        <v>155</v>
      </c>
      <c r="K556" s="1">
        <v>2.35</v>
      </c>
      <c r="L556" s="4">
        <v>72.430000000000007</v>
      </c>
      <c r="M556" s="1">
        <v>0.77</v>
      </c>
      <c r="N556" s="1">
        <v>3</v>
      </c>
      <c r="O556" s="1">
        <v>0.75</v>
      </c>
      <c r="P556" s="1">
        <v>768</v>
      </c>
      <c r="Q556" s="1">
        <v>14.42</v>
      </c>
      <c r="R556" s="1">
        <v>0.31</v>
      </c>
      <c r="S556" s="2">
        <v>45597</v>
      </c>
      <c r="T556" s="1">
        <v>46.92</v>
      </c>
      <c r="U556" s="1">
        <v>0.66700000000000004</v>
      </c>
      <c r="V556" s="6">
        <f t="shared" si="24"/>
        <v>12675.250000000002</v>
      </c>
      <c r="W556" s="6" t="str">
        <f t="shared" si="25"/>
        <v>Sufficient</v>
      </c>
      <c r="X556" s="8" t="str">
        <f t="shared" si="26"/>
        <v>Medium</v>
      </c>
    </row>
    <row r="557" spans="1:24">
      <c r="A557" s="7" t="s">
        <v>687</v>
      </c>
      <c r="B557" s="1" t="s">
        <v>29</v>
      </c>
      <c r="C557" s="1">
        <v>445</v>
      </c>
      <c r="D557" s="1">
        <v>35</v>
      </c>
      <c r="E557" s="1">
        <v>14</v>
      </c>
      <c r="F557" s="1">
        <v>3</v>
      </c>
      <c r="G557" s="1">
        <v>40.04</v>
      </c>
      <c r="H557" s="1" t="s">
        <v>294</v>
      </c>
      <c r="I557" s="1" t="s">
        <v>27</v>
      </c>
      <c r="J557" s="1">
        <v>149</v>
      </c>
      <c r="K557" s="1">
        <v>3.81</v>
      </c>
      <c r="L557" s="4">
        <v>68.25</v>
      </c>
      <c r="M557" s="1">
        <v>0.77</v>
      </c>
      <c r="N557" s="1">
        <v>4</v>
      </c>
      <c r="O557" s="1">
        <v>0.84</v>
      </c>
      <c r="P557" s="1">
        <v>701</v>
      </c>
      <c r="Q557" s="1">
        <v>4.2699999999999996</v>
      </c>
      <c r="R557" s="1">
        <v>0.67</v>
      </c>
      <c r="S557" s="2">
        <v>45362</v>
      </c>
      <c r="T557" s="1">
        <v>154.53</v>
      </c>
      <c r="U557" s="1">
        <v>0.60199999999999998</v>
      </c>
      <c r="V557" s="6">
        <f t="shared" si="24"/>
        <v>30371.25</v>
      </c>
      <c r="W557" s="6" t="str">
        <f t="shared" si="25"/>
        <v>Sufficient</v>
      </c>
      <c r="X557" s="8" t="str">
        <f t="shared" si="26"/>
        <v>High</v>
      </c>
    </row>
    <row r="558" spans="1:24">
      <c r="A558" s="7" t="s">
        <v>688</v>
      </c>
      <c r="B558" s="1" t="s">
        <v>29</v>
      </c>
      <c r="C558" s="1">
        <v>274</v>
      </c>
      <c r="D558" s="1">
        <v>37</v>
      </c>
      <c r="E558" s="1">
        <v>7</v>
      </c>
      <c r="F558" s="1">
        <v>3</v>
      </c>
      <c r="G558" s="1">
        <v>3.14</v>
      </c>
      <c r="H558" s="1" t="s">
        <v>119</v>
      </c>
      <c r="I558" s="1" t="s">
        <v>45</v>
      </c>
      <c r="J558" s="1">
        <v>153</v>
      </c>
      <c r="K558" s="1">
        <v>2.98</v>
      </c>
      <c r="L558" s="4">
        <v>197.62</v>
      </c>
      <c r="M558" s="1">
        <v>0.25</v>
      </c>
      <c r="N558" s="1">
        <v>4</v>
      </c>
      <c r="O558" s="1">
        <v>0.79</v>
      </c>
      <c r="P558" s="1">
        <v>668</v>
      </c>
      <c r="Q558" s="1">
        <v>9.48</v>
      </c>
      <c r="R558" s="1">
        <v>0.94</v>
      </c>
      <c r="S558" s="2">
        <v>45586</v>
      </c>
      <c r="T558" s="1">
        <v>290.35000000000002</v>
      </c>
      <c r="U558" s="1">
        <v>0.76700000000000002</v>
      </c>
      <c r="V558" s="6">
        <f t="shared" si="24"/>
        <v>54147.880000000005</v>
      </c>
      <c r="W558" s="6" t="str">
        <f t="shared" si="25"/>
        <v>Sufficient</v>
      </c>
      <c r="X558" s="8" t="str">
        <f t="shared" si="26"/>
        <v>High</v>
      </c>
    </row>
    <row r="559" spans="1:24">
      <c r="A559" s="7" t="s">
        <v>689</v>
      </c>
      <c r="B559" s="1" t="s">
        <v>33</v>
      </c>
      <c r="C559" s="1">
        <v>190</v>
      </c>
      <c r="D559" s="1">
        <v>12</v>
      </c>
      <c r="E559" s="1">
        <v>11</v>
      </c>
      <c r="F559" s="1">
        <v>7</v>
      </c>
      <c r="G559" s="1">
        <v>28.78</v>
      </c>
      <c r="H559" s="1" t="s">
        <v>126</v>
      </c>
      <c r="I559" s="1" t="s">
        <v>27</v>
      </c>
      <c r="J559" s="1">
        <v>36</v>
      </c>
      <c r="K559" s="1">
        <v>4.6100000000000003</v>
      </c>
      <c r="L559" s="4">
        <v>139.44</v>
      </c>
      <c r="M559" s="1">
        <v>0.95</v>
      </c>
      <c r="N559" s="1">
        <v>8</v>
      </c>
      <c r="O559" s="1">
        <v>0.81</v>
      </c>
      <c r="P559" s="1">
        <v>934</v>
      </c>
      <c r="Q559" s="1">
        <v>4.74</v>
      </c>
      <c r="R559" s="1">
        <v>0.21</v>
      </c>
      <c r="S559" s="2">
        <v>45488</v>
      </c>
      <c r="T559" s="1">
        <v>254.65</v>
      </c>
      <c r="U559" s="1">
        <v>0.41199999999999998</v>
      </c>
      <c r="V559" s="6">
        <f t="shared" si="24"/>
        <v>26493.599999999999</v>
      </c>
      <c r="W559" s="6" t="str">
        <f t="shared" si="25"/>
        <v>Sufficient</v>
      </c>
      <c r="X559" s="8" t="str">
        <f t="shared" si="26"/>
        <v>Medium</v>
      </c>
    </row>
    <row r="560" spans="1:24">
      <c r="A560" s="7" t="s">
        <v>690</v>
      </c>
      <c r="B560" s="1" t="s">
        <v>29</v>
      </c>
      <c r="C560" s="1">
        <v>488</v>
      </c>
      <c r="D560" s="1">
        <v>84</v>
      </c>
      <c r="E560" s="1">
        <v>3</v>
      </c>
      <c r="F560" s="1">
        <v>6</v>
      </c>
      <c r="G560" s="1">
        <v>20.51</v>
      </c>
      <c r="H560" s="1" t="s">
        <v>214</v>
      </c>
      <c r="I560" s="1" t="s">
        <v>45</v>
      </c>
      <c r="J560" s="1">
        <v>109</v>
      </c>
      <c r="K560" s="1">
        <v>3.14</v>
      </c>
      <c r="L560" s="4">
        <v>67.94</v>
      </c>
      <c r="M560" s="1">
        <v>1.41</v>
      </c>
      <c r="N560" s="1">
        <v>7</v>
      </c>
      <c r="O560" s="1">
        <v>0.82</v>
      </c>
      <c r="P560" s="1">
        <v>852</v>
      </c>
      <c r="Q560" s="1">
        <v>13.19</v>
      </c>
      <c r="R560" s="1">
        <v>0.73</v>
      </c>
      <c r="S560" s="2">
        <v>45508</v>
      </c>
      <c r="T560" s="1">
        <v>267.91000000000003</v>
      </c>
      <c r="U560" s="1">
        <v>0.60499999999999998</v>
      </c>
      <c r="V560" s="6">
        <f t="shared" si="24"/>
        <v>33154.720000000001</v>
      </c>
      <c r="W560" s="6" t="str">
        <f t="shared" si="25"/>
        <v>Sufficient</v>
      </c>
      <c r="X560" s="8" t="str">
        <f t="shared" si="26"/>
        <v>High</v>
      </c>
    </row>
    <row r="561" spans="1:24">
      <c r="A561" s="7" t="s">
        <v>691</v>
      </c>
      <c r="B561" s="1" t="s">
        <v>66</v>
      </c>
      <c r="C561" s="1">
        <v>235</v>
      </c>
      <c r="D561" s="1">
        <v>47</v>
      </c>
      <c r="E561" s="1">
        <v>11</v>
      </c>
      <c r="F561" s="1">
        <v>9</v>
      </c>
      <c r="G561" s="1">
        <v>38.83</v>
      </c>
      <c r="H561" s="1" t="s">
        <v>294</v>
      </c>
      <c r="I561" s="1" t="s">
        <v>31</v>
      </c>
      <c r="J561" s="1">
        <v>154</v>
      </c>
      <c r="K561" s="1">
        <v>2.2999999999999998</v>
      </c>
      <c r="L561" s="4">
        <v>72.53</v>
      </c>
      <c r="M561" s="1">
        <v>0.19</v>
      </c>
      <c r="N561" s="1">
        <v>0</v>
      </c>
      <c r="O561" s="1">
        <v>0.99</v>
      </c>
      <c r="P561" s="1">
        <v>458</v>
      </c>
      <c r="Q561" s="1">
        <v>13.46</v>
      </c>
      <c r="R561" s="1">
        <v>0.83</v>
      </c>
      <c r="S561" s="2">
        <v>45387</v>
      </c>
      <c r="T561" s="1">
        <v>49.77</v>
      </c>
      <c r="U561" s="1">
        <v>0.92400000000000004</v>
      </c>
      <c r="V561" s="6">
        <f t="shared" si="24"/>
        <v>17044.55</v>
      </c>
      <c r="W561" s="6" t="str">
        <f t="shared" si="25"/>
        <v>Sufficient</v>
      </c>
      <c r="X561" s="8" t="str">
        <f t="shared" si="26"/>
        <v>Medium</v>
      </c>
    </row>
    <row r="562" spans="1:24">
      <c r="A562" s="7" t="s">
        <v>692</v>
      </c>
      <c r="B562" s="1" t="s">
        <v>25</v>
      </c>
      <c r="C562" s="1">
        <v>189</v>
      </c>
      <c r="D562" s="1">
        <v>70</v>
      </c>
      <c r="E562" s="1">
        <v>12</v>
      </c>
      <c r="F562" s="1">
        <v>3</v>
      </c>
      <c r="G562" s="1">
        <v>2.88</v>
      </c>
      <c r="H562" s="1" t="s">
        <v>74</v>
      </c>
      <c r="I562" s="1" t="s">
        <v>31</v>
      </c>
      <c r="J562" s="1">
        <v>94</v>
      </c>
      <c r="K562" s="1">
        <v>4.38</v>
      </c>
      <c r="L562" s="4">
        <v>92.58</v>
      </c>
      <c r="M562" s="1">
        <v>1.53</v>
      </c>
      <c r="N562" s="1">
        <v>1</v>
      </c>
      <c r="O562" s="1">
        <v>0.78</v>
      </c>
      <c r="P562" s="1">
        <v>127</v>
      </c>
      <c r="Q562" s="1">
        <v>5.51</v>
      </c>
      <c r="R562" s="1">
        <v>0.8</v>
      </c>
      <c r="S562" s="2">
        <v>45541</v>
      </c>
      <c r="T562" s="1">
        <v>288</v>
      </c>
      <c r="U562" s="1">
        <v>0.61599999999999999</v>
      </c>
      <c r="V562" s="6">
        <f t="shared" si="24"/>
        <v>17497.62</v>
      </c>
      <c r="W562" s="6" t="str">
        <f t="shared" si="25"/>
        <v>Sufficient</v>
      </c>
      <c r="X562" s="8" t="str">
        <f t="shared" si="26"/>
        <v>Medium</v>
      </c>
    </row>
    <row r="563" spans="1:24">
      <c r="A563" s="7" t="s">
        <v>693</v>
      </c>
      <c r="B563" s="1" t="s">
        <v>66</v>
      </c>
      <c r="C563" s="1">
        <v>271</v>
      </c>
      <c r="D563" s="1">
        <v>87</v>
      </c>
      <c r="E563" s="1">
        <v>9</v>
      </c>
      <c r="F563" s="1">
        <v>3</v>
      </c>
      <c r="G563" s="1">
        <v>20.68</v>
      </c>
      <c r="H563" s="1" t="s">
        <v>252</v>
      </c>
      <c r="I563" s="1" t="s">
        <v>45</v>
      </c>
      <c r="J563" s="1">
        <v>128</v>
      </c>
      <c r="K563" s="1">
        <v>0.72</v>
      </c>
      <c r="L563" s="4">
        <v>128.13999999999999</v>
      </c>
      <c r="M563" s="1">
        <v>1.91</v>
      </c>
      <c r="N563" s="1">
        <v>4</v>
      </c>
      <c r="O563" s="1">
        <v>0.85</v>
      </c>
      <c r="P563" s="1">
        <v>51</v>
      </c>
      <c r="Q563" s="1">
        <v>10.029999999999999</v>
      </c>
      <c r="R563" s="1">
        <v>0.22</v>
      </c>
      <c r="S563" s="2">
        <v>45617</v>
      </c>
      <c r="T563" s="1">
        <v>221.7</v>
      </c>
      <c r="U563" s="1">
        <v>0.47699999999999998</v>
      </c>
      <c r="V563" s="6">
        <f t="shared" si="24"/>
        <v>34725.939999999995</v>
      </c>
      <c r="W563" s="6" t="str">
        <f t="shared" si="25"/>
        <v>Sufficient</v>
      </c>
      <c r="X563" s="8" t="str">
        <f t="shared" si="26"/>
        <v>High</v>
      </c>
    </row>
    <row r="564" spans="1:24">
      <c r="A564" s="7" t="s">
        <v>694</v>
      </c>
      <c r="B564" s="1" t="s">
        <v>66</v>
      </c>
      <c r="C564" s="1">
        <v>379</v>
      </c>
      <c r="D564" s="1">
        <v>60</v>
      </c>
      <c r="E564" s="1">
        <v>6</v>
      </c>
      <c r="F564" s="1">
        <v>8</v>
      </c>
      <c r="G564" s="1">
        <v>40.15</v>
      </c>
      <c r="H564" s="1" t="s">
        <v>30</v>
      </c>
      <c r="I564" s="1" t="s">
        <v>27</v>
      </c>
      <c r="J564" s="1">
        <v>40</v>
      </c>
      <c r="K564" s="1">
        <v>4.55</v>
      </c>
      <c r="L564" s="4">
        <v>180.62</v>
      </c>
      <c r="M564" s="1">
        <v>0.12</v>
      </c>
      <c r="N564" s="1">
        <v>2</v>
      </c>
      <c r="O564" s="1">
        <v>0.99</v>
      </c>
      <c r="P564" s="1">
        <v>835</v>
      </c>
      <c r="Q564" s="1">
        <v>13.43</v>
      </c>
      <c r="R564" s="1">
        <v>0.34</v>
      </c>
      <c r="S564" s="2">
        <v>45567</v>
      </c>
      <c r="T564" s="1">
        <v>104.45</v>
      </c>
      <c r="U564" s="1">
        <v>0.79300000000000004</v>
      </c>
      <c r="V564" s="6">
        <f t="shared" si="24"/>
        <v>68454.98</v>
      </c>
      <c r="W564" s="6" t="str">
        <f t="shared" si="25"/>
        <v>Sufficient</v>
      </c>
      <c r="X564" s="8" t="str">
        <f t="shared" si="26"/>
        <v>High</v>
      </c>
    </row>
    <row r="565" spans="1:24">
      <c r="A565" s="7" t="s">
        <v>695</v>
      </c>
      <c r="B565" s="1" t="s">
        <v>29</v>
      </c>
      <c r="C565" s="1">
        <v>341</v>
      </c>
      <c r="D565" s="1">
        <v>99</v>
      </c>
      <c r="E565" s="1">
        <v>5</v>
      </c>
      <c r="F565" s="1">
        <v>7</v>
      </c>
      <c r="G565" s="1">
        <v>26.61</v>
      </c>
      <c r="H565" s="1" t="s">
        <v>269</v>
      </c>
      <c r="I565" s="1" t="s">
        <v>27</v>
      </c>
      <c r="J565" s="1">
        <v>118</v>
      </c>
      <c r="K565" s="1">
        <v>3.63</v>
      </c>
      <c r="L565" s="4">
        <v>47.68</v>
      </c>
      <c r="M565" s="1">
        <v>0.47</v>
      </c>
      <c r="N565" s="1">
        <v>6</v>
      </c>
      <c r="O565" s="1">
        <v>0.84</v>
      </c>
      <c r="P565" s="1">
        <v>84</v>
      </c>
      <c r="Q565" s="1">
        <v>8.1199999999999992</v>
      </c>
      <c r="R565" s="1">
        <v>0.28000000000000003</v>
      </c>
      <c r="S565" s="2">
        <v>45647</v>
      </c>
      <c r="T565" s="1">
        <v>260.7</v>
      </c>
      <c r="U565" s="1">
        <v>0.56499999999999995</v>
      </c>
      <c r="V565" s="6">
        <f t="shared" si="24"/>
        <v>16258.88</v>
      </c>
      <c r="W565" s="6" t="str">
        <f t="shared" si="25"/>
        <v>Sufficient</v>
      </c>
      <c r="X565" s="8" t="str">
        <f t="shared" si="26"/>
        <v>High</v>
      </c>
    </row>
    <row r="566" spans="1:24">
      <c r="A566" s="7" t="s">
        <v>696</v>
      </c>
      <c r="B566" s="1" t="s">
        <v>25</v>
      </c>
      <c r="C566" s="1">
        <v>74</v>
      </c>
      <c r="D566" s="1">
        <v>57</v>
      </c>
      <c r="E566" s="1">
        <v>12</v>
      </c>
      <c r="F566" s="1">
        <v>5</v>
      </c>
      <c r="G566" s="1">
        <v>27.95</v>
      </c>
      <c r="H566" s="1" t="s">
        <v>147</v>
      </c>
      <c r="I566" s="1" t="s">
        <v>27</v>
      </c>
      <c r="J566" s="1">
        <v>172</v>
      </c>
      <c r="K566" s="1">
        <v>4.7300000000000004</v>
      </c>
      <c r="L566" s="4">
        <v>26.04</v>
      </c>
      <c r="M566" s="1">
        <v>1.1299999999999999</v>
      </c>
      <c r="N566" s="1">
        <v>5</v>
      </c>
      <c r="O566" s="1">
        <v>0.96</v>
      </c>
      <c r="P566" s="1">
        <v>826</v>
      </c>
      <c r="Q566" s="1">
        <v>11.09</v>
      </c>
      <c r="R566" s="1">
        <v>0.27</v>
      </c>
      <c r="S566" s="2">
        <v>45622</v>
      </c>
      <c r="T566" s="1">
        <v>226.72</v>
      </c>
      <c r="U566" s="1">
        <v>0.58099999999999996</v>
      </c>
      <c r="V566" s="6">
        <f t="shared" si="24"/>
        <v>1926.96</v>
      </c>
      <c r="W566" s="6" t="str">
        <f t="shared" si="25"/>
        <v>Sufficient</v>
      </c>
      <c r="X566" s="8" t="str">
        <f t="shared" si="26"/>
        <v>LOW</v>
      </c>
    </row>
    <row r="567" spans="1:24">
      <c r="A567" s="7" t="s">
        <v>697</v>
      </c>
      <c r="B567" s="1" t="s">
        <v>25</v>
      </c>
      <c r="C567" s="1">
        <v>475</v>
      </c>
      <c r="D567" s="1">
        <v>30</v>
      </c>
      <c r="E567" s="1">
        <v>13</v>
      </c>
      <c r="F567" s="1">
        <v>8</v>
      </c>
      <c r="G567" s="1">
        <v>5.76</v>
      </c>
      <c r="H567" s="1" t="s">
        <v>149</v>
      </c>
      <c r="I567" s="1" t="s">
        <v>45</v>
      </c>
      <c r="J567" s="1">
        <v>36</v>
      </c>
      <c r="K567" s="1">
        <v>1.63</v>
      </c>
      <c r="L567" s="4">
        <v>87.09</v>
      </c>
      <c r="M567" s="1">
        <v>0.51</v>
      </c>
      <c r="N567" s="1">
        <v>1</v>
      </c>
      <c r="O567" s="1">
        <v>0.72</v>
      </c>
      <c r="P567" s="1">
        <v>444</v>
      </c>
      <c r="Q567" s="1">
        <v>12.21</v>
      </c>
      <c r="R567" s="1">
        <v>0.78</v>
      </c>
      <c r="S567" s="2">
        <v>45380</v>
      </c>
      <c r="T567" s="1">
        <v>223.59</v>
      </c>
      <c r="U567" s="1">
        <v>0.79200000000000004</v>
      </c>
      <c r="V567" s="6">
        <f t="shared" si="24"/>
        <v>41367.75</v>
      </c>
      <c r="W567" s="6" t="str">
        <f t="shared" si="25"/>
        <v>Sufficient</v>
      </c>
      <c r="X567" s="8" t="str">
        <f t="shared" si="26"/>
        <v>High</v>
      </c>
    </row>
    <row r="568" spans="1:24">
      <c r="A568" s="7" t="s">
        <v>698</v>
      </c>
      <c r="B568" s="1" t="s">
        <v>25</v>
      </c>
      <c r="C568" s="1">
        <v>451</v>
      </c>
      <c r="D568" s="1">
        <v>63</v>
      </c>
      <c r="E568" s="1">
        <v>8</v>
      </c>
      <c r="F568" s="1">
        <v>8</v>
      </c>
      <c r="G568" s="1">
        <v>7.48</v>
      </c>
      <c r="H568" s="1" t="s">
        <v>276</v>
      </c>
      <c r="I568" s="1" t="s">
        <v>45</v>
      </c>
      <c r="J568" s="1">
        <v>96</v>
      </c>
      <c r="K568" s="1">
        <v>3.63</v>
      </c>
      <c r="L568" s="4">
        <v>56.64</v>
      </c>
      <c r="M568" s="1">
        <v>1.55</v>
      </c>
      <c r="N568" s="1">
        <v>7</v>
      </c>
      <c r="O568" s="1">
        <v>0.99</v>
      </c>
      <c r="P568" s="1">
        <v>267</v>
      </c>
      <c r="Q568" s="1">
        <v>13.21</v>
      </c>
      <c r="R568" s="1">
        <v>0.54</v>
      </c>
      <c r="S568" s="2">
        <v>45576</v>
      </c>
      <c r="T568" s="1">
        <v>223.04</v>
      </c>
      <c r="U568" s="1">
        <v>0.58699999999999997</v>
      </c>
      <c r="V568" s="6">
        <f t="shared" si="24"/>
        <v>25544.639999999999</v>
      </c>
      <c r="W568" s="6" t="str">
        <f t="shared" si="25"/>
        <v>Sufficient</v>
      </c>
      <c r="X568" s="8" t="str">
        <f t="shared" si="26"/>
        <v>High</v>
      </c>
    </row>
    <row r="569" spans="1:24">
      <c r="A569" s="7" t="s">
        <v>699</v>
      </c>
      <c r="B569" s="1" t="s">
        <v>33</v>
      </c>
      <c r="C569" s="1">
        <v>110</v>
      </c>
      <c r="D569" s="1">
        <v>65</v>
      </c>
      <c r="E569" s="1">
        <v>14</v>
      </c>
      <c r="F569" s="1">
        <v>4</v>
      </c>
      <c r="G569" s="1">
        <v>34.17</v>
      </c>
      <c r="H569" s="1" t="s">
        <v>124</v>
      </c>
      <c r="I569" s="1" t="s">
        <v>45</v>
      </c>
      <c r="J569" s="1">
        <v>169</v>
      </c>
      <c r="K569" s="1">
        <v>4.1399999999999997</v>
      </c>
      <c r="L569" s="4">
        <v>119.45</v>
      </c>
      <c r="M569" s="1">
        <v>0.69</v>
      </c>
      <c r="N569" s="1">
        <v>4</v>
      </c>
      <c r="O569" s="1">
        <v>0.76</v>
      </c>
      <c r="P569" s="1">
        <v>116</v>
      </c>
      <c r="Q569" s="1">
        <v>8.2100000000000009</v>
      </c>
      <c r="R569" s="1">
        <v>0.78</v>
      </c>
      <c r="S569" s="2">
        <v>45377</v>
      </c>
      <c r="T569" s="1">
        <v>242.25</v>
      </c>
      <c r="U569" s="1">
        <v>0.66800000000000004</v>
      </c>
      <c r="V569" s="6">
        <f t="shared" si="24"/>
        <v>13139.5</v>
      </c>
      <c r="W569" s="6" t="str">
        <f t="shared" si="25"/>
        <v>Sufficient</v>
      </c>
      <c r="X569" s="8" t="str">
        <f t="shared" si="26"/>
        <v>Medium</v>
      </c>
    </row>
    <row r="570" spans="1:24">
      <c r="A570" s="7" t="s">
        <v>700</v>
      </c>
      <c r="B570" s="1" t="s">
        <v>29</v>
      </c>
      <c r="C570" s="1">
        <v>297</v>
      </c>
      <c r="D570" s="1">
        <v>68</v>
      </c>
      <c r="E570" s="1">
        <v>3</v>
      </c>
      <c r="F570" s="1">
        <v>2</v>
      </c>
      <c r="G570" s="1">
        <v>34.08</v>
      </c>
      <c r="H570" s="1" t="s">
        <v>151</v>
      </c>
      <c r="I570" s="1" t="s">
        <v>45</v>
      </c>
      <c r="J570" s="1">
        <v>26</v>
      </c>
      <c r="K570" s="1">
        <v>3.66</v>
      </c>
      <c r="L570" s="4">
        <v>142.85</v>
      </c>
      <c r="M570" s="1">
        <v>0.66</v>
      </c>
      <c r="N570" s="1">
        <v>5</v>
      </c>
      <c r="O570" s="1">
        <v>0.99</v>
      </c>
      <c r="P570" s="1">
        <v>118</v>
      </c>
      <c r="Q570" s="1">
        <v>14.19</v>
      </c>
      <c r="R570" s="1">
        <v>0.49</v>
      </c>
      <c r="S570" s="2">
        <v>45542</v>
      </c>
      <c r="T570" s="1">
        <v>285.07</v>
      </c>
      <c r="U570" s="1">
        <v>0.71899999999999997</v>
      </c>
      <c r="V570" s="6">
        <f t="shared" si="24"/>
        <v>42426.45</v>
      </c>
      <c r="W570" s="6" t="str">
        <f t="shared" si="25"/>
        <v>Sufficient</v>
      </c>
      <c r="X570" s="8" t="str">
        <f t="shared" si="26"/>
        <v>High</v>
      </c>
    </row>
    <row r="571" spans="1:24">
      <c r="A571" s="7" t="s">
        <v>701</v>
      </c>
      <c r="B571" s="1" t="s">
        <v>25</v>
      </c>
      <c r="C571" s="1">
        <v>120</v>
      </c>
      <c r="D571" s="1">
        <v>81</v>
      </c>
      <c r="E571" s="1">
        <v>5</v>
      </c>
      <c r="F571" s="1">
        <v>4</v>
      </c>
      <c r="G571" s="1">
        <v>48.98</v>
      </c>
      <c r="H571" s="1" t="s">
        <v>294</v>
      </c>
      <c r="I571" s="1" t="s">
        <v>27</v>
      </c>
      <c r="J571" s="1">
        <v>20</v>
      </c>
      <c r="K571" s="1">
        <v>1.45</v>
      </c>
      <c r="L571" s="4">
        <v>69.040000000000006</v>
      </c>
      <c r="M571" s="1">
        <v>0.1</v>
      </c>
      <c r="N571" s="1">
        <v>7</v>
      </c>
      <c r="O571" s="1">
        <v>0.75</v>
      </c>
      <c r="P571" s="1">
        <v>273</v>
      </c>
      <c r="Q571" s="1">
        <v>9.81</v>
      </c>
      <c r="R571" s="1">
        <v>0.28999999999999998</v>
      </c>
      <c r="S571" s="2">
        <v>45439</v>
      </c>
      <c r="T571" s="1">
        <v>49.69</v>
      </c>
      <c r="U571" s="1">
        <v>0.58899999999999997</v>
      </c>
      <c r="V571" s="6">
        <f t="shared" si="24"/>
        <v>8284.8000000000011</v>
      </c>
      <c r="W571" s="6" t="str">
        <f t="shared" si="25"/>
        <v>Sufficient</v>
      </c>
      <c r="X571" s="8" t="str">
        <f t="shared" si="26"/>
        <v>Medium</v>
      </c>
    </row>
    <row r="572" spans="1:24">
      <c r="A572" s="7" t="s">
        <v>702</v>
      </c>
      <c r="B572" s="1" t="s">
        <v>33</v>
      </c>
      <c r="C572" s="1">
        <v>174</v>
      </c>
      <c r="D572" s="1">
        <v>60</v>
      </c>
      <c r="E572" s="1">
        <v>4</v>
      </c>
      <c r="F572" s="1">
        <v>3</v>
      </c>
      <c r="G572" s="1">
        <v>35.89</v>
      </c>
      <c r="H572" s="1" t="s">
        <v>95</v>
      </c>
      <c r="I572" s="1" t="s">
        <v>27</v>
      </c>
      <c r="J572" s="1">
        <v>138</v>
      </c>
      <c r="K572" s="1">
        <v>1.74</v>
      </c>
      <c r="L572" s="4">
        <v>140.24</v>
      </c>
      <c r="M572" s="1">
        <v>0.61</v>
      </c>
      <c r="N572" s="1">
        <v>5</v>
      </c>
      <c r="O572" s="1">
        <v>0.83</v>
      </c>
      <c r="P572" s="1">
        <v>410</v>
      </c>
      <c r="Q572" s="1">
        <v>3.12</v>
      </c>
      <c r="R572" s="1">
        <v>0.77</v>
      </c>
      <c r="S572" s="2">
        <v>45363</v>
      </c>
      <c r="T572" s="1">
        <v>299.86</v>
      </c>
      <c r="U572" s="1">
        <v>0.60099999999999998</v>
      </c>
      <c r="V572" s="6">
        <f t="shared" si="24"/>
        <v>24401.760000000002</v>
      </c>
      <c r="W572" s="6" t="str">
        <f t="shared" si="25"/>
        <v>Sufficient</v>
      </c>
      <c r="X572" s="8" t="str">
        <f t="shared" si="26"/>
        <v>Medium</v>
      </c>
    </row>
    <row r="573" spans="1:24">
      <c r="A573" s="7" t="s">
        <v>703</v>
      </c>
      <c r="B573" s="1" t="s">
        <v>41</v>
      </c>
      <c r="C573" s="1">
        <v>396</v>
      </c>
      <c r="D573" s="1">
        <v>29</v>
      </c>
      <c r="E573" s="1">
        <v>13</v>
      </c>
      <c r="F573" s="1">
        <v>6</v>
      </c>
      <c r="G573" s="1">
        <v>25.17</v>
      </c>
      <c r="H573" s="1" t="s">
        <v>372</v>
      </c>
      <c r="I573" s="1" t="s">
        <v>39</v>
      </c>
      <c r="J573" s="1">
        <v>91</v>
      </c>
      <c r="K573" s="1">
        <v>3.05</v>
      </c>
      <c r="L573" s="4">
        <v>75.2</v>
      </c>
      <c r="M573" s="1">
        <v>0.51</v>
      </c>
      <c r="N573" s="1">
        <v>9</v>
      </c>
      <c r="O573" s="1">
        <v>0.79</v>
      </c>
      <c r="P573" s="1">
        <v>507</v>
      </c>
      <c r="Q573" s="1">
        <v>9.57</v>
      </c>
      <c r="R573" s="1">
        <v>0.7</v>
      </c>
      <c r="S573" s="2">
        <v>45387</v>
      </c>
      <c r="T573" s="1">
        <v>262.98</v>
      </c>
      <c r="U573" s="1">
        <v>0.59499999999999997</v>
      </c>
      <c r="V573" s="6">
        <f t="shared" si="24"/>
        <v>29779.200000000001</v>
      </c>
      <c r="W573" s="6" t="str">
        <f t="shared" si="25"/>
        <v>Sufficient</v>
      </c>
      <c r="X573" s="8" t="str">
        <f t="shared" si="26"/>
        <v>High</v>
      </c>
    </row>
    <row r="574" spans="1:24">
      <c r="A574" s="7" t="s">
        <v>704</v>
      </c>
      <c r="B574" s="1" t="s">
        <v>41</v>
      </c>
      <c r="C574" s="1">
        <v>368</v>
      </c>
      <c r="D574" s="1">
        <v>95</v>
      </c>
      <c r="E574" s="1">
        <v>11</v>
      </c>
      <c r="F574" s="1">
        <v>2</v>
      </c>
      <c r="G574" s="1">
        <v>43.01</v>
      </c>
      <c r="H574" s="1" t="s">
        <v>130</v>
      </c>
      <c r="I574" s="1" t="s">
        <v>45</v>
      </c>
      <c r="J574" s="1">
        <v>58</v>
      </c>
      <c r="K574" s="1">
        <v>2.5099999999999998</v>
      </c>
      <c r="L574" s="4">
        <v>130.63999999999999</v>
      </c>
      <c r="M574" s="1">
        <v>0.75</v>
      </c>
      <c r="N574" s="1">
        <v>2</v>
      </c>
      <c r="O574" s="1">
        <v>0.83</v>
      </c>
      <c r="P574" s="1">
        <v>343</v>
      </c>
      <c r="Q574" s="1">
        <v>5.18</v>
      </c>
      <c r="R574" s="1">
        <v>0.28999999999999998</v>
      </c>
      <c r="S574" s="2">
        <v>45453</v>
      </c>
      <c r="T574" s="1">
        <v>138.07</v>
      </c>
      <c r="U574" s="1">
        <v>0.57799999999999996</v>
      </c>
      <c r="V574" s="6">
        <f t="shared" si="24"/>
        <v>48075.519999999997</v>
      </c>
      <c r="W574" s="6" t="str">
        <f t="shared" si="25"/>
        <v>Sufficient</v>
      </c>
      <c r="X574" s="8" t="str">
        <f t="shared" si="26"/>
        <v>High</v>
      </c>
    </row>
    <row r="575" spans="1:24">
      <c r="A575" s="7" t="s">
        <v>705</v>
      </c>
      <c r="B575" s="1" t="s">
        <v>33</v>
      </c>
      <c r="C575" s="1">
        <v>470</v>
      </c>
      <c r="D575" s="1">
        <v>68</v>
      </c>
      <c r="E575" s="1">
        <v>5</v>
      </c>
      <c r="F575" s="1">
        <v>2</v>
      </c>
      <c r="G575" s="1">
        <v>6.12</v>
      </c>
      <c r="H575" s="1" t="s">
        <v>181</v>
      </c>
      <c r="I575" s="1" t="s">
        <v>39</v>
      </c>
      <c r="J575" s="1">
        <v>50</v>
      </c>
      <c r="K575" s="1">
        <v>3.81</v>
      </c>
      <c r="L575" s="4">
        <v>130.28</v>
      </c>
      <c r="M575" s="1">
        <v>0.38</v>
      </c>
      <c r="N575" s="1">
        <v>6</v>
      </c>
      <c r="O575" s="1">
        <v>0.78</v>
      </c>
      <c r="P575" s="1">
        <v>375</v>
      </c>
      <c r="Q575" s="1">
        <v>6.21</v>
      </c>
      <c r="R575" s="1">
        <v>0.94</v>
      </c>
      <c r="S575" s="2">
        <v>45522</v>
      </c>
      <c r="T575" s="1">
        <v>55.66</v>
      </c>
      <c r="U575" s="1">
        <v>0.66900000000000004</v>
      </c>
      <c r="V575" s="6">
        <f t="shared" si="24"/>
        <v>61231.6</v>
      </c>
      <c r="W575" s="6" t="str">
        <f t="shared" si="25"/>
        <v>Sufficient</v>
      </c>
      <c r="X575" s="8" t="str">
        <f t="shared" si="26"/>
        <v>High</v>
      </c>
    </row>
    <row r="576" spans="1:24">
      <c r="A576" s="7" t="s">
        <v>706</v>
      </c>
      <c r="B576" s="1" t="s">
        <v>33</v>
      </c>
      <c r="C576" s="1">
        <v>383</v>
      </c>
      <c r="D576" s="1">
        <v>80</v>
      </c>
      <c r="E576" s="1">
        <v>4</v>
      </c>
      <c r="F576" s="1">
        <v>6</v>
      </c>
      <c r="G576" s="1">
        <v>23.02</v>
      </c>
      <c r="H576" s="1" t="s">
        <v>282</v>
      </c>
      <c r="I576" s="1" t="s">
        <v>45</v>
      </c>
      <c r="J576" s="1">
        <v>29</v>
      </c>
      <c r="K576" s="1">
        <v>2.2000000000000002</v>
      </c>
      <c r="L576" s="4">
        <v>62.85</v>
      </c>
      <c r="M576" s="1">
        <v>1.23</v>
      </c>
      <c r="N576" s="1">
        <v>3</v>
      </c>
      <c r="O576" s="1">
        <v>0.99</v>
      </c>
      <c r="P576" s="1">
        <v>252</v>
      </c>
      <c r="Q576" s="1">
        <v>12.32</v>
      </c>
      <c r="R576" s="1">
        <v>0.45</v>
      </c>
      <c r="S576" s="2">
        <v>45609</v>
      </c>
      <c r="T576" s="1">
        <v>141.6</v>
      </c>
      <c r="U576" s="1">
        <v>0.66900000000000004</v>
      </c>
      <c r="V576" s="6">
        <f t="shared" si="24"/>
        <v>24071.55</v>
      </c>
      <c r="W576" s="6" t="str">
        <f t="shared" si="25"/>
        <v>Sufficient</v>
      </c>
      <c r="X576" s="8" t="str">
        <f t="shared" si="26"/>
        <v>High</v>
      </c>
    </row>
    <row r="577" spans="1:24">
      <c r="A577" s="7" t="s">
        <v>707</v>
      </c>
      <c r="B577" s="1" t="s">
        <v>29</v>
      </c>
      <c r="C577" s="1">
        <v>160</v>
      </c>
      <c r="D577" s="1">
        <v>18</v>
      </c>
      <c r="E577" s="1">
        <v>6</v>
      </c>
      <c r="F577" s="1">
        <v>2</v>
      </c>
      <c r="G577" s="1">
        <v>15.07</v>
      </c>
      <c r="H577" s="1" t="s">
        <v>36</v>
      </c>
      <c r="I577" s="1" t="s">
        <v>39</v>
      </c>
      <c r="J577" s="1">
        <v>80</v>
      </c>
      <c r="K577" s="1">
        <v>4.37</v>
      </c>
      <c r="L577" s="4">
        <v>130.79</v>
      </c>
      <c r="M577" s="1">
        <v>0.55000000000000004</v>
      </c>
      <c r="N577" s="1">
        <v>5</v>
      </c>
      <c r="O577" s="1">
        <v>0.79</v>
      </c>
      <c r="P577" s="1">
        <v>642</v>
      </c>
      <c r="Q577" s="1">
        <v>14.63</v>
      </c>
      <c r="R577" s="1">
        <v>0.72</v>
      </c>
      <c r="S577" s="2">
        <v>45319</v>
      </c>
      <c r="T577" s="1">
        <v>235.8</v>
      </c>
      <c r="U577" s="1">
        <v>0.74199999999999999</v>
      </c>
      <c r="V577" s="6">
        <f t="shared" si="24"/>
        <v>20926.399999999998</v>
      </c>
      <c r="W577" s="6" t="str">
        <f t="shared" si="25"/>
        <v>Sufficient</v>
      </c>
      <c r="X577" s="8" t="str">
        <f t="shared" si="26"/>
        <v>Medium</v>
      </c>
    </row>
    <row r="578" spans="1:24">
      <c r="A578" s="7" t="s">
        <v>708</v>
      </c>
      <c r="B578" s="1" t="s">
        <v>29</v>
      </c>
      <c r="C578" s="1">
        <v>192</v>
      </c>
      <c r="D578" s="1">
        <v>10</v>
      </c>
      <c r="E578" s="1">
        <v>4</v>
      </c>
      <c r="F578" s="1">
        <v>6</v>
      </c>
      <c r="G578" s="1">
        <v>6.13</v>
      </c>
      <c r="H578" s="1" t="s">
        <v>36</v>
      </c>
      <c r="I578" s="1" t="s">
        <v>27</v>
      </c>
      <c r="J578" s="1">
        <v>46</v>
      </c>
      <c r="K578" s="1">
        <v>2.44</v>
      </c>
      <c r="L578" s="4">
        <v>82.38</v>
      </c>
      <c r="M578" s="1">
        <v>1.68</v>
      </c>
      <c r="N578" s="1">
        <v>5</v>
      </c>
      <c r="O578" s="1">
        <v>0.9</v>
      </c>
      <c r="P578" s="1">
        <v>627</v>
      </c>
      <c r="Q578" s="1">
        <v>13.18</v>
      </c>
      <c r="R578" s="1">
        <v>0.23</v>
      </c>
      <c r="S578" s="2">
        <v>45475</v>
      </c>
      <c r="T578" s="1">
        <v>184.71</v>
      </c>
      <c r="U578" s="1">
        <v>0.53400000000000003</v>
      </c>
      <c r="V578" s="6">
        <f t="shared" si="24"/>
        <v>15816.96</v>
      </c>
      <c r="W578" s="6" t="str">
        <f t="shared" si="25"/>
        <v>Sufficient</v>
      </c>
      <c r="X578" s="8" t="str">
        <f t="shared" si="26"/>
        <v>Medium</v>
      </c>
    </row>
    <row r="579" spans="1:24">
      <c r="A579" s="7" t="s">
        <v>709</v>
      </c>
      <c r="B579" s="1" t="s">
        <v>41</v>
      </c>
      <c r="C579" s="1">
        <v>29</v>
      </c>
      <c r="D579" s="1">
        <v>38</v>
      </c>
      <c r="E579" s="1">
        <v>3</v>
      </c>
      <c r="F579" s="1">
        <v>2</v>
      </c>
      <c r="G579" s="1">
        <v>38.409999999999997</v>
      </c>
      <c r="H579" s="1" t="s">
        <v>176</v>
      </c>
      <c r="I579" s="1" t="s">
        <v>27</v>
      </c>
      <c r="J579" s="1">
        <v>135</v>
      </c>
      <c r="K579" s="1">
        <v>0.68</v>
      </c>
      <c r="L579" s="4">
        <v>73.930000000000007</v>
      </c>
      <c r="M579" s="1">
        <v>0.64</v>
      </c>
      <c r="N579" s="1">
        <v>4</v>
      </c>
      <c r="O579" s="1">
        <v>0.74</v>
      </c>
      <c r="P579" s="1">
        <v>346</v>
      </c>
      <c r="Q579" s="1">
        <v>5.56</v>
      </c>
      <c r="R579" s="1">
        <v>0.55000000000000004</v>
      </c>
      <c r="S579" s="2">
        <v>45296</v>
      </c>
      <c r="T579" s="1">
        <v>91.07</v>
      </c>
      <c r="U579" s="1">
        <v>0.58799999999999997</v>
      </c>
      <c r="V579" s="6">
        <f t="shared" si="24"/>
        <v>2143.9700000000003</v>
      </c>
      <c r="W579" s="6" t="str">
        <f t="shared" si="25"/>
        <v>Reorder Required</v>
      </c>
      <c r="X579" s="8" t="str">
        <f t="shared" si="26"/>
        <v>LOW</v>
      </c>
    </row>
    <row r="580" spans="1:24">
      <c r="A580" s="7" t="s">
        <v>710</v>
      </c>
      <c r="B580" s="1" t="s">
        <v>25</v>
      </c>
      <c r="C580" s="1">
        <v>247</v>
      </c>
      <c r="D580" s="1">
        <v>72</v>
      </c>
      <c r="E580" s="1">
        <v>8</v>
      </c>
      <c r="F580" s="1">
        <v>8</v>
      </c>
      <c r="G580" s="1">
        <v>26.03</v>
      </c>
      <c r="H580" s="1" t="s">
        <v>79</v>
      </c>
      <c r="I580" s="1" t="s">
        <v>39</v>
      </c>
      <c r="J580" s="1">
        <v>153</v>
      </c>
      <c r="K580" s="1">
        <v>0.57999999999999996</v>
      </c>
      <c r="L580" s="4">
        <v>64.959999999999994</v>
      </c>
      <c r="M580" s="1">
        <v>0.5</v>
      </c>
      <c r="N580" s="1">
        <v>0</v>
      </c>
      <c r="O580" s="1">
        <v>0.95</v>
      </c>
      <c r="P580" s="1">
        <v>841</v>
      </c>
      <c r="Q580" s="1">
        <v>7.35</v>
      </c>
      <c r="R580" s="1">
        <v>0.97</v>
      </c>
      <c r="S580" s="2">
        <v>45540</v>
      </c>
      <c r="T580" s="1">
        <v>127.97</v>
      </c>
      <c r="U580" s="1">
        <v>0.83199999999999996</v>
      </c>
      <c r="V580" s="6">
        <f t="shared" ref="V580:V643" si="27">C580*L580</f>
        <v>16045.119999999999</v>
      </c>
      <c r="W580" s="6" t="str">
        <f t="shared" ref="W580:W643" si="28">IF(C580&lt;=D580,"Reorder Required","Sufficient")</f>
        <v>Sufficient</v>
      </c>
      <c r="X580" s="8" t="str">
        <f t="shared" ref="X580:X643" si="29">IF(C580&lt;100,"LOW",IF(C580&lt;250,"Medium","High"))</f>
        <v>Medium</v>
      </c>
    </row>
    <row r="581" spans="1:24">
      <c r="A581" s="7" t="s">
        <v>711</v>
      </c>
      <c r="B581" s="1" t="s">
        <v>41</v>
      </c>
      <c r="C581" s="1">
        <v>284</v>
      </c>
      <c r="D581" s="1">
        <v>81</v>
      </c>
      <c r="E581" s="1">
        <v>12</v>
      </c>
      <c r="F581" s="1">
        <v>9</v>
      </c>
      <c r="G581" s="1">
        <v>28.28</v>
      </c>
      <c r="H581" s="1" t="s">
        <v>145</v>
      </c>
      <c r="I581" s="1" t="s">
        <v>31</v>
      </c>
      <c r="J581" s="1">
        <v>48</v>
      </c>
      <c r="K581" s="1">
        <v>3.41</v>
      </c>
      <c r="L581" s="4">
        <v>75.67</v>
      </c>
      <c r="M581" s="1">
        <v>0.21</v>
      </c>
      <c r="N581" s="1">
        <v>7</v>
      </c>
      <c r="O581" s="1">
        <v>0.86</v>
      </c>
      <c r="P581" s="1">
        <v>995</v>
      </c>
      <c r="Q581" s="1">
        <v>14.77</v>
      </c>
      <c r="R581" s="1">
        <v>0.91</v>
      </c>
      <c r="S581" s="2">
        <v>45361</v>
      </c>
      <c r="T581" s="1">
        <v>286.75</v>
      </c>
      <c r="U581" s="1">
        <v>0.79</v>
      </c>
      <c r="V581" s="6">
        <f t="shared" si="27"/>
        <v>21490.28</v>
      </c>
      <c r="W581" s="6" t="str">
        <f t="shared" si="28"/>
        <v>Sufficient</v>
      </c>
      <c r="X581" s="8" t="str">
        <f t="shared" si="29"/>
        <v>High</v>
      </c>
    </row>
    <row r="582" spans="1:24">
      <c r="A582" s="7" t="s">
        <v>712</v>
      </c>
      <c r="B582" s="1" t="s">
        <v>25</v>
      </c>
      <c r="C582" s="1">
        <v>457</v>
      </c>
      <c r="D582" s="1">
        <v>65</v>
      </c>
      <c r="E582" s="1">
        <v>10</v>
      </c>
      <c r="F582" s="1">
        <v>7</v>
      </c>
      <c r="G582" s="1">
        <v>21.15</v>
      </c>
      <c r="H582" s="1" t="s">
        <v>294</v>
      </c>
      <c r="I582" s="1" t="s">
        <v>45</v>
      </c>
      <c r="J582" s="1">
        <v>118</v>
      </c>
      <c r="K582" s="1">
        <v>2.93</v>
      </c>
      <c r="L582" s="4">
        <v>159.47999999999999</v>
      </c>
      <c r="M582" s="1">
        <v>1.51</v>
      </c>
      <c r="N582" s="1">
        <v>9</v>
      </c>
      <c r="O582" s="1">
        <v>0.99</v>
      </c>
      <c r="P582" s="1">
        <v>310</v>
      </c>
      <c r="Q582" s="1">
        <v>13.93</v>
      </c>
      <c r="R582" s="1">
        <v>0.38</v>
      </c>
      <c r="S582" s="2">
        <v>45391</v>
      </c>
      <c r="T582" s="1">
        <v>243.11</v>
      </c>
      <c r="U582" s="1">
        <v>0.52900000000000003</v>
      </c>
      <c r="V582" s="6">
        <f t="shared" si="27"/>
        <v>72882.36</v>
      </c>
      <c r="W582" s="6" t="str">
        <f t="shared" si="28"/>
        <v>Sufficient</v>
      </c>
      <c r="X582" s="8" t="str">
        <f t="shared" si="29"/>
        <v>High</v>
      </c>
    </row>
    <row r="583" spans="1:24">
      <c r="A583" s="7" t="s">
        <v>713</v>
      </c>
      <c r="B583" s="1" t="s">
        <v>25</v>
      </c>
      <c r="C583" s="1">
        <v>267</v>
      </c>
      <c r="D583" s="1">
        <v>77</v>
      </c>
      <c r="E583" s="1">
        <v>12</v>
      </c>
      <c r="F583" s="1">
        <v>7</v>
      </c>
      <c r="G583" s="1">
        <v>23.56</v>
      </c>
      <c r="H583" s="1" t="s">
        <v>153</v>
      </c>
      <c r="I583" s="1" t="s">
        <v>39</v>
      </c>
      <c r="J583" s="1">
        <v>73</v>
      </c>
      <c r="K583" s="1">
        <v>2.94</v>
      </c>
      <c r="L583" s="4">
        <v>56.58</v>
      </c>
      <c r="M583" s="1">
        <v>1.07</v>
      </c>
      <c r="N583" s="1">
        <v>1</v>
      </c>
      <c r="O583" s="1">
        <v>0.83</v>
      </c>
      <c r="P583" s="1">
        <v>838</v>
      </c>
      <c r="Q583" s="1">
        <v>14.68</v>
      </c>
      <c r="R583" s="1">
        <v>0.9</v>
      </c>
      <c r="S583" s="2">
        <v>45488</v>
      </c>
      <c r="T583" s="1">
        <v>45.98</v>
      </c>
      <c r="U583" s="1">
        <v>0.81499999999999995</v>
      </c>
      <c r="V583" s="6">
        <f t="shared" si="27"/>
        <v>15106.859999999999</v>
      </c>
      <c r="W583" s="6" t="str">
        <f t="shared" si="28"/>
        <v>Sufficient</v>
      </c>
      <c r="X583" s="8" t="str">
        <f t="shared" si="29"/>
        <v>High</v>
      </c>
    </row>
    <row r="584" spans="1:24">
      <c r="A584" s="7" t="s">
        <v>714</v>
      </c>
      <c r="B584" s="1" t="s">
        <v>29</v>
      </c>
      <c r="C584" s="1">
        <v>266</v>
      </c>
      <c r="D584" s="1">
        <v>44</v>
      </c>
      <c r="E584" s="1">
        <v>12</v>
      </c>
      <c r="F584" s="1">
        <v>4</v>
      </c>
      <c r="G584" s="1">
        <v>6.68</v>
      </c>
      <c r="H584" s="1" t="s">
        <v>176</v>
      </c>
      <c r="I584" s="1" t="s">
        <v>39</v>
      </c>
      <c r="J584" s="1">
        <v>32</v>
      </c>
      <c r="K584" s="1">
        <v>4.0599999999999996</v>
      </c>
      <c r="L584" s="4">
        <v>139.58000000000001</v>
      </c>
      <c r="M584" s="1">
        <v>0.32</v>
      </c>
      <c r="N584" s="1">
        <v>3</v>
      </c>
      <c r="O584" s="1">
        <v>0.76</v>
      </c>
      <c r="P584" s="1">
        <v>567</v>
      </c>
      <c r="Q584" s="1">
        <v>7.06</v>
      </c>
      <c r="R584" s="1">
        <v>0.43</v>
      </c>
      <c r="S584" s="2">
        <v>45579</v>
      </c>
      <c r="T584" s="1">
        <v>168.16</v>
      </c>
      <c r="U584" s="1">
        <v>0.64</v>
      </c>
      <c r="V584" s="6">
        <f t="shared" si="27"/>
        <v>37128.280000000006</v>
      </c>
      <c r="W584" s="6" t="str">
        <f t="shared" si="28"/>
        <v>Sufficient</v>
      </c>
      <c r="X584" s="8" t="str">
        <f t="shared" si="29"/>
        <v>High</v>
      </c>
    </row>
    <row r="585" spans="1:24">
      <c r="A585" s="7" t="s">
        <v>715</v>
      </c>
      <c r="B585" s="1" t="s">
        <v>66</v>
      </c>
      <c r="C585" s="1">
        <v>174</v>
      </c>
      <c r="D585" s="1">
        <v>12</v>
      </c>
      <c r="E585" s="1">
        <v>4</v>
      </c>
      <c r="F585" s="1">
        <v>8</v>
      </c>
      <c r="G585" s="1">
        <v>33.97</v>
      </c>
      <c r="H585" s="1" t="s">
        <v>394</v>
      </c>
      <c r="I585" s="1" t="s">
        <v>31</v>
      </c>
      <c r="J585" s="1">
        <v>41</v>
      </c>
      <c r="K585" s="1">
        <v>2.19</v>
      </c>
      <c r="L585" s="4">
        <v>181.12</v>
      </c>
      <c r="M585" s="1">
        <v>0.52</v>
      </c>
      <c r="N585" s="1">
        <v>2</v>
      </c>
      <c r="O585" s="1">
        <v>0.8</v>
      </c>
      <c r="P585" s="1">
        <v>181</v>
      </c>
      <c r="Q585" s="1">
        <v>12.21</v>
      </c>
      <c r="R585" s="1">
        <v>0.88</v>
      </c>
      <c r="S585" s="2">
        <v>45550</v>
      </c>
      <c r="T585" s="1">
        <v>279.99</v>
      </c>
      <c r="U585" s="1">
        <v>0.80700000000000005</v>
      </c>
      <c r="V585" s="6">
        <f t="shared" si="27"/>
        <v>31514.880000000001</v>
      </c>
      <c r="W585" s="6" t="str">
        <f t="shared" si="28"/>
        <v>Sufficient</v>
      </c>
      <c r="X585" s="8" t="str">
        <f t="shared" si="29"/>
        <v>Medium</v>
      </c>
    </row>
    <row r="586" spans="1:24">
      <c r="A586" s="7" t="s">
        <v>716</v>
      </c>
      <c r="B586" s="1" t="s">
        <v>66</v>
      </c>
      <c r="C586" s="1">
        <v>53</v>
      </c>
      <c r="D586" s="1">
        <v>16</v>
      </c>
      <c r="E586" s="1">
        <v>11</v>
      </c>
      <c r="F586" s="1">
        <v>2</v>
      </c>
      <c r="G586" s="1">
        <v>22.19</v>
      </c>
      <c r="H586" s="1" t="s">
        <v>143</v>
      </c>
      <c r="I586" s="1" t="s">
        <v>27</v>
      </c>
      <c r="J586" s="1">
        <v>132</v>
      </c>
      <c r="K586" s="1">
        <v>4.9800000000000004</v>
      </c>
      <c r="L586" s="4">
        <v>76.58</v>
      </c>
      <c r="M586" s="1">
        <v>2</v>
      </c>
      <c r="N586" s="1">
        <v>5</v>
      </c>
      <c r="O586" s="1">
        <v>0.92</v>
      </c>
      <c r="P586" s="1">
        <v>826</v>
      </c>
      <c r="Q586" s="1">
        <v>13.2</v>
      </c>
      <c r="R586" s="1">
        <v>0.78</v>
      </c>
      <c r="S586" s="2">
        <v>45626</v>
      </c>
      <c r="T586" s="1">
        <v>19.95</v>
      </c>
      <c r="U586" s="1">
        <v>0.61599999999999999</v>
      </c>
      <c r="V586" s="6">
        <f t="shared" si="27"/>
        <v>4058.74</v>
      </c>
      <c r="W586" s="6" t="str">
        <f t="shared" si="28"/>
        <v>Sufficient</v>
      </c>
      <c r="X586" s="8" t="str">
        <f t="shared" si="29"/>
        <v>LOW</v>
      </c>
    </row>
    <row r="587" spans="1:24">
      <c r="A587" s="7" t="s">
        <v>717</v>
      </c>
      <c r="B587" s="1" t="s">
        <v>33</v>
      </c>
      <c r="C587" s="1">
        <v>148</v>
      </c>
      <c r="D587" s="1">
        <v>36</v>
      </c>
      <c r="E587" s="1">
        <v>5</v>
      </c>
      <c r="F587" s="1">
        <v>5</v>
      </c>
      <c r="G587" s="1">
        <v>41.02</v>
      </c>
      <c r="H587" s="1" t="s">
        <v>214</v>
      </c>
      <c r="I587" s="1" t="s">
        <v>39</v>
      </c>
      <c r="J587" s="1">
        <v>28</v>
      </c>
      <c r="K587" s="1">
        <v>4.75</v>
      </c>
      <c r="L587" s="4">
        <v>15.61</v>
      </c>
      <c r="M587" s="1">
        <v>1.63</v>
      </c>
      <c r="N587" s="1">
        <v>0</v>
      </c>
      <c r="O587" s="1">
        <v>0.9</v>
      </c>
      <c r="P587" s="1">
        <v>374</v>
      </c>
      <c r="Q587" s="1">
        <v>1.62</v>
      </c>
      <c r="R587" s="1">
        <v>0.48</v>
      </c>
      <c r="S587" s="2">
        <v>45545</v>
      </c>
      <c r="T587" s="1">
        <v>22.34</v>
      </c>
      <c r="U587" s="1">
        <v>0.53500000000000003</v>
      </c>
      <c r="V587" s="6">
        <f t="shared" si="27"/>
        <v>2310.2799999999997</v>
      </c>
      <c r="W587" s="6" t="str">
        <f t="shared" si="28"/>
        <v>Sufficient</v>
      </c>
      <c r="X587" s="8" t="str">
        <f t="shared" si="29"/>
        <v>Medium</v>
      </c>
    </row>
    <row r="588" spans="1:24">
      <c r="A588" s="7" t="s">
        <v>718</v>
      </c>
      <c r="B588" s="1" t="s">
        <v>29</v>
      </c>
      <c r="C588" s="1">
        <v>179</v>
      </c>
      <c r="D588" s="1">
        <v>10</v>
      </c>
      <c r="E588" s="1">
        <v>10</v>
      </c>
      <c r="F588" s="1">
        <v>6</v>
      </c>
      <c r="G588" s="1">
        <v>10.62</v>
      </c>
      <c r="H588" s="1" t="s">
        <v>156</v>
      </c>
      <c r="I588" s="1" t="s">
        <v>27</v>
      </c>
      <c r="J588" s="1">
        <v>115</v>
      </c>
      <c r="K588" s="1">
        <v>0.56000000000000005</v>
      </c>
      <c r="L588" s="4">
        <v>14.68</v>
      </c>
      <c r="M588" s="1">
        <v>0.76</v>
      </c>
      <c r="N588" s="1">
        <v>8</v>
      </c>
      <c r="O588" s="1">
        <v>0.93</v>
      </c>
      <c r="P588" s="1">
        <v>117</v>
      </c>
      <c r="Q588" s="1">
        <v>4.7300000000000004</v>
      </c>
      <c r="R588" s="1">
        <v>0.93</v>
      </c>
      <c r="S588" s="2">
        <v>45501</v>
      </c>
      <c r="T588" s="1">
        <v>217.85</v>
      </c>
      <c r="U588" s="1">
        <v>0.59899999999999998</v>
      </c>
      <c r="V588" s="6">
        <f t="shared" si="27"/>
        <v>2627.72</v>
      </c>
      <c r="W588" s="6" t="str">
        <f t="shared" si="28"/>
        <v>Sufficient</v>
      </c>
      <c r="X588" s="8" t="str">
        <f t="shared" si="29"/>
        <v>Medium</v>
      </c>
    </row>
    <row r="589" spans="1:24">
      <c r="A589" s="7" t="s">
        <v>719</v>
      </c>
      <c r="B589" s="1" t="s">
        <v>25</v>
      </c>
      <c r="C589" s="1">
        <v>108</v>
      </c>
      <c r="D589" s="1">
        <v>89</v>
      </c>
      <c r="E589" s="1">
        <v>14</v>
      </c>
      <c r="F589" s="1">
        <v>8</v>
      </c>
      <c r="G589" s="1">
        <v>11.05</v>
      </c>
      <c r="H589" s="1" t="s">
        <v>132</v>
      </c>
      <c r="I589" s="1" t="s">
        <v>45</v>
      </c>
      <c r="J589" s="1">
        <v>76</v>
      </c>
      <c r="K589" s="1">
        <v>4.53</v>
      </c>
      <c r="L589" s="4">
        <v>36.51</v>
      </c>
      <c r="M589" s="1">
        <v>1.1299999999999999</v>
      </c>
      <c r="N589" s="1">
        <v>4</v>
      </c>
      <c r="O589" s="1">
        <v>0.72</v>
      </c>
      <c r="P589" s="1">
        <v>175</v>
      </c>
      <c r="Q589" s="1">
        <v>13.37</v>
      </c>
      <c r="R589" s="1">
        <v>0.59</v>
      </c>
      <c r="S589" s="2">
        <v>45642</v>
      </c>
      <c r="T589" s="1">
        <v>176.91</v>
      </c>
      <c r="U589" s="1">
        <v>0.64700000000000002</v>
      </c>
      <c r="V589" s="6">
        <f t="shared" si="27"/>
        <v>3943.08</v>
      </c>
      <c r="W589" s="6" t="str">
        <f t="shared" si="28"/>
        <v>Sufficient</v>
      </c>
      <c r="X589" s="8" t="str">
        <f t="shared" si="29"/>
        <v>Medium</v>
      </c>
    </row>
    <row r="590" spans="1:24">
      <c r="A590" s="7" t="s">
        <v>720</v>
      </c>
      <c r="B590" s="1" t="s">
        <v>66</v>
      </c>
      <c r="C590" s="1">
        <v>112</v>
      </c>
      <c r="D590" s="1">
        <v>80</v>
      </c>
      <c r="E590" s="1">
        <v>10</v>
      </c>
      <c r="F590" s="1">
        <v>2</v>
      </c>
      <c r="G590" s="1">
        <v>32.64</v>
      </c>
      <c r="H590" s="1" t="s">
        <v>282</v>
      </c>
      <c r="I590" s="1" t="s">
        <v>31</v>
      </c>
      <c r="J590" s="1">
        <v>176</v>
      </c>
      <c r="K590" s="1">
        <v>3.56</v>
      </c>
      <c r="L590" s="4">
        <v>30.91</v>
      </c>
      <c r="M590" s="1">
        <v>0.89</v>
      </c>
      <c r="N590" s="1">
        <v>4</v>
      </c>
      <c r="O590" s="1">
        <v>0.87</v>
      </c>
      <c r="P590" s="1">
        <v>442</v>
      </c>
      <c r="Q590" s="1">
        <v>6.44</v>
      </c>
      <c r="R590" s="1">
        <v>0.45</v>
      </c>
      <c r="S590" s="2">
        <v>45543</v>
      </c>
      <c r="T590" s="1">
        <v>23.34</v>
      </c>
      <c r="U590" s="1">
        <v>0.58099999999999996</v>
      </c>
      <c r="V590" s="6">
        <f t="shared" si="27"/>
        <v>3461.92</v>
      </c>
      <c r="W590" s="6" t="str">
        <f t="shared" si="28"/>
        <v>Sufficient</v>
      </c>
      <c r="X590" s="8" t="str">
        <f t="shared" si="29"/>
        <v>Medium</v>
      </c>
    </row>
    <row r="591" spans="1:24">
      <c r="A591" s="7" t="s">
        <v>721</v>
      </c>
      <c r="B591" s="1" t="s">
        <v>25</v>
      </c>
      <c r="C591" s="1">
        <v>346</v>
      </c>
      <c r="D591" s="1">
        <v>53</v>
      </c>
      <c r="E591" s="1">
        <v>5</v>
      </c>
      <c r="F591" s="1">
        <v>7</v>
      </c>
      <c r="G591" s="1">
        <v>42.45</v>
      </c>
      <c r="H591" s="1" t="s">
        <v>309</v>
      </c>
      <c r="I591" s="1" t="s">
        <v>27</v>
      </c>
      <c r="J591" s="1">
        <v>98</v>
      </c>
      <c r="K591" s="1">
        <v>2.76</v>
      </c>
      <c r="L591" s="4">
        <v>152.13999999999999</v>
      </c>
      <c r="M591" s="1">
        <v>0.17</v>
      </c>
      <c r="N591" s="1">
        <v>3</v>
      </c>
      <c r="O591" s="1">
        <v>0.98</v>
      </c>
      <c r="P591" s="1">
        <v>451</v>
      </c>
      <c r="Q591" s="1">
        <v>4.9000000000000004</v>
      </c>
      <c r="R591" s="1">
        <v>0.42</v>
      </c>
      <c r="S591" s="2">
        <v>45504</v>
      </c>
      <c r="T591" s="1">
        <v>298.83999999999997</v>
      </c>
      <c r="U591" s="1">
        <v>0.66800000000000004</v>
      </c>
      <c r="V591" s="6">
        <f t="shared" si="27"/>
        <v>52640.439999999995</v>
      </c>
      <c r="W591" s="6" t="str">
        <f t="shared" si="28"/>
        <v>Sufficient</v>
      </c>
      <c r="X591" s="8" t="str">
        <f t="shared" si="29"/>
        <v>High</v>
      </c>
    </row>
    <row r="592" spans="1:24">
      <c r="A592" s="7" t="s">
        <v>722</v>
      </c>
      <c r="B592" s="1" t="s">
        <v>66</v>
      </c>
      <c r="C592" s="1">
        <v>260</v>
      </c>
      <c r="D592" s="1">
        <v>96</v>
      </c>
      <c r="E592" s="1">
        <v>5</v>
      </c>
      <c r="F592" s="1">
        <v>7</v>
      </c>
      <c r="G592" s="1">
        <v>24.14</v>
      </c>
      <c r="H592" s="1" t="s">
        <v>72</v>
      </c>
      <c r="I592" s="1" t="s">
        <v>39</v>
      </c>
      <c r="J592" s="1">
        <v>69</v>
      </c>
      <c r="K592" s="1">
        <v>3.12</v>
      </c>
      <c r="L592" s="4">
        <v>66.02</v>
      </c>
      <c r="M592" s="1">
        <v>1.58</v>
      </c>
      <c r="N592" s="1">
        <v>3</v>
      </c>
      <c r="O592" s="1">
        <v>0.73</v>
      </c>
      <c r="P592" s="1">
        <v>876</v>
      </c>
      <c r="Q592" s="1">
        <v>4.82</v>
      </c>
      <c r="R592" s="1">
        <v>0.95</v>
      </c>
      <c r="S592" s="2">
        <v>45655</v>
      </c>
      <c r="T592" s="1">
        <v>178.23</v>
      </c>
      <c r="U592" s="1">
        <v>0.58199999999999996</v>
      </c>
      <c r="V592" s="6">
        <f t="shared" si="27"/>
        <v>17165.2</v>
      </c>
      <c r="W592" s="6" t="str">
        <f t="shared" si="28"/>
        <v>Sufficient</v>
      </c>
      <c r="X592" s="8" t="str">
        <f t="shared" si="29"/>
        <v>High</v>
      </c>
    </row>
    <row r="593" spans="1:24">
      <c r="A593" s="7" t="s">
        <v>723</v>
      </c>
      <c r="B593" s="1" t="s">
        <v>66</v>
      </c>
      <c r="C593" s="1">
        <v>342</v>
      </c>
      <c r="D593" s="1">
        <v>50</v>
      </c>
      <c r="E593" s="1">
        <v>14</v>
      </c>
      <c r="F593" s="1">
        <v>6</v>
      </c>
      <c r="G593" s="1">
        <v>36.619999999999997</v>
      </c>
      <c r="H593" s="1" t="s">
        <v>331</v>
      </c>
      <c r="I593" s="1" t="s">
        <v>31</v>
      </c>
      <c r="J593" s="1">
        <v>20</v>
      </c>
      <c r="K593" s="1">
        <v>4.29</v>
      </c>
      <c r="L593" s="4">
        <v>133.97999999999999</v>
      </c>
      <c r="M593" s="1">
        <v>1.46</v>
      </c>
      <c r="N593" s="1">
        <v>0</v>
      </c>
      <c r="O593" s="1">
        <v>0.73</v>
      </c>
      <c r="P593" s="1">
        <v>732</v>
      </c>
      <c r="Q593" s="1">
        <v>6.26</v>
      </c>
      <c r="R593" s="1">
        <v>0.81</v>
      </c>
      <c r="S593" s="2">
        <v>45519</v>
      </c>
      <c r="T593" s="1">
        <v>152.66</v>
      </c>
      <c r="U593" s="1">
        <v>0.64500000000000002</v>
      </c>
      <c r="V593" s="6">
        <f t="shared" si="27"/>
        <v>45821.159999999996</v>
      </c>
      <c r="W593" s="6" t="str">
        <f t="shared" si="28"/>
        <v>Sufficient</v>
      </c>
      <c r="X593" s="8" t="str">
        <f t="shared" si="29"/>
        <v>High</v>
      </c>
    </row>
    <row r="594" spans="1:24">
      <c r="A594" s="7" t="s">
        <v>724</v>
      </c>
      <c r="B594" s="1" t="s">
        <v>66</v>
      </c>
      <c r="C594" s="1">
        <v>487</v>
      </c>
      <c r="D594" s="1">
        <v>84</v>
      </c>
      <c r="E594" s="1">
        <v>8</v>
      </c>
      <c r="F594" s="1">
        <v>5</v>
      </c>
      <c r="G594" s="1">
        <v>49.97</v>
      </c>
      <c r="H594" s="1" t="s">
        <v>176</v>
      </c>
      <c r="I594" s="1" t="s">
        <v>31</v>
      </c>
      <c r="J594" s="1">
        <v>58</v>
      </c>
      <c r="K594" s="1">
        <v>4.78</v>
      </c>
      <c r="L594" s="4">
        <v>18.07</v>
      </c>
      <c r="M594" s="1">
        <v>0.88</v>
      </c>
      <c r="N594" s="1">
        <v>8</v>
      </c>
      <c r="O594" s="1">
        <v>0.91</v>
      </c>
      <c r="P594" s="1">
        <v>385</v>
      </c>
      <c r="Q594" s="1">
        <v>4.42</v>
      </c>
      <c r="R594" s="1">
        <v>0.48</v>
      </c>
      <c r="S594" s="2">
        <v>45542</v>
      </c>
      <c r="T594" s="1">
        <v>139.83000000000001</v>
      </c>
      <c r="U594" s="1">
        <v>0.48899999999999999</v>
      </c>
      <c r="V594" s="6">
        <f t="shared" si="27"/>
        <v>8800.09</v>
      </c>
      <c r="W594" s="6" t="str">
        <f t="shared" si="28"/>
        <v>Sufficient</v>
      </c>
      <c r="X594" s="8" t="str">
        <f t="shared" si="29"/>
        <v>High</v>
      </c>
    </row>
    <row r="595" spans="1:24">
      <c r="A595" s="7" t="s">
        <v>725</v>
      </c>
      <c r="B595" s="1" t="s">
        <v>29</v>
      </c>
      <c r="C595" s="1">
        <v>423</v>
      </c>
      <c r="D595" s="1">
        <v>51</v>
      </c>
      <c r="E595" s="1">
        <v>3</v>
      </c>
      <c r="F595" s="1">
        <v>2</v>
      </c>
      <c r="G595" s="1">
        <v>49.52</v>
      </c>
      <c r="H595" s="1" t="s">
        <v>411</v>
      </c>
      <c r="I595" s="1" t="s">
        <v>31</v>
      </c>
      <c r="J595" s="1">
        <v>152</v>
      </c>
      <c r="K595" s="1">
        <v>3.02</v>
      </c>
      <c r="L595" s="4">
        <v>66.19</v>
      </c>
      <c r="M595" s="1">
        <v>1.71</v>
      </c>
      <c r="N595" s="1">
        <v>8</v>
      </c>
      <c r="O595" s="1">
        <v>0.79</v>
      </c>
      <c r="P595" s="1">
        <v>78</v>
      </c>
      <c r="Q595" s="1">
        <v>1.05</v>
      </c>
      <c r="R595" s="1">
        <v>0.4</v>
      </c>
      <c r="S595" s="2">
        <v>45377</v>
      </c>
      <c r="T595" s="1">
        <v>213.2</v>
      </c>
      <c r="U595" s="1">
        <v>0.32100000000000001</v>
      </c>
      <c r="V595" s="6">
        <f t="shared" si="27"/>
        <v>27998.37</v>
      </c>
      <c r="W595" s="6" t="str">
        <f t="shared" si="28"/>
        <v>Sufficient</v>
      </c>
      <c r="X595" s="8" t="str">
        <f t="shared" si="29"/>
        <v>High</v>
      </c>
    </row>
    <row r="596" spans="1:24">
      <c r="A596" s="7" t="s">
        <v>726</v>
      </c>
      <c r="B596" s="1" t="s">
        <v>41</v>
      </c>
      <c r="C596" s="1">
        <v>136</v>
      </c>
      <c r="D596" s="1">
        <v>42</v>
      </c>
      <c r="E596" s="1">
        <v>6</v>
      </c>
      <c r="F596" s="1">
        <v>2</v>
      </c>
      <c r="G596" s="1">
        <v>37.47</v>
      </c>
      <c r="H596" s="1" t="s">
        <v>205</v>
      </c>
      <c r="I596" s="1" t="s">
        <v>31</v>
      </c>
      <c r="J596" s="1">
        <v>137</v>
      </c>
      <c r="K596" s="1">
        <v>1.32</v>
      </c>
      <c r="L596" s="4">
        <v>54.49</v>
      </c>
      <c r="M596" s="1">
        <v>1.1200000000000001</v>
      </c>
      <c r="N596" s="1">
        <v>3</v>
      </c>
      <c r="O596" s="1">
        <v>0.9</v>
      </c>
      <c r="P596" s="1">
        <v>737</v>
      </c>
      <c r="Q596" s="1">
        <v>3.42</v>
      </c>
      <c r="R596" s="1">
        <v>0.37</v>
      </c>
      <c r="S596" s="2">
        <v>45334</v>
      </c>
      <c r="T596" s="1">
        <v>142.91999999999999</v>
      </c>
      <c r="U596" s="1">
        <v>0.52800000000000002</v>
      </c>
      <c r="V596" s="6">
        <f t="shared" si="27"/>
        <v>7410.64</v>
      </c>
      <c r="W596" s="6" t="str">
        <f t="shared" si="28"/>
        <v>Sufficient</v>
      </c>
      <c r="X596" s="8" t="str">
        <f t="shared" si="29"/>
        <v>Medium</v>
      </c>
    </row>
    <row r="597" spans="1:24">
      <c r="A597" s="7" t="s">
        <v>727</v>
      </c>
      <c r="B597" s="1" t="s">
        <v>25</v>
      </c>
      <c r="C597" s="1">
        <v>113</v>
      </c>
      <c r="D597" s="1">
        <v>59</v>
      </c>
      <c r="E597" s="1">
        <v>3</v>
      </c>
      <c r="F597" s="1">
        <v>5</v>
      </c>
      <c r="G597" s="1">
        <v>37.24</v>
      </c>
      <c r="H597" s="1" t="s">
        <v>216</v>
      </c>
      <c r="I597" s="1" t="s">
        <v>31</v>
      </c>
      <c r="J597" s="1">
        <v>70</v>
      </c>
      <c r="K597" s="1">
        <v>3.38</v>
      </c>
      <c r="L597" s="4">
        <v>62.61</v>
      </c>
      <c r="M597" s="1">
        <v>0.22</v>
      </c>
      <c r="N597" s="1">
        <v>9</v>
      </c>
      <c r="O597" s="1">
        <v>0.86</v>
      </c>
      <c r="P597" s="1">
        <v>868</v>
      </c>
      <c r="Q597" s="1">
        <v>13.36</v>
      </c>
      <c r="R597" s="1">
        <v>0.4</v>
      </c>
      <c r="S597" s="2">
        <v>45581</v>
      </c>
      <c r="T597" s="1">
        <v>201.13</v>
      </c>
      <c r="U597" s="1">
        <v>0.628</v>
      </c>
      <c r="V597" s="6">
        <f t="shared" si="27"/>
        <v>7074.93</v>
      </c>
      <c r="W597" s="6" t="str">
        <f t="shared" si="28"/>
        <v>Sufficient</v>
      </c>
      <c r="X597" s="8" t="str">
        <f t="shared" si="29"/>
        <v>Medium</v>
      </c>
    </row>
    <row r="598" spans="1:24">
      <c r="A598" s="7" t="s">
        <v>728</v>
      </c>
      <c r="B598" s="1" t="s">
        <v>29</v>
      </c>
      <c r="C598" s="1">
        <v>182</v>
      </c>
      <c r="D598" s="1">
        <v>72</v>
      </c>
      <c r="E598" s="1">
        <v>5</v>
      </c>
      <c r="F598" s="1">
        <v>5</v>
      </c>
      <c r="G598" s="1">
        <v>13.13</v>
      </c>
      <c r="H598" s="1" t="s">
        <v>85</v>
      </c>
      <c r="I598" s="1" t="s">
        <v>45</v>
      </c>
      <c r="J598" s="1">
        <v>152</v>
      </c>
      <c r="K598" s="1">
        <v>0.84</v>
      </c>
      <c r="L598" s="4">
        <v>46.24</v>
      </c>
      <c r="M598" s="1">
        <v>0.59</v>
      </c>
      <c r="N598" s="1">
        <v>9</v>
      </c>
      <c r="O598" s="1">
        <v>1</v>
      </c>
      <c r="P598" s="1">
        <v>987</v>
      </c>
      <c r="Q598" s="1">
        <v>2.06</v>
      </c>
      <c r="R598" s="1">
        <v>0.28999999999999998</v>
      </c>
      <c r="S598" s="2">
        <v>45307</v>
      </c>
      <c r="T598" s="1">
        <v>151.62</v>
      </c>
      <c r="U598" s="1">
        <v>0.44600000000000001</v>
      </c>
      <c r="V598" s="6">
        <f t="shared" si="27"/>
        <v>8415.68</v>
      </c>
      <c r="W598" s="6" t="str">
        <f t="shared" si="28"/>
        <v>Sufficient</v>
      </c>
      <c r="X598" s="8" t="str">
        <f t="shared" si="29"/>
        <v>Medium</v>
      </c>
    </row>
    <row r="599" spans="1:24">
      <c r="A599" s="7" t="s">
        <v>729</v>
      </c>
      <c r="B599" s="1" t="s">
        <v>29</v>
      </c>
      <c r="C599" s="1">
        <v>118</v>
      </c>
      <c r="D599" s="1">
        <v>46</v>
      </c>
      <c r="E599" s="1">
        <v>11</v>
      </c>
      <c r="F599" s="1">
        <v>5</v>
      </c>
      <c r="G599" s="1">
        <v>41.84</v>
      </c>
      <c r="H599" s="1" t="s">
        <v>139</v>
      </c>
      <c r="I599" s="1" t="s">
        <v>45</v>
      </c>
      <c r="J599" s="1">
        <v>14</v>
      </c>
      <c r="K599" s="1">
        <v>3.36</v>
      </c>
      <c r="L599" s="4">
        <v>127.4</v>
      </c>
      <c r="M599" s="1">
        <v>0.98</v>
      </c>
      <c r="N599" s="1">
        <v>3</v>
      </c>
      <c r="O599" s="1">
        <v>0.97</v>
      </c>
      <c r="P599" s="1">
        <v>853</v>
      </c>
      <c r="Q599" s="1">
        <v>6.78</v>
      </c>
      <c r="R599" s="1">
        <v>0.59</v>
      </c>
      <c r="S599" s="2">
        <v>45404</v>
      </c>
      <c r="T599" s="1">
        <v>187.11</v>
      </c>
      <c r="U599" s="1">
        <v>0.64400000000000002</v>
      </c>
      <c r="V599" s="6">
        <f t="shared" si="27"/>
        <v>15033.2</v>
      </c>
      <c r="W599" s="6" t="str">
        <f t="shared" si="28"/>
        <v>Sufficient</v>
      </c>
      <c r="X599" s="8" t="str">
        <f t="shared" si="29"/>
        <v>Medium</v>
      </c>
    </row>
    <row r="600" spans="1:24">
      <c r="A600" s="7" t="s">
        <v>730</v>
      </c>
      <c r="B600" s="1" t="s">
        <v>29</v>
      </c>
      <c r="C600" s="1">
        <v>132</v>
      </c>
      <c r="D600" s="1">
        <v>68</v>
      </c>
      <c r="E600" s="1">
        <v>7</v>
      </c>
      <c r="F600" s="1">
        <v>7</v>
      </c>
      <c r="G600" s="1">
        <v>20.85</v>
      </c>
      <c r="H600" s="1" t="s">
        <v>137</v>
      </c>
      <c r="I600" s="1" t="s">
        <v>31</v>
      </c>
      <c r="J600" s="1">
        <v>38</v>
      </c>
      <c r="K600" s="1">
        <v>4.1399999999999997</v>
      </c>
      <c r="L600" s="4">
        <v>135.91</v>
      </c>
      <c r="M600" s="1">
        <v>0.3</v>
      </c>
      <c r="N600" s="1">
        <v>6</v>
      </c>
      <c r="O600" s="1">
        <v>0.9</v>
      </c>
      <c r="P600" s="1">
        <v>893</v>
      </c>
      <c r="Q600" s="1">
        <v>7.39</v>
      </c>
      <c r="R600" s="1">
        <v>0.23</v>
      </c>
      <c r="S600" s="2">
        <v>45441</v>
      </c>
      <c r="T600" s="1">
        <v>243.5</v>
      </c>
      <c r="U600" s="1">
        <v>0.57499999999999996</v>
      </c>
      <c r="V600" s="6">
        <f t="shared" si="27"/>
        <v>17940.12</v>
      </c>
      <c r="W600" s="6" t="str">
        <f t="shared" si="28"/>
        <v>Sufficient</v>
      </c>
      <c r="X600" s="8" t="str">
        <f t="shared" si="29"/>
        <v>Medium</v>
      </c>
    </row>
    <row r="601" spans="1:24">
      <c r="A601" s="7" t="s">
        <v>731</v>
      </c>
      <c r="B601" s="1" t="s">
        <v>29</v>
      </c>
      <c r="C601" s="1">
        <v>378</v>
      </c>
      <c r="D601" s="1">
        <v>90</v>
      </c>
      <c r="E601" s="1">
        <v>14</v>
      </c>
      <c r="F601" s="1">
        <v>6</v>
      </c>
      <c r="G601" s="1">
        <v>48.14</v>
      </c>
      <c r="H601" s="1" t="s">
        <v>346</v>
      </c>
      <c r="I601" s="1" t="s">
        <v>39</v>
      </c>
      <c r="J601" s="1">
        <v>78</v>
      </c>
      <c r="K601" s="1">
        <v>2.09</v>
      </c>
      <c r="L601" s="4">
        <v>38.21</v>
      </c>
      <c r="M601" s="1">
        <v>1.19</v>
      </c>
      <c r="N601" s="1">
        <v>3</v>
      </c>
      <c r="O601" s="1">
        <v>0.78</v>
      </c>
      <c r="P601" s="1">
        <v>666</v>
      </c>
      <c r="Q601" s="1">
        <v>11.89</v>
      </c>
      <c r="R601" s="1">
        <v>0.21</v>
      </c>
      <c r="S601" s="2">
        <v>45308</v>
      </c>
      <c r="T601" s="1">
        <v>246.98</v>
      </c>
      <c r="U601" s="1">
        <v>0.57799999999999996</v>
      </c>
      <c r="V601" s="6">
        <f t="shared" si="27"/>
        <v>14443.380000000001</v>
      </c>
      <c r="W601" s="6" t="str">
        <f t="shared" si="28"/>
        <v>Sufficient</v>
      </c>
      <c r="X601" s="8" t="str">
        <f t="shared" si="29"/>
        <v>High</v>
      </c>
    </row>
    <row r="602" spans="1:24">
      <c r="A602" s="7" t="s">
        <v>732</v>
      </c>
      <c r="B602" s="1" t="s">
        <v>29</v>
      </c>
      <c r="C602" s="1">
        <v>110</v>
      </c>
      <c r="D602" s="1">
        <v>57</v>
      </c>
      <c r="E602" s="1">
        <v>7</v>
      </c>
      <c r="F602" s="1">
        <v>8</v>
      </c>
      <c r="G602" s="1">
        <v>4.99</v>
      </c>
      <c r="H602" s="1" t="s">
        <v>149</v>
      </c>
      <c r="I602" s="1" t="s">
        <v>39</v>
      </c>
      <c r="J602" s="1">
        <v>159</v>
      </c>
      <c r="K602" s="1">
        <v>0.82</v>
      </c>
      <c r="L602" s="4">
        <v>150.82</v>
      </c>
      <c r="M602" s="1">
        <v>0.33</v>
      </c>
      <c r="N602" s="1">
        <v>0</v>
      </c>
      <c r="O602" s="1">
        <v>0.78</v>
      </c>
      <c r="P602" s="1">
        <v>94</v>
      </c>
      <c r="Q602" s="1">
        <v>4.54</v>
      </c>
      <c r="R602" s="1">
        <v>0.69</v>
      </c>
      <c r="S602" s="2">
        <v>45432</v>
      </c>
      <c r="T602" s="1">
        <v>256.22000000000003</v>
      </c>
      <c r="U602" s="1">
        <v>0.72199999999999998</v>
      </c>
      <c r="V602" s="6">
        <f t="shared" si="27"/>
        <v>16590.2</v>
      </c>
      <c r="W602" s="6" t="str">
        <f t="shared" si="28"/>
        <v>Sufficient</v>
      </c>
      <c r="X602" s="8" t="str">
        <f t="shared" si="29"/>
        <v>Medium</v>
      </c>
    </row>
    <row r="603" spans="1:24">
      <c r="A603" s="7" t="s">
        <v>733</v>
      </c>
      <c r="B603" s="1" t="s">
        <v>33</v>
      </c>
      <c r="C603" s="1">
        <v>365</v>
      </c>
      <c r="D603" s="1">
        <v>14</v>
      </c>
      <c r="E603" s="1">
        <v>13</v>
      </c>
      <c r="F603" s="1">
        <v>9</v>
      </c>
      <c r="G603" s="1">
        <v>22.36</v>
      </c>
      <c r="H603" s="1" t="s">
        <v>88</v>
      </c>
      <c r="I603" s="1" t="s">
        <v>45</v>
      </c>
      <c r="J603" s="1">
        <v>22</v>
      </c>
      <c r="K603" s="1">
        <v>3.62</v>
      </c>
      <c r="L603" s="4">
        <v>57.51</v>
      </c>
      <c r="M603" s="1">
        <v>0.48</v>
      </c>
      <c r="N603" s="1">
        <v>8</v>
      </c>
      <c r="O603" s="1">
        <v>0.96</v>
      </c>
      <c r="P603" s="1">
        <v>150</v>
      </c>
      <c r="Q603" s="1">
        <v>5.33</v>
      </c>
      <c r="R603" s="1">
        <v>0.27</v>
      </c>
      <c r="S603" s="2">
        <v>45407</v>
      </c>
      <c r="T603" s="1">
        <v>68.86</v>
      </c>
      <c r="U603" s="1">
        <v>0.50900000000000001</v>
      </c>
      <c r="V603" s="6">
        <f t="shared" si="27"/>
        <v>20991.149999999998</v>
      </c>
      <c r="W603" s="6" t="str">
        <f t="shared" si="28"/>
        <v>Sufficient</v>
      </c>
      <c r="X603" s="8" t="str">
        <f t="shared" si="29"/>
        <v>High</v>
      </c>
    </row>
    <row r="604" spans="1:24">
      <c r="A604" s="7" t="s">
        <v>734</v>
      </c>
      <c r="B604" s="1" t="s">
        <v>25</v>
      </c>
      <c r="C604" s="1">
        <v>225</v>
      </c>
      <c r="D604" s="1">
        <v>57</v>
      </c>
      <c r="E604" s="1">
        <v>6</v>
      </c>
      <c r="F604" s="1">
        <v>5</v>
      </c>
      <c r="G604" s="1">
        <v>28.24</v>
      </c>
      <c r="H604" s="1" t="s">
        <v>176</v>
      </c>
      <c r="I604" s="1" t="s">
        <v>27</v>
      </c>
      <c r="J604" s="1">
        <v>125</v>
      </c>
      <c r="K604" s="1">
        <v>2.0299999999999998</v>
      </c>
      <c r="L604" s="4">
        <v>63.76</v>
      </c>
      <c r="M604" s="1">
        <v>1.8</v>
      </c>
      <c r="N604" s="1">
        <v>1</v>
      </c>
      <c r="O604" s="1">
        <v>0.88</v>
      </c>
      <c r="P604" s="1">
        <v>275</v>
      </c>
      <c r="Q604" s="1">
        <v>1.2</v>
      </c>
      <c r="R604" s="1">
        <v>0.88</v>
      </c>
      <c r="S604" s="2">
        <v>45567</v>
      </c>
      <c r="T604" s="1">
        <v>27.72</v>
      </c>
      <c r="U604" s="1">
        <v>0.56799999999999995</v>
      </c>
      <c r="V604" s="6">
        <f t="shared" si="27"/>
        <v>14346</v>
      </c>
      <c r="W604" s="6" t="str">
        <f t="shared" si="28"/>
        <v>Sufficient</v>
      </c>
      <c r="X604" s="8" t="str">
        <f t="shared" si="29"/>
        <v>Medium</v>
      </c>
    </row>
    <row r="605" spans="1:24">
      <c r="A605" s="7" t="s">
        <v>735</v>
      </c>
      <c r="B605" s="1" t="s">
        <v>29</v>
      </c>
      <c r="C605" s="1">
        <v>36</v>
      </c>
      <c r="D605" s="1">
        <v>12</v>
      </c>
      <c r="E605" s="1">
        <v>5</v>
      </c>
      <c r="F605" s="1">
        <v>6</v>
      </c>
      <c r="G605" s="1">
        <v>20.85</v>
      </c>
      <c r="H605" s="1" t="s">
        <v>113</v>
      </c>
      <c r="I605" s="1" t="s">
        <v>31</v>
      </c>
      <c r="J605" s="1">
        <v>119</v>
      </c>
      <c r="K605" s="1">
        <v>1.62</v>
      </c>
      <c r="L605" s="4">
        <v>167.47</v>
      </c>
      <c r="M605" s="1">
        <v>2</v>
      </c>
      <c r="N605" s="1">
        <v>4</v>
      </c>
      <c r="O605" s="1">
        <v>0.94</v>
      </c>
      <c r="P605" s="1">
        <v>468</v>
      </c>
      <c r="Q605" s="1">
        <v>13.64</v>
      </c>
      <c r="R605" s="1">
        <v>0.28999999999999998</v>
      </c>
      <c r="S605" s="2">
        <v>45439</v>
      </c>
      <c r="T605" s="1">
        <v>252.48</v>
      </c>
      <c r="U605" s="1">
        <v>0.54800000000000004</v>
      </c>
      <c r="V605" s="6">
        <f t="shared" si="27"/>
        <v>6028.92</v>
      </c>
      <c r="W605" s="6" t="str">
        <f t="shared" si="28"/>
        <v>Sufficient</v>
      </c>
      <c r="X605" s="8" t="str">
        <f t="shared" si="29"/>
        <v>LOW</v>
      </c>
    </row>
    <row r="606" spans="1:24">
      <c r="A606" s="7" t="s">
        <v>736</v>
      </c>
      <c r="B606" s="1" t="s">
        <v>25</v>
      </c>
      <c r="C606" s="1">
        <v>293</v>
      </c>
      <c r="D606" s="1">
        <v>56</v>
      </c>
      <c r="E606" s="1">
        <v>7</v>
      </c>
      <c r="F606" s="1">
        <v>4</v>
      </c>
      <c r="G606" s="1">
        <v>11.32</v>
      </c>
      <c r="H606" s="1" t="s">
        <v>52</v>
      </c>
      <c r="I606" s="1" t="s">
        <v>39</v>
      </c>
      <c r="J606" s="1">
        <v>166</v>
      </c>
      <c r="K606" s="1">
        <v>3.6</v>
      </c>
      <c r="L606" s="4">
        <v>181.22</v>
      </c>
      <c r="M606" s="1">
        <v>1.1499999999999999</v>
      </c>
      <c r="N606" s="1">
        <v>3</v>
      </c>
      <c r="O606" s="1">
        <v>0.83</v>
      </c>
      <c r="P606" s="1">
        <v>665</v>
      </c>
      <c r="Q606" s="1">
        <v>10.6</v>
      </c>
      <c r="R606" s="1">
        <v>0.63</v>
      </c>
      <c r="S606" s="2">
        <v>45378</v>
      </c>
      <c r="T606" s="1">
        <v>22.27</v>
      </c>
      <c r="U606" s="1">
        <v>0.65800000000000003</v>
      </c>
      <c r="V606" s="6">
        <f t="shared" si="27"/>
        <v>53097.46</v>
      </c>
      <c r="W606" s="6" t="str">
        <f t="shared" si="28"/>
        <v>Sufficient</v>
      </c>
      <c r="X606" s="8" t="str">
        <f t="shared" si="29"/>
        <v>High</v>
      </c>
    </row>
    <row r="607" spans="1:24">
      <c r="A607" s="7" t="s">
        <v>737</v>
      </c>
      <c r="B607" s="1" t="s">
        <v>33</v>
      </c>
      <c r="C607" s="1">
        <v>192</v>
      </c>
      <c r="D607" s="1">
        <v>71</v>
      </c>
      <c r="E607" s="1">
        <v>13</v>
      </c>
      <c r="F607" s="1">
        <v>2</v>
      </c>
      <c r="G607" s="1">
        <v>30.06</v>
      </c>
      <c r="H607" s="1" t="s">
        <v>238</v>
      </c>
      <c r="I607" s="1" t="s">
        <v>45</v>
      </c>
      <c r="J607" s="1">
        <v>89</v>
      </c>
      <c r="K607" s="1">
        <v>4.8600000000000003</v>
      </c>
      <c r="L607" s="4">
        <v>166.7</v>
      </c>
      <c r="M607" s="1">
        <v>1.28</v>
      </c>
      <c r="N607" s="1">
        <v>7</v>
      </c>
      <c r="O607" s="1">
        <v>0.73</v>
      </c>
      <c r="P607" s="1">
        <v>311</v>
      </c>
      <c r="Q607" s="1">
        <v>4.68</v>
      </c>
      <c r="R607" s="1">
        <v>0.74</v>
      </c>
      <c r="S607" s="2">
        <v>45526</v>
      </c>
      <c r="T607" s="1">
        <v>71.91</v>
      </c>
      <c r="U607" s="1">
        <v>0.48799999999999999</v>
      </c>
      <c r="V607" s="6">
        <f t="shared" si="27"/>
        <v>32006.399999999998</v>
      </c>
      <c r="W607" s="6" t="str">
        <f t="shared" si="28"/>
        <v>Sufficient</v>
      </c>
      <c r="X607" s="8" t="str">
        <f t="shared" si="29"/>
        <v>Medium</v>
      </c>
    </row>
    <row r="608" spans="1:24">
      <c r="A608" s="7" t="s">
        <v>738</v>
      </c>
      <c r="B608" s="1" t="s">
        <v>33</v>
      </c>
      <c r="C608" s="1">
        <v>135</v>
      </c>
      <c r="D608" s="1">
        <v>23</v>
      </c>
      <c r="E608" s="1">
        <v>6</v>
      </c>
      <c r="F608" s="1">
        <v>2</v>
      </c>
      <c r="G608" s="1">
        <v>38.04</v>
      </c>
      <c r="H608" s="1" t="s">
        <v>304</v>
      </c>
      <c r="I608" s="1" t="s">
        <v>45</v>
      </c>
      <c r="J608" s="1">
        <v>109</v>
      </c>
      <c r="K608" s="1">
        <v>3.85</v>
      </c>
      <c r="L608" s="4">
        <v>38.07</v>
      </c>
      <c r="M608" s="1">
        <v>1.62</v>
      </c>
      <c r="N608" s="1">
        <v>5</v>
      </c>
      <c r="O608" s="1">
        <v>0.8</v>
      </c>
      <c r="P608" s="1">
        <v>814</v>
      </c>
      <c r="Q608" s="1">
        <v>13.43</v>
      </c>
      <c r="R608" s="1">
        <v>0.38</v>
      </c>
      <c r="S608" s="2">
        <v>45581</v>
      </c>
      <c r="T608" s="1">
        <v>162.6</v>
      </c>
      <c r="U608" s="1">
        <v>0.55300000000000005</v>
      </c>
      <c r="V608" s="6">
        <f t="shared" si="27"/>
        <v>5139.45</v>
      </c>
      <c r="W608" s="6" t="str">
        <f t="shared" si="28"/>
        <v>Sufficient</v>
      </c>
      <c r="X608" s="8" t="str">
        <f t="shared" si="29"/>
        <v>Medium</v>
      </c>
    </row>
    <row r="609" spans="1:24">
      <c r="A609" s="7" t="s">
        <v>739</v>
      </c>
      <c r="B609" s="1" t="s">
        <v>25</v>
      </c>
      <c r="C609" s="1">
        <v>368</v>
      </c>
      <c r="D609" s="1">
        <v>72</v>
      </c>
      <c r="E609" s="1">
        <v>10</v>
      </c>
      <c r="F609" s="1">
        <v>9</v>
      </c>
      <c r="G609" s="1">
        <v>32.6</v>
      </c>
      <c r="H609" s="1" t="s">
        <v>558</v>
      </c>
      <c r="I609" s="1" t="s">
        <v>27</v>
      </c>
      <c r="J609" s="1">
        <v>26</v>
      </c>
      <c r="K609" s="1">
        <v>2.71</v>
      </c>
      <c r="L609" s="4">
        <v>199.86</v>
      </c>
      <c r="M609" s="1">
        <v>1.42</v>
      </c>
      <c r="N609" s="1">
        <v>6</v>
      </c>
      <c r="O609" s="1">
        <v>0.75</v>
      </c>
      <c r="P609" s="1">
        <v>726</v>
      </c>
      <c r="Q609" s="1">
        <v>2.21</v>
      </c>
      <c r="R609" s="1">
        <v>0.91</v>
      </c>
      <c r="S609" s="2">
        <v>45545</v>
      </c>
      <c r="T609" s="1">
        <v>258.08</v>
      </c>
      <c r="U609" s="1">
        <v>0.499</v>
      </c>
      <c r="V609" s="6">
        <f t="shared" si="27"/>
        <v>73548.48000000001</v>
      </c>
      <c r="W609" s="6" t="str">
        <f t="shared" si="28"/>
        <v>Sufficient</v>
      </c>
      <c r="X609" s="8" t="str">
        <f t="shared" si="29"/>
        <v>High</v>
      </c>
    </row>
    <row r="610" spans="1:24">
      <c r="A610" s="7" t="s">
        <v>740</v>
      </c>
      <c r="B610" s="1" t="s">
        <v>66</v>
      </c>
      <c r="C610" s="1">
        <v>487</v>
      </c>
      <c r="D610" s="1">
        <v>70</v>
      </c>
      <c r="E610" s="1">
        <v>6</v>
      </c>
      <c r="F610" s="1">
        <v>9</v>
      </c>
      <c r="G610" s="1">
        <v>12.49</v>
      </c>
      <c r="H610" s="1" t="s">
        <v>221</v>
      </c>
      <c r="I610" s="1" t="s">
        <v>27</v>
      </c>
      <c r="J610" s="1">
        <v>157</v>
      </c>
      <c r="K610" s="1">
        <v>3.2</v>
      </c>
      <c r="L610" s="4">
        <v>137.71</v>
      </c>
      <c r="M610" s="1">
        <v>0.45</v>
      </c>
      <c r="N610" s="1">
        <v>1</v>
      </c>
      <c r="O610" s="1">
        <v>0.93</v>
      </c>
      <c r="P610" s="1">
        <v>341</v>
      </c>
      <c r="Q610" s="1">
        <v>6.16</v>
      </c>
      <c r="R610" s="1">
        <v>0.59</v>
      </c>
      <c r="S610" s="2">
        <v>45573</v>
      </c>
      <c r="T610" s="1">
        <v>270.07</v>
      </c>
      <c r="U610" s="1">
        <v>0.72099999999999997</v>
      </c>
      <c r="V610" s="6">
        <f t="shared" si="27"/>
        <v>67064.77</v>
      </c>
      <c r="W610" s="6" t="str">
        <f t="shared" si="28"/>
        <v>Sufficient</v>
      </c>
      <c r="X610" s="8" t="str">
        <f t="shared" si="29"/>
        <v>High</v>
      </c>
    </row>
    <row r="611" spans="1:24">
      <c r="A611" s="7" t="s">
        <v>741</v>
      </c>
      <c r="B611" s="1" t="s">
        <v>41</v>
      </c>
      <c r="C611" s="1">
        <v>200</v>
      </c>
      <c r="D611" s="1">
        <v>40</v>
      </c>
      <c r="E611" s="1">
        <v>13</v>
      </c>
      <c r="F611" s="1">
        <v>3</v>
      </c>
      <c r="G611" s="1">
        <v>36.85</v>
      </c>
      <c r="H611" s="1" t="s">
        <v>309</v>
      </c>
      <c r="I611" s="1" t="s">
        <v>39</v>
      </c>
      <c r="J611" s="1">
        <v>123</v>
      </c>
      <c r="K611" s="1">
        <v>1.1399999999999999</v>
      </c>
      <c r="L611" s="4">
        <v>107.03</v>
      </c>
      <c r="M611" s="1">
        <v>0.88</v>
      </c>
      <c r="N611" s="1">
        <v>3</v>
      </c>
      <c r="O611" s="1">
        <v>0.91</v>
      </c>
      <c r="P611" s="1">
        <v>261</v>
      </c>
      <c r="Q611" s="1">
        <v>8.89</v>
      </c>
      <c r="R611" s="1">
        <v>0.45</v>
      </c>
      <c r="S611" s="2">
        <v>45553</v>
      </c>
      <c r="T611" s="1">
        <v>192.13</v>
      </c>
      <c r="U611" s="1">
        <v>0.64300000000000002</v>
      </c>
      <c r="V611" s="6">
        <f t="shared" si="27"/>
        <v>21406</v>
      </c>
      <c r="W611" s="6" t="str">
        <f t="shared" si="28"/>
        <v>Sufficient</v>
      </c>
      <c r="X611" s="8" t="str">
        <f t="shared" si="29"/>
        <v>Medium</v>
      </c>
    </row>
    <row r="612" spans="1:24">
      <c r="A612" s="7" t="s">
        <v>742</v>
      </c>
      <c r="B612" s="1" t="s">
        <v>66</v>
      </c>
      <c r="C612" s="1">
        <v>110</v>
      </c>
      <c r="D612" s="1">
        <v>26</v>
      </c>
      <c r="E612" s="1">
        <v>14</v>
      </c>
      <c r="F612" s="1">
        <v>4</v>
      </c>
      <c r="G612" s="1">
        <v>13.59</v>
      </c>
      <c r="H612" s="1" t="s">
        <v>216</v>
      </c>
      <c r="I612" s="1" t="s">
        <v>27</v>
      </c>
      <c r="J612" s="1">
        <v>15</v>
      </c>
      <c r="K612" s="1">
        <v>4.16</v>
      </c>
      <c r="L612" s="4">
        <v>191.42</v>
      </c>
      <c r="M612" s="1">
        <v>1.1200000000000001</v>
      </c>
      <c r="N612" s="1">
        <v>3</v>
      </c>
      <c r="O612" s="1">
        <v>0.73</v>
      </c>
      <c r="P612" s="1">
        <v>705</v>
      </c>
      <c r="Q612" s="1">
        <v>8.08</v>
      </c>
      <c r="R612" s="1">
        <v>0.92</v>
      </c>
      <c r="S612" s="2">
        <v>45349</v>
      </c>
      <c r="T612" s="1">
        <v>290.36</v>
      </c>
      <c r="U612" s="1">
        <v>0.66600000000000004</v>
      </c>
      <c r="V612" s="6">
        <f t="shared" si="27"/>
        <v>21056.199999999997</v>
      </c>
      <c r="W612" s="6" t="str">
        <f t="shared" si="28"/>
        <v>Sufficient</v>
      </c>
      <c r="X612" s="8" t="str">
        <f t="shared" si="29"/>
        <v>Medium</v>
      </c>
    </row>
    <row r="613" spans="1:24">
      <c r="A613" s="7" t="s">
        <v>743</v>
      </c>
      <c r="B613" s="1" t="s">
        <v>66</v>
      </c>
      <c r="C613" s="1">
        <v>101</v>
      </c>
      <c r="D613" s="1">
        <v>33</v>
      </c>
      <c r="E613" s="1">
        <v>10</v>
      </c>
      <c r="F613" s="1">
        <v>8</v>
      </c>
      <c r="G613" s="1">
        <v>9.58</v>
      </c>
      <c r="H613" s="1" t="s">
        <v>137</v>
      </c>
      <c r="I613" s="1" t="s">
        <v>27</v>
      </c>
      <c r="J613" s="1">
        <v>31</v>
      </c>
      <c r="K613" s="1">
        <v>3.22</v>
      </c>
      <c r="L613" s="4">
        <v>165.3</v>
      </c>
      <c r="M613" s="1">
        <v>0.78</v>
      </c>
      <c r="N613" s="1">
        <v>1</v>
      </c>
      <c r="O613" s="1">
        <v>0.89</v>
      </c>
      <c r="P613" s="1">
        <v>505</v>
      </c>
      <c r="Q613" s="1">
        <v>10.17</v>
      </c>
      <c r="R613" s="1">
        <v>0.89</v>
      </c>
      <c r="S613" s="2">
        <v>45585</v>
      </c>
      <c r="T613" s="1">
        <v>221.68</v>
      </c>
      <c r="U613" s="1">
        <v>0.79400000000000004</v>
      </c>
      <c r="V613" s="6">
        <f t="shared" si="27"/>
        <v>16695.300000000003</v>
      </c>
      <c r="W613" s="6" t="str">
        <f t="shared" si="28"/>
        <v>Sufficient</v>
      </c>
      <c r="X613" s="8" t="str">
        <f t="shared" si="29"/>
        <v>Medium</v>
      </c>
    </row>
    <row r="614" spans="1:24">
      <c r="A614" s="7" t="s">
        <v>744</v>
      </c>
      <c r="B614" s="1" t="s">
        <v>66</v>
      </c>
      <c r="C614" s="1">
        <v>343</v>
      </c>
      <c r="D614" s="1">
        <v>32</v>
      </c>
      <c r="E614" s="1">
        <v>8</v>
      </c>
      <c r="F614" s="1">
        <v>9</v>
      </c>
      <c r="G614" s="1">
        <v>34.840000000000003</v>
      </c>
      <c r="H614" s="1" t="s">
        <v>95</v>
      </c>
      <c r="I614" s="1" t="s">
        <v>31</v>
      </c>
      <c r="J614" s="1">
        <v>146</v>
      </c>
      <c r="K614" s="1">
        <v>4.8499999999999996</v>
      </c>
      <c r="L614" s="4">
        <v>141.43</v>
      </c>
      <c r="M614" s="1">
        <v>0.43</v>
      </c>
      <c r="N614" s="1">
        <v>9</v>
      </c>
      <c r="O614" s="1">
        <v>0.96</v>
      </c>
      <c r="P614" s="1">
        <v>285</v>
      </c>
      <c r="Q614" s="1">
        <v>5.17</v>
      </c>
      <c r="R614" s="1">
        <v>0.77</v>
      </c>
      <c r="S614" s="2">
        <v>45350</v>
      </c>
      <c r="T614" s="1">
        <v>163.04</v>
      </c>
      <c r="U614" s="1">
        <v>0.59199999999999997</v>
      </c>
      <c r="V614" s="6">
        <f t="shared" si="27"/>
        <v>48510.490000000005</v>
      </c>
      <c r="W614" s="6" t="str">
        <f t="shared" si="28"/>
        <v>Sufficient</v>
      </c>
      <c r="X614" s="8" t="str">
        <f t="shared" si="29"/>
        <v>High</v>
      </c>
    </row>
    <row r="615" spans="1:24">
      <c r="A615" s="7" t="s">
        <v>745</v>
      </c>
      <c r="B615" s="1" t="s">
        <v>29</v>
      </c>
      <c r="C615" s="1">
        <v>468</v>
      </c>
      <c r="D615" s="1">
        <v>91</v>
      </c>
      <c r="E615" s="1">
        <v>14</v>
      </c>
      <c r="F615" s="1">
        <v>5</v>
      </c>
      <c r="G615" s="1">
        <v>42.3</v>
      </c>
      <c r="H615" s="1" t="s">
        <v>309</v>
      </c>
      <c r="I615" s="1" t="s">
        <v>45</v>
      </c>
      <c r="J615" s="1">
        <v>169</v>
      </c>
      <c r="K615" s="1">
        <v>4.91</v>
      </c>
      <c r="L615" s="4">
        <v>169.3</v>
      </c>
      <c r="M615" s="1">
        <v>1.5</v>
      </c>
      <c r="N615" s="1">
        <v>3</v>
      </c>
      <c r="O615" s="1">
        <v>0.91</v>
      </c>
      <c r="P615" s="1">
        <v>583</v>
      </c>
      <c r="Q615" s="1">
        <v>11.61</v>
      </c>
      <c r="R615" s="1">
        <v>0.43</v>
      </c>
      <c r="S615" s="2">
        <v>45429</v>
      </c>
      <c r="T615" s="1">
        <v>48.97</v>
      </c>
      <c r="U615" s="1">
        <v>0.61299999999999999</v>
      </c>
      <c r="V615" s="6">
        <f t="shared" si="27"/>
        <v>79232.400000000009</v>
      </c>
      <c r="W615" s="6" t="str">
        <f t="shared" si="28"/>
        <v>Sufficient</v>
      </c>
      <c r="X615" s="8" t="str">
        <f t="shared" si="29"/>
        <v>High</v>
      </c>
    </row>
    <row r="616" spans="1:24">
      <c r="A616" s="7" t="s">
        <v>746</v>
      </c>
      <c r="B616" s="1" t="s">
        <v>33</v>
      </c>
      <c r="C616" s="1">
        <v>133</v>
      </c>
      <c r="D616" s="1">
        <v>59</v>
      </c>
      <c r="E616" s="1">
        <v>13</v>
      </c>
      <c r="F616" s="1">
        <v>5</v>
      </c>
      <c r="G616" s="1">
        <v>24.6</v>
      </c>
      <c r="H616" s="1" t="s">
        <v>470</v>
      </c>
      <c r="I616" s="1" t="s">
        <v>45</v>
      </c>
      <c r="J616" s="1">
        <v>97</v>
      </c>
      <c r="K616" s="1">
        <v>2.1</v>
      </c>
      <c r="L616" s="4">
        <v>83.24</v>
      </c>
      <c r="M616" s="1">
        <v>0.48</v>
      </c>
      <c r="N616" s="1">
        <v>8</v>
      </c>
      <c r="O616" s="1">
        <v>0.85</v>
      </c>
      <c r="P616" s="1">
        <v>118</v>
      </c>
      <c r="Q616" s="1">
        <v>6.68</v>
      </c>
      <c r="R616" s="1">
        <v>0.51</v>
      </c>
      <c r="S616" s="2">
        <v>45570</v>
      </c>
      <c r="T616" s="1">
        <v>134.35</v>
      </c>
      <c r="U616" s="1">
        <v>0.55300000000000005</v>
      </c>
      <c r="V616" s="6">
        <f t="shared" si="27"/>
        <v>11070.92</v>
      </c>
      <c r="W616" s="6" t="str">
        <f t="shared" si="28"/>
        <v>Sufficient</v>
      </c>
      <c r="X616" s="8" t="str">
        <f t="shared" si="29"/>
        <v>Medium</v>
      </c>
    </row>
    <row r="617" spans="1:24">
      <c r="A617" s="7" t="s">
        <v>747</v>
      </c>
      <c r="B617" s="1" t="s">
        <v>66</v>
      </c>
      <c r="C617" s="1">
        <v>276</v>
      </c>
      <c r="D617" s="1">
        <v>87</v>
      </c>
      <c r="E617" s="1">
        <v>7</v>
      </c>
      <c r="F617" s="1">
        <v>8</v>
      </c>
      <c r="G617" s="1">
        <v>27.04</v>
      </c>
      <c r="H617" s="1" t="s">
        <v>174</v>
      </c>
      <c r="I617" s="1" t="s">
        <v>27</v>
      </c>
      <c r="J617" s="1">
        <v>42</v>
      </c>
      <c r="K617" s="1">
        <v>4.95</v>
      </c>
      <c r="L617" s="4">
        <v>140.04</v>
      </c>
      <c r="M617" s="1">
        <v>0.59</v>
      </c>
      <c r="N617" s="1">
        <v>7</v>
      </c>
      <c r="O617" s="1">
        <v>0.79</v>
      </c>
      <c r="P617" s="1">
        <v>630</v>
      </c>
      <c r="Q617" s="1">
        <v>2.75</v>
      </c>
      <c r="R617" s="1">
        <v>0.75</v>
      </c>
      <c r="S617" s="2">
        <v>45479</v>
      </c>
      <c r="T617" s="1">
        <v>248.48</v>
      </c>
      <c r="U617" s="1">
        <v>0.54600000000000004</v>
      </c>
      <c r="V617" s="6">
        <f t="shared" si="27"/>
        <v>38651.040000000001</v>
      </c>
      <c r="W617" s="6" t="str">
        <f t="shared" si="28"/>
        <v>Sufficient</v>
      </c>
      <c r="X617" s="8" t="str">
        <f t="shared" si="29"/>
        <v>High</v>
      </c>
    </row>
    <row r="618" spans="1:24">
      <c r="A618" s="7" t="s">
        <v>748</v>
      </c>
      <c r="B618" s="1" t="s">
        <v>33</v>
      </c>
      <c r="C618" s="1">
        <v>77</v>
      </c>
      <c r="D618" s="1">
        <v>88</v>
      </c>
      <c r="E618" s="1">
        <v>6</v>
      </c>
      <c r="F618" s="1">
        <v>7</v>
      </c>
      <c r="G618" s="1">
        <v>15.83</v>
      </c>
      <c r="H618" s="1" t="s">
        <v>294</v>
      </c>
      <c r="I618" s="1" t="s">
        <v>45</v>
      </c>
      <c r="J618" s="1">
        <v>79</v>
      </c>
      <c r="K618" s="1">
        <v>4.8099999999999996</v>
      </c>
      <c r="L618" s="4">
        <v>46.21</v>
      </c>
      <c r="M618" s="1">
        <v>0.64</v>
      </c>
      <c r="N618" s="1">
        <v>0</v>
      </c>
      <c r="O618" s="1">
        <v>0.97</v>
      </c>
      <c r="P618" s="1">
        <v>295</v>
      </c>
      <c r="Q618" s="1">
        <v>11.37</v>
      </c>
      <c r="R618" s="1">
        <v>0.35</v>
      </c>
      <c r="S618" s="2">
        <v>45569</v>
      </c>
      <c r="T618" s="1">
        <v>92.26</v>
      </c>
      <c r="U618" s="1">
        <v>0.752</v>
      </c>
      <c r="V618" s="6">
        <f t="shared" si="27"/>
        <v>3558.17</v>
      </c>
      <c r="W618" s="6" t="str">
        <f t="shared" si="28"/>
        <v>Reorder Required</v>
      </c>
      <c r="X618" s="8" t="str">
        <f t="shared" si="29"/>
        <v>LOW</v>
      </c>
    </row>
    <row r="619" spans="1:24">
      <c r="A619" s="7" t="s">
        <v>749</v>
      </c>
      <c r="B619" s="1" t="s">
        <v>25</v>
      </c>
      <c r="C619" s="1">
        <v>173</v>
      </c>
      <c r="D619" s="1">
        <v>88</v>
      </c>
      <c r="E619" s="1">
        <v>6</v>
      </c>
      <c r="F619" s="1">
        <v>4</v>
      </c>
      <c r="G619" s="1">
        <v>25.24</v>
      </c>
      <c r="H619" s="1" t="s">
        <v>244</v>
      </c>
      <c r="I619" s="1" t="s">
        <v>45</v>
      </c>
      <c r="J619" s="1">
        <v>58</v>
      </c>
      <c r="K619" s="1">
        <v>3.38</v>
      </c>
      <c r="L619" s="4">
        <v>197.72</v>
      </c>
      <c r="M619" s="1">
        <v>0.41</v>
      </c>
      <c r="N619" s="1">
        <v>7</v>
      </c>
      <c r="O619" s="1">
        <v>0.83</v>
      </c>
      <c r="P619" s="1">
        <v>624</v>
      </c>
      <c r="Q619" s="1">
        <v>13.77</v>
      </c>
      <c r="R619" s="1">
        <v>0.6</v>
      </c>
      <c r="S619" s="2">
        <v>45313</v>
      </c>
      <c r="T619" s="1">
        <v>177.7</v>
      </c>
      <c r="U619" s="1">
        <v>0.68899999999999995</v>
      </c>
      <c r="V619" s="6">
        <f t="shared" si="27"/>
        <v>34205.56</v>
      </c>
      <c r="W619" s="6" t="str">
        <f t="shared" si="28"/>
        <v>Sufficient</v>
      </c>
      <c r="X619" s="8" t="str">
        <f t="shared" si="29"/>
        <v>Medium</v>
      </c>
    </row>
    <row r="620" spans="1:24">
      <c r="A620" s="7" t="s">
        <v>750</v>
      </c>
      <c r="B620" s="1" t="s">
        <v>41</v>
      </c>
      <c r="C620" s="1">
        <v>384</v>
      </c>
      <c r="D620" s="1">
        <v>79</v>
      </c>
      <c r="E620" s="1">
        <v>14</v>
      </c>
      <c r="F620" s="1">
        <v>5</v>
      </c>
      <c r="G620" s="1">
        <v>7.47</v>
      </c>
      <c r="H620" s="1" t="s">
        <v>74</v>
      </c>
      <c r="I620" s="1" t="s">
        <v>39</v>
      </c>
      <c r="J620" s="1">
        <v>113</v>
      </c>
      <c r="K620" s="1">
        <v>2</v>
      </c>
      <c r="L620" s="4">
        <v>121.91</v>
      </c>
      <c r="M620" s="1">
        <v>1.71</v>
      </c>
      <c r="N620" s="1">
        <v>8</v>
      </c>
      <c r="O620" s="1">
        <v>0.96</v>
      </c>
      <c r="P620" s="1">
        <v>286</v>
      </c>
      <c r="Q620" s="1">
        <v>6.1</v>
      </c>
      <c r="R620" s="1">
        <v>0.79</v>
      </c>
      <c r="S620" s="2">
        <v>45517</v>
      </c>
      <c r="T620" s="1">
        <v>295.2</v>
      </c>
      <c r="U620" s="1">
        <v>0.5</v>
      </c>
      <c r="V620" s="6">
        <f t="shared" si="27"/>
        <v>46813.440000000002</v>
      </c>
      <c r="W620" s="6" t="str">
        <f t="shared" si="28"/>
        <v>Sufficient</v>
      </c>
      <c r="X620" s="8" t="str">
        <f t="shared" si="29"/>
        <v>High</v>
      </c>
    </row>
    <row r="621" spans="1:24">
      <c r="A621" s="7" t="s">
        <v>751</v>
      </c>
      <c r="B621" s="1" t="s">
        <v>25</v>
      </c>
      <c r="C621" s="1">
        <v>423</v>
      </c>
      <c r="D621" s="1">
        <v>36</v>
      </c>
      <c r="E621" s="1">
        <v>6</v>
      </c>
      <c r="F621" s="1">
        <v>9</v>
      </c>
      <c r="G621" s="1">
        <v>47.84</v>
      </c>
      <c r="H621" s="1" t="s">
        <v>83</v>
      </c>
      <c r="I621" s="1" t="s">
        <v>45</v>
      </c>
      <c r="J621" s="1">
        <v>167</v>
      </c>
      <c r="K621" s="1">
        <v>3.89</v>
      </c>
      <c r="L621" s="4">
        <v>164.71</v>
      </c>
      <c r="M621" s="1">
        <v>1.26</v>
      </c>
      <c r="N621" s="1">
        <v>7</v>
      </c>
      <c r="O621" s="1">
        <v>0.93</v>
      </c>
      <c r="P621" s="1">
        <v>380</v>
      </c>
      <c r="Q621" s="1">
        <v>9.26</v>
      </c>
      <c r="R621" s="1">
        <v>0.73</v>
      </c>
      <c r="S621" s="2">
        <v>45571</v>
      </c>
      <c r="T621" s="1">
        <v>60.58</v>
      </c>
      <c r="U621" s="1">
        <v>0.58899999999999997</v>
      </c>
      <c r="V621" s="6">
        <f t="shared" si="27"/>
        <v>69672.33</v>
      </c>
      <c r="W621" s="6" t="str">
        <f t="shared" si="28"/>
        <v>Sufficient</v>
      </c>
      <c r="X621" s="8" t="str">
        <f t="shared" si="29"/>
        <v>High</v>
      </c>
    </row>
    <row r="622" spans="1:24">
      <c r="A622" s="7" t="s">
        <v>752</v>
      </c>
      <c r="B622" s="1" t="s">
        <v>25</v>
      </c>
      <c r="C622" s="1">
        <v>135</v>
      </c>
      <c r="D622" s="1">
        <v>24</v>
      </c>
      <c r="E622" s="1">
        <v>13</v>
      </c>
      <c r="F622" s="1">
        <v>3</v>
      </c>
      <c r="G622" s="1">
        <v>40.22</v>
      </c>
      <c r="H622" s="1" t="s">
        <v>205</v>
      </c>
      <c r="I622" s="1" t="s">
        <v>27</v>
      </c>
      <c r="J622" s="1">
        <v>111</v>
      </c>
      <c r="K622" s="1">
        <v>1.72</v>
      </c>
      <c r="L622" s="4">
        <v>87.39</v>
      </c>
      <c r="M622" s="1">
        <v>1.69</v>
      </c>
      <c r="N622" s="1">
        <v>9</v>
      </c>
      <c r="O622" s="1">
        <v>0.94</v>
      </c>
      <c r="P622" s="1">
        <v>412</v>
      </c>
      <c r="Q622" s="1">
        <v>10.63</v>
      </c>
      <c r="R622" s="1">
        <v>0.78</v>
      </c>
      <c r="S622" s="2">
        <v>45403</v>
      </c>
      <c r="T622" s="1">
        <v>39.42</v>
      </c>
      <c r="U622" s="1">
        <v>0.53700000000000003</v>
      </c>
      <c r="V622" s="6">
        <f t="shared" si="27"/>
        <v>11797.65</v>
      </c>
      <c r="W622" s="6" t="str">
        <f t="shared" si="28"/>
        <v>Sufficient</v>
      </c>
      <c r="X622" s="8" t="str">
        <f t="shared" si="29"/>
        <v>Medium</v>
      </c>
    </row>
    <row r="623" spans="1:24">
      <c r="A623" s="7" t="s">
        <v>753</v>
      </c>
      <c r="B623" s="1" t="s">
        <v>29</v>
      </c>
      <c r="C623" s="1">
        <v>362</v>
      </c>
      <c r="D623" s="1">
        <v>59</v>
      </c>
      <c r="E623" s="1">
        <v>11</v>
      </c>
      <c r="F623" s="1">
        <v>6</v>
      </c>
      <c r="G623" s="1">
        <v>33.729999999999997</v>
      </c>
      <c r="H623" s="1" t="s">
        <v>195</v>
      </c>
      <c r="I623" s="1" t="s">
        <v>39</v>
      </c>
      <c r="J623" s="1">
        <v>153</v>
      </c>
      <c r="K623" s="1">
        <v>3.33</v>
      </c>
      <c r="L623" s="4">
        <v>154.13</v>
      </c>
      <c r="M623" s="1">
        <v>1.04</v>
      </c>
      <c r="N623" s="1">
        <v>0</v>
      </c>
      <c r="O623" s="1">
        <v>1</v>
      </c>
      <c r="P623" s="1">
        <v>580</v>
      </c>
      <c r="Q623" s="1">
        <v>12.64</v>
      </c>
      <c r="R623" s="1">
        <v>0.91</v>
      </c>
      <c r="S623" s="2">
        <v>45509</v>
      </c>
      <c r="T623" s="1">
        <v>240.72</v>
      </c>
      <c r="U623" s="1">
        <v>0.84699999999999998</v>
      </c>
      <c r="V623" s="6">
        <f t="shared" si="27"/>
        <v>55795.06</v>
      </c>
      <c r="W623" s="6" t="str">
        <f t="shared" si="28"/>
        <v>Sufficient</v>
      </c>
      <c r="X623" s="8" t="str">
        <f t="shared" si="29"/>
        <v>High</v>
      </c>
    </row>
    <row r="624" spans="1:24">
      <c r="A624" s="7" t="s">
        <v>754</v>
      </c>
      <c r="B624" s="1" t="s">
        <v>41</v>
      </c>
      <c r="C624" s="1">
        <v>285</v>
      </c>
      <c r="D624" s="1">
        <v>45</v>
      </c>
      <c r="E624" s="1">
        <v>6</v>
      </c>
      <c r="F624" s="1">
        <v>2</v>
      </c>
      <c r="G624" s="1">
        <v>27.37</v>
      </c>
      <c r="H624" s="1" t="s">
        <v>370</v>
      </c>
      <c r="I624" s="1" t="s">
        <v>45</v>
      </c>
      <c r="J624" s="1">
        <v>115</v>
      </c>
      <c r="K624" s="1">
        <v>0.61</v>
      </c>
      <c r="L624" s="4">
        <v>83.6</v>
      </c>
      <c r="M624" s="1">
        <v>1.0900000000000001</v>
      </c>
      <c r="N624" s="1">
        <v>7</v>
      </c>
      <c r="O624" s="1">
        <v>0.92</v>
      </c>
      <c r="P624" s="1">
        <v>792</v>
      </c>
      <c r="Q624" s="1">
        <v>3.77</v>
      </c>
      <c r="R624" s="1">
        <v>0.97</v>
      </c>
      <c r="S624" s="2">
        <v>45344</v>
      </c>
      <c r="T624" s="1">
        <v>17.23</v>
      </c>
      <c r="U624" s="1">
        <v>0.57899999999999996</v>
      </c>
      <c r="V624" s="6">
        <f t="shared" si="27"/>
        <v>23826</v>
      </c>
      <c r="W624" s="6" t="str">
        <f t="shared" si="28"/>
        <v>Sufficient</v>
      </c>
      <c r="X624" s="8" t="str">
        <f t="shared" si="29"/>
        <v>High</v>
      </c>
    </row>
    <row r="625" spans="1:24">
      <c r="A625" s="7" t="s">
        <v>755</v>
      </c>
      <c r="B625" s="1" t="s">
        <v>25</v>
      </c>
      <c r="C625" s="1">
        <v>334</v>
      </c>
      <c r="D625" s="1">
        <v>17</v>
      </c>
      <c r="E625" s="1">
        <v>14</v>
      </c>
      <c r="F625" s="1">
        <v>4</v>
      </c>
      <c r="G625" s="1">
        <v>39.82</v>
      </c>
      <c r="H625" s="1" t="s">
        <v>370</v>
      </c>
      <c r="I625" s="1" t="s">
        <v>45</v>
      </c>
      <c r="J625" s="1">
        <v>91</v>
      </c>
      <c r="K625" s="1">
        <v>3.33</v>
      </c>
      <c r="L625" s="4">
        <v>122.1</v>
      </c>
      <c r="M625" s="1">
        <v>1.27</v>
      </c>
      <c r="N625" s="1">
        <v>4</v>
      </c>
      <c r="O625" s="1">
        <v>0.71</v>
      </c>
      <c r="P625" s="1">
        <v>514</v>
      </c>
      <c r="Q625" s="1">
        <v>8.98</v>
      </c>
      <c r="R625" s="1">
        <v>0.56999999999999995</v>
      </c>
      <c r="S625" s="2">
        <v>45626</v>
      </c>
      <c r="T625" s="1">
        <v>196.54</v>
      </c>
      <c r="U625" s="1">
        <v>0.56899999999999995</v>
      </c>
      <c r="V625" s="6">
        <f t="shared" si="27"/>
        <v>40781.4</v>
      </c>
      <c r="W625" s="6" t="str">
        <f t="shared" si="28"/>
        <v>Sufficient</v>
      </c>
      <c r="X625" s="8" t="str">
        <f t="shared" si="29"/>
        <v>High</v>
      </c>
    </row>
    <row r="626" spans="1:24">
      <c r="A626" s="7" t="s">
        <v>756</v>
      </c>
      <c r="B626" s="1" t="s">
        <v>25</v>
      </c>
      <c r="C626" s="1">
        <v>222</v>
      </c>
      <c r="D626" s="1">
        <v>88</v>
      </c>
      <c r="E626" s="1">
        <v>11</v>
      </c>
      <c r="F626" s="1">
        <v>2</v>
      </c>
      <c r="G626" s="1">
        <v>25.24</v>
      </c>
      <c r="H626" s="1" t="s">
        <v>52</v>
      </c>
      <c r="I626" s="1" t="s">
        <v>39</v>
      </c>
      <c r="J626" s="1">
        <v>95</v>
      </c>
      <c r="K626" s="1">
        <v>4.78</v>
      </c>
      <c r="L626" s="4">
        <v>157.85</v>
      </c>
      <c r="M626" s="1">
        <v>0.8</v>
      </c>
      <c r="N626" s="1">
        <v>8</v>
      </c>
      <c r="O626" s="1">
        <v>0.76</v>
      </c>
      <c r="P626" s="1">
        <v>278</v>
      </c>
      <c r="Q626" s="1">
        <v>11.37</v>
      </c>
      <c r="R626" s="1">
        <v>0.25</v>
      </c>
      <c r="S626" s="2">
        <v>45418</v>
      </c>
      <c r="T626" s="1">
        <v>107.37</v>
      </c>
      <c r="U626" s="1">
        <v>0.51400000000000001</v>
      </c>
      <c r="V626" s="6">
        <f t="shared" si="27"/>
        <v>35042.699999999997</v>
      </c>
      <c r="W626" s="6" t="str">
        <f t="shared" si="28"/>
        <v>Sufficient</v>
      </c>
      <c r="X626" s="8" t="str">
        <f t="shared" si="29"/>
        <v>Medium</v>
      </c>
    </row>
    <row r="627" spans="1:24">
      <c r="A627" s="7" t="s">
        <v>757</v>
      </c>
      <c r="B627" s="1" t="s">
        <v>41</v>
      </c>
      <c r="C627" s="1">
        <v>60</v>
      </c>
      <c r="D627" s="1">
        <v>12</v>
      </c>
      <c r="E627" s="1">
        <v>12</v>
      </c>
      <c r="F627" s="1">
        <v>6</v>
      </c>
      <c r="G627" s="1">
        <v>15.7</v>
      </c>
      <c r="H627" s="1" t="s">
        <v>68</v>
      </c>
      <c r="I627" s="1" t="s">
        <v>39</v>
      </c>
      <c r="J627" s="1">
        <v>23</v>
      </c>
      <c r="K627" s="1">
        <v>1.56</v>
      </c>
      <c r="L627" s="4">
        <v>32.130000000000003</v>
      </c>
      <c r="M627" s="1">
        <v>1.04</v>
      </c>
      <c r="N627" s="1">
        <v>8</v>
      </c>
      <c r="O627" s="1">
        <v>0.71</v>
      </c>
      <c r="P627" s="1">
        <v>919</v>
      </c>
      <c r="Q627" s="1">
        <v>3.79</v>
      </c>
      <c r="R627" s="1">
        <v>0.87</v>
      </c>
      <c r="S627" s="2">
        <v>45444</v>
      </c>
      <c r="T627" s="1">
        <v>219.91</v>
      </c>
      <c r="U627" s="1">
        <v>0.503</v>
      </c>
      <c r="V627" s="6">
        <f t="shared" si="27"/>
        <v>1927.8000000000002</v>
      </c>
      <c r="W627" s="6" t="str">
        <f t="shared" si="28"/>
        <v>Sufficient</v>
      </c>
      <c r="X627" s="8" t="str">
        <f t="shared" si="29"/>
        <v>LOW</v>
      </c>
    </row>
    <row r="628" spans="1:24">
      <c r="A628" s="7" t="s">
        <v>758</v>
      </c>
      <c r="B628" s="1" t="s">
        <v>41</v>
      </c>
      <c r="C628" s="1">
        <v>124</v>
      </c>
      <c r="D628" s="1">
        <v>71</v>
      </c>
      <c r="E628" s="1">
        <v>8</v>
      </c>
      <c r="F628" s="1">
        <v>4</v>
      </c>
      <c r="G628" s="1">
        <v>8.86</v>
      </c>
      <c r="H628" s="1" t="s">
        <v>252</v>
      </c>
      <c r="I628" s="1" t="s">
        <v>45</v>
      </c>
      <c r="J628" s="1">
        <v>174</v>
      </c>
      <c r="K628" s="1">
        <v>4</v>
      </c>
      <c r="L628" s="4">
        <v>77.790000000000006</v>
      </c>
      <c r="M628" s="1">
        <v>1.1399999999999999</v>
      </c>
      <c r="N628" s="1">
        <v>5</v>
      </c>
      <c r="O628" s="1">
        <v>0.76</v>
      </c>
      <c r="P628" s="1">
        <v>558</v>
      </c>
      <c r="Q628" s="1">
        <v>7.61</v>
      </c>
      <c r="R628" s="1">
        <v>0.28999999999999998</v>
      </c>
      <c r="S628" s="2">
        <v>45308</v>
      </c>
      <c r="T628" s="1">
        <v>44.87</v>
      </c>
      <c r="U628" s="1">
        <v>0.497</v>
      </c>
      <c r="V628" s="6">
        <f t="shared" si="27"/>
        <v>9645.9600000000009</v>
      </c>
      <c r="W628" s="6" t="str">
        <f t="shared" si="28"/>
        <v>Sufficient</v>
      </c>
      <c r="X628" s="8" t="str">
        <f t="shared" si="29"/>
        <v>Medium</v>
      </c>
    </row>
    <row r="629" spans="1:24">
      <c r="A629" s="7" t="s">
        <v>759</v>
      </c>
      <c r="B629" s="1" t="s">
        <v>25</v>
      </c>
      <c r="C629" s="1">
        <v>408</v>
      </c>
      <c r="D629" s="1">
        <v>56</v>
      </c>
      <c r="E629" s="1">
        <v>12</v>
      </c>
      <c r="F629" s="1">
        <v>9</v>
      </c>
      <c r="G629" s="1">
        <v>32.729999999999997</v>
      </c>
      <c r="H629" s="1" t="s">
        <v>350</v>
      </c>
      <c r="I629" s="1" t="s">
        <v>31</v>
      </c>
      <c r="J629" s="1">
        <v>58</v>
      </c>
      <c r="K629" s="1">
        <v>1.82</v>
      </c>
      <c r="L629" s="4">
        <v>113.54</v>
      </c>
      <c r="M629" s="1">
        <v>1.91</v>
      </c>
      <c r="N629" s="1">
        <v>2</v>
      </c>
      <c r="O629" s="1">
        <v>0.72</v>
      </c>
      <c r="P629" s="1">
        <v>431</v>
      </c>
      <c r="Q629" s="1">
        <v>7.5</v>
      </c>
      <c r="R629" s="1">
        <v>0.38</v>
      </c>
      <c r="S629" s="2">
        <v>45522</v>
      </c>
      <c r="T629" s="1">
        <v>105.71</v>
      </c>
      <c r="U629" s="1">
        <v>0.48899999999999999</v>
      </c>
      <c r="V629" s="6">
        <f t="shared" si="27"/>
        <v>46324.32</v>
      </c>
      <c r="W629" s="6" t="str">
        <f t="shared" si="28"/>
        <v>Sufficient</v>
      </c>
      <c r="X629" s="8" t="str">
        <f t="shared" si="29"/>
        <v>High</v>
      </c>
    </row>
    <row r="630" spans="1:24">
      <c r="A630" s="7" t="s">
        <v>760</v>
      </c>
      <c r="B630" s="1" t="s">
        <v>41</v>
      </c>
      <c r="C630" s="1">
        <v>397</v>
      </c>
      <c r="D630" s="1">
        <v>86</v>
      </c>
      <c r="E630" s="1">
        <v>9</v>
      </c>
      <c r="F630" s="1">
        <v>6</v>
      </c>
      <c r="G630" s="1">
        <v>46.54</v>
      </c>
      <c r="H630" s="1" t="s">
        <v>36</v>
      </c>
      <c r="I630" s="1" t="s">
        <v>31</v>
      </c>
      <c r="J630" s="1">
        <v>59</v>
      </c>
      <c r="K630" s="1">
        <v>3.69</v>
      </c>
      <c r="L630" s="4">
        <v>73.459999999999994</v>
      </c>
      <c r="M630" s="1">
        <v>1.78</v>
      </c>
      <c r="N630" s="1">
        <v>6</v>
      </c>
      <c r="O630" s="1">
        <v>0.85</v>
      </c>
      <c r="P630" s="1">
        <v>176</v>
      </c>
      <c r="Q630" s="1">
        <v>12.75</v>
      </c>
      <c r="R630" s="1">
        <v>0.72</v>
      </c>
      <c r="S630" s="2">
        <v>45426</v>
      </c>
      <c r="T630" s="1">
        <v>14.94</v>
      </c>
      <c r="U630" s="1">
        <v>0.58599999999999997</v>
      </c>
      <c r="V630" s="6">
        <f t="shared" si="27"/>
        <v>29163.62</v>
      </c>
      <c r="W630" s="6" t="str">
        <f t="shared" si="28"/>
        <v>Sufficient</v>
      </c>
      <c r="X630" s="8" t="str">
        <f t="shared" si="29"/>
        <v>High</v>
      </c>
    </row>
    <row r="631" spans="1:24">
      <c r="A631" s="7" t="s">
        <v>761</v>
      </c>
      <c r="B631" s="1" t="s">
        <v>25</v>
      </c>
      <c r="C631" s="1">
        <v>212</v>
      </c>
      <c r="D631" s="1">
        <v>97</v>
      </c>
      <c r="E631" s="1">
        <v>14</v>
      </c>
      <c r="F631" s="1">
        <v>5</v>
      </c>
      <c r="G631" s="1">
        <v>8.5299999999999994</v>
      </c>
      <c r="H631" s="1" t="s">
        <v>189</v>
      </c>
      <c r="I631" s="1" t="s">
        <v>45</v>
      </c>
      <c r="J631" s="1">
        <v>173</v>
      </c>
      <c r="K631" s="1">
        <v>3.65</v>
      </c>
      <c r="L631" s="4">
        <v>68.739999999999995</v>
      </c>
      <c r="M631" s="1">
        <v>0.35</v>
      </c>
      <c r="N631" s="1">
        <v>2</v>
      </c>
      <c r="O631" s="1">
        <v>0.71</v>
      </c>
      <c r="P631" s="1">
        <v>707</v>
      </c>
      <c r="Q631" s="1">
        <v>11.88</v>
      </c>
      <c r="R631" s="1">
        <v>0.8</v>
      </c>
      <c r="S631" s="2">
        <v>45470</v>
      </c>
      <c r="T631" s="1">
        <v>78.180000000000007</v>
      </c>
      <c r="U631" s="1">
        <v>0.78500000000000003</v>
      </c>
      <c r="V631" s="6">
        <f t="shared" si="27"/>
        <v>14572.88</v>
      </c>
      <c r="W631" s="6" t="str">
        <f t="shared" si="28"/>
        <v>Sufficient</v>
      </c>
      <c r="X631" s="8" t="str">
        <f t="shared" si="29"/>
        <v>Medium</v>
      </c>
    </row>
    <row r="632" spans="1:24">
      <c r="A632" s="7" t="s">
        <v>762</v>
      </c>
      <c r="B632" s="1" t="s">
        <v>25</v>
      </c>
      <c r="C632" s="1">
        <v>420</v>
      </c>
      <c r="D632" s="1">
        <v>70</v>
      </c>
      <c r="E632" s="1">
        <v>12</v>
      </c>
      <c r="F632" s="1">
        <v>8</v>
      </c>
      <c r="G632" s="1">
        <v>9.82</v>
      </c>
      <c r="H632" s="1" t="s">
        <v>156</v>
      </c>
      <c r="I632" s="1" t="s">
        <v>45</v>
      </c>
      <c r="J632" s="1">
        <v>32</v>
      </c>
      <c r="K632" s="1">
        <v>1.33</v>
      </c>
      <c r="L632" s="4">
        <v>63.52</v>
      </c>
      <c r="M632" s="1">
        <v>0.18</v>
      </c>
      <c r="N632" s="1">
        <v>6</v>
      </c>
      <c r="O632" s="1">
        <v>0.84</v>
      </c>
      <c r="P632" s="1">
        <v>931</v>
      </c>
      <c r="Q632" s="1">
        <v>4.25</v>
      </c>
      <c r="R632" s="1">
        <v>0.76</v>
      </c>
      <c r="S632" s="2">
        <v>45336</v>
      </c>
      <c r="T632" s="1">
        <v>150.15</v>
      </c>
      <c r="U632" s="1">
        <v>0.63900000000000001</v>
      </c>
      <c r="V632" s="6">
        <f t="shared" si="27"/>
        <v>26678.400000000001</v>
      </c>
      <c r="W632" s="6" t="str">
        <f t="shared" si="28"/>
        <v>Sufficient</v>
      </c>
      <c r="X632" s="8" t="str">
        <f t="shared" si="29"/>
        <v>High</v>
      </c>
    </row>
    <row r="633" spans="1:24">
      <c r="A633" s="7" t="s">
        <v>763</v>
      </c>
      <c r="B633" s="1" t="s">
        <v>29</v>
      </c>
      <c r="C633" s="1">
        <v>297</v>
      </c>
      <c r="D633" s="1">
        <v>41</v>
      </c>
      <c r="E633" s="1">
        <v>5</v>
      </c>
      <c r="F633" s="1">
        <v>5</v>
      </c>
      <c r="G633" s="1">
        <v>22.25</v>
      </c>
      <c r="H633" s="1" t="s">
        <v>135</v>
      </c>
      <c r="I633" s="1" t="s">
        <v>39</v>
      </c>
      <c r="J633" s="1">
        <v>75</v>
      </c>
      <c r="K633" s="1">
        <v>3.19</v>
      </c>
      <c r="L633" s="4">
        <v>53.28</v>
      </c>
      <c r="M633" s="1">
        <v>1.39</v>
      </c>
      <c r="N633" s="1">
        <v>7</v>
      </c>
      <c r="O633" s="1">
        <v>0.97</v>
      </c>
      <c r="P633" s="1">
        <v>890</v>
      </c>
      <c r="Q633" s="1">
        <v>4.26</v>
      </c>
      <c r="R633" s="1">
        <v>0.55000000000000004</v>
      </c>
      <c r="S633" s="2">
        <v>45516</v>
      </c>
      <c r="T633" s="1">
        <v>61.51</v>
      </c>
      <c r="U633" s="1">
        <v>0.48199999999999998</v>
      </c>
      <c r="V633" s="6">
        <f t="shared" si="27"/>
        <v>15824.16</v>
      </c>
      <c r="W633" s="6" t="str">
        <f t="shared" si="28"/>
        <v>Sufficient</v>
      </c>
      <c r="X633" s="8" t="str">
        <f t="shared" si="29"/>
        <v>High</v>
      </c>
    </row>
    <row r="634" spans="1:24">
      <c r="A634" s="7" t="s">
        <v>764</v>
      </c>
      <c r="B634" s="1" t="s">
        <v>66</v>
      </c>
      <c r="C634" s="1">
        <v>373</v>
      </c>
      <c r="D634" s="1">
        <v>22</v>
      </c>
      <c r="E634" s="1">
        <v>10</v>
      </c>
      <c r="F634" s="1">
        <v>9</v>
      </c>
      <c r="G634" s="1">
        <v>40.54</v>
      </c>
      <c r="H634" s="1" t="s">
        <v>470</v>
      </c>
      <c r="I634" s="1" t="s">
        <v>39</v>
      </c>
      <c r="J634" s="1">
        <v>124</v>
      </c>
      <c r="K634" s="1">
        <v>4.37</v>
      </c>
      <c r="L634" s="4">
        <v>171.29</v>
      </c>
      <c r="M634" s="1">
        <v>0.19</v>
      </c>
      <c r="N634" s="1">
        <v>4</v>
      </c>
      <c r="O634" s="1">
        <v>0.92</v>
      </c>
      <c r="P634" s="1">
        <v>163</v>
      </c>
      <c r="Q634" s="1">
        <v>11.13</v>
      </c>
      <c r="R634" s="1">
        <v>0.93</v>
      </c>
      <c r="S634" s="2">
        <v>45352</v>
      </c>
      <c r="T634" s="1">
        <v>183.9</v>
      </c>
      <c r="U634" s="1">
        <v>0.81899999999999995</v>
      </c>
      <c r="V634" s="6">
        <f t="shared" si="27"/>
        <v>63891.17</v>
      </c>
      <c r="W634" s="6" t="str">
        <f t="shared" si="28"/>
        <v>Sufficient</v>
      </c>
      <c r="X634" s="8" t="str">
        <f t="shared" si="29"/>
        <v>High</v>
      </c>
    </row>
    <row r="635" spans="1:24">
      <c r="A635" s="7" t="s">
        <v>765</v>
      </c>
      <c r="B635" s="1" t="s">
        <v>25</v>
      </c>
      <c r="C635" s="1">
        <v>256</v>
      </c>
      <c r="D635" s="1">
        <v>10</v>
      </c>
      <c r="E635" s="1">
        <v>5</v>
      </c>
      <c r="F635" s="1">
        <v>8</v>
      </c>
      <c r="G635" s="1">
        <v>15.4</v>
      </c>
      <c r="H635" s="1" t="s">
        <v>252</v>
      </c>
      <c r="I635" s="1" t="s">
        <v>45</v>
      </c>
      <c r="J635" s="1">
        <v>37</v>
      </c>
      <c r="K635" s="1">
        <v>2.2200000000000002</v>
      </c>
      <c r="L635" s="4">
        <v>185.5</v>
      </c>
      <c r="M635" s="1">
        <v>0.21</v>
      </c>
      <c r="N635" s="1">
        <v>4</v>
      </c>
      <c r="O635" s="1">
        <v>0.98</v>
      </c>
      <c r="P635" s="1">
        <v>292</v>
      </c>
      <c r="Q635" s="1">
        <v>11.35</v>
      </c>
      <c r="R635" s="1">
        <v>0.87</v>
      </c>
      <c r="S635" s="2">
        <v>45413</v>
      </c>
      <c r="T635" s="1">
        <v>44.26</v>
      </c>
      <c r="U635" s="1">
        <v>0.82</v>
      </c>
      <c r="V635" s="6">
        <f t="shared" si="27"/>
        <v>47488</v>
      </c>
      <c r="W635" s="6" t="str">
        <f t="shared" si="28"/>
        <v>Sufficient</v>
      </c>
      <c r="X635" s="8" t="str">
        <f t="shared" si="29"/>
        <v>High</v>
      </c>
    </row>
    <row r="636" spans="1:24">
      <c r="A636" s="7" t="s">
        <v>766</v>
      </c>
      <c r="B636" s="1" t="s">
        <v>33</v>
      </c>
      <c r="C636" s="1">
        <v>444</v>
      </c>
      <c r="D636" s="1">
        <v>43</v>
      </c>
      <c r="E636" s="1">
        <v>3</v>
      </c>
      <c r="F636" s="1">
        <v>5</v>
      </c>
      <c r="G636" s="1">
        <v>13.44</v>
      </c>
      <c r="H636" s="1" t="s">
        <v>156</v>
      </c>
      <c r="I636" s="1" t="s">
        <v>45</v>
      </c>
      <c r="J636" s="1">
        <v>29</v>
      </c>
      <c r="K636" s="1">
        <v>3.7</v>
      </c>
      <c r="L636" s="4">
        <v>143.03</v>
      </c>
      <c r="M636" s="1">
        <v>0.4</v>
      </c>
      <c r="N636" s="1">
        <v>3</v>
      </c>
      <c r="O636" s="1">
        <v>0.77</v>
      </c>
      <c r="P636" s="1">
        <v>194</v>
      </c>
      <c r="Q636" s="1">
        <v>3.5</v>
      </c>
      <c r="R636" s="1">
        <v>0.73</v>
      </c>
      <c r="S636" s="2">
        <v>45399</v>
      </c>
      <c r="T636" s="1">
        <v>226.11</v>
      </c>
      <c r="U636" s="1">
        <v>0.64700000000000002</v>
      </c>
      <c r="V636" s="6">
        <f t="shared" si="27"/>
        <v>63505.32</v>
      </c>
      <c r="W636" s="6" t="str">
        <f t="shared" si="28"/>
        <v>Sufficient</v>
      </c>
      <c r="X636" s="8" t="str">
        <f t="shared" si="29"/>
        <v>High</v>
      </c>
    </row>
    <row r="637" spans="1:24">
      <c r="A637" s="7" t="s">
        <v>767</v>
      </c>
      <c r="B637" s="1" t="s">
        <v>66</v>
      </c>
      <c r="C637" s="1">
        <v>240</v>
      </c>
      <c r="D637" s="1">
        <v>71</v>
      </c>
      <c r="E637" s="1">
        <v>12</v>
      </c>
      <c r="F637" s="1">
        <v>6</v>
      </c>
      <c r="G637" s="1">
        <v>31.38</v>
      </c>
      <c r="H637" s="1" t="s">
        <v>26</v>
      </c>
      <c r="I637" s="1" t="s">
        <v>45</v>
      </c>
      <c r="J637" s="1">
        <v>130</v>
      </c>
      <c r="K637" s="1">
        <v>3.53</v>
      </c>
      <c r="L637" s="4">
        <v>15.7</v>
      </c>
      <c r="M637" s="1">
        <v>0.77</v>
      </c>
      <c r="N637" s="1">
        <v>2</v>
      </c>
      <c r="O637" s="1">
        <v>0.86</v>
      </c>
      <c r="P637" s="1">
        <v>602</v>
      </c>
      <c r="Q637" s="1">
        <v>6.76</v>
      </c>
      <c r="R637" s="1">
        <v>0.55000000000000004</v>
      </c>
      <c r="S637" s="2">
        <v>45593</v>
      </c>
      <c r="T637" s="1">
        <v>277.27999999999997</v>
      </c>
      <c r="U637" s="1">
        <v>0.65500000000000003</v>
      </c>
      <c r="V637" s="6">
        <f t="shared" si="27"/>
        <v>3768</v>
      </c>
      <c r="W637" s="6" t="str">
        <f t="shared" si="28"/>
        <v>Sufficient</v>
      </c>
      <c r="X637" s="8" t="str">
        <f t="shared" si="29"/>
        <v>Medium</v>
      </c>
    </row>
    <row r="638" spans="1:24">
      <c r="A638" s="7" t="s">
        <v>768</v>
      </c>
      <c r="B638" s="1" t="s">
        <v>66</v>
      </c>
      <c r="C638" s="1">
        <v>87</v>
      </c>
      <c r="D638" s="1">
        <v>88</v>
      </c>
      <c r="E638" s="1">
        <v>14</v>
      </c>
      <c r="F638" s="1">
        <v>6</v>
      </c>
      <c r="G638" s="1">
        <v>27.25</v>
      </c>
      <c r="H638" s="1" t="s">
        <v>143</v>
      </c>
      <c r="I638" s="1" t="s">
        <v>45</v>
      </c>
      <c r="J638" s="1">
        <v>106</v>
      </c>
      <c r="K638" s="1">
        <v>1.66</v>
      </c>
      <c r="L638" s="4">
        <v>159.38</v>
      </c>
      <c r="M638" s="1">
        <v>0.93</v>
      </c>
      <c r="N638" s="1">
        <v>7</v>
      </c>
      <c r="O638" s="1">
        <v>0.8</v>
      </c>
      <c r="P638" s="1">
        <v>722</v>
      </c>
      <c r="Q638" s="1">
        <v>12.56</v>
      </c>
      <c r="R638" s="1">
        <v>0.56999999999999995</v>
      </c>
      <c r="S638" s="2">
        <v>45644</v>
      </c>
      <c r="T638" s="1">
        <v>121.92</v>
      </c>
      <c r="U638" s="1">
        <v>0.60799999999999998</v>
      </c>
      <c r="V638" s="6">
        <f t="shared" si="27"/>
        <v>13866.06</v>
      </c>
      <c r="W638" s="6" t="str">
        <f t="shared" si="28"/>
        <v>Reorder Required</v>
      </c>
      <c r="X638" s="8" t="str">
        <f t="shared" si="29"/>
        <v>LOW</v>
      </c>
    </row>
    <row r="639" spans="1:24">
      <c r="A639" s="7" t="s">
        <v>769</v>
      </c>
      <c r="B639" s="1" t="s">
        <v>66</v>
      </c>
      <c r="C639" s="1">
        <v>216</v>
      </c>
      <c r="D639" s="1">
        <v>87</v>
      </c>
      <c r="E639" s="1">
        <v>7</v>
      </c>
      <c r="F639" s="1">
        <v>6</v>
      </c>
      <c r="G639" s="1">
        <v>3.95</v>
      </c>
      <c r="H639" s="1" t="s">
        <v>394</v>
      </c>
      <c r="I639" s="1" t="s">
        <v>31</v>
      </c>
      <c r="J639" s="1">
        <v>128</v>
      </c>
      <c r="K639" s="1">
        <v>4.63</v>
      </c>
      <c r="L639" s="4">
        <v>111.07</v>
      </c>
      <c r="M639" s="1">
        <v>1.0900000000000001</v>
      </c>
      <c r="N639" s="1">
        <v>5</v>
      </c>
      <c r="O639" s="1">
        <v>0.85</v>
      </c>
      <c r="P639" s="1">
        <v>488</v>
      </c>
      <c r="Q639" s="1">
        <v>2.11</v>
      </c>
      <c r="R639" s="1">
        <v>0.34</v>
      </c>
      <c r="S639" s="2">
        <v>45471</v>
      </c>
      <c r="T639" s="1">
        <v>163.18</v>
      </c>
      <c r="U639" s="1">
        <v>0.45700000000000002</v>
      </c>
      <c r="V639" s="6">
        <f t="shared" si="27"/>
        <v>23991.119999999999</v>
      </c>
      <c r="W639" s="6" t="str">
        <f t="shared" si="28"/>
        <v>Sufficient</v>
      </c>
      <c r="X639" s="8" t="str">
        <f t="shared" si="29"/>
        <v>Medium</v>
      </c>
    </row>
    <row r="640" spans="1:24">
      <c r="A640" s="7" t="s">
        <v>770</v>
      </c>
      <c r="B640" s="1" t="s">
        <v>29</v>
      </c>
      <c r="C640" s="1">
        <v>275</v>
      </c>
      <c r="D640" s="1">
        <v>91</v>
      </c>
      <c r="E640" s="1">
        <v>4</v>
      </c>
      <c r="F640" s="1">
        <v>2</v>
      </c>
      <c r="G640" s="1">
        <v>4.99</v>
      </c>
      <c r="H640" s="1" t="s">
        <v>57</v>
      </c>
      <c r="I640" s="1" t="s">
        <v>39</v>
      </c>
      <c r="J640" s="1">
        <v>118</v>
      </c>
      <c r="K640" s="1">
        <v>3.04</v>
      </c>
      <c r="L640" s="4">
        <v>154.04</v>
      </c>
      <c r="M640" s="1">
        <v>1.99</v>
      </c>
      <c r="N640" s="1">
        <v>5</v>
      </c>
      <c r="O640" s="1">
        <v>0.87</v>
      </c>
      <c r="P640" s="1">
        <v>387</v>
      </c>
      <c r="Q640" s="1">
        <v>6.23</v>
      </c>
      <c r="R640" s="1">
        <v>0.82</v>
      </c>
      <c r="S640" s="2">
        <v>45655</v>
      </c>
      <c r="T640" s="1">
        <v>151.66999999999999</v>
      </c>
      <c r="U640" s="1">
        <v>0.52200000000000002</v>
      </c>
      <c r="V640" s="6">
        <f t="shared" si="27"/>
        <v>42361</v>
      </c>
      <c r="W640" s="6" t="str">
        <f t="shared" si="28"/>
        <v>Sufficient</v>
      </c>
      <c r="X640" s="8" t="str">
        <f t="shared" si="29"/>
        <v>High</v>
      </c>
    </row>
    <row r="641" spans="1:24">
      <c r="A641" s="7" t="s">
        <v>771</v>
      </c>
      <c r="B641" s="1" t="s">
        <v>25</v>
      </c>
      <c r="C641" s="1">
        <v>158</v>
      </c>
      <c r="D641" s="1">
        <v>80</v>
      </c>
      <c r="E641" s="1">
        <v>12</v>
      </c>
      <c r="F641" s="1">
        <v>9</v>
      </c>
      <c r="G641" s="1">
        <v>32.51</v>
      </c>
      <c r="H641" s="1" t="s">
        <v>256</v>
      </c>
      <c r="I641" s="1" t="s">
        <v>27</v>
      </c>
      <c r="J641" s="1">
        <v>35</v>
      </c>
      <c r="K641" s="1">
        <v>2.1</v>
      </c>
      <c r="L641" s="4">
        <v>93.09</v>
      </c>
      <c r="M641" s="1">
        <v>0.83</v>
      </c>
      <c r="N641" s="1">
        <v>1</v>
      </c>
      <c r="O641" s="1">
        <v>0.71</v>
      </c>
      <c r="P641" s="1">
        <v>457</v>
      </c>
      <c r="Q641" s="1">
        <v>10.02</v>
      </c>
      <c r="R641" s="1">
        <v>0.89</v>
      </c>
      <c r="S641" s="2">
        <v>45604</v>
      </c>
      <c r="T641" s="1">
        <v>237.76</v>
      </c>
      <c r="U641" s="1">
        <v>0.751</v>
      </c>
      <c r="V641" s="6">
        <f t="shared" si="27"/>
        <v>14708.220000000001</v>
      </c>
      <c r="W641" s="6" t="str">
        <f t="shared" si="28"/>
        <v>Sufficient</v>
      </c>
      <c r="X641" s="8" t="str">
        <f t="shared" si="29"/>
        <v>Medium</v>
      </c>
    </row>
    <row r="642" spans="1:24">
      <c r="A642" s="7" t="s">
        <v>772</v>
      </c>
      <c r="B642" s="1" t="s">
        <v>29</v>
      </c>
      <c r="C642" s="1">
        <v>331</v>
      </c>
      <c r="D642" s="1">
        <v>40</v>
      </c>
      <c r="E642" s="1">
        <v>8</v>
      </c>
      <c r="F642" s="1">
        <v>6</v>
      </c>
      <c r="G642" s="1">
        <v>23.79</v>
      </c>
      <c r="H642" s="1" t="s">
        <v>333</v>
      </c>
      <c r="I642" s="1" t="s">
        <v>45</v>
      </c>
      <c r="J642" s="1">
        <v>156</v>
      </c>
      <c r="K642" s="1">
        <v>1.24</v>
      </c>
      <c r="L642" s="4">
        <v>17.84</v>
      </c>
      <c r="M642" s="1">
        <v>0.56000000000000005</v>
      </c>
      <c r="N642" s="1">
        <v>3</v>
      </c>
      <c r="O642" s="1">
        <v>0.77</v>
      </c>
      <c r="P642" s="1">
        <v>638</v>
      </c>
      <c r="Q642" s="1">
        <v>11.8</v>
      </c>
      <c r="R642" s="1">
        <v>0.86</v>
      </c>
      <c r="S642" s="2">
        <v>45615</v>
      </c>
      <c r="T642" s="1">
        <v>298.32</v>
      </c>
      <c r="U642" s="1">
        <v>0.76700000000000002</v>
      </c>
      <c r="V642" s="6">
        <f t="shared" si="27"/>
        <v>5905.04</v>
      </c>
      <c r="W642" s="6" t="str">
        <f t="shared" si="28"/>
        <v>Sufficient</v>
      </c>
      <c r="X642" s="8" t="str">
        <f t="shared" si="29"/>
        <v>High</v>
      </c>
    </row>
    <row r="643" spans="1:24">
      <c r="A643" s="7" t="s">
        <v>773</v>
      </c>
      <c r="B643" s="1" t="s">
        <v>25</v>
      </c>
      <c r="C643" s="1">
        <v>454</v>
      </c>
      <c r="D643" s="1">
        <v>73</v>
      </c>
      <c r="E643" s="1">
        <v>12</v>
      </c>
      <c r="F643" s="1">
        <v>5</v>
      </c>
      <c r="G643" s="1">
        <v>48.58</v>
      </c>
      <c r="H643" s="1" t="s">
        <v>52</v>
      </c>
      <c r="I643" s="1" t="s">
        <v>45</v>
      </c>
      <c r="J643" s="1">
        <v>115</v>
      </c>
      <c r="K643" s="1">
        <v>2.63</v>
      </c>
      <c r="L643" s="4">
        <v>139.53</v>
      </c>
      <c r="M643" s="1">
        <v>1.19</v>
      </c>
      <c r="N643" s="1">
        <v>4</v>
      </c>
      <c r="O643" s="1">
        <v>0.91</v>
      </c>
      <c r="P643" s="1">
        <v>217</v>
      </c>
      <c r="Q643" s="1">
        <v>10.14</v>
      </c>
      <c r="R643" s="1">
        <v>0.64</v>
      </c>
      <c r="S643" s="2">
        <v>45511</v>
      </c>
      <c r="T643" s="1">
        <v>223.35</v>
      </c>
      <c r="U643" s="1">
        <v>0.64600000000000002</v>
      </c>
      <c r="V643" s="6">
        <f t="shared" si="27"/>
        <v>63346.62</v>
      </c>
      <c r="W643" s="6" t="str">
        <f t="shared" si="28"/>
        <v>Sufficient</v>
      </c>
      <c r="X643" s="8" t="str">
        <f t="shared" si="29"/>
        <v>High</v>
      </c>
    </row>
    <row r="644" spans="1:24">
      <c r="A644" s="7" t="s">
        <v>774</v>
      </c>
      <c r="B644" s="1" t="s">
        <v>29</v>
      </c>
      <c r="C644" s="1">
        <v>168</v>
      </c>
      <c r="D644" s="1">
        <v>34</v>
      </c>
      <c r="E644" s="1">
        <v>11</v>
      </c>
      <c r="F644" s="1">
        <v>3</v>
      </c>
      <c r="G644" s="1">
        <v>34.25</v>
      </c>
      <c r="H644" s="1" t="s">
        <v>331</v>
      </c>
      <c r="I644" s="1" t="s">
        <v>45</v>
      </c>
      <c r="J644" s="1">
        <v>150</v>
      </c>
      <c r="K644" s="1">
        <v>3.79</v>
      </c>
      <c r="L644" s="4">
        <v>94.38</v>
      </c>
      <c r="M644" s="1">
        <v>0.51</v>
      </c>
      <c r="N644" s="1">
        <v>9</v>
      </c>
      <c r="O644" s="1">
        <v>0.93</v>
      </c>
      <c r="P644" s="1">
        <v>845</v>
      </c>
      <c r="Q644" s="1">
        <v>6.57</v>
      </c>
      <c r="R644" s="1">
        <v>0.87</v>
      </c>
      <c r="S644" s="2">
        <v>45376</v>
      </c>
      <c r="T644" s="1">
        <v>72.209999999999994</v>
      </c>
      <c r="U644" s="1">
        <v>0.61699999999999999</v>
      </c>
      <c r="V644" s="6">
        <f t="shared" ref="V644:V707" si="30">C644*L644</f>
        <v>15855.84</v>
      </c>
      <c r="W644" s="6" t="str">
        <f t="shared" ref="W644:W707" si="31">IF(C644&lt;=D644,"Reorder Required","Sufficient")</f>
        <v>Sufficient</v>
      </c>
      <c r="X644" s="8" t="str">
        <f t="shared" ref="X644:X707" si="32">IF(C644&lt;100,"LOW",IF(C644&lt;250,"Medium","High"))</f>
        <v>Medium</v>
      </c>
    </row>
    <row r="645" spans="1:24">
      <c r="A645" s="7" t="s">
        <v>775</v>
      </c>
      <c r="B645" s="1" t="s">
        <v>29</v>
      </c>
      <c r="C645" s="1">
        <v>118</v>
      </c>
      <c r="D645" s="1">
        <v>47</v>
      </c>
      <c r="E645" s="1">
        <v>3</v>
      </c>
      <c r="F645" s="1">
        <v>9</v>
      </c>
      <c r="G645" s="1">
        <v>1.49</v>
      </c>
      <c r="H645" s="1" t="s">
        <v>44</v>
      </c>
      <c r="I645" s="1" t="s">
        <v>27</v>
      </c>
      <c r="J645" s="1">
        <v>71</v>
      </c>
      <c r="K645" s="1">
        <v>3.31</v>
      </c>
      <c r="L645" s="4">
        <v>176.07</v>
      </c>
      <c r="M645" s="1">
        <v>1.89</v>
      </c>
      <c r="N645" s="1">
        <v>4</v>
      </c>
      <c r="O645" s="1">
        <v>0.87</v>
      </c>
      <c r="P645" s="1">
        <v>671</v>
      </c>
      <c r="Q645" s="1">
        <v>14.89</v>
      </c>
      <c r="R645" s="1">
        <v>0.83</v>
      </c>
      <c r="S645" s="2">
        <v>45607</v>
      </c>
      <c r="T645" s="1">
        <v>211.86</v>
      </c>
      <c r="U645" s="1">
        <v>0.67</v>
      </c>
      <c r="V645" s="6">
        <f t="shared" si="30"/>
        <v>20776.259999999998</v>
      </c>
      <c r="W645" s="6" t="str">
        <f t="shared" si="31"/>
        <v>Sufficient</v>
      </c>
      <c r="X645" s="8" t="str">
        <f t="shared" si="32"/>
        <v>Medium</v>
      </c>
    </row>
    <row r="646" spans="1:24">
      <c r="A646" s="7" t="s">
        <v>776</v>
      </c>
      <c r="B646" s="1" t="s">
        <v>33</v>
      </c>
      <c r="C646" s="1">
        <v>95</v>
      </c>
      <c r="D646" s="1">
        <v>23</v>
      </c>
      <c r="E646" s="1">
        <v>6</v>
      </c>
      <c r="F646" s="1">
        <v>6</v>
      </c>
      <c r="G646" s="1">
        <v>24.57</v>
      </c>
      <c r="H646" s="1" t="s">
        <v>79</v>
      </c>
      <c r="I646" s="1" t="s">
        <v>39</v>
      </c>
      <c r="J646" s="1">
        <v>135</v>
      </c>
      <c r="K646" s="1">
        <v>3.77</v>
      </c>
      <c r="L646" s="4">
        <v>150.25</v>
      </c>
      <c r="M646" s="1">
        <v>0.59</v>
      </c>
      <c r="N646" s="1">
        <v>2</v>
      </c>
      <c r="O646" s="1">
        <v>0.78</v>
      </c>
      <c r="P646" s="1">
        <v>756</v>
      </c>
      <c r="Q646" s="1">
        <v>1.58</v>
      </c>
      <c r="R646" s="1">
        <v>0.87</v>
      </c>
      <c r="S646" s="2">
        <v>45363</v>
      </c>
      <c r="T646" s="1">
        <v>188.57</v>
      </c>
      <c r="U646" s="1">
        <v>0.65200000000000002</v>
      </c>
      <c r="V646" s="6">
        <f t="shared" si="30"/>
        <v>14273.75</v>
      </c>
      <c r="W646" s="6" t="str">
        <f t="shared" si="31"/>
        <v>Sufficient</v>
      </c>
      <c r="X646" s="8" t="str">
        <f t="shared" si="32"/>
        <v>LOW</v>
      </c>
    </row>
    <row r="647" spans="1:24">
      <c r="A647" s="7" t="s">
        <v>777</v>
      </c>
      <c r="B647" s="1" t="s">
        <v>29</v>
      </c>
      <c r="C647" s="1">
        <v>301</v>
      </c>
      <c r="D647" s="1">
        <v>17</v>
      </c>
      <c r="E647" s="1">
        <v>3</v>
      </c>
      <c r="F647" s="1">
        <v>3</v>
      </c>
      <c r="G647" s="1">
        <v>21.31</v>
      </c>
      <c r="H647" s="1" t="s">
        <v>233</v>
      </c>
      <c r="I647" s="1" t="s">
        <v>39</v>
      </c>
      <c r="J647" s="1">
        <v>151</v>
      </c>
      <c r="K647" s="1">
        <v>4.0599999999999996</v>
      </c>
      <c r="L647" s="4">
        <v>78.319999999999993</v>
      </c>
      <c r="M647" s="1">
        <v>1.98</v>
      </c>
      <c r="N647" s="1">
        <v>9</v>
      </c>
      <c r="O647" s="1">
        <v>0.82</v>
      </c>
      <c r="P647" s="1">
        <v>789</v>
      </c>
      <c r="Q647" s="1">
        <v>7.93</v>
      </c>
      <c r="R647" s="1">
        <v>0.99</v>
      </c>
      <c r="S647" s="2">
        <v>45397</v>
      </c>
      <c r="T647" s="1">
        <v>70.930000000000007</v>
      </c>
      <c r="U647" s="1">
        <v>0.49</v>
      </c>
      <c r="V647" s="6">
        <f t="shared" si="30"/>
        <v>23574.32</v>
      </c>
      <c r="W647" s="6" t="str">
        <f t="shared" si="31"/>
        <v>Sufficient</v>
      </c>
      <c r="X647" s="8" t="str">
        <f t="shared" si="32"/>
        <v>High</v>
      </c>
    </row>
    <row r="648" spans="1:24">
      <c r="A648" s="7" t="s">
        <v>778</v>
      </c>
      <c r="B648" s="1" t="s">
        <v>41</v>
      </c>
      <c r="C648" s="1">
        <v>390</v>
      </c>
      <c r="D648" s="1">
        <v>63</v>
      </c>
      <c r="E648" s="1">
        <v>3</v>
      </c>
      <c r="F648" s="1">
        <v>8</v>
      </c>
      <c r="G648" s="1">
        <v>6.23</v>
      </c>
      <c r="H648" s="1" t="s">
        <v>34</v>
      </c>
      <c r="I648" s="1" t="s">
        <v>45</v>
      </c>
      <c r="J648" s="1">
        <v>148</v>
      </c>
      <c r="K648" s="1">
        <v>2.48</v>
      </c>
      <c r="L648" s="4">
        <v>147.58000000000001</v>
      </c>
      <c r="M648" s="1">
        <v>0.9</v>
      </c>
      <c r="N648" s="1">
        <v>4</v>
      </c>
      <c r="O648" s="1">
        <v>0.73</v>
      </c>
      <c r="P648" s="1">
        <v>216</v>
      </c>
      <c r="Q648" s="1">
        <v>8.14</v>
      </c>
      <c r="R648" s="1">
        <v>0.85</v>
      </c>
      <c r="S648" s="2">
        <v>45397</v>
      </c>
      <c r="T648" s="1">
        <v>79.88</v>
      </c>
      <c r="U648" s="1">
        <v>0.65500000000000003</v>
      </c>
      <c r="V648" s="6">
        <f t="shared" si="30"/>
        <v>57556.200000000004</v>
      </c>
      <c r="W648" s="6" t="str">
        <f t="shared" si="31"/>
        <v>Sufficient</v>
      </c>
      <c r="X648" s="8" t="str">
        <f t="shared" si="32"/>
        <v>High</v>
      </c>
    </row>
    <row r="649" spans="1:24">
      <c r="A649" s="7" t="s">
        <v>779</v>
      </c>
      <c r="B649" s="1" t="s">
        <v>33</v>
      </c>
      <c r="C649" s="1">
        <v>422</v>
      </c>
      <c r="D649" s="1">
        <v>11</v>
      </c>
      <c r="E649" s="1">
        <v>10</v>
      </c>
      <c r="F649" s="1">
        <v>5</v>
      </c>
      <c r="G649" s="1">
        <v>46.24</v>
      </c>
      <c r="H649" s="1" t="s">
        <v>124</v>
      </c>
      <c r="I649" s="1" t="s">
        <v>45</v>
      </c>
      <c r="J649" s="1">
        <v>76</v>
      </c>
      <c r="K649" s="1">
        <v>2.84</v>
      </c>
      <c r="L649" s="4">
        <v>104.09</v>
      </c>
      <c r="M649" s="1">
        <v>1.64</v>
      </c>
      <c r="N649" s="1">
        <v>4</v>
      </c>
      <c r="O649" s="1">
        <v>0.99</v>
      </c>
      <c r="P649" s="1">
        <v>582</v>
      </c>
      <c r="Q649" s="1">
        <v>4.3600000000000003</v>
      </c>
      <c r="R649" s="1">
        <v>0.42</v>
      </c>
      <c r="S649" s="2">
        <v>45322</v>
      </c>
      <c r="T649" s="1">
        <v>199.31</v>
      </c>
      <c r="U649" s="1">
        <v>0.496</v>
      </c>
      <c r="V649" s="6">
        <f t="shared" si="30"/>
        <v>43925.98</v>
      </c>
      <c r="W649" s="6" t="str">
        <f t="shared" si="31"/>
        <v>Sufficient</v>
      </c>
      <c r="X649" s="8" t="str">
        <f t="shared" si="32"/>
        <v>High</v>
      </c>
    </row>
    <row r="650" spans="1:24">
      <c r="A650" s="7" t="s">
        <v>780</v>
      </c>
      <c r="B650" s="1" t="s">
        <v>29</v>
      </c>
      <c r="C650" s="1">
        <v>128</v>
      </c>
      <c r="D650" s="1">
        <v>90</v>
      </c>
      <c r="E650" s="1">
        <v>13</v>
      </c>
      <c r="F650" s="1">
        <v>6</v>
      </c>
      <c r="G650" s="1">
        <v>40.450000000000003</v>
      </c>
      <c r="H650" s="1" t="s">
        <v>42</v>
      </c>
      <c r="I650" s="1" t="s">
        <v>39</v>
      </c>
      <c r="J650" s="1">
        <v>21</v>
      </c>
      <c r="K650" s="1">
        <v>4.9400000000000004</v>
      </c>
      <c r="L650" s="4">
        <v>47.89</v>
      </c>
      <c r="M650" s="1">
        <v>1.33</v>
      </c>
      <c r="N650" s="1">
        <v>1</v>
      </c>
      <c r="O650" s="1">
        <v>0.96</v>
      </c>
      <c r="P650" s="1">
        <v>214</v>
      </c>
      <c r="Q650" s="1">
        <v>8.82</v>
      </c>
      <c r="R650" s="1">
        <v>0.86</v>
      </c>
      <c r="S650" s="2">
        <v>45583</v>
      </c>
      <c r="T650" s="1">
        <v>244.27</v>
      </c>
      <c r="U650" s="1">
        <v>0.72899999999999998</v>
      </c>
      <c r="V650" s="6">
        <f t="shared" si="30"/>
        <v>6129.92</v>
      </c>
      <c r="W650" s="6" t="str">
        <f t="shared" si="31"/>
        <v>Sufficient</v>
      </c>
      <c r="X650" s="8" t="str">
        <f t="shared" si="32"/>
        <v>Medium</v>
      </c>
    </row>
    <row r="651" spans="1:24">
      <c r="A651" s="7" t="s">
        <v>781</v>
      </c>
      <c r="B651" s="1" t="s">
        <v>66</v>
      </c>
      <c r="C651" s="1">
        <v>207</v>
      </c>
      <c r="D651" s="1">
        <v>87</v>
      </c>
      <c r="E651" s="1">
        <v>4</v>
      </c>
      <c r="F651" s="1">
        <v>2</v>
      </c>
      <c r="G651" s="1">
        <v>12.27</v>
      </c>
      <c r="H651" s="1" t="s">
        <v>350</v>
      </c>
      <c r="I651" s="1" t="s">
        <v>27</v>
      </c>
      <c r="J651" s="1">
        <v>44</v>
      </c>
      <c r="K651" s="1">
        <v>4.8600000000000003</v>
      </c>
      <c r="L651" s="4">
        <v>89.78</v>
      </c>
      <c r="M651" s="1">
        <v>1.87</v>
      </c>
      <c r="N651" s="1">
        <v>4</v>
      </c>
      <c r="O651" s="1">
        <v>0.72</v>
      </c>
      <c r="P651" s="1">
        <v>691</v>
      </c>
      <c r="Q651" s="1">
        <v>4.08</v>
      </c>
      <c r="R651" s="1">
        <v>0.5</v>
      </c>
      <c r="S651" s="2">
        <v>45471</v>
      </c>
      <c r="T651" s="1">
        <v>231.1</v>
      </c>
      <c r="U651" s="1">
        <v>0.43099999999999999</v>
      </c>
      <c r="V651" s="6">
        <f t="shared" si="30"/>
        <v>18584.46</v>
      </c>
      <c r="W651" s="6" t="str">
        <f t="shared" si="31"/>
        <v>Sufficient</v>
      </c>
      <c r="X651" s="8" t="str">
        <f t="shared" si="32"/>
        <v>Medium</v>
      </c>
    </row>
    <row r="652" spans="1:24">
      <c r="A652" s="7" t="s">
        <v>782</v>
      </c>
      <c r="B652" s="1" t="s">
        <v>41</v>
      </c>
      <c r="C652" s="1">
        <v>218</v>
      </c>
      <c r="D652" s="1">
        <v>98</v>
      </c>
      <c r="E652" s="1">
        <v>3</v>
      </c>
      <c r="F652" s="1">
        <v>2</v>
      </c>
      <c r="G652" s="1">
        <v>13.54</v>
      </c>
      <c r="H652" s="1" t="s">
        <v>558</v>
      </c>
      <c r="I652" s="1" t="s">
        <v>45</v>
      </c>
      <c r="J652" s="1">
        <v>119</v>
      </c>
      <c r="K652" s="1">
        <v>2.37</v>
      </c>
      <c r="L652" s="4">
        <v>52.29</v>
      </c>
      <c r="M652" s="1">
        <v>1.29</v>
      </c>
      <c r="N652" s="1">
        <v>2</v>
      </c>
      <c r="O652" s="1">
        <v>0.75</v>
      </c>
      <c r="P652" s="1">
        <v>311</v>
      </c>
      <c r="Q652" s="1">
        <v>7.21</v>
      </c>
      <c r="R652" s="1">
        <v>0.61</v>
      </c>
      <c r="S652" s="2">
        <v>45564</v>
      </c>
      <c r="T652" s="1">
        <v>185.86</v>
      </c>
      <c r="U652" s="1">
        <v>0.59899999999999998</v>
      </c>
      <c r="V652" s="6">
        <f t="shared" si="30"/>
        <v>11399.22</v>
      </c>
      <c r="W652" s="6" t="str">
        <f t="shared" si="31"/>
        <v>Sufficient</v>
      </c>
      <c r="X652" s="8" t="str">
        <f t="shared" si="32"/>
        <v>Medium</v>
      </c>
    </row>
    <row r="653" spans="1:24">
      <c r="A653" s="7" t="s">
        <v>783</v>
      </c>
      <c r="B653" s="1" t="s">
        <v>41</v>
      </c>
      <c r="C653" s="1">
        <v>322</v>
      </c>
      <c r="D653" s="1">
        <v>65</v>
      </c>
      <c r="E653" s="1">
        <v>13</v>
      </c>
      <c r="F653" s="1">
        <v>8</v>
      </c>
      <c r="G653" s="1">
        <v>2.57</v>
      </c>
      <c r="H653" s="1" t="s">
        <v>159</v>
      </c>
      <c r="I653" s="1" t="s">
        <v>27</v>
      </c>
      <c r="J653" s="1">
        <v>176</v>
      </c>
      <c r="K653" s="1">
        <v>3.58</v>
      </c>
      <c r="L653" s="4">
        <v>10.95</v>
      </c>
      <c r="M653" s="1">
        <v>1.2</v>
      </c>
      <c r="N653" s="1">
        <v>2</v>
      </c>
      <c r="O653" s="1">
        <v>0.87</v>
      </c>
      <c r="P653" s="1">
        <v>613</v>
      </c>
      <c r="Q653" s="1">
        <v>7.04</v>
      </c>
      <c r="R653" s="1">
        <v>0.84</v>
      </c>
      <c r="S653" s="2">
        <v>45435</v>
      </c>
      <c r="T653" s="1">
        <v>281.89</v>
      </c>
      <c r="U653" s="1">
        <v>0.67600000000000005</v>
      </c>
      <c r="V653" s="6">
        <f t="shared" si="30"/>
        <v>3525.8999999999996</v>
      </c>
      <c r="W653" s="6" t="str">
        <f t="shared" si="31"/>
        <v>Sufficient</v>
      </c>
      <c r="X653" s="8" t="str">
        <f t="shared" si="32"/>
        <v>High</v>
      </c>
    </row>
    <row r="654" spans="1:24">
      <c r="A654" s="7" t="s">
        <v>784</v>
      </c>
      <c r="B654" s="1" t="s">
        <v>41</v>
      </c>
      <c r="C654" s="1">
        <v>346</v>
      </c>
      <c r="D654" s="1">
        <v>93</v>
      </c>
      <c r="E654" s="1">
        <v>10</v>
      </c>
      <c r="F654" s="1">
        <v>3</v>
      </c>
      <c r="G654" s="1">
        <v>15.54</v>
      </c>
      <c r="H654" s="1" t="s">
        <v>185</v>
      </c>
      <c r="I654" s="1" t="s">
        <v>27</v>
      </c>
      <c r="J654" s="1">
        <v>169</v>
      </c>
      <c r="K654" s="1">
        <v>1.7</v>
      </c>
      <c r="L654" s="4">
        <v>56.89</v>
      </c>
      <c r="M654" s="1">
        <v>1.34</v>
      </c>
      <c r="N654" s="1">
        <v>4</v>
      </c>
      <c r="O654" s="1">
        <v>0.77</v>
      </c>
      <c r="P654" s="1">
        <v>310</v>
      </c>
      <c r="Q654" s="1">
        <v>11.82</v>
      </c>
      <c r="R654" s="1">
        <v>0.45</v>
      </c>
      <c r="S654" s="2">
        <v>45597</v>
      </c>
      <c r="T654" s="1">
        <v>222</v>
      </c>
      <c r="U654" s="1">
        <v>0.58799999999999997</v>
      </c>
      <c r="V654" s="6">
        <f t="shared" si="30"/>
        <v>19683.939999999999</v>
      </c>
      <c r="W654" s="6" t="str">
        <f t="shared" si="31"/>
        <v>Sufficient</v>
      </c>
      <c r="X654" s="8" t="str">
        <f t="shared" si="32"/>
        <v>High</v>
      </c>
    </row>
    <row r="655" spans="1:24">
      <c r="A655" s="7" t="s">
        <v>785</v>
      </c>
      <c r="B655" s="1" t="s">
        <v>33</v>
      </c>
      <c r="C655" s="1">
        <v>173</v>
      </c>
      <c r="D655" s="1">
        <v>94</v>
      </c>
      <c r="E655" s="1">
        <v>6</v>
      </c>
      <c r="F655" s="1">
        <v>7</v>
      </c>
      <c r="G655" s="1">
        <v>29.65</v>
      </c>
      <c r="H655" s="1" t="s">
        <v>128</v>
      </c>
      <c r="I655" s="1" t="s">
        <v>39</v>
      </c>
      <c r="J655" s="1">
        <v>23</v>
      </c>
      <c r="K655" s="1">
        <v>1.19</v>
      </c>
      <c r="L655" s="4">
        <v>49.81</v>
      </c>
      <c r="M655" s="1">
        <v>1.59</v>
      </c>
      <c r="N655" s="1">
        <v>8</v>
      </c>
      <c r="O655" s="1">
        <v>0.98</v>
      </c>
      <c r="P655" s="1">
        <v>224</v>
      </c>
      <c r="Q655" s="1">
        <v>14.2</v>
      </c>
      <c r="R655" s="1">
        <v>0.22</v>
      </c>
      <c r="S655" s="2">
        <v>45567</v>
      </c>
      <c r="T655" s="1">
        <v>167.16</v>
      </c>
      <c r="U655" s="1">
        <v>0.51</v>
      </c>
      <c r="V655" s="6">
        <f t="shared" si="30"/>
        <v>8617.130000000001</v>
      </c>
      <c r="W655" s="6" t="str">
        <f t="shared" si="31"/>
        <v>Sufficient</v>
      </c>
      <c r="X655" s="8" t="str">
        <f t="shared" si="32"/>
        <v>Medium</v>
      </c>
    </row>
    <row r="656" spans="1:24">
      <c r="A656" s="7" t="s">
        <v>786</v>
      </c>
      <c r="B656" s="1" t="s">
        <v>29</v>
      </c>
      <c r="C656" s="1">
        <v>59</v>
      </c>
      <c r="D656" s="1">
        <v>70</v>
      </c>
      <c r="E656" s="1">
        <v>5</v>
      </c>
      <c r="F656" s="1">
        <v>2</v>
      </c>
      <c r="G656" s="1">
        <v>21.62</v>
      </c>
      <c r="H656" s="1" t="s">
        <v>88</v>
      </c>
      <c r="I656" s="1" t="s">
        <v>45</v>
      </c>
      <c r="J656" s="1">
        <v>164</v>
      </c>
      <c r="K656" s="1">
        <v>3.96</v>
      </c>
      <c r="L656" s="4">
        <v>10.82</v>
      </c>
      <c r="M656" s="1">
        <v>1.81</v>
      </c>
      <c r="N656" s="1">
        <v>1</v>
      </c>
      <c r="O656" s="1">
        <v>0.93</v>
      </c>
      <c r="P656" s="1">
        <v>860</v>
      </c>
      <c r="Q656" s="1">
        <v>3.84</v>
      </c>
      <c r="R656" s="1">
        <v>0.77</v>
      </c>
      <c r="S656" s="2">
        <v>45378</v>
      </c>
      <c r="T656" s="1">
        <v>246.7</v>
      </c>
      <c r="U656" s="1">
        <v>0.59</v>
      </c>
      <c r="V656" s="6">
        <f t="shared" si="30"/>
        <v>638.38</v>
      </c>
      <c r="W656" s="6" t="str">
        <f t="shared" si="31"/>
        <v>Reorder Required</v>
      </c>
      <c r="X656" s="8" t="str">
        <f t="shared" si="32"/>
        <v>LOW</v>
      </c>
    </row>
    <row r="657" spans="1:24">
      <c r="A657" s="7" t="s">
        <v>787</v>
      </c>
      <c r="B657" s="1" t="s">
        <v>29</v>
      </c>
      <c r="C657" s="1">
        <v>152</v>
      </c>
      <c r="D657" s="1">
        <v>31</v>
      </c>
      <c r="E657" s="1">
        <v>14</v>
      </c>
      <c r="F657" s="1">
        <v>9</v>
      </c>
      <c r="G657" s="1">
        <v>48.49</v>
      </c>
      <c r="H657" s="1" t="s">
        <v>141</v>
      </c>
      <c r="I657" s="1" t="s">
        <v>31</v>
      </c>
      <c r="J657" s="1">
        <v>110</v>
      </c>
      <c r="K657" s="1">
        <v>2.46</v>
      </c>
      <c r="L657" s="4">
        <v>158.94999999999999</v>
      </c>
      <c r="M657" s="1">
        <v>0.61</v>
      </c>
      <c r="N657" s="1">
        <v>8</v>
      </c>
      <c r="O657" s="1">
        <v>0.78</v>
      </c>
      <c r="P657" s="1">
        <v>145</v>
      </c>
      <c r="Q657" s="1">
        <v>14.88</v>
      </c>
      <c r="R657" s="1">
        <v>0.92</v>
      </c>
      <c r="S657" s="2">
        <v>45457</v>
      </c>
      <c r="T657" s="1">
        <v>94.24</v>
      </c>
      <c r="U657" s="1">
        <v>0.71699999999999997</v>
      </c>
      <c r="V657" s="6">
        <f t="shared" si="30"/>
        <v>24160.399999999998</v>
      </c>
      <c r="W657" s="6" t="str">
        <f t="shared" si="31"/>
        <v>Sufficient</v>
      </c>
      <c r="X657" s="8" t="str">
        <f t="shared" si="32"/>
        <v>Medium</v>
      </c>
    </row>
    <row r="658" spans="1:24">
      <c r="A658" s="7" t="s">
        <v>788</v>
      </c>
      <c r="B658" s="1" t="s">
        <v>66</v>
      </c>
      <c r="C658" s="1">
        <v>424</v>
      </c>
      <c r="D658" s="1">
        <v>44</v>
      </c>
      <c r="E658" s="1">
        <v>6</v>
      </c>
      <c r="F658" s="1">
        <v>2</v>
      </c>
      <c r="G658" s="1">
        <v>3.75</v>
      </c>
      <c r="H658" s="1" t="s">
        <v>147</v>
      </c>
      <c r="I658" s="1" t="s">
        <v>39</v>
      </c>
      <c r="J658" s="1">
        <v>69</v>
      </c>
      <c r="K658" s="1">
        <v>1.3</v>
      </c>
      <c r="L658" s="4">
        <v>24.63</v>
      </c>
      <c r="M658" s="1">
        <v>0.48</v>
      </c>
      <c r="N658" s="1">
        <v>2</v>
      </c>
      <c r="O658" s="1">
        <v>0.7</v>
      </c>
      <c r="P658" s="1">
        <v>406</v>
      </c>
      <c r="Q658" s="1">
        <v>14.16</v>
      </c>
      <c r="R658" s="1">
        <v>0.94</v>
      </c>
      <c r="S658" s="2">
        <v>45652</v>
      </c>
      <c r="T658" s="1">
        <v>86.41</v>
      </c>
      <c r="U658" s="1">
        <v>0.82899999999999996</v>
      </c>
      <c r="V658" s="6">
        <f t="shared" si="30"/>
        <v>10443.119999999999</v>
      </c>
      <c r="W658" s="6" t="str">
        <f t="shared" si="31"/>
        <v>Sufficient</v>
      </c>
      <c r="X658" s="8" t="str">
        <f t="shared" si="32"/>
        <v>High</v>
      </c>
    </row>
    <row r="659" spans="1:24">
      <c r="A659" s="7" t="s">
        <v>789</v>
      </c>
      <c r="B659" s="1" t="s">
        <v>66</v>
      </c>
      <c r="C659" s="1">
        <v>481</v>
      </c>
      <c r="D659" s="1">
        <v>25</v>
      </c>
      <c r="E659" s="1">
        <v>13</v>
      </c>
      <c r="F659" s="1">
        <v>2</v>
      </c>
      <c r="G659" s="1">
        <v>29.98</v>
      </c>
      <c r="H659" s="1" t="s">
        <v>149</v>
      </c>
      <c r="I659" s="1" t="s">
        <v>39</v>
      </c>
      <c r="J659" s="1">
        <v>52</v>
      </c>
      <c r="K659" s="1">
        <v>3.91</v>
      </c>
      <c r="L659" s="4">
        <v>95.32</v>
      </c>
      <c r="M659" s="1">
        <v>0.17</v>
      </c>
      <c r="N659" s="1">
        <v>6</v>
      </c>
      <c r="O659" s="1">
        <v>0.94</v>
      </c>
      <c r="P659" s="1">
        <v>419</v>
      </c>
      <c r="Q659" s="1">
        <v>2.58</v>
      </c>
      <c r="R659" s="1">
        <v>0.84</v>
      </c>
      <c r="S659" s="2">
        <v>45441</v>
      </c>
      <c r="T659" s="1">
        <v>291.72000000000003</v>
      </c>
      <c r="U659" s="1">
        <v>0.65300000000000002</v>
      </c>
      <c r="V659" s="6">
        <f t="shared" si="30"/>
        <v>45848.92</v>
      </c>
      <c r="W659" s="6" t="str">
        <f t="shared" si="31"/>
        <v>Sufficient</v>
      </c>
      <c r="X659" s="8" t="str">
        <f t="shared" si="32"/>
        <v>High</v>
      </c>
    </row>
    <row r="660" spans="1:24">
      <c r="A660" s="7" t="s">
        <v>790</v>
      </c>
      <c r="B660" s="1" t="s">
        <v>41</v>
      </c>
      <c r="C660" s="1">
        <v>151</v>
      </c>
      <c r="D660" s="1">
        <v>59</v>
      </c>
      <c r="E660" s="1">
        <v>7</v>
      </c>
      <c r="F660" s="1">
        <v>5</v>
      </c>
      <c r="G660" s="1">
        <v>43.06</v>
      </c>
      <c r="H660" s="1" t="s">
        <v>81</v>
      </c>
      <c r="I660" s="1" t="s">
        <v>31</v>
      </c>
      <c r="J660" s="1">
        <v>64</v>
      </c>
      <c r="K660" s="1">
        <v>4.62</v>
      </c>
      <c r="L660" s="4">
        <v>89.4</v>
      </c>
      <c r="M660" s="1">
        <v>0.8</v>
      </c>
      <c r="N660" s="1">
        <v>0</v>
      </c>
      <c r="O660" s="1">
        <v>0.83</v>
      </c>
      <c r="P660" s="1">
        <v>601</v>
      </c>
      <c r="Q660" s="1">
        <v>13.77</v>
      </c>
      <c r="R660" s="1">
        <v>0.95</v>
      </c>
      <c r="S660" s="2">
        <v>45440</v>
      </c>
      <c r="T660" s="1">
        <v>285.45</v>
      </c>
      <c r="U660" s="1">
        <v>0.86</v>
      </c>
      <c r="V660" s="6">
        <f t="shared" si="30"/>
        <v>13499.400000000001</v>
      </c>
      <c r="W660" s="6" t="str">
        <f t="shared" si="31"/>
        <v>Sufficient</v>
      </c>
      <c r="X660" s="8" t="str">
        <f t="shared" si="32"/>
        <v>Medium</v>
      </c>
    </row>
    <row r="661" spans="1:24">
      <c r="A661" s="7" t="s">
        <v>791</v>
      </c>
      <c r="B661" s="1" t="s">
        <v>66</v>
      </c>
      <c r="C661" s="1">
        <v>298</v>
      </c>
      <c r="D661" s="1">
        <v>52</v>
      </c>
      <c r="E661" s="1">
        <v>3</v>
      </c>
      <c r="F661" s="1">
        <v>2</v>
      </c>
      <c r="G661" s="1">
        <v>24.56</v>
      </c>
      <c r="H661" s="1" t="s">
        <v>85</v>
      </c>
      <c r="I661" s="1" t="s">
        <v>45</v>
      </c>
      <c r="J661" s="1">
        <v>118</v>
      </c>
      <c r="K661" s="1">
        <v>4.7</v>
      </c>
      <c r="L661" s="4">
        <v>44.47</v>
      </c>
      <c r="M661" s="1">
        <v>1.71</v>
      </c>
      <c r="N661" s="1">
        <v>0</v>
      </c>
      <c r="O661" s="1">
        <v>0.89</v>
      </c>
      <c r="P661" s="1">
        <v>956</v>
      </c>
      <c r="Q661" s="1">
        <v>8.9</v>
      </c>
      <c r="R661" s="1">
        <v>0.86</v>
      </c>
      <c r="S661" s="2">
        <v>45585</v>
      </c>
      <c r="T661" s="1">
        <v>265.35000000000002</v>
      </c>
      <c r="U661" s="1">
        <v>0.69799999999999995</v>
      </c>
      <c r="V661" s="6">
        <f t="shared" si="30"/>
        <v>13252.06</v>
      </c>
      <c r="W661" s="6" t="str">
        <f t="shared" si="31"/>
        <v>Sufficient</v>
      </c>
      <c r="X661" s="8" t="str">
        <f t="shared" si="32"/>
        <v>High</v>
      </c>
    </row>
    <row r="662" spans="1:24">
      <c r="A662" s="7" t="s">
        <v>792</v>
      </c>
      <c r="B662" s="1" t="s">
        <v>33</v>
      </c>
      <c r="C662" s="1">
        <v>381</v>
      </c>
      <c r="D662" s="1">
        <v>26</v>
      </c>
      <c r="E662" s="1">
        <v>13</v>
      </c>
      <c r="F662" s="1">
        <v>4</v>
      </c>
      <c r="G662" s="1">
        <v>1.1499999999999999</v>
      </c>
      <c r="H662" s="1" t="s">
        <v>269</v>
      </c>
      <c r="I662" s="1" t="s">
        <v>27</v>
      </c>
      <c r="J662" s="1">
        <v>102</v>
      </c>
      <c r="K662" s="1">
        <v>3.18</v>
      </c>
      <c r="L662" s="4">
        <v>193.71</v>
      </c>
      <c r="M662" s="1">
        <v>0.23</v>
      </c>
      <c r="N662" s="1">
        <v>7</v>
      </c>
      <c r="O662" s="1">
        <v>0.79</v>
      </c>
      <c r="P662" s="1">
        <v>770</v>
      </c>
      <c r="Q662" s="1">
        <v>13.31</v>
      </c>
      <c r="R662" s="1">
        <v>0.22</v>
      </c>
      <c r="S662" s="2">
        <v>45428</v>
      </c>
      <c r="T662" s="1">
        <v>72.17</v>
      </c>
      <c r="U662" s="1">
        <v>0.61599999999999999</v>
      </c>
      <c r="V662" s="6">
        <f t="shared" si="30"/>
        <v>73803.510000000009</v>
      </c>
      <c r="W662" s="6" t="str">
        <f t="shared" si="31"/>
        <v>Sufficient</v>
      </c>
      <c r="X662" s="8" t="str">
        <f t="shared" si="32"/>
        <v>High</v>
      </c>
    </row>
    <row r="663" spans="1:24">
      <c r="A663" s="7" t="s">
        <v>793</v>
      </c>
      <c r="B663" s="1" t="s">
        <v>29</v>
      </c>
      <c r="C663" s="1">
        <v>103</v>
      </c>
      <c r="D663" s="1">
        <v>89</v>
      </c>
      <c r="E663" s="1">
        <v>3</v>
      </c>
      <c r="F663" s="1">
        <v>6</v>
      </c>
      <c r="G663" s="1">
        <v>12.9</v>
      </c>
      <c r="H663" s="1" t="s">
        <v>227</v>
      </c>
      <c r="I663" s="1" t="s">
        <v>27</v>
      </c>
      <c r="J663" s="1">
        <v>172</v>
      </c>
      <c r="K663" s="1">
        <v>2.66</v>
      </c>
      <c r="L663" s="4">
        <v>124.71</v>
      </c>
      <c r="M663" s="1">
        <v>1.1200000000000001</v>
      </c>
      <c r="N663" s="1">
        <v>8</v>
      </c>
      <c r="O663" s="1">
        <v>0.74</v>
      </c>
      <c r="P663" s="1">
        <v>191</v>
      </c>
      <c r="Q663" s="1">
        <v>14.24</v>
      </c>
      <c r="R663" s="1">
        <v>0.48</v>
      </c>
      <c r="S663" s="2">
        <v>45555</v>
      </c>
      <c r="T663" s="1">
        <v>180.43</v>
      </c>
      <c r="U663" s="1">
        <v>0.56200000000000006</v>
      </c>
      <c r="V663" s="6">
        <f t="shared" si="30"/>
        <v>12845.13</v>
      </c>
      <c r="W663" s="6" t="str">
        <f t="shared" si="31"/>
        <v>Sufficient</v>
      </c>
      <c r="X663" s="8" t="str">
        <f t="shared" si="32"/>
        <v>Medium</v>
      </c>
    </row>
    <row r="664" spans="1:24">
      <c r="A664" s="7" t="s">
        <v>794</v>
      </c>
      <c r="B664" s="1" t="s">
        <v>41</v>
      </c>
      <c r="C664" s="1">
        <v>418</v>
      </c>
      <c r="D664" s="1">
        <v>67</v>
      </c>
      <c r="E664" s="1">
        <v>5</v>
      </c>
      <c r="F664" s="1">
        <v>8</v>
      </c>
      <c r="G664" s="1">
        <v>16.86</v>
      </c>
      <c r="H664" s="1" t="s">
        <v>216</v>
      </c>
      <c r="I664" s="1" t="s">
        <v>27</v>
      </c>
      <c r="J664" s="1">
        <v>104</v>
      </c>
      <c r="K664" s="1">
        <v>1.1399999999999999</v>
      </c>
      <c r="L664" s="4">
        <v>164.57</v>
      </c>
      <c r="M664" s="1">
        <v>1.42</v>
      </c>
      <c r="N664" s="1">
        <v>2</v>
      </c>
      <c r="O664" s="1">
        <v>0.9</v>
      </c>
      <c r="P664" s="1">
        <v>819</v>
      </c>
      <c r="Q664" s="1">
        <v>13.02</v>
      </c>
      <c r="R664" s="1">
        <v>0.47</v>
      </c>
      <c r="S664" s="2">
        <v>45639</v>
      </c>
      <c r="T664" s="1">
        <v>165.16</v>
      </c>
      <c r="U664" s="1">
        <v>0.66600000000000004</v>
      </c>
      <c r="V664" s="6">
        <f t="shared" si="30"/>
        <v>68790.259999999995</v>
      </c>
      <c r="W664" s="6" t="str">
        <f t="shared" si="31"/>
        <v>Sufficient</v>
      </c>
      <c r="X664" s="8" t="str">
        <f t="shared" si="32"/>
        <v>High</v>
      </c>
    </row>
    <row r="665" spans="1:24">
      <c r="A665" s="7" t="s">
        <v>795</v>
      </c>
      <c r="B665" s="1" t="s">
        <v>66</v>
      </c>
      <c r="C665" s="1">
        <v>261</v>
      </c>
      <c r="D665" s="1">
        <v>11</v>
      </c>
      <c r="E665" s="1">
        <v>8</v>
      </c>
      <c r="F665" s="1">
        <v>2</v>
      </c>
      <c r="G665" s="1">
        <v>48.33</v>
      </c>
      <c r="H665" s="1" t="s">
        <v>42</v>
      </c>
      <c r="I665" s="1" t="s">
        <v>45</v>
      </c>
      <c r="J665" s="1">
        <v>169</v>
      </c>
      <c r="K665" s="1">
        <v>4.07</v>
      </c>
      <c r="L665" s="4">
        <v>104.27</v>
      </c>
      <c r="M665" s="1">
        <v>1.69</v>
      </c>
      <c r="N665" s="1">
        <v>5</v>
      </c>
      <c r="O665" s="1">
        <v>0.84</v>
      </c>
      <c r="P665" s="1">
        <v>216</v>
      </c>
      <c r="Q665" s="1">
        <v>6.64</v>
      </c>
      <c r="R665" s="1">
        <v>0.38</v>
      </c>
      <c r="S665" s="2">
        <v>45340</v>
      </c>
      <c r="T665" s="1">
        <v>68.900000000000006</v>
      </c>
      <c r="U665" s="1">
        <v>0.46400000000000002</v>
      </c>
      <c r="V665" s="6">
        <f t="shared" si="30"/>
        <v>27214.469999999998</v>
      </c>
      <c r="W665" s="6" t="str">
        <f t="shared" si="31"/>
        <v>Sufficient</v>
      </c>
      <c r="X665" s="8" t="str">
        <f t="shared" si="32"/>
        <v>High</v>
      </c>
    </row>
    <row r="666" spans="1:24">
      <c r="A666" s="7" t="s">
        <v>796</v>
      </c>
      <c r="B666" s="1" t="s">
        <v>33</v>
      </c>
      <c r="C666" s="1">
        <v>135</v>
      </c>
      <c r="D666" s="1">
        <v>13</v>
      </c>
      <c r="E666" s="1">
        <v>3</v>
      </c>
      <c r="F666" s="1">
        <v>7</v>
      </c>
      <c r="G666" s="1">
        <v>45.68</v>
      </c>
      <c r="H666" s="1" t="s">
        <v>233</v>
      </c>
      <c r="I666" s="1" t="s">
        <v>39</v>
      </c>
      <c r="J666" s="1">
        <v>156</v>
      </c>
      <c r="K666" s="1">
        <v>4.75</v>
      </c>
      <c r="L666" s="4">
        <v>147.33000000000001</v>
      </c>
      <c r="M666" s="1">
        <v>1.21</v>
      </c>
      <c r="N666" s="1">
        <v>2</v>
      </c>
      <c r="O666" s="1">
        <v>0.77</v>
      </c>
      <c r="P666" s="1">
        <v>752</v>
      </c>
      <c r="Q666" s="1">
        <v>9.91</v>
      </c>
      <c r="R666" s="1">
        <v>0.84</v>
      </c>
      <c r="S666" s="2">
        <v>45361</v>
      </c>
      <c r="T666" s="1">
        <v>139.86000000000001</v>
      </c>
      <c r="U666" s="1">
        <v>0.69299999999999995</v>
      </c>
      <c r="V666" s="6">
        <f t="shared" si="30"/>
        <v>19889.550000000003</v>
      </c>
      <c r="W666" s="6" t="str">
        <f t="shared" si="31"/>
        <v>Sufficient</v>
      </c>
      <c r="X666" s="8" t="str">
        <f t="shared" si="32"/>
        <v>Medium</v>
      </c>
    </row>
    <row r="667" spans="1:24">
      <c r="A667" s="7" t="s">
        <v>797</v>
      </c>
      <c r="B667" s="1" t="s">
        <v>33</v>
      </c>
      <c r="C667" s="1">
        <v>128</v>
      </c>
      <c r="D667" s="1">
        <v>94</v>
      </c>
      <c r="E667" s="1">
        <v>13</v>
      </c>
      <c r="F667" s="1">
        <v>9</v>
      </c>
      <c r="G667" s="1">
        <v>47.51</v>
      </c>
      <c r="H667" s="1" t="s">
        <v>83</v>
      </c>
      <c r="I667" s="1" t="s">
        <v>39</v>
      </c>
      <c r="J667" s="1">
        <v>104</v>
      </c>
      <c r="K667" s="1">
        <v>4.5</v>
      </c>
      <c r="L667" s="4">
        <v>194.26</v>
      </c>
      <c r="M667" s="1">
        <v>0.45</v>
      </c>
      <c r="N667" s="1">
        <v>5</v>
      </c>
      <c r="O667" s="1">
        <v>0.74</v>
      </c>
      <c r="P667" s="1">
        <v>368</v>
      </c>
      <c r="Q667" s="1">
        <v>7.51</v>
      </c>
      <c r="R667" s="1">
        <v>0.62</v>
      </c>
      <c r="S667" s="2">
        <v>45502</v>
      </c>
      <c r="T667" s="1">
        <v>144.88999999999999</v>
      </c>
      <c r="U667" s="1">
        <v>0.627</v>
      </c>
      <c r="V667" s="6">
        <f t="shared" si="30"/>
        <v>24865.279999999999</v>
      </c>
      <c r="W667" s="6" t="str">
        <f t="shared" si="31"/>
        <v>Sufficient</v>
      </c>
      <c r="X667" s="8" t="str">
        <f t="shared" si="32"/>
        <v>Medium</v>
      </c>
    </row>
    <row r="668" spans="1:24">
      <c r="A668" s="7" t="s">
        <v>798</v>
      </c>
      <c r="B668" s="1" t="s">
        <v>66</v>
      </c>
      <c r="C668" s="1">
        <v>240</v>
      </c>
      <c r="D668" s="1">
        <v>48</v>
      </c>
      <c r="E668" s="1">
        <v>14</v>
      </c>
      <c r="F668" s="1">
        <v>7</v>
      </c>
      <c r="G668" s="1">
        <v>41.46</v>
      </c>
      <c r="H668" s="1" t="s">
        <v>200</v>
      </c>
      <c r="I668" s="1" t="s">
        <v>39</v>
      </c>
      <c r="J668" s="1">
        <v>176</v>
      </c>
      <c r="K668" s="1">
        <v>3.88</v>
      </c>
      <c r="L668" s="4">
        <v>76.2</v>
      </c>
      <c r="M668" s="1">
        <v>1.93</v>
      </c>
      <c r="N668" s="1">
        <v>6</v>
      </c>
      <c r="O668" s="1">
        <v>0.87</v>
      </c>
      <c r="P668" s="1">
        <v>680</v>
      </c>
      <c r="Q668" s="1">
        <v>6.13</v>
      </c>
      <c r="R668" s="1">
        <v>0.87</v>
      </c>
      <c r="S668" s="2">
        <v>45322</v>
      </c>
      <c r="T668" s="1">
        <v>79.78</v>
      </c>
      <c r="U668" s="1">
        <v>0.51700000000000002</v>
      </c>
      <c r="V668" s="6">
        <f t="shared" si="30"/>
        <v>18288</v>
      </c>
      <c r="W668" s="6" t="str">
        <f t="shared" si="31"/>
        <v>Sufficient</v>
      </c>
      <c r="X668" s="8" t="str">
        <f t="shared" si="32"/>
        <v>Medium</v>
      </c>
    </row>
    <row r="669" spans="1:24">
      <c r="A669" s="7" t="s">
        <v>799</v>
      </c>
      <c r="B669" s="1" t="s">
        <v>29</v>
      </c>
      <c r="C669" s="1">
        <v>411</v>
      </c>
      <c r="D669" s="1">
        <v>15</v>
      </c>
      <c r="E669" s="1">
        <v>4</v>
      </c>
      <c r="F669" s="1">
        <v>2</v>
      </c>
      <c r="G669" s="1">
        <v>18.23</v>
      </c>
      <c r="H669" s="1" t="s">
        <v>95</v>
      </c>
      <c r="I669" s="1" t="s">
        <v>39</v>
      </c>
      <c r="J669" s="1">
        <v>157</v>
      </c>
      <c r="K669" s="1">
        <v>0.52</v>
      </c>
      <c r="L669" s="4">
        <v>105.81</v>
      </c>
      <c r="M669" s="1">
        <v>0.28000000000000003</v>
      </c>
      <c r="N669" s="1">
        <v>4</v>
      </c>
      <c r="O669" s="1">
        <v>0.92</v>
      </c>
      <c r="P669" s="1">
        <v>707</v>
      </c>
      <c r="Q669" s="1">
        <v>4.51</v>
      </c>
      <c r="R669" s="1">
        <v>0.68</v>
      </c>
      <c r="S669" s="2">
        <v>45433</v>
      </c>
      <c r="T669" s="1">
        <v>286.92</v>
      </c>
      <c r="U669" s="1">
        <v>0.67200000000000004</v>
      </c>
      <c r="V669" s="6">
        <f t="shared" si="30"/>
        <v>43487.91</v>
      </c>
      <c r="W669" s="6" t="str">
        <f t="shared" si="31"/>
        <v>Sufficient</v>
      </c>
      <c r="X669" s="8" t="str">
        <f t="shared" si="32"/>
        <v>High</v>
      </c>
    </row>
    <row r="670" spans="1:24">
      <c r="A670" s="7" t="s">
        <v>800</v>
      </c>
      <c r="B670" s="1" t="s">
        <v>66</v>
      </c>
      <c r="C670" s="1">
        <v>60</v>
      </c>
      <c r="D670" s="1">
        <v>90</v>
      </c>
      <c r="E670" s="1">
        <v>14</v>
      </c>
      <c r="F670" s="1">
        <v>2</v>
      </c>
      <c r="G670" s="1">
        <v>45.39</v>
      </c>
      <c r="H670" s="1" t="s">
        <v>256</v>
      </c>
      <c r="I670" s="1" t="s">
        <v>39</v>
      </c>
      <c r="J670" s="1">
        <v>37</v>
      </c>
      <c r="K670" s="1">
        <v>2.33</v>
      </c>
      <c r="L670" s="4">
        <v>107.76</v>
      </c>
      <c r="M670" s="1">
        <v>1.56</v>
      </c>
      <c r="N670" s="1">
        <v>2</v>
      </c>
      <c r="O670" s="1">
        <v>0.79</v>
      </c>
      <c r="P670" s="1">
        <v>911</v>
      </c>
      <c r="Q670" s="1">
        <v>7.18</v>
      </c>
      <c r="R670" s="1">
        <v>0.67</v>
      </c>
      <c r="S670" s="2">
        <v>45627</v>
      </c>
      <c r="T670" s="1">
        <v>152.88999999999999</v>
      </c>
      <c r="U670" s="1">
        <v>0.59199999999999997</v>
      </c>
      <c r="V670" s="6">
        <f t="shared" si="30"/>
        <v>6465.6</v>
      </c>
      <c r="W670" s="6" t="str">
        <f t="shared" si="31"/>
        <v>Reorder Required</v>
      </c>
      <c r="X670" s="8" t="str">
        <f t="shared" si="32"/>
        <v>LOW</v>
      </c>
    </row>
    <row r="671" spans="1:24">
      <c r="A671" s="7" t="s">
        <v>801</v>
      </c>
      <c r="B671" s="1" t="s">
        <v>41</v>
      </c>
      <c r="C671" s="1">
        <v>387</v>
      </c>
      <c r="D671" s="1">
        <v>98</v>
      </c>
      <c r="E671" s="1">
        <v>9</v>
      </c>
      <c r="F671" s="1">
        <v>4</v>
      </c>
      <c r="G671" s="1">
        <v>49.1</v>
      </c>
      <c r="H671" s="1" t="s">
        <v>159</v>
      </c>
      <c r="I671" s="1" t="s">
        <v>31</v>
      </c>
      <c r="J671" s="1">
        <v>12</v>
      </c>
      <c r="K671" s="1">
        <v>2.35</v>
      </c>
      <c r="L671" s="4">
        <v>198.48</v>
      </c>
      <c r="M671" s="1">
        <v>0.26</v>
      </c>
      <c r="N671" s="1">
        <v>7</v>
      </c>
      <c r="O671" s="1">
        <v>0.92</v>
      </c>
      <c r="P671" s="1">
        <v>384</v>
      </c>
      <c r="Q671" s="1">
        <v>12.28</v>
      </c>
      <c r="R671" s="1">
        <v>0.51</v>
      </c>
      <c r="S671" s="2">
        <v>45356</v>
      </c>
      <c r="T671" s="1">
        <v>162.22</v>
      </c>
      <c r="U671" s="1">
        <v>0.68400000000000005</v>
      </c>
      <c r="V671" s="6">
        <f t="shared" si="30"/>
        <v>76811.759999999995</v>
      </c>
      <c r="W671" s="6" t="str">
        <f t="shared" si="31"/>
        <v>Sufficient</v>
      </c>
      <c r="X671" s="8" t="str">
        <f t="shared" si="32"/>
        <v>High</v>
      </c>
    </row>
    <row r="672" spans="1:24">
      <c r="A672" s="7" t="s">
        <v>802</v>
      </c>
      <c r="B672" s="1" t="s">
        <v>66</v>
      </c>
      <c r="C672" s="1">
        <v>166</v>
      </c>
      <c r="D672" s="1">
        <v>78</v>
      </c>
      <c r="E672" s="1">
        <v>3</v>
      </c>
      <c r="F672" s="1">
        <v>2</v>
      </c>
      <c r="G672" s="1">
        <v>18.149999999999999</v>
      </c>
      <c r="H672" s="1" t="s">
        <v>50</v>
      </c>
      <c r="I672" s="1" t="s">
        <v>27</v>
      </c>
      <c r="J672" s="1">
        <v>169</v>
      </c>
      <c r="K672" s="1">
        <v>4.5199999999999996</v>
      </c>
      <c r="L672" s="4">
        <v>54.29</v>
      </c>
      <c r="M672" s="1">
        <v>0.37</v>
      </c>
      <c r="N672" s="1">
        <v>4</v>
      </c>
      <c r="O672" s="1">
        <v>0.75</v>
      </c>
      <c r="P672" s="1">
        <v>523</v>
      </c>
      <c r="Q672" s="1">
        <v>12.82</v>
      </c>
      <c r="R672" s="1">
        <v>0.83</v>
      </c>
      <c r="S672" s="2">
        <v>45651</v>
      </c>
      <c r="T672" s="1">
        <v>183.59</v>
      </c>
      <c r="U672" s="1">
        <v>0.77</v>
      </c>
      <c r="V672" s="6">
        <f t="shared" si="30"/>
        <v>9012.14</v>
      </c>
      <c r="W672" s="6" t="str">
        <f t="shared" si="31"/>
        <v>Sufficient</v>
      </c>
      <c r="X672" s="8" t="str">
        <f t="shared" si="32"/>
        <v>Medium</v>
      </c>
    </row>
    <row r="673" spans="1:24">
      <c r="A673" s="7" t="s">
        <v>803</v>
      </c>
      <c r="B673" s="1" t="s">
        <v>33</v>
      </c>
      <c r="C673" s="1">
        <v>131</v>
      </c>
      <c r="D673" s="1">
        <v>78</v>
      </c>
      <c r="E673" s="1">
        <v>9</v>
      </c>
      <c r="F673" s="1">
        <v>2</v>
      </c>
      <c r="G673" s="1">
        <v>13.77</v>
      </c>
      <c r="H673" s="1" t="s">
        <v>208</v>
      </c>
      <c r="I673" s="1" t="s">
        <v>27</v>
      </c>
      <c r="J673" s="1">
        <v>95</v>
      </c>
      <c r="K673" s="1">
        <v>0.8</v>
      </c>
      <c r="L673" s="4">
        <v>138.31</v>
      </c>
      <c r="M673" s="1">
        <v>1.81</v>
      </c>
      <c r="N673" s="1">
        <v>0</v>
      </c>
      <c r="O673" s="1">
        <v>0.8</v>
      </c>
      <c r="P673" s="1">
        <v>690</v>
      </c>
      <c r="Q673" s="1">
        <v>14.41</v>
      </c>
      <c r="R673" s="1">
        <v>0.75</v>
      </c>
      <c r="S673" s="2">
        <v>45359</v>
      </c>
      <c r="T673" s="1">
        <v>267.22000000000003</v>
      </c>
      <c r="U673" s="1">
        <v>0.72099999999999997</v>
      </c>
      <c r="V673" s="6">
        <f t="shared" si="30"/>
        <v>18118.61</v>
      </c>
      <c r="W673" s="6" t="str">
        <f t="shared" si="31"/>
        <v>Sufficient</v>
      </c>
      <c r="X673" s="8" t="str">
        <f t="shared" si="32"/>
        <v>Medium</v>
      </c>
    </row>
    <row r="674" spans="1:24">
      <c r="A674" s="7" t="s">
        <v>804</v>
      </c>
      <c r="B674" s="1" t="s">
        <v>66</v>
      </c>
      <c r="C674" s="1">
        <v>122</v>
      </c>
      <c r="D674" s="1">
        <v>29</v>
      </c>
      <c r="E674" s="1">
        <v>6</v>
      </c>
      <c r="F674" s="1">
        <v>6</v>
      </c>
      <c r="G674" s="1">
        <v>27.8</v>
      </c>
      <c r="H674" s="1" t="s">
        <v>61</v>
      </c>
      <c r="I674" s="1" t="s">
        <v>45</v>
      </c>
      <c r="J674" s="1">
        <v>117</v>
      </c>
      <c r="K674" s="1">
        <v>2.89</v>
      </c>
      <c r="L674" s="4">
        <v>36.26</v>
      </c>
      <c r="M674" s="1">
        <v>1.53</v>
      </c>
      <c r="N674" s="1">
        <v>8</v>
      </c>
      <c r="O674" s="1">
        <v>0.92</v>
      </c>
      <c r="P674" s="1">
        <v>194</v>
      </c>
      <c r="Q674" s="1">
        <v>5.07</v>
      </c>
      <c r="R674" s="1">
        <v>0.47</v>
      </c>
      <c r="S674" s="2">
        <v>45419</v>
      </c>
      <c r="T674" s="1">
        <v>164.66</v>
      </c>
      <c r="U674" s="1">
        <v>0.433</v>
      </c>
      <c r="V674" s="6">
        <f t="shared" si="30"/>
        <v>4423.7199999999993</v>
      </c>
      <c r="W674" s="6" t="str">
        <f t="shared" si="31"/>
        <v>Sufficient</v>
      </c>
      <c r="X674" s="8" t="str">
        <f t="shared" si="32"/>
        <v>Medium</v>
      </c>
    </row>
    <row r="675" spans="1:24">
      <c r="A675" s="7" t="s">
        <v>805</v>
      </c>
      <c r="B675" s="1" t="s">
        <v>29</v>
      </c>
      <c r="C675" s="1">
        <v>65</v>
      </c>
      <c r="D675" s="1">
        <v>73</v>
      </c>
      <c r="E675" s="1">
        <v>12</v>
      </c>
      <c r="F675" s="1">
        <v>7</v>
      </c>
      <c r="G675" s="1">
        <v>10.17</v>
      </c>
      <c r="H675" s="1" t="s">
        <v>44</v>
      </c>
      <c r="I675" s="1" t="s">
        <v>31</v>
      </c>
      <c r="J675" s="1">
        <v>179</v>
      </c>
      <c r="K675" s="1">
        <v>1.1100000000000001</v>
      </c>
      <c r="L675" s="4">
        <v>186.14</v>
      </c>
      <c r="M675" s="1">
        <v>0.79</v>
      </c>
      <c r="N675" s="1">
        <v>2</v>
      </c>
      <c r="O675" s="1">
        <v>0.9</v>
      </c>
      <c r="P675" s="1">
        <v>103</v>
      </c>
      <c r="Q675" s="1">
        <v>10.11</v>
      </c>
      <c r="R675" s="1">
        <v>0.99</v>
      </c>
      <c r="S675" s="2">
        <v>45366</v>
      </c>
      <c r="T675" s="1">
        <v>166.88</v>
      </c>
      <c r="U675" s="1">
        <v>0.79400000000000004</v>
      </c>
      <c r="V675" s="6">
        <f t="shared" si="30"/>
        <v>12099.099999999999</v>
      </c>
      <c r="W675" s="6" t="str">
        <f t="shared" si="31"/>
        <v>Reorder Required</v>
      </c>
      <c r="X675" s="8" t="str">
        <f t="shared" si="32"/>
        <v>LOW</v>
      </c>
    </row>
    <row r="676" spans="1:24">
      <c r="A676" s="7" t="s">
        <v>806</v>
      </c>
      <c r="B676" s="1" t="s">
        <v>25</v>
      </c>
      <c r="C676" s="1">
        <v>431</v>
      </c>
      <c r="D676" s="1">
        <v>25</v>
      </c>
      <c r="E676" s="1">
        <v>8</v>
      </c>
      <c r="F676" s="1">
        <v>4</v>
      </c>
      <c r="G676" s="1">
        <v>2.6</v>
      </c>
      <c r="H676" s="1" t="s">
        <v>304</v>
      </c>
      <c r="I676" s="1" t="s">
        <v>39</v>
      </c>
      <c r="J676" s="1">
        <v>126</v>
      </c>
      <c r="K676" s="1">
        <v>3.48</v>
      </c>
      <c r="L676" s="4">
        <v>122.17</v>
      </c>
      <c r="M676" s="1">
        <v>1.31</v>
      </c>
      <c r="N676" s="1">
        <v>1</v>
      </c>
      <c r="O676" s="1">
        <v>0.78</v>
      </c>
      <c r="P676" s="1">
        <v>171</v>
      </c>
      <c r="Q676" s="1">
        <v>10.71</v>
      </c>
      <c r="R676" s="1">
        <v>0.56999999999999995</v>
      </c>
      <c r="S676" s="2">
        <v>45656</v>
      </c>
      <c r="T676" s="1">
        <v>79.66</v>
      </c>
      <c r="U676" s="1">
        <v>0.66200000000000003</v>
      </c>
      <c r="V676" s="6">
        <f t="shared" si="30"/>
        <v>52655.270000000004</v>
      </c>
      <c r="W676" s="6" t="str">
        <f t="shared" si="31"/>
        <v>Sufficient</v>
      </c>
      <c r="X676" s="8" t="str">
        <f t="shared" si="32"/>
        <v>High</v>
      </c>
    </row>
    <row r="677" spans="1:24">
      <c r="A677" s="7" t="s">
        <v>807</v>
      </c>
      <c r="B677" s="1" t="s">
        <v>66</v>
      </c>
      <c r="C677" s="1">
        <v>494</v>
      </c>
      <c r="D677" s="1">
        <v>60</v>
      </c>
      <c r="E677" s="1">
        <v>10</v>
      </c>
      <c r="F677" s="1">
        <v>7</v>
      </c>
      <c r="G677" s="1">
        <v>47.35</v>
      </c>
      <c r="H677" s="1" t="s">
        <v>85</v>
      </c>
      <c r="I677" s="1" t="s">
        <v>39</v>
      </c>
      <c r="J677" s="1">
        <v>117</v>
      </c>
      <c r="K677" s="1">
        <v>4.07</v>
      </c>
      <c r="L677" s="4">
        <v>173.29</v>
      </c>
      <c r="M677" s="1">
        <v>0.97</v>
      </c>
      <c r="N677" s="1">
        <v>2</v>
      </c>
      <c r="O677" s="1">
        <v>0.74</v>
      </c>
      <c r="P677" s="1">
        <v>173</v>
      </c>
      <c r="Q677" s="1">
        <v>3.68</v>
      </c>
      <c r="R677" s="1">
        <v>0.45</v>
      </c>
      <c r="S677" s="2">
        <v>45456</v>
      </c>
      <c r="T677" s="1">
        <v>184.82</v>
      </c>
      <c r="U677" s="1">
        <v>0.55000000000000004</v>
      </c>
      <c r="V677" s="6">
        <f t="shared" si="30"/>
        <v>85605.26</v>
      </c>
      <c r="W677" s="6" t="str">
        <f t="shared" si="31"/>
        <v>Sufficient</v>
      </c>
      <c r="X677" s="8" t="str">
        <f t="shared" si="32"/>
        <v>High</v>
      </c>
    </row>
    <row r="678" spans="1:24">
      <c r="A678" s="7" t="s">
        <v>808</v>
      </c>
      <c r="B678" s="1" t="s">
        <v>29</v>
      </c>
      <c r="C678" s="1">
        <v>343</v>
      </c>
      <c r="D678" s="1">
        <v>46</v>
      </c>
      <c r="E678" s="1">
        <v>11</v>
      </c>
      <c r="F678" s="1">
        <v>4</v>
      </c>
      <c r="G678" s="1">
        <v>46.36</v>
      </c>
      <c r="H678" s="1" t="s">
        <v>372</v>
      </c>
      <c r="I678" s="1" t="s">
        <v>39</v>
      </c>
      <c r="J678" s="1">
        <v>24</v>
      </c>
      <c r="K678" s="1">
        <v>3.39</v>
      </c>
      <c r="L678" s="4">
        <v>180.1</v>
      </c>
      <c r="M678" s="1">
        <v>0.23</v>
      </c>
      <c r="N678" s="1">
        <v>6</v>
      </c>
      <c r="O678" s="1">
        <v>0.71</v>
      </c>
      <c r="P678" s="1">
        <v>216</v>
      </c>
      <c r="Q678" s="1">
        <v>6.14</v>
      </c>
      <c r="R678" s="1">
        <v>0.75</v>
      </c>
      <c r="S678" s="2">
        <v>45418</v>
      </c>
      <c r="T678" s="1">
        <v>120.53</v>
      </c>
      <c r="U678" s="1">
        <v>0.63100000000000001</v>
      </c>
      <c r="V678" s="6">
        <f t="shared" si="30"/>
        <v>61774.299999999996</v>
      </c>
      <c r="W678" s="6" t="str">
        <f t="shared" si="31"/>
        <v>Sufficient</v>
      </c>
      <c r="X678" s="8" t="str">
        <f t="shared" si="32"/>
        <v>High</v>
      </c>
    </row>
    <row r="679" spans="1:24">
      <c r="A679" s="7" t="s">
        <v>809</v>
      </c>
      <c r="B679" s="1" t="s">
        <v>29</v>
      </c>
      <c r="C679" s="1">
        <v>397</v>
      </c>
      <c r="D679" s="1">
        <v>82</v>
      </c>
      <c r="E679" s="1">
        <v>8</v>
      </c>
      <c r="F679" s="1">
        <v>7</v>
      </c>
      <c r="G679" s="1">
        <v>8.9700000000000006</v>
      </c>
      <c r="H679" s="1" t="s">
        <v>195</v>
      </c>
      <c r="I679" s="1" t="s">
        <v>31</v>
      </c>
      <c r="J679" s="1">
        <v>71</v>
      </c>
      <c r="K679" s="1">
        <v>4.08</v>
      </c>
      <c r="L679" s="4">
        <v>115.85</v>
      </c>
      <c r="M679" s="1">
        <v>1.47</v>
      </c>
      <c r="N679" s="1">
        <v>9</v>
      </c>
      <c r="O679" s="1">
        <v>0.95</v>
      </c>
      <c r="P679" s="1">
        <v>993</v>
      </c>
      <c r="Q679" s="1">
        <v>5.79</v>
      </c>
      <c r="R679" s="1">
        <v>0.38</v>
      </c>
      <c r="S679" s="2">
        <v>45638</v>
      </c>
      <c r="T679" s="1">
        <v>197.57</v>
      </c>
      <c r="U679" s="1">
        <v>0.41599999999999998</v>
      </c>
      <c r="V679" s="6">
        <f t="shared" si="30"/>
        <v>45992.45</v>
      </c>
      <c r="W679" s="6" t="str">
        <f t="shared" si="31"/>
        <v>Sufficient</v>
      </c>
      <c r="X679" s="8" t="str">
        <f t="shared" si="32"/>
        <v>High</v>
      </c>
    </row>
    <row r="680" spans="1:24">
      <c r="A680" s="7" t="s">
        <v>810</v>
      </c>
      <c r="B680" s="1" t="s">
        <v>33</v>
      </c>
      <c r="C680" s="1">
        <v>290</v>
      </c>
      <c r="D680" s="1">
        <v>78</v>
      </c>
      <c r="E680" s="1">
        <v>14</v>
      </c>
      <c r="F680" s="1">
        <v>2</v>
      </c>
      <c r="G680" s="1">
        <v>20.98</v>
      </c>
      <c r="H680" s="1" t="s">
        <v>258</v>
      </c>
      <c r="I680" s="1" t="s">
        <v>45</v>
      </c>
      <c r="J680" s="1">
        <v>40</v>
      </c>
      <c r="K680" s="1">
        <v>3.23</v>
      </c>
      <c r="L680" s="4">
        <v>139.58000000000001</v>
      </c>
      <c r="M680" s="1">
        <v>1.55</v>
      </c>
      <c r="N680" s="1">
        <v>7</v>
      </c>
      <c r="O680" s="1">
        <v>0.72</v>
      </c>
      <c r="P680" s="1">
        <v>883</v>
      </c>
      <c r="Q680" s="1">
        <v>14.8</v>
      </c>
      <c r="R680" s="1">
        <v>0.86</v>
      </c>
      <c r="S680" s="2">
        <v>45493</v>
      </c>
      <c r="T680" s="1">
        <v>97.22</v>
      </c>
      <c r="U680" s="1">
        <v>0.61799999999999999</v>
      </c>
      <c r="V680" s="6">
        <f t="shared" si="30"/>
        <v>40478.200000000004</v>
      </c>
      <c r="W680" s="6" t="str">
        <f t="shared" si="31"/>
        <v>Sufficient</v>
      </c>
      <c r="X680" s="8" t="str">
        <f t="shared" si="32"/>
        <v>High</v>
      </c>
    </row>
    <row r="681" spans="1:24">
      <c r="A681" s="7" t="s">
        <v>811</v>
      </c>
      <c r="B681" s="1" t="s">
        <v>29</v>
      </c>
      <c r="C681" s="1">
        <v>440</v>
      </c>
      <c r="D681" s="1">
        <v>51</v>
      </c>
      <c r="E681" s="1">
        <v>13</v>
      </c>
      <c r="F681" s="1">
        <v>7</v>
      </c>
      <c r="G681" s="1">
        <v>41.72</v>
      </c>
      <c r="H681" s="1" t="s">
        <v>77</v>
      </c>
      <c r="I681" s="1" t="s">
        <v>31</v>
      </c>
      <c r="J681" s="1">
        <v>35</v>
      </c>
      <c r="K681" s="1">
        <v>1.35</v>
      </c>
      <c r="L681" s="4">
        <v>142.76</v>
      </c>
      <c r="M681" s="1">
        <v>1.78</v>
      </c>
      <c r="N681" s="1">
        <v>1</v>
      </c>
      <c r="O681" s="1">
        <v>0.73</v>
      </c>
      <c r="P681" s="1">
        <v>704</v>
      </c>
      <c r="Q681" s="1">
        <v>14.42</v>
      </c>
      <c r="R681" s="1">
        <v>0.74</v>
      </c>
      <c r="S681" s="2">
        <v>45542</v>
      </c>
      <c r="T681" s="1">
        <v>217.56</v>
      </c>
      <c r="U681" s="1">
        <v>0.68799999999999994</v>
      </c>
      <c r="V681" s="6">
        <f t="shared" si="30"/>
        <v>62814.399999999994</v>
      </c>
      <c r="W681" s="6" t="str">
        <f t="shared" si="31"/>
        <v>Sufficient</v>
      </c>
      <c r="X681" s="8" t="str">
        <f t="shared" si="32"/>
        <v>High</v>
      </c>
    </row>
    <row r="682" spans="1:24">
      <c r="A682" s="7" t="s">
        <v>812</v>
      </c>
      <c r="B682" s="1" t="s">
        <v>29</v>
      </c>
      <c r="C682" s="1">
        <v>404</v>
      </c>
      <c r="D682" s="1">
        <v>66</v>
      </c>
      <c r="E682" s="1">
        <v>11</v>
      </c>
      <c r="F682" s="1">
        <v>7</v>
      </c>
      <c r="G682" s="1">
        <v>33.39</v>
      </c>
      <c r="H682" s="1" t="s">
        <v>42</v>
      </c>
      <c r="I682" s="1" t="s">
        <v>45</v>
      </c>
      <c r="J682" s="1">
        <v>157</v>
      </c>
      <c r="K682" s="1">
        <v>2.2200000000000002</v>
      </c>
      <c r="L682" s="4">
        <v>97.49</v>
      </c>
      <c r="M682" s="1">
        <v>1.1299999999999999</v>
      </c>
      <c r="N682" s="1">
        <v>6</v>
      </c>
      <c r="O682" s="1">
        <v>0.77</v>
      </c>
      <c r="P682" s="1">
        <v>71</v>
      </c>
      <c r="Q682" s="1">
        <v>12.5</v>
      </c>
      <c r="R682" s="1">
        <v>0.9</v>
      </c>
      <c r="S682" s="2">
        <v>45364</v>
      </c>
      <c r="T682" s="1">
        <v>189.48</v>
      </c>
      <c r="U682" s="1">
        <v>0.66800000000000004</v>
      </c>
      <c r="V682" s="6">
        <f t="shared" si="30"/>
        <v>39385.96</v>
      </c>
      <c r="W682" s="6" t="str">
        <f t="shared" si="31"/>
        <v>Sufficient</v>
      </c>
      <c r="X682" s="8" t="str">
        <f t="shared" si="32"/>
        <v>High</v>
      </c>
    </row>
    <row r="683" spans="1:24">
      <c r="A683" s="7" t="s">
        <v>813</v>
      </c>
      <c r="B683" s="1" t="s">
        <v>29</v>
      </c>
      <c r="C683" s="1">
        <v>214</v>
      </c>
      <c r="D683" s="1">
        <v>75</v>
      </c>
      <c r="E683" s="1">
        <v>6</v>
      </c>
      <c r="F683" s="1">
        <v>4</v>
      </c>
      <c r="G683" s="1">
        <v>20.34</v>
      </c>
      <c r="H683" s="1" t="s">
        <v>132</v>
      </c>
      <c r="I683" s="1" t="s">
        <v>27</v>
      </c>
      <c r="J683" s="1">
        <v>75</v>
      </c>
      <c r="K683" s="1">
        <v>4.8099999999999996</v>
      </c>
      <c r="L683" s="4">
        <v>92.62</v>
      </c>
      <c r="M683" s="1">
        <v>1.38</v>
      </c>
      <c r="N683" s="1">
        <v>4</v>
      </c>
      <c r="O683" s="1">
        <v>0.83</v>
      </c>
      <c r="P683" s="1">
        <v>325</v>
      </c>
      <c r="Q683" s="1">
        <v>7.62</v>
      </c>
      <c r="R683" s="1">
        <v>0.46</v>
      </c>
      <c r="S683" s="2">
        <v>45587</v>
      </c>
      <c r="T683" s="1">
        <v>147.6</v>
      </c>
      <c r="U683" s="1">
        <v>0.54200000000000004</v>
      </c>
      <c r="V683" s="6">
        <f t="shared" si="30"/>
        <v>19820.68</v>
      </c>
      <c r="W683" s="6" t="str">
        <f t="shared" si="31"/>
        <v>Sufficient</v>
      </c>
      <c r="X683" s="8" t="str">
        <f t="shared" si="32"/>
        <v>Medium</v>
      </c>
    </row>
    <row r="684" spans="1:24">
      <c r="A684" s="7" t="s">
        <v>814</v>
      </c>
      <c r="B684" s="1" t="s">
        <v>29</v>
      </c>
      <c r="C684" s="1">
        <v>386</v>
      </c>
      <c r="D684" s="1">
        <v>18</v>
      </c>
      <c r="E684" s="1">
        <v>8</v>
      </c>
      <c r="F684" s="1">
        <v>8</v>
      </c>
      <c r="G684" s="1">
        <v>37.46</v>
      </c>
      <c r="H684" s="1" t="s">
        <v>128</v>
      </c>
      <c r="I684" s="1" t="s">
        <v>45</v>
      </c>
      <c r="J684" s="1">
        <v>158</v>
      </c>
      <c r="K684" s="1">
        <v>1.8</v>
      </c>
      <c r="L684" s="4">
        <v>45.38</v>
      </c>
      <c r="M684" s="1">
        <v>0.93</v>
      </c>
      <c r="N684" s="1">
        <v>8</v>
      </c>
      <c r="O684" s="1">
        <v>0.94</v>
      </c>
      <c r="P684" s="1">
        <v>910</v>
      </c>
      <c r="Q684" s="1">
        <v>4.7</v>
      </c>
      <c r="R684" s="1">
        <v>0.88</v>
      </c>
      <c r="S684" s="2">
        <v>45615</v>
      </c>
      <c r="T684" s="1">
        <v>38.04</v>
      </c>
      <c r="U684" s="1">
        <v>0.57399999999999995</v>
      </c>
      <c r="V684" s="6">
        <f t="shared" si="30"/>
        <v>17516.68</v>
      </c>
      <c r="W684" s="6" t="str">
        <f t="shared" si="31"/>
        <v>Sufficient</v>
      </c>
      <c r="X684" s="8" t="str">
        <f t="shared" si="32"/>
        <v>High</v>
      </c>
    </row>
    <row r="685" spans="1:24">
      <c r="A685" s="7" t="s">
        <v>815</v>
      </c>
      <c r="B685" s="1" t="s">
        <v>41</v>
      </c>
      <c r="C685" s="1">
        <v>299</v>
      </c>
      <c r="D685" s="1">
        <v>95</v>
      </c>
      <c r="E685" s="1">
        <v>10</v>
      </c>
      <c r="F685" s="1">
        <v>3</v>
      </c>
      <c r="G685" s="1">
        <v>44.96</v>
      </c>
      <c r="H685" s="1" t="s">
        <v>47</v>
      </c>
      <c r="I685" s="1" t="s">
        <v>27</v>
      </c>
      <c r="J685" s="1">
        <v>124</v>
      </c>
      <c r="K685" s="1">
        <v>0.78</v>
      </c>
      <c r="L685" s="4">
        <v>82.94</v>
      </c>
      <c r="M685" s="1">
        <v>0.71</v>
      </c>
      <c r="N685" s="1">
        <v>6</v>
      </c>
      <c r="O685" s="1">
        <v>0.77</v>
      </c>
      <c r="P685" s="1">
        <v>988</v>
      </c>
      <c r="Q685" s="1">
        <v>13.82</v>
      </c>
      <c r="R685" s="1">
        <v>0.6</v>
      </c>
      <c r="S685" s="2">
        <v>45429</v>
      </c>
      <c r="T685" s="1">
        <v>191.82</v>
      </c>
      <c r="U685" s="1">
        <v>0.66700000000000004</v>
      </c>
      <c r="V685" s="6">
        <f t="shared" si="30"/>
        <v>24799.059999999998</v>
      </c>
      <c r="W685" s="6" t="str">
        <f t="shared" si="31"/>
        <v>Sufficient</v>
      </c>
      <c r="X685" s="8" t="str">
        <f t="shared" si="32"/>
        <v>High</v>
      </c>
    </row>
    <row r="686" spans="1:24">
      <c r="A686" s="7" t="s">
        <v>816</v>
      </c>
      <c r="B686" s="1" t="s">
        <v>41</v>
      </c>
      <c r="C686" s="1">
        <v>302</v>
      </c>
      <c r="D686" s="1">
        <v>73</v>
      </c>
      <c r="E686" s="1">
        <v>11</v>
      </c>
      <c r="F686" s="1">
        <v>4</v>
      </c>
      <c r="G686" s="1">
        <v>46.38</v>
      </c>
      <c r="H686" s="1" t="s">
        <v>195</v>
      </c>
      <c r="I686" s="1" t="s">
        <v>45</v>
      </c>
      <c r="J686" s="1">
        <v>69</v>
      </c>
      <c r="K686" s="1">
        <v>2.23</v>
      </c>
      <c r="L686" s="4">
        <v>198.24</v>
      </c>
      <c r="M686" s="1">
        <v>0.88</v>
      </c>
      <c r="N686" s="1">
        <v>0</v>
      </c>
      <c r="O686" s="1">
        <v>0.86</v>
      </c>
      <c r="P686" s="1">
        <v>457</v>
      </c>
      <c r="Q686" s="1">
        <v>4.75</v>
      </c>
      <c r="R686" s="1">
        <v>0.25</v>
      </c>
      <c r="S686" s="2">
        <v>45613</v>
      </c>
      <c r="T686" s="1">
        <v>259.19</v>
      </c>
      <c r="U686" s="1">
        <v>0.59699999999999998</v>
      </c>
      <c r="V686" s="6">
        <f t="shared" si="30"/>
        <v>59868.480000000003</v>
      </c>
      <c r="W686" s="6" t="str">
        <f t="shared" si="31"/>
        <v>Sufficient</v>
      </c>
      <c r="X686" s="8" t="str">
        <f t="shared" si="32"/>
        <v>High</v>
      </c>
    </row>
    <row r="687" spans="1:24">
      <c r="A687" s="7" t="s">
        <v>817</v>
      </c>
      <c r="B687" s="1" t="s">
        <v>33</v>
      </c>
      <c r="C687" s="1">
        <v>59</v>
      </c>
      <c r="D687" s="1">
        <v>95</v>
      </c>
      <c r="E687" s="1">
        <v>5</v>
      </c>
      <c r="F687" s="1">
        <v>4</v>
      </c>
      <c r="G687" s="1">
        <v>19.559999999999999</v>
      </c>
      <c r="H687" s="1" t="s">
        <v>176</v>
      </c>
      <c r="I687" s="1" t="s">
        <v>27</v>
      </c>
      <c r="J687" s="1">
        <v>72</v>
      </c>
      <c r="K687" s="1">
        <v>2.15</v>
      </c>
      <c r="L687" s="4">
        <v>61.27</v>
      </c>
      <c r="M687" s="1">
        <v>1.83</v>
      </c>
      <c r="N687" s="1">
        <v>0</v>
      </c>
      <c r="O687" s="1">
        <v>0.73</v>
      </c>
      <c r="P687" s="1">
        <v>531</v>
      </c>
      <c r="Q687" s="1">
        <v>8.31</v>
      </c>
      <c r="R687" s="1">
        <v>0.36</v>
      </c>
      <c r="S687" s="2">
        <v>45504</v>
      </c>
      <c r="T687" s="1">
        <v>59.61</v>
      </c>
      <c r="U687" s="1">
        <v>0.54600000000000004</v>
      </c>
      <c r="V687" s="6">
        <f t="shared" si="30"/>
        <v>3614.9300000000003</v>
      </c>
      <c r="W687" s="6" t="str">
        <f t="shared" si="31"/>
        <v>Reorder Required</v>
      </c>
      <c r="X687" s="8" t="str">
        <f t="shared" si="32"/>
        <v>LOW</v>
      </c>
    </row>
    <row r="688" spans="1:24">
      <c r="A688" s="7" t="s">
        <v>818</v>
      </c>
      <c r="B688" s="1" t="s">
        <v>66</v>
      </c>
      <c r="C688" s="1">
        <v>466</v>
      </c>
      <c r="D688" s="1">
        <v>31</v>
      </c>
      <c r="E688" s="1">
        <v>4</v>
      </c>
      <c r="F688" s="1">
        <v>4</v>
      </c>
      <c r="G688" s="1">
        <v>9.5</v>
      </c>
      <c r="H688" s="1" t="s">
        <v>274</v>
      </c>
      <c r="I688" s="1" t="s">
        <v>27</v>
      </c>
      <c r="J688" s="1">
        <v>110</v>
      </c>
      <c r="K688" s="1">
        <v>2.62</v>
      </c>
      <c r="L688" s="4">
        <v>154.86000000000001</v>
      </c>
      <c r="M688" s="1">
        <v>0.41</v>
      </c>
      <c r="N688" s="1">
        <v>5</v>
      </c>
      <c r="O688" s="1">
        <v>0.84</v>
      </c>
      <c r="P688" s="1">
        <v>348</v>
      </c>
      <c r="Q688" s="1">
        <v>4.43</v>
      </c>
      <c r="R688" s="1">
        <v>0.37</v>
      </c>
      <c r="S688" s="2">
        <v>45484</v>
      </c>
      <c r="T688" s="1">
        <v>34.57</v>
      </c>
      <c r="U688" s="1">
        <v>0.56000000000000005</v>
      </c>
      <c r="V688" s="6">
        <f t="shared" si="30"/>
        <v>72164.760000000009</v>
      </c>
      <c r="W688" s="6" t="str">
        <f t="shared" si="31"/>
        <v>Sufficient</v>
      </c>
      <c r="X688" s="8" t="str">
        <f t="shared" si="32"/>
        <v>High</v>
      </c>
    </row>
    <row r="689" spans="1:24">
      <c r="A689" s="7" t="s">
        <v>819</v>
      </c>
      <c r="B689" s="1" t="s">
        <v>29</v>
      </c>
      <c r="C689" s="1">
        <v>208</v>
      </c>
      <c r="D689" s="1">
        <v>43</v>
      </c>
      <c r="E689" s="1">
        <v>8</v>
      </c>
      <c r="F689" s="1">
        <v>5</v>
      </c>
      <c r="G689" s="1">
        <v>45.73</v>
      </c>
      <c r="H689" s="1" t="s">
        <v>77</v>
      </c>
      <c r="I689" s="1" t="s">
        <v>39</v>
      </c>
      <c r="J689" s="1">
        <v>176</v>
      </c>
      <c r="K689" s="1">
        <v>3.02</v>
      </c>
      <c r="L689" s="4">
        <v>21.28</v>
      </c>
      <c r="M689" s="1">
        <v>0.56999999999999995</v>
      </c>
      <c r="N689" s="1">
        <v>8</v>
      </c>
      <c r="O689" s="1">
        <v>0.75</v>
      </c>
      <c r="P689" s="1">
        <v>326</v>
      </c>
      <c r="Q689" s="1">
        <v>14.6</v>
      </c>
      <c r="R689" s="1">
        <v>0.81</v>
      </c>
      <c r="S689" s="2">
        <v>45523</v>
      </c>
      <c r="T689" s="1">
        <v>21.47</v>
      </c>
      <c r="U689" s="1">
        <v>0.69</v>
      </c>
      <c r="V689" s="6">
        <f t="shared" si="30"/>
        <v>4426.24</v>
      </c>
      <c r="W689" s="6" t="str">
        <f t="shared" si="31"/>
        <v>Sufficient</v>
      </c>
      <c r="X689" s="8" t="str">
        <f t="shared" si="32"/>
        <v>Medium</v>
      </c>
    </row>
    <row r="690" spans="1:24">
      <c r="A690" s="7" t="s">
        <v>820</v>
      </c>
      <c r="B690" s="1" t="s">
        <v>66</v>
      </c>
      <c r="C690" s="1">
        <v>183</v>
      </c>
      <c r="D690" s="1">
        <v>64</v>
      </c>
      <c r="E690" s="1">
        <v>6</v>
      </c>
      <c r="F690" s="1">
        <v>8</v>
      </c>
      <c r="G690" s="1">
        <v>5.54</v>
      </c>
      <c r="H690" s="1" t="s">
        <v>266</v>
      </c>
      <c r="I690" s="1" t="s">
        <v>45</v>
      </c>
      <c r="J690" s="1">
        <v>109</v>
      </c>
      <c r="K690" s="1">
        <v>4.97</v>
      </c>
      <c r="L690" s="4">
        <v>98.82</v>
      </c>
      <c r="M690" s="1">
        <v>1.25</v>
      </c>
      <c r="N690" s="1">
        <v>0</v>
      </c>
      <c r="O690" s="1">
        <v>0.76</v>
      </c>
      <c r="P690" s="1">
        <v>865</v>
      </c>
      <c r="Q690" s="1">
        <v>1.58</v>
      </c>
      <c r="R690" s="1">
        <v>0.36</v>
      </c>
      <c r="S690" s="2">
        <v>45330</v>
      </c>
      <c r="T690" s="1">
        <v>19.23</v>
      </c>
      <c r="U690" s="1">
        <v>0.52</v>
      </c>
      <c r="V690" s="6">
        <f t="shared" si="30"/>
        <v>18084.059999999998</v>
      </c>
      <c r="W690" s="6" t="str">
        <f t="shared" si="31"/>
        <v>Sufficient</v>
      </c>
      <c r="X690" s="8" t="str">
        <f t="shared" si="32"/>
        <v>Medium</v>
      </c>
    </row>
    <row r="691" spans="1:24">
      <c r="A691" s="7" t="s">
        <v>821</v>
      </c>
      <c r="B691" s="1" t="s">
        <v>66</v>
      </c>
      <c r="C691" s="1">
        <v>496</v>
      </c>
      <c r="D691" s="1">
        <v>38</v>
      </c>
      <c r="E691" s="1">
        <v>3</v>
      </c>
      <c r="F691" s="1">
        <v>5</v>
      </c>
      <c r="G691" s="1">
        <v>36.36</v>
      </c>
      <c r="H691" s="1" t="s">
        <v>214</v>
      </c>
      <c r="I691" s="1" t="s">
        <v>39</v>
      </c>
      <c r="J691" s="1">
        <v>148</v>
      </c>
      <c r="K691" s="1">
        <v>3.9</v>
      </c>
      <c r="L691" s="4">
        <v>21.1</v>
      </c>
      <c r="M691" s="1">
        <v>0.32</v>
      </c>
      <c r="N691" s="1">
        <v>2</v>
      </c>
      <c r="O691" s="1">
        <v>0.81</v>
      </c>
      <c r="P691" s="1">
        <v>371</v>
      </c>
      <c r="Q691" s="1">
        <v>3.44</v>
      </c>
      <c r="R691" s="1">
        <v>0.65</v>
      </c>
      <c r="S691" s="2">
        <v>45616</v>
      </c>
      <c r="T691" s="1">
        <v>254.2</v>
      </c>
      <c r="U691" s="1">
        <v>0.66600000000000004</v>
      </c>
      <c r="V691" s="6">
        <f t="shared" si="30"/>
        <v>10465.6</v>
      </c>
      <c r="W691" s="6" t="str">
        <f t="shared" si="31"/>
        <v>Sufficient</v>
      </c>
      <c r="X691" s="8" t="str">
        <f t="shared" si="32"/>
        <v>High</v>
      </c>
    </row>
    <row r="692" spans="1:24">
      <c r="A692" s="7" t="s">
        <v>822</v>
      </c>
      <c r="B692" s="1" t="s">
        <v>33</v>
      </c>
      <c r="C692" s="1">
        <v>43</v>
      </c>
      <c r="D692" s="1">
        <v>47</v>
      </c>
      <c r="E692" s="1">
        <v>10</v>
      </c>
      <c r="F692" s="1">
        <v>5</v>
      </c>
      <c r="G692" s="1">
        <v>7.88</v>
      </c>
      <c r="H692" s="1" t="s">
        <v>256</v>
      </c>
      <c r="I692" s="1" t="s">
        <v>27</v>
      </c>
      <c r="J692" s="1">
        <v>128</v>
      </c>
      <c r="K692" s="1">
        <v>0.66</v>
      </c>
      <c r="L692" s="4">
        <v>100.4</v>
      </c>
      <c r="M692" s="1">
        <v>1.79</v>
      </c>
      <c r="N692" s="1">
        <v>4</v>
      </c>
      <c r="O692" s="1">
        <v>0.93</v>
      </c>
      <c r="P692" s="1">
        <v>164</v>
      </c>
      <c r="Q692" s="1">
        <v>11.71</v>
      </c>
      <c r="R692" s="1">
        <v>0.72</v>
      </c>
      <c r="S692" s="2">
        <v>45339</v>
      </c>
      <c r="T692" s="1">
        <v>221.01</v>
      </c>
      <c r="U692" s="1">
        <v>0.627</v>
      </c>
      <c r="V692" s="6">
        <f t="shared" si="30"/>
        <v>4317.2</v>
      </c>
      <c r="W692" s="6" t="str">
        <f t="shared" si="31"/>
        <v>Reorder Required</v>
      </c>
      <c r="X692" s="8" t="str">
        <f t="shared" si="32"/>
        <v>LOW</v>
      </c>
    </row>
    <row r="693" spans="1:24">
      <c r="A693" s="7" t="s">
        <v>823</v>
      </c>
      <c r="B693" s="1" t="s">
        <v>29</v>
      </c>
      <c r="C693" s="1">
        <v>43</v>
      </c>
      <c r="D693" s="1">
        <v>27</v>
      </c>
      <c r="E693" s="1">
        <v>11</v>
      </c>
      <c r="F693" s="1">
        <v>4</v>
      </c>
      <c r="G693" s="1">
        <v>20.079999999999998</v>
      </c>
      <c r="H693" s="1" t="s">
        <v>370</v>
      </c>
      <c r="I693" s="1" t="s">
        <v>39</v>
      </c>
      <c r="J693" s="1">
        <v>66</v>
      </c>
      <c r="K693" s="1">
        <v>3.71</v>
      </c>
      <c r="L693" s="4">
        <v>15.23</v>
      </c>
      <c r="M693" s="1">
        <v>0.19</v>
      </c>
      <c r="N693" s="1">
        <v>3</v>
      </c>
      <c r="O693" s="1">
        <v>0.92</v>
      </c>
      <c r="P693" s="1">
        <v>321</v>
      </c>
      <c r="Q693" s="1">
        <v>3.12</v>
      </c>
      <c r="R693" s="1">
        <v>0.82</v>
      </c>
      <c r="S693" s="2">
        <v>45498</v>
      </c>
      <c r="T693" s="1">
        <v>68.67</v>
      </c>
      <c r="U693" s="1">
        <v>0.71099999999999997</v>
      </c>
      <c r="V693" s="6">
        <f t="shared" si="30"/>
        <v>654.89</v>
      </c>
      <c r="W693" s="6" t="str">
        <f t="shared" si="31"/>
        <v>Sufficient</v>
      </c>
      <c r="X693" s="8" t="str">
        <f t="shared" si="32"/>
        <v>LOW</v>
      </c>
    </row>
    <row r="694" spans="1:24">
      <c r="A694" s="7" t="s">
        <v>824</v>
      </c>
      <c r="B694" s="1" t="s">
        <v>29</v>
      </c>
      <c r="C694" s="1">
        <v>23</v>
      </c>
      <c r="D694" s="1">
        <v>80</v>
      </c>
      <c r="E694" s="1">
        <v>11</v>
      </c>
      <c r="F694" s="1">
        <v>3</v>
      </c>
      <c r="G694" s="1">
        <v>21.17</v>
      </c>
      <c r="H694" s="1" t="s">
        <v>558</v>
      </c>
      <c r="I694" s="1" t="s">
        <v>31</v>
      </c>
      <c r="J694" s="1">
        <v>140</v>
      </c>
      <c r="K694" s="1">
        <v>4.21</v>
      </c>
      <c r="L694" s="4">
        <v>126.53</v>
      </c>
      <c r="M694" s="1">
        <v>1.54</v>
      </c>
      <c r="N694" s="1">
        <v>0</v>
      </c>
      <c r="O694" s="1">
        <v>0.82</v>
      </c>
      <c r="P694" s="1">
        <v>217</v>
      </c>
      <c r="Q694" s="1">
        <v>14.71</v>
      </c>
      <c r="R694" s="1">
        <v>0.83</v>
      </c>
      <c r="S694" s="2">
        <v>45555</v>
      </c>
      <c r="T694" s="1">
        <v>275.95999999999998</v>
      </c>
      <c r="U694" s="1">
        <v>0.77200000000000002</v>
      </c>
      <c r="V694" s="6">
        <f t="shared" si="30"/>
        <v>2910.19</v>
      </c>
      <c r="W694" s="6" t="str">
        <f t="shared" si="31"/>
        <v>Reorder Required</v>
      </c>
      <c r="X694" s="8" t="str">
        <f t="shared" si="32"/>
        <v>LOW</v>
      </c>
    </row>
    <row r="695" spans="1:24">
      <c r="A695" s="7" t="s">
        <v>825</v>
      </c>
      <c r="B695" s="1" t="s">
        <v>25</v>
      </c>
      <c r="C695" s="1">
        <v>342</v>
      </c>
      <c r="D695" s="1">
        <v>74</v>
      </c>
      <c r="E695" s="1">
        <v>4</v>
      </c>
      <c r="F695" s="1">
        <v>4</v>
      </c>
      <c r="G695" s="1">
        <v>8.7799999999999994</v>
      </c>
      <c r="H695" s="1" t="s">
        <v>282</v>
      </c>
      <c r="I695" s="1" t="s">
        <v>39</v>
      </c>
      <c r="J695" s="1">
        <v>46</v>
      </c>
      <c r="K695" s="1">
        <v>4.53</v>
      </c>
      <c r="L695" s="4">
        <v>121.44</v>
      </c>
      <c r="M695" s="1">
        <v>0.81</v>
      </c>
      <c r="N695" s="1">
        <v>9</v>
      </c>
      <c r="O695" s="1">
        <v>0.74</v>
      </c>
      <c r="P695" s="1">
        <v>838</v>
      </c>
      <c r="Q695" s="1">
        <v>5.5</v>
      </c>
      <c r="R695" s="1">
        <v>0.77</v>
      </c>
      <c r="S695" s="2">
        <v>45434</v>
      </c>
      <c r="T695" s="1">
        <v>49.25</v>
      </c>
      <c r="U695" s="1">
        <v>0.51400000000000001</v>
      </c>
      <c r="V695" s="6">
        <f t="shared" si="30"/>
        <v>41532.479999999996</v>
      </c>
      <c r="W695" s="6" t="str">
        <f t="shared" si="31"/>
        <v>Sufficient</v>
      </c>
      <c r="X695" s="8" t="str">
        <f t="shared" si="32"/>
        <v>High</v>
      </c>
    </row>
    <row r="696" spans="1:24">
      <c r="A696" s="7" t="s">
        <v>826</v>
      </c>
      <c r="B696" s="1" t="s">
        <v>66</v>
      </c>
      <c r="C696" s="1">
        <v>309</v>
      </c>
      <c r="D696" s="1">
        <v>10</v>
      </c>
      <c r="E696" s="1">
        <v>11</v>
      </c>
      <c r="F696" s="1">
        <v>2</v>
      </c>
      <c r="G696" s="1">
        <v>46.21</v>
      </c>
      <c r="H696" s="1" t="s">
        <v>72</v>
      </c>
      <c r="I696" s="1" t="s">
        <v>45</v>
      </c>
      <c r="J696" s="1">
        <v>120</v>
      </c>
      <c r="K696" s="1">
        <v>2.41</v>
      </c>
      <c r="L696" s="4">
        <v>161.59</v>
      </c>
      <c r="M696" s="1">
        <v>0.2</v>
      </c>
      <c r="N696" s="1">
        <v>3</v>
      </c>
      <c r="O696" s="1">
        <v>0.78</v>
      </c>
      <c r="P696" s="1">
        <v>485</v>
      </c>
      <c r="Q696" s="1">
        <v>13.86</v>
      </c>
      <c r="R696" s="1">
        <v>0.37</v>
      </c>
      <c r="S696" s="2">
        <v>45647</v>
      </c>
      <c r="T696" s="1">
        <v>118.51</v>
      </c>
      <c r="U696" s="1">
        <v>0.73499999999999999</v>
      </c>
      <c r="V696" s="6">
        <f t="shared" si="30"/>
        <v>49931.31</v>
      </c>
      <c r="W696" s="6" t="str">
        <f t="shared" si="31"/>
        <v>Sufficient</v>
      </c>
      <c r="X696" s="8" t="str">
        <f t="shared" si="32"/>
        <v>High</v>
      </c>
    </row>
    <row r="697" spans="1:24">
      <c r="A697" s="7" t="s">
        <v>827</v>
      </c>
      <c r="B697" s="1" t="s">
        <v>66</v>
      </c>
      <c r="C697" s="1">
        <v>460</v>
      </c>
      <c r="D697" s="1">
        <v>97</v>
      </c>
      <c r="E697" s="1">
        <v>9</v>
      </c>
      <c r="F697" s="1">
        <v>3</v>
      </c>
      <c r="G697" s="1">
        <v>1.1299999999999999</v>
      </c>
      <c r="H697" s="1" t="s">
        <v>61</v>
      </c>
      <c r="I697" s="1" t="s">
        <v>39</v>
      </c>
      <c r="J697" s="1">
        <v>162</v>
      </c>
      <c r="K697" s="1">
        <v>1.91</v>
      </c>
      <c r="L697" s="4">
        <v>120.82</v>
      </c>
      <c r="M697" s="1">
        <v>1.7</v>
      </c>
      <c r="N697" s="1">
        <v>3</v>
      </c>
      <c r="O697" s="1">
        <v>0.85</v>
      </c>
      <c r="P697" s="1">
        <v>918</v>
      </c>
      <c r="Q697" s="1">
        <v>10.27</v>
      </c>
      <c r="R697" s="1">
        <v>0.63</v>
      </c>
      <c r="S697" s="2">
        <v>45480</v>
      </c>
      <c r="T697" s="1">
        <v>141.11000000000001</v>
      </c>
      <c r="U697" s="1">
        <v>0.60299999999999998</v>
      </c>
      <c r="V697" s="6">
        <f t="shared" si="30"/>
        <v>55577.2</v>
      </c>
      <c r="W697" s="6" t="str">
        <f t="shared" si="31"/>
        <v>Sufficient</v>
      </c>
      <c r="X697" s="8" t="str">
        <f t="shared" si="32"/>
        <v>High</v>
      </c>
    </row>
    <row r="698" spans="1:24">
      <c r="A698" s="7" t="s">
        <v>828</v>
      </c>
      <c r="B698" s="1" t="s">
        <v>41</v>
      </c>
      <c r="C698" s="1">
        <v>452</v>
      </c>
      <c r="D698" s="1">
        <v>13</v>
      </c>
      <c r="E698" s="1">
        <v>7</v>
      </c>
      <c r="F698" s="1">
        <v>5</v>
      </c>
      <c r="G698" s="1">
        <v>44.8</v>
      </c>
      <c r="H698" s="1" t="s">
        <v>137</v>
      </c>
      <c r="I698" s="1" t="s">
        <v>31</v>
      </c>
      <c r="J698" s="1">
        <v>158</v>
      </c>
      <c r="K698" s="1">
        <v>4.28</v>
      </c>
      <c r="L698" s="4">
        <v>185.94</v>
      </c>
      <c r="M698" s="1">
        <v>1.32</v>
      </c>
      <c r="N698" s="1">
        <v>9</v>
      </c>
      <c r="O698" s="1">
        <v>0.96</v>
      </c>
      <c r="P698" s="1">
        <v>313</v>
      </c>
      <c r="Q698" s="1">
        <v>9.8800000000000008</v>
      </c>
      <c r="R698" s="1">
        <v>0.43</v>
      </c>
      <c r="S698" s="2">
        <v>45524</v>
      </c>
      <c r="T698" s="1">
        <v>32.01</v>
      </c>
      <c r="U698" s="1">
        <v>0.498</v>
      </c>
      <c r="V698" s="6">
        <f t="shared" si="30"/>
        <v>84044.88</v>
      </c>
      <c r="W698" s="6" t="str">
        <f t="shared" si="31"/>
        <v>Sufficient</v>
      </c>
      <c r="X698" s="8" t="str">
        <f t="shared" si="32"/>
        <v>High</v>
      </c>
    </row>
    <row r="699" spans="1:24">
      <c r="A699" s="7" t="s">
        <v>829</v>
      </c>
      <c r="B699" s="1" t="s">
        <v>25</v>
      </c>
      <c r="C699" s="1">
        <v>490</v>
      </c>
      <c r="D699" s="1">
        <v>13</v>
      </c>
      <c r="E699" s="1">
        <v>9</v>
      </c>
      <c r="F699" s="1">
        <v>9</v>
      </c>
      <c r="G699" s="1">
        <v>44.31</v>
      </c>
      <c r="H699" s="1" t="s">
        <v>91</v>
      </c>
      <c r="I699" s="1" t="s">
        <v>39</v>
      </c>
      <c r="J699" s="1">
        <v>121</v>
      </c>
      <c r="K699" s="1">
        <v>4</v>
      </c>
      <c r="L699" s="4">
        <v>158.79</v>
      </c>
      <c r="M699" s="1">
        <v>0.12</v>
      </c>
      <c r="N699" s="1">
        <v>3</v>
      </c>
      <c r="O699" s="1">
        <v>0.99</v>
      </c>
      <c r="P699" s="1">
        <v>299</v>
      </c>
      <c r="Q699" s="1">
        <v>13.82</v>
      </c>
      <c r="R699" s="1">
        <v>0.82</v>
      </c>
      <c r="S699" s="2">
        <v>45541</v>
      </c>
      <c r="T699" s="1">
        <v>110.77</v>
      </c>
      <c r="U699" s="1">
        <v>0.874</v>
      </c>
      <c r="V699" s="6">
        <f t="shared" si="30"/>
        <v>77807.099999999991</v>
      </c>
      <c r="W699" s="6" t="str">
        <f t="shared" si="31"/>
        <v>Sufficient</v>
      </c>
      <c r="X699" s="8" t="str">
        <f t="shared" si="32"/>
        <v>High</v>
      </c>
    </row>
    <row r="700" spans="1:24">
      <c r="A700" s="7" t="s">
        <v>830</v>
      </c>
      <c r="B700" s="1" t="s">
        <v>41</v>
      </c>
      <c r="C700" s="1">
        <v>200</v>
      </c>
      <c r="D700" s="1">
        <v>91</v>
      </c>
      <c r="E700" s="1">
        <v>11</v>
      </c>
      <c r="F700" s="1">
        <v>7</v>
      </c>
      <c r="G700" s="1">
        <v>16.53</v>
      </c>
      <c r="H700" s="1" t="s">
        <v>99</v>
      </c>
      <c r="I700" s="1" t="s">
        <v>27</v>
      </c>
      <c r="J700" s="1">
        <v>179</v>
      </c>
      <c r="K700" s="1">
        <v>2.91</v>
      </c>
      <c r="L700" s="4">
        <v>35.200000000000003</v>
      </c>
      <c r="M700" s="1">
        <v>0.61</v>
      </c>
      <c r="N700" s="1">
        <v>2</v>
      </c>
      <c r="O700" s="1">
        <v>0.89</v>
      </c>
      <c r="P700" s="1">
        <v>511</v>
      </c>
      <c r="Q700" s="1">
        <v>8.19</v>
      </c>
      <c r="R700" s="1">
        <v>0.8</v>
      </c>
      <c r="S700" s="2">
        <v>45459</v>
      </c>
      <c r="T700" s="1">
        <v>39.549999999999997</v>
      </c>
      <c r="U700" s="1">
        <v>0.746</v>
      </c>
      <c r="V700" s="6">
        <f t="shared" si="30"/>
        <v>7040.0000000000009</v>
      </c>
      <c r="W700" s="6" t="str">
        <f t="shared" si="31"/>
        <v>Sufficient</v>
      </c>
      <c r="X700" s="8" t="str">
        <f t="shared" si="32"/>
        <v>Medium</v>
      </c>
    </row>
    <row r="701" spans="1:24">
      <c r="A701" s="7" t="s">
        <v>831</v>
      </c>
      <c r="B701" s="1" t="s">
        <v>41</v>
      </c>
      <c r="C701" s="1">
        <v>267</v>
      </c>
      <c r="D701" s="1">
        <v>36</v>
      </c>
      <c r="E701" s="1">
        <v>10</v>
      </c>
      <c r="F701" s="1">
        <v>7</v>
      </c>
      <c r="G701" s="1">
        <v>35.51</v>
      </c>
      <c r="H701" s="1" t="s">
        <v>238</v>
      </c>
      <c r="I701" s="1" t="s">
        <v>27</v>
      </c>
      <c r="J701" s="1">
        <v>10</v>
      </c>
      <c r="K701" s="1">
        <v>1.03</v>
      </c>
      <c r="L701" s="4">
        <v>60.44</v>
      </c>
      <c r="M701" s="1">
        <v>0.77</v>
      </c>
      <c r="N701" s="1">
        <v>6</v>
      </c>
      <c r="O701" s="1">
        <v>0.81</v>
      </c>
      <c r="P701" s="1">
        <v>927</v>
      </c>
      <c r="Q701" s="1">
        <v>6.61</v>
      </c>
      <c r="R701" s="1">
        <v>0.38</v>
      </c>
      <c r="S701" s="2">
        <v>45589</v>
      </c>
      <c r="T701" s="1">
        <v>239.03</v>
      </c>
      <c r="U701" s="1">
        <v>0.52900000000000003</v>
      </c>
      <c r="V701" s="6">
        <f t="shared" si="30"/>
        <v>16137.48</v>
      </c>
      <c r="W701" s="6" t="str">
        <f t="shared" si="31"/>
        <v>Sufficient</v>
      </c>
      <c r="X701" s="8" t="str">
        <f t="shared" si="32"/>
        <v>High</v>
      </c>
    </row>
    <row r="702" spans="1:24">
      <c r="A702" s="7" t="s">
        <v>832</v>
      </c>
      <c r="B702" s="1" t="s">
        <v>41</v>
      </c>
      <c r="C702" s="1">
        <v>135</v>
      </c>
      <c r="D702" s="1">
        <v>52</v>
      </c>
      <c r="E702" s="1">
        <v>8</v>
      </c>
      <c r="F702" s="1">
        <v>8</v>
      </c>
      <c r="G702" s="1">
        <v>13.39</v>
      </c>
      <c r="H702" s="1" t="s">
        <v>350</v>
      </c>
      <c r="I702" s="1" t="s">
        <v>27</v>
      </c>
      <c r="J702" s="1">
        <v>32</v>
      </c>
      <c r="K702" s="1">
        <v>3.43</v>
      </c>
      <c r="L702" s="4">
        <v>14.98</v>
      </c>
      <c r="M702" s="1">
        <v>0.71</v>
      </c>
      <c r="N702" s="1">
        <v>0</v>
      </c>
      <c r="O702" s="1">
        <v>0.91</v>
      </c>
      <c r="P702" s="1">
        <v>488</v>
      </c>
      <c r="Q702" s="1">
        <v>4.05</v>
      </c>
      <c r="R702" s="1">
        <v>0.71</v>
      </c>
      <c r="S702" s="2">
        <v>45293</v>
      </c>
      <c r="T702" s="1">
        <v>23.58</v>
      </c>
      <c r="U702" s="1">
        <v>0.70699999999999996</v>
      </c>
      <c r="V702" s="6">
        <f t="shared" si="30"/>
        <v>2022.3</v>
      </c>
      <c r="W702" s="6" t="str">
        <f t="shared" si="31"/>
        <v>Sufficient</v>
      </c>
      <c r="X702" s="8" t="str">
        <f t="shared" si="32"/>
        <v>Medium</v>
      </c>
    </row>
    <row r="703" spans="1:24">
      <c r="A703" s="7" t="s">
        <v>833</v>
      </c>
      <c r="B703" s="1" t="s">
        <v>33</v>
      </c>
      <c r="C703" s="1">
        <v>298</v>
      </c>
      <c r="D703" s="1">
        <v>68</v>
      </c>
      <c r="E703" s="1">
        <v>6</v>
      </c>
      <c r="F703" s="1">
        <v>9</v>
      </c>
      <c r="G703" s="1">
        <v>38.18</v>
      </c>
      <c r="H703" s="1" t="s">
        <v>91</v>
      </c>
      <c r="I703" s="1" t="s">
        <v>45</v>
      </c>
      <c r="J703" s="1">
        <v>116</v>
      </c>
      <c r="K703" s="1">
        <v>0.8</v>
      </c>
      <c r="L703" s="4">
        <v>83.37</v>
      </c>
      <c r="M703" s="1">
        <v>1.05</v>
      </c>
      <c r="N703" s="1">
        <v>1</v>
      </c>
      <c r="O703" s="1">
        <v>0.8</v>
      </c>
      <c r="P703" s="1">
        <v>816</v>
      </c>
      <c r="Q703" s="1">
        <v>3.02</v>
      </c>
      <c r="R703" s="1">
        <v>0.25</v>
      </c>
      <c r="S703" s="2">
        <v>45339</v>
      </c>
      <c r="T703" s="1">
        <v>14.97</v>
      </c>
      <c r="U703" s="1">
        <v>0.52500000000000002</v>
      </c>
      <c r="V703" s="6">
        <f t="shared" si="30"/>
        <v>24844.260000000002</v>
      </c>
      <c r="W703" s="6" t="str">
        <f t="shared" si="31"/>
        <v>Sufficient</v>
      </c>
      <c r="X703" s="8" t="str">
        <f t="shared" si="32"/>
        <v>High</v>
      </c>
    </row>
    <row r="704" spans="1:24">
      <c r="A704" s="7" t="s">
        <v>834</v>
      </c>
      <c r="B704" s="1" t="s">
        <v>33</v>
      </c>
      <c r="C704" s="1">
        <v>384</v>
      </c>
      <c r="D704" s="1">
        <v>41</v>
      </c>
      <c r="E704" s="1">
        <v>3</v>
      </c>
      <c r="F704" s="1">
        <v>6</v>
      </c>
      <c r="G704" s="1">
        <v>28.49</v>
      </c>
      <c r="H704" s="1" t="s">
        <v>122</v>
      </c>
      <c r="I704" s="1" t="s">
        <v>39</v>
      </c>
      <c r="J704" s="1">
        <v>122</v>
      </c>
      <c r="K704" s="1">
        <v>0.95</v>
      </c>
      <c r="L704" s="4">
        <v>106.81</v>
      </c>
      <c r="M704" s="1">
        <v>1.1000000000000001</v>
      </c>
      <c r="N704" s="1">
        <v>0</v>
      </c>
      <c r="O704" s="1">
        <v>0.89</v>
      </c>
      <c r="P704" s="1">
        <v>391</v>
      </c>
      <c r="Q704" s="1">
        <v>12.08</v>
      </c>
      <c r="R704" s="1">
        <v>0.81</v>
      </c>
      <c r="S704" s="2">
        <v>45526</v>
      </c>
      <c r="T704" s="1">
        <v>222.42</v>
      </c>
      <c r="U704" s="1">
        <v>0.79100000000000004</v>
      </c>
      <c r="V704" s="6">
        <f t="shared" si="30"/>
        <v>41015.040000000001</v>
      </c>
      <c r="W704" s="6" t="str">
        <f t="shared" si="31"/>
        <v>Sufficient</v>
      </c>
      <c r="X704" s="8" t="str">
        <f t="shared" si="32"/>
        <v>High</v>
      </c>
    </row>
    <row r="705" spans="1:24">
      <c r="A705" s="7" t="s">
        <v>835</v>
      </c>
      <c r="B705" s="1" t="s">
        <v>41</v>
      </c>
      <c r="C705" s="1">
        <v>88</v>
      </c>
      <c r="D705" s="1">
        <v>42</v>
      </c>
      <c r="E705" s="1">
        <v>8</v>
      </c>
      <c r="F705" s="1">
        <v>8</v>
      </c>
      <c r="G705" s="1">
        <v>15.71</v>
      </c>
      <c r="H705" s="1" t="s">
        <v>256</v>
      </c>
      <c r="I705" s="1" t="s">
        <v>27</v>
      </c>
      <c r="J705" s="1">
        <v>161</v>
      </c>
      <c r="K705" s="1">
        <v>1.99</v>
      </c>
      <c r="L705" s="4">
        <v>189.73</v>
      </c>
      <c r="M705" s="1">
        <v>0.85</v>
      </c>
      <c r="N705" s="1">
        <v>3</v>
      </c>
      <c r="O705" s="1">
        <v>0.77</v>
      </c>
      <c r="P705" s="1">
        <v>515</v>
      </c>
      <c r="Q705" s="1">
        <v>2.79</v>
      </c>
      <c r="R705" s="1">
        <v>0.82</v>
      </c>
      <c r="S705" s="2">
        <v>45617</v>
      </c>
      <c r="T705" s="1">
        <v>236.45</v>
      </c>
      <c r="U705" s="1">
        <v>0.61</v>
      </c>
      <c r="V705" s="6">
        <f t="shared" si="30"/>
        <v>16696.239999999998</v>
      </c>
      <c r="W705" s="6" t="str">
        <f t="shared" si="31"/>
        <v>Sufficient</v>
      </c>
      <c r="X705" s="8" t="str">
        <f t="shared" si="32"/>
        <v>LOW</v>
      </c>
    </row>
    <row r="706" spans="1:24">
      <c r="A706" s="7" t="s">
        <v>836</v>
      </c>
      <c r="B706" s="1" t="s">
        <v>25</v>
      </c>
      <c r="C706" s="1">
        <v>370</v>
      </c>
      <c r="D706" s="1">
        <v>37</v>
      </c>
      <c r="E706" s="1">
        <v>5</v>
      </c>
      <c r="F706" s="1">
        <v>3</v>
      </c>
      <c r="G706" s="1">
        <v>20.61</v>
      </c>
      <c r="H706" s="1" t="s">
        <v>42</v>
      </c>
      <c r="I706" s="1" t="s">
        <v>39</v>
      </c>
      <c r="J706" s="1">
        <v>98</v>
      </c>
      <c r="K706" s="1">
        <v>2.17</v>
      </c>
      <c r="L706" s="4">
        <v>109.23</v>
      </c>
      <c r="M706" s="1">
        <v>0.73</v>
      </c>
      <c r="N706" s="1">
        <v>4</v>
      </c>
      <c r="O706" s="1">
        <v>0.78</v>
      </c>
      <c r="P706" s="1">
        <v>107</v>
      </c>
      <c r="Q706" s="1">
        <v>6.52</v>
      </c>
      <c r="R706" s="1">
        <v>0.48</v>
      </c>
      <c r="S706" s="2">
        <v>45632</v>
      </c>
      <c r="T706" s="1">
        <v>153.72999999999999</v>
      </c>
      <c r="U706" s="1">
        <v>0.58599999999999997</v>
      </c>
      <c r="V706" s="6">
        <f t="shared" si="30"/>
        <v>40415.1</v>
      </c>
      <c r="W706" s="6" t="str">
        <f t="shared" si="31"/>
        <v>Sufficient</v>
      </c>
      <c r="X706" s="8" t="str">
        <f t="shared" si="32"/>
        <v>High</v>
      </c>
    </row>
    <row r="707" spans="1:24">
      <c r="A707" s="7" t="s">
        <v>837</v>
      </c>
      <c r="B707" s="1" t="s">
        <v>66</v>
      </c>
      <c r="C707" s="1">
        <v>273</v>
      </c>
      <c r="D707" s="1">
        <v>64</v>
      </c>
      <c r="E707" s="1">
        <v>8</v>
      </c>
      <c r="F707" s="1">
        <v>5</v>
      </c>
      <c r="G707" s="1">
        <v>34.799999999999997</v>
      </c>
      <c r="H707" s="1" t="s">
        <v>26</v>
      </c>
      <c r="I707" s="1" t="s">
        <v>31</v>
      </c>
      <c r="J707" s="1">
        <v>144</v>
      </c>
      <c r="K707" s="1">
        <v>2.58</v>
      </c>
      <c r="L707" s="4">
        <v>158.4</v>
      </c>
      <c r="M707" s="1">
        <v>1.06</v>
      </c>
      <c r="N707" s="1">
        <v>9</v>
      </c>
      <c r="O707" s="1">
        <v>0.72</v>
      </c>
      <c r="P707" s="1">
        <v>54</v>
      </c>
      <c r="Q707" s="1">
        <v>6.73</v>
      </c>
      <c r="R707" s="1">
        <v>0.85</v>
      </c>
      <c r="S707" s="2">
        <v>45649</v>
      </c>
      <c r="T707" s="1">
        <v>102.18</v>
      </c>
      <c r="U707" s="1">
        <v>0.51800000000000002</v>
      </c>
      <c r="V707" s="6">
        <f t="shared" si="30"/>
        <v>43243.200000000004</v>
      </c>
      <c r="W707" s="6" t="str">
        <f t="shared" si="31"/>
        <v>Sufficient</v>
      </c>
      <c r="X707" s="8" t="str">
        <f t="shared" si="32"/>
        <v>High</v>
      </c>
    </row>
    <row r="708" spans="1:24">
      <c r="A708" s="7" t="s">
        <v>838</v>
      </c>
      <c r="B708" s="1" t="s">
        <v>25</v>
      </c>
      <c r="C708" s="1">
        <v>200</v>
      </c>
      <c r="D708" s="1">
        <v>69</v>
      </c>
      <c r="E708" s="1">
        <v>8</v>
      </c>
      <c r="F708" s="1">
        <v>3</v>
      </c>
      <c r="G708" s="1">
        <v>45.4</v>
      </c>
      <c r="H708" s="1" t="s">
        <v>38</v>
      </c>
      <c r="I708" s="1" t="s">
        <v>31</v>
      </c>
      <c r="J708" s="1">
        <v>47</v>
      </c>
      <c r="K708" s="1">
        <v>2.0299999999999998</v>
      </c>
      <c r="L708" s="4">
        <v>60.92</v>
      </c>
      <c r="M708" s="1">
        <v>0.16</v>
      </c>
      <c r="N708" s="1">
        <v>4</v>
      </c>
      <c r="O708" s="1">
        <v>0.83</v>
      </c>
      <c r="P708" s="1">
        <v>987</v>
      </c>
      <c r="Q708" s="1">
        <v>10.3</v>
      </c>
      <c r="R708" s="1">
        <v>0.89</v>
      </c>
      <c r="S708" s="2">
        <v>45475</v>
      </c>
      <c r="T708" s="1">
        <v>78.569999999999993</v>
      </c>
      <c r="U708" s="1">
        <v>0.78500000000000003</v>
      </c>
      <c r="V708" s="6">
        <f t="shared" ref="V708:V771" si="33">C708*L708</f>
        <v>12184</v>
      </c>
      <c r="W708" s="6" t="str">
        <f t="shared" ref="W708:W771" si="34">IF(C708&lt;=D708,"Reorder Required","Sufficient")</f>
        <v>Sufficient</v>
      </c>
      <c r="X708" s="8" t="str">
        <f t="shared" ref="X708:X771" si="35">IF(C708&lt;100,"LOW",IF(C708&lt;250,"Medium","High"))</f>
        <v>Medium</v>
      </c>
    </row>
    <row r="709" spans="1:24">
      <c r="A709" s="7" t="s">
        <v>839</v>
      </c>
      <c r="B709" s="1" t="s">
        <v>29</v>
      </c>
      <c r="C709" s="1">
        <v>337</v>
      </c>
      <c r="D709" s="1">
        <v>79</v>
      </c>
      <c r="E709" s="1">
        <v>6</v>
      </c>
      <c r="F709" s="1">
        <v>3</v>
      </c>
      <c r="G709" s="1">
        <v>7.41</v>
      </c>
      <c r="H709" s="1" t="s">
        <v>159</v>
      </c>
      <c r="I709" s="1" t="s">
        <v>45</v>
      </c>
      <c r="J709" s="1">
        <v>56</v>
      </c>
      <c r="K709" s="1">
        <v>0.65</v>
      </c>
      <c r="L709" s="4">
        <v>39.1</v>
      </c>
      <c r="M709" s="1">
        <v>1.33</v>
      </c>
      <c r="N709" s="1">
        <v>1</v>
      </c>
      <c r="O709" s="1">
        <v>0.89</v>
      </c>
      <c r="P709" s="1">
        <v>672</v>
      </c>
      <c r="Q709" s="1">
        <v>4.9000000000000004</v>
      </c>
      <c r="R709" s="1">
        <v>0.35</v>
      </c>
      <c r="S709" s="2">
        <v>45324</v>
      </c>
      <c r="T709" s="1">
        <v>43.94</v>
      </c>
      <c r="U709" s="1">
        <v>0.56000000000000005</v>
      </c>
      <c r="V709" s="6">
        <f t="shared" si="33"/>
        <v>13176.7</v>
      </c>
      <c r="W709" s="6" t="str">
        <f t="shared" si="34"/>
        <v>Sufficient</v>
      </c>
      <c r="X709" s="8" t="str">
        <f t="shared" si="35"/>
        <v>High</v>
      </c>
    </row>
    <row r="710" spans="1:24">
      <c r="A710" s="7" t="s">
        <v>840</v>
      </c>
      <c r="B710" s="1" t="s">
        <v>33</v>
      </c>
      <c r="C710" s="1">
        <v>188</v>
      </c>
      <c r="D710" s="1">
        <v>71</v>
      </c>
      <c r="E710" s="1">
        <v>4</v>
      </c>
      <c r="F710" s="1">
        <v>7</v>
      </c>
      <c r="G710" s="1">
        <v>29</v>
      </c>
      <c r="H710" s="1" t="s">
        <v>208</v>
      </c>
      <c r="I710" s="1" t="s">
        <v>39</v>
      </c>
      <c r="J710" s="1">
        <v>112</v>
      </c>
      <c r="K710" s="1">
        <v>1.21</v>
      </c>
      <c r="L710" s="4">
        <v>164.06</v>
      </c>
      <c r="M710" s="1">
        <v>1.25</v>
      </c>
      <c r="N710" s="1">
        <v>2</v>
      </c>
      <c r="O710" s="1">
        <v>0.94</v>
      </c>
      <c r="P710" s="1">
        <v>926</v>
      </c>
      <c r="Q710" s="1">
        <v>12.74</v>
      </c>
      <c r="R710" s="1">
        <v>0.48</v>
      </c>
      <c r="S710" s="2">
        <v>45565</v>
      </c>
      <c r="T710" s="1">
        <v>150.43</v>
      </c>
      <c r="U710" s="1">
        <v>0.68899999999999995</v>
      </c>
      <c r="V710" s="6">
        <f t="shared" si="33"/>
        <v>30843.279999999999</v>
      </c>
      <c r="W710" s="6" t="str">
        <f t="shared" si="34"/>
        <v>Sufficient</v>
      </c>
      <c r="X710" s="8" t="str">
        <f t="shared" si="35"/>
        <v>Medium</v>
      </c>
    </row>
    <row r="711" spans="1:24">
      <c r="A711" s="7" t="s">
        <v>841</v>
      </c>
      <c r="B711" s="1" t="s">
        <v>66</v>
      </c>
      <c r="C711" s="1">
        <v>332</v>
      </c>
      <c r="D711" s="1">
        <v>89</v>
      </c>
      <c r="E711" s="1">
        <v>11</v>
      </c>
      <c r="F711" s="1">
        <v>4</v>
      </c>
      <c r="G711" s="1">
        <v>13.43</v>
      </c>
      <c r="H711" s="1" t="s">
        <v>372</v>
      </c>
      <c r="I711" s="1" t="s">
        <v>31</v>
      </c>
      <c r="J711" s="1">
        <v>172</v>
      </c>
      <c r="K711" s="1">
        <v>1.02</v>
      </c>
      <c r="L711" s="4">
        <v>57.01</v>
      </c>
      <c r="M711" s="1">
        <v>0.63</v>
      </c>
      <c r="N711" s="1">
        <v>3</v>
      </c>
      <c r="O711" s="1">
        <v>0.94</v>
      </c>
      <c r="P711" s="1">
        <v>847</v>
      </c>
      <c r="Q711" s="1">
        <v>3.9</v>
      </c>
      <c r="R711" s="1">
        <v>0.41</v>
      </c>
      <c r="S711" s="2">
        <v>45495</v>
      </c>
      <c r="T711" s="1">
        <v>152.41999999999999</v>
      </c>
      <c r="U711" s="1">
        <v>0.59899999999999998</v>
      </c>
      <c r="V711" s="6">
        <f t="shared" si="33"/>
        <v>18927.32</v>
      </c>
      <c r="W711" s="6" t="str">
        <f t="shared" si="34"/>
        <v>Sufficient</v>
      </c>
      <c r="X711" s="8" t="str">
        <f t="shared" si="35"/>
        <v>High</v>
      </c>
    </row>
    <row r="712" spans="1:24">
      <c r="A712" s="7" t="s">
        <v>842</v>
      </c>
      <c r="B712" s="1" t="s">
        <v>66</v>
      </c>
      <c r="C712" s="1">
        <v>268</v>
      </c>
      <c r="D712" s="1">
        <v>43</v>
      </c>
      <c r="E712" s="1">
        <v>4</v>
      </c>
      <c r="F712" s="1">
        <v>2</v>
      </c>
      <c r="G712" s="1">
        <v>40.270000000000003</v>
      </c>
      <c r="H712" s="1" t="s">
        <v>325</v>
      </c>
      <c r="I712" s="1" t="s">
        <v>45</v>
      </c>
      <c r="J712" s="1">
        <v>71</v>
      </c>
      <c r="K712" s="1">
        <v>2.44</v>
      </c>
      <c r="L712" s="4">
        <v>175.55</v>
      </c>
      <c r="M712" s="1">
        <v>0.44</v>
      </c>
      <c r="N712" s="1">
        <v>9</v>
      </c>
      <c r="O712" s="1">
        <v>1</v>
      </c>
      <c r="P712" s="1">
        <v>912</v>
      </c>
      <c r="Q712" s="1">
        <v>12.05</v>
      </c>
      <c r="R712" s="1">
        <v>0.5</v>
      </c>
      <c r="S712" s="2">
        <v>45403</v>
      </c>
      <c r="T712" s="1">
        <v>142.22999999999999</v>
      </c>
      <c r="U712" s="1">
        <v>0.63700000000000001</v>
      </c>
      <c r="V712" s="6">
        <f t="shared" si="33"/>
        <v>47047.4</v>
      </c>
      <c r="W712" s="6" t="str">
        <f t="shared" si="34"/>
        <v>Sufficient</v>
      </c>
      <c r="X712" s="8" t="str">
        <f t="shared" si="35"/>
        <v>High</v>
      </c>
    </row>
    <row r="713" spans="1:24">
      <c r="A713" s="7" t="s">
        <v>843</v>
      </c>
      <c r="B713" s="1" t="s">
        <v>29</v>
      </c>
      <c r="C713" s="1">
        <v>207</v>
      </c>
      <c r="D713" s="1">
        <v>96</v>
      </c>
      <c r="E713" s="1">
        <v>5</v>
      </c>
      <c r="F713" s="1">
        <v>6</v>
      </c>
      <c r="G713" s="1">
        <v>4.4400000000000004</v>
      </c>
      <c r="H713" s="1" t="s">
        <v>141</v>
      </c>
      <c r="I713" s="1" t="s">
        <v>45</v>
      </c>
      <c r="J713" s="1">
        <v>82</v>
      </c>
      <c r="K713" s="1">
        <v>1.45</v>
      </c>
      <c r="L713" s="4">
        <v>42.27</v>
      </c>
      <c r="M713" s="1">
        <v>0.24</v>
      </c>
      <c r="N713" s="1">
        <v>5</v>
      </c>
      <c r="O713" s="1">
        <v>0.73</v>
      </c>
      <c r="P713" s="1">
        <v>314</v>
      </c>
      <c r="Q713" s="1">
        <v>12.9</v>
      </c>
      <c r="R713" s="1">
        <v>0.56000000000000005</v>
      </c>
      <c r="S713" s="2">
        <v>45511</v>
      </c>
      <c r="T713" s="1">
        <v>235.7</v>
      </c>
      <c r="U713" s="1">
        <v>0.70599999999999996</v>
      </c>
      <c r="V713" s="6">
        <f t="shared" si="33"/>
        <v>8749.8900000000012</v>
      </c>
      <c r="W713" s="6" t="str">
        <f t="shared" si="34"/>
        <v>Sufficient</v>
      </c>
      <c r="X713" s="8" t="str">
        <f t="shared" si="35"/>
        <v>Medium</v>
      </c>
    </row>
    <row r="714" spans="1:24">
      <c r="A714" s="7" t="s">
        <v>844</v>
      </c>
      <c r="B714" s="1" t="s">
        <v>29</v>
      </c>
      <c r="C714" s="1">
        <v>73</v>
      </c>
      <c r="D714" s="1">
        <v>97</v>
      </c>
      <c r="E714" s="1">
        <v>12</v>
      </c>
      <c r="F714" s="1">
        <v>5</v>
      </c>
      <c r="G714" s="1">
        <v>34.76</v>
      </c>
      <c r="H714" s="1" t="s">
        <v>333</v>
      </c>
      <c r="I714" s="1" t="s">
        <v>27</v>
      </c>
      <c r="J714" s="1">
        <v>12</v>
      </c>
      <c r="K714" s="1">
        <v>1.82</v>
      </c>
      <c r="L714" s="4">
        <v>171.8</v>
      </c>
      <c r="M714" s="1">
        <v>1.22</v>
      </c>
      <c r="N714" s="1">
        <v>5</v>
      </c>
      <c r="O714" s="1">
        <v>0.85</v>
      </c>
      <c r="P714" s="1">
        <v>298</v>
      </c>
      <c r="Q714" s="1">
        <v>3.7</v>
      </c>
      <c r="R714" s="1">
        <v>0.61</v>
      </c>
      <c r="S714" s="2">
        <v>45400</v>
      </c>
      <c r="T714" s="1">
        <v>38.94</v>
      </c>
      <c r="U714" s="1">
        <v>0.51900000000000002</v>
      </c>
      <c r="V714" s="6">
        <f t="shared" si="33"/>
        <v>12541.400000000001</v>
      </c>
      <c r="W714" s="6" t="str">
        <f t="shared" si="34"/>
        <v>Reorder Required</v>
      </c>
      <c r="X714" s="8" t="str">
        <f t="shared" si="35"/>
        <v>LOW</v>
      </c>
    </row>
    <row r="715" spans="1:24">
      <c r="A715" s="7" t="s">
        <v>845</v>
      </c>
      <c r="B715" s="1" t="s">
        <v>41</v>
      </c>
      <c r="C715" s="1">
        <v>345</v>
      </c>
      <c r="D715" s="1">
        <v>65</v>
      </c>
      <c r="E715" s="1">
        <v>3</v>
      </c>
      <c r="F715" s="1">
        <v>3</v>
      </c>
      <c r="G715" s="1">
        <v>9.57</v>
      </c>
      <c r="H715" s="1" t="s">
        <v>38</v>
      </c>
      <c r="I715" s="1" t="s">
        <v>31</v>
      </c>
      <c r="J715" s="1">
        <v>111</v>
      </c>
      <c r="K715" s="1">
        <v>2.62</v>
      </c>
      <c r="L715" s="4">
        <v>156.84</v>
      </c>
      <c r="M715" s="1">
        <v>1.18</v>
      </c>
      <c r="N715" s="1">
        <v>1</v>
      </c>
      <c r="O715" s="1">
        <v>0.86</v>
      </c>
      <c r="P715" s="1">
        <v>144</v>
      </c>
      <c r="Q715" s="1">
        <v>12.33</v>
      </c>
      <c r="R715" s="1">
        <v>0.23</v>
      </c>
      <c r="S715" s="2">
        <v>45545</v>
      </c>
      <c r="T715" s="1">
        <v>204.3</v>
      </c>
      <c r="U715" s="1">
        <v>0.64400000000000002</v>
      </c>
      <c r="V715" s="6">
        <f t="shared" si="33"/>
        <v>54109.8</v>
      </c>
      <c r="W715" s="6" t="str">
        <f t="shared" si="34"/>
        <v>Sufficient</v>
      </c>
      <c r="X715" s="8" t="str">
        <f t="shared" si="35"/>
        <v>High</v>
      </c>
    </row>
    <row r="716" spans="1:24">
      <c r="A716" s="7" t="s">
        <v>846</v>
      </c>
      <c r="B716" s="1" t="s">
        <v>33</v>
      </c>
      <c r="C716" s="1">
        <v>376</v>
      </c>
      <c r="D716" s="1">
        <v>22</v>
      </c>
      <c r="E716" s="1">
        <v>9</v>
      </c>
      <c r="F716" s="1">
        <v>6</v>
      </c>
      <c r="G716" s="1">
        <v>30.22</v>
      </c>
      <c r="H716" s="1" t="s">
        <v>370</v>
      </c>
      <c r="I716" s="1" t="s">
        <v>39</v>
      </c>
      <c r="J716" s="1">
        <v>157</v>
      </c>
      <c r="K716" s="1">
        <v>1.56</v>
      </c>
      <c r="L716" s="4">
        <v>126.13</v>
      </c>
      <c r="M716" s="1">
        <v>1.1100000000000001</v>
      </c>
      <c r="N716" s="1">
        <v>1</v>
      </c>
      <c r="O716" s="1">
        <v>0.94</v>
      </c>
      <c r="P716" s="1">
        <v>912</v>
      </c>
      <c r="Q716" s="1">
        <v>10.99</v>
      </c>
      <c r="R716" s="1">
        <v>0.24</v>
      </c>
      <c r="S716" s="2">
        <v>45429</v>
      </c>
      <c r="T716" s="1">
        <v>126.45</v>
      </c>
      <c r="U716" s="1">
        <v>0.65200000000000002</v>
      </c>
      <c r="V716" s="6">
        <f t="shared" si="33"/>
        <v>47424.88</v>
      </c>
      <c r="W716" s="6" t="str">
        <f t="shared" si="34"/>
        <v>Sufficient</v>
      </c>
      <c r="X716" s="8" t="str">
        <f t="shared" si="35"/>
        <v>High</v>
      </c>
    </row>
    <row r="717" spans="1:24">
      <c r="A717" s="7" t="s">
        <v>847</v>
      </c>
      <c r="B717" s="1" t="s">
        <v>33</v>
      </c>
      <c r="C717" s="1">
        <v>332</v>
      </c>
      <c r="D717" s="1">
        <v>65</v>
      </c>
      <c r="E717" s="1">
        <v>3</v>
      </c>
      <c r="F717" s="1">
        <v>3</v>
      </c>
      <c r="G717" s="1">
        <v>41.95</v>
      </c>
      <c r="H717" s="1" t="s">
        <v>185</v>
      </c>
      <c r="I717" s="1" t="s">
        <v>31</v>
      </c>
      <c r="J717" s="1">
        <v>114</v>
      </c>
      <c r="K717" s="1">
        <v>1.61</v>
      </c>
      <c r="L717" s="4">
        <v>171.54</v>
      </c>
      <c r="M717" s="1">
        <v>1.97</v>
      </c>
      <c r="N717" s="1">
        <v>8</v>
      </c>
      <c r="O717" s="1">
        <v>0.78</v>
      </c>
      <c r="P717" s="1">
        <v>858</v>
      </c>
      <c r="Q717" s="1">
        <v>13.24</v>
      </c>
      <c r="R717" s="1">
        <v>0.72</v>
      </c>
      <c r="S717" s="2">
        <v>45457</v>
      </c>
      <c r="T717" s="1">
        <v>79.88</v>
      </c>
      <c r="U717" s="1">
        <v>0.52</v>
      </c>
      <c r="V717" s="6">
        <f t="shared" si="33"/>
        <v>56951.28</v>
      </c>
      <c r="W717" s="6" t="str">
        <f t="shared" si="34"/>
        <v>Sufficient</v>
      </c>
      <c r="X717" s="8" t="str">
        <f t="shared" si="35"/>
        <v>High</v>
      </c>
    </row>
    <row r="718" spans="1:24">
      <c r="A718" s="7" t="s">
        <v>848</v>
      </c>
      <c r="B718" s="1" t="s">
        <v>25</v>
      </c>
      <c r="C718" s="1">
        <v>157</v>
      </c>
      <c r="D718" s="1">
        <v>27</v>
      </c>
      <c r="E718" s="1">
        <v>13</v>
      </c>
      <c r="F718" s="1">
        <v>9</v>
      </c>
      <c r="G718" s="1">
        <v>38</v>
      </c>
      <c r="H718" s="1" t="s">
        <v>81</v>
      </c>
      <c r="I718" s="1" t="s">
        <v>31</v>
      </c>
      <c r="J718" s="1">
        <v>53</v>
      </c>
      <c r="K718" s="1">
        <v>4.25</v>
      </c>
      <c r="L718" s="4">
        <v>72.83</v>
      </c>
      <c r="M718" s="1">
        <v>1.1100000000000001</v>
      </c>
      <c r="N718" s="1">
        <v>1</v>
      </c>
      <c r="O718" s="1">
        <v>0.72</v>
      </c>
      <c r="P718" s="1">
        <v>868</v>
      </c>
      <c r="Q718" s="1">
        <v>8.14</v>
      </c>
      <c r="R718" s="1">
        <v>0.55000000000000004</v>
      </c>
      <c r="S718" s="2">
        <v>45437</v>
      </c>
      <c r="T718" s="1">
        <v>207.66</v>
      </c>
      <c r="U718" s="1">
        <v>0.63200000000000001</v>
      </c>
      <c r="V718" s="6">
        <f t="shared" si="33"/>
        <v>11434.31</v>
      </c>
      <c r="W718" s="6" t="str">
        <f t="shared" si="34"/>
        <v>Sufficient</v>
      </c>
      <c r="X718" s="8" t="str">
        <f t="shared" si="35"/>
        <v>Medium</v>
      </c>
    </row>
    <row r="719" spans="1:24">
      <c r="A719" s="7" t="s">
        <v>849</v>
      </c>
      <c r="B719" s="1" t="s">
        <v>41</v>
      </c>
      <c r="C719" s="1">
        <v>187</v>
      </c>
      <c r="D719" s="1">
        <v>63</v>
      </c>
      <c r="E719" s="1">
        <v>11</v>
      </c>
      <c r="F719" s="1">
        <v>7</v>
      </c>
      <c r="G719" s="1">
        <v>37.89</v>
      </c>
      <c r="H719" s="1" t="s">
        <v>470</v>
      </c>
      <c r="I719" s="1" t="s">
        <v>39</v>
      </c>
      <c r="J719" s="1">
        <v>169</v>
      </c>
      <c r="K719" s="1">
        <v>2.97</v>
      </c>
      <c r="L719" s="4">
        <v>41.55</v>
      </c>
      <c r="M719" s="1">
        <v>1.47</v>
      </c>
      <c r="N719" s="1">
        <v>1</v>
      </c>
      <c r="O719" s="1">
        <v>0.79</v>
      </c>
      <c r="P719" s="1">
        <v>746</v>
      </c>
      <c r="Q719" s="1">
        <v>4.2699999999999996</v>
      </c>
      <c r="R719" s="1">
        <v>0.27</v>
      </c>
      <c r="S719" s="2">
        <v>45464</v>
      </c>
      <c r="T719" s="1">
        <v>67.33</v>
      </c>
      <c r="U719" s="1">
        <v>0.502</v>
      </c>
      <c r="V719" s="6">
        <f t="shared" si="33"/>
        <v>7769.8499999999995</v>
      </c>
      <c r="W719" s="6" t="str">
        <f t="shared" si="34"/>
        <v>Sufficient</v>
      </c>
      <c r="X719" s="8" t="str">
        <f t="shared" si="35"/>
        <v>Medium</v>
      </c>
    </row>
    <row r="720" spans="1:24">
      <c r="A720" s="7" t="s">
        <v>850</v>
      </c>
      <c r="B720" s="1" t="s">
        <v>41</v>
      </c>
      <c r="C720" s="1">
        <v>410</v>
      </c>
      <c r="D720" s="1">
        <v>86</v>
      </c>
      <c r="E720" s="1">
        <v>13</v>
      </c>
      <c r="F720" s="1">
        <v>2</v>
      </c>
      <c r="G720" s="1">
        <v>26.37</v>
      </c>
      <c r="H720" s="1" t="s">
        <v>333</v>
      </c>
      <c r="I720" s="1" t="s">
        <v>39</v>
      </c>
      <c r="J720" s="1">
        <v>109</v>
      </c>
      <c r="K720" s="1">
        <v>4.3600000000000003</v>
      </c>
      <c r="L720" s="4">
        <v>39.840000000000003</v>
      </c>
      <c r="M720" s="1">
        <v>0.31</v>
      </c>
      <c r="N720" s="1">
        <v>2</v>
      </c>
      <c r="O720" s="1">
        <v>1</v>
      </c>
      <c r="P720" s="1">
        <v>506</v>
      </c>
      <c r="Q720" s="1">
        <v>13.77</v>
      </c>
      <c r="R720" s="1">
        <v>0.51</v>
      </c>
      <c r="S720" s="2">
        <v>45572</v>
      </c>
      <c r="T720" s="1">
        <v>76.97</v>
      </c>
      <c r="U720" s="1">
        <v>0.81499999999999995</v>
      </c>
      <c r="V720" s="6">
        <f t="shared" si="33"/>
        <v>16334.400000000001</v>
      </c>
      <c r="W720" s="6" t="str">
        <f t="shared" si="34"/>
        <v>Sufficient</v>
      </c>
      <c r="X720" s="8" t="str">
        <f t="shared" si="35"/>
        <v>High</v>
      </c>
    </row>
    <row r="721" spans="1:24">
      <c r="A721" s="7" t="s">
        <v>851</v>
      </c>
      <c r="B721" s="1" t="s">
        <v>41</v>
      </c>
      <c r="C721" s="1">
        <v>122</v>
      </c>
      <c r="D721" s="1">
        <v>52</v>
      </c>
      <c r="E721" s="1">
        <v>13</v>
      </c>
      <c r="F721" s="1">
        <v>7</v>
      </c>
      <c r="G721" s="1">
        <v>44.65</v>
      </c>
      <c r="H721" s="1" t="s">
        <v>178</v>
      </c>
      <c r="I721" s="1" t="s">
        <v>27</v>
      </c>
      <c r="J721" s="1">
        <v>35</v>
      </c>
      <c r="K721" s="1">
        <v>2.82</v>
      </c>
      <c r="L721" s="4">
        <v>61.37</v>
      </c>
      <c r="M721" s="1">
        <v>0.67</v>
      </c>
      <c r="N721" s="1">
        <v>8</v>
      </c>
      <c r="O721" s="1">
        <v>0.97</v>
      </c>
      <c r="P721" s="1">
        <v>790</v>
      </c>
      <c r="Q721" s="1">
        <v>12.06</v>
      </c>
      <c r="R721" s="1">
        <v>0.57999999999999996</v>
      </c>
      <c r="S721" s="2">
        <v>45587</v>
      </c>
      <c r="T721" s="1">
        <v>299.58</v>
      </c>
      <c r="U721" s="1">
        <v>0.64400000000000002</v>
      </c>
      <c r="V721" s="6">
        <f t="shared" si="33"/>
        <v>7487.1399999999994</v>
      </c>
      <c r="W721" s="6" t="str">
        <f t="shared" si="34"/>
        <v>Sufficient</v>
      </c>
      <c r="X721" s="8" t="str">
        <f t="shared" si="35"/>
        <v>Medium</v>
      </c>
    </row>
    <row r="722" spans="1:24">
      <c r="A722" s="7" t="s">
        <v>852</v>
      </c>
      <c r="B722" s="1" t="s">
        <v>41</v>
      </c>
      <c r="C722" s="1">
        <v>441</v>
      </c>
      <c r="D722" s="1">
        <v>48</v>
      </c>
      <c r="E722" s="1">
        <v>3</v>
      </c>
      <c r="F722" s="1">
        <v>6</v>
      </c>
      <c r="G722" s="1">
        <v>29.82</v>
      </c>
      <c r="H722" s="1" t="s">
        <v>394</v>
      </c>
      <c r="I722" s="1" t="s">
        <v>45</v>
      </c>
      <c r="J722" s="1">
        <v>57</v>
      </c>
      <c r="K722" s="1">
        <v>4.59</v>
      </c>
      <c r="L722" s="4">
        <v>94.78</v>
      </c>
      <c r="M722" s="1">
        <v>0.62</v>
      </c>
      <c r="N722" s="1">
        <v>5</v>
      </c>
      <c r="O722" s="1">
        <v>0.82</v>
      </c>
      <c r="P722" s="1">
        <v>366</v>
      </c>
      <c r="Q722" s="1">
        <v>1.29</v>
      </c>
      <c r="R722" s="1">
        <v>0.71</v>
      </c>
      <c r="S722" s="2">
        <v>45358</v>
      </c>
      <c r="T722" s="1">
        <v>267.70999999999998</v>
      </c>
      <c r="U722" s="1">
        <v>0.56100000000000005</v>
      </c>
      <c r="V722" s="6">
        <f t="shared" si="33"/>
        <v>41797.980000000003</v>
      </c>
      <c r="W722" s="6" t="str">
        <f t="shared" si="34"/>
        <v>Sufficient</v>
      </c>
      <c r="X722" s="8" t="str">
        <f t="shared" si="35"/>
        <v>High</v>
      </c>
    </row>
    <row r="723" spans="1:24">
      <c r="A723" s="7" t="s">
        <v>853</v>
      </c>
      <c r="B723" s="1" t="s">
        <v>33</v>
      </c>
      <c r="C723" s="1">
        <v>104</v>
      </c>
      <c r="D723" s="1">
        <v>70</v>
      </c>
      <c r="E723" s="1">
        <v>7</v>
      </c>
      <c r="F723" s="1">
        <v>5</v>
      </c>
      <c r="G723" s="1">
        <v>45.96</v>
      </c>
      <c r="H723" s="1" t="s">
        <v>214</v>
      </c>
      <c r="I723" s="1" t="s">
        <v>39</v>
      </c>
      <c r="J723" s="1">
        <v>14</v>
      </c>
      <c r="K723" s="1">
        <v>1.65</v>
      </c>
      <c r="L723" s="4">
        <v>176.44</v>
      </c>
      <c r="M723" s="1">
        <v>1.19</v>
      </c>
      <c r="N723" s="1">
        <v>5</v>
      </c>
      <c r="O723" s="1">
        <v>0.96</v>
      </c>
      <c r="P723" s="1">
        <v>823</v>
      </c>
      <c r="Q723" s="1">
        <v>14.15</v>
      </c>
      <c r="R723" s="1">
        <v>0.28999999999999998</v>
      </c>
      <c r="S723" s="2">
        <v>45581</v>
      </c>
      <c r="T723" s="1">
        <v>212.17</v>
      </c>
      <c r="U723" s="1">
        <v>0.62</v>
      </c>
      <c r="V723" s="6">
        <f t="shared" si="33"/>
        <v>18349.759999999998</v>
      </c>
      <c r="W723" s="6" t="str">
        <f t="shared" si="34"/>
        <v>Sufficient</v>
      </c>
      <c r="X723" s="8" t="str">
        <f t="shared" si="35"/>
        <v>Medium</v>
      </c>
    </row>
    <row r="724" spans="1:24">
      <c r="A724" s="7" t="s">
        <v>854</v>
      </c>
      <c r="B724" s="1" t="s">
        <v>33</v>
      </c>
      <c r="C724" s="1">
        <v>336</v>
      </c>
      <c r="D724" s="1">
        <v>51</v>
      </c>
      <c r="E724" s="1">
        <v>9</v>
      </c>
      <c r="F724" s="1">
        <v>3</v>
      </c>
      <c r="G724" s="1">
        <v>27.78</v>
      </c>
      <c r="H724" s="1" t="s">
        <v>55</v>
      </c>
      <c r="I724" s="1" t="s">
        <v>39</v>
      </c>
      <c r="J724" s="1">
        <v>68</v>
      </c>
      <c r="K724" s="1">
        <v>3.28</v>
      </c>
      <c r="L724" s="4">
        <v>27.01</v>
      </c>
      <c r="M724" s="1">
        <v>0.73</v>
      </c>
      <c r="N724" s="1">
        <v>9</v>
      </c>
      <c r="O724" s="1">
        <v>0.71</v>
      </c>
      <c r="P724" s="1">
        <v>168</v>
      </c>
      <c r="Q724" s="1">
        <v>14.28</v>
      </c>
      <c r="R724" s="1">
        <v>1</v>
      </c>
      <c r="S724" s="2">
        <v>45540</v>
      </c>
      <c r="T724" s="1">
        <v>101.57</v>
      </c>
      <c r="U724" s="1">
        <v>0.67900000000000005</v>
      </c>
      <c r="V724" s="6">
        <f t="shared" si="33"/>
        <v>9075.36</v>
      </c>
      <c r="W724" s="6" t="str">
        <f t="shared" si="34"/>
        <v>Sufficient</v>
      </c>
      <c r="X724" s="8" t="str">
        <f t="shared" si="35"/>
        <v>High</v>
      </c>
    </row>
    <row r="725" spans="1:24">
      <c r="A725" s="7" t="s">
        <v>855</v>
      </c>
      <c r="B725" s="1" t="s">
        <v>41</v>
      </c>
      <c r="C725" s="1">
        <v>231</v>
      </c>
      <c r="D725" s="1">
        <v>90</v>
      </c>
      <c r="E725" s="1">
        <v>5</v>
      </c>
      <c r="F725" s="1">
        <v>2</v>
      </c>
      <c r="G725" s="1">
        <v>25.79</v>
      </c>
      <c r="H725" s="1" t="s">
        <v>135</v>
      </c>
      <c r="I725" s="1" t="s">
        <v>31</v>
      </c>
      <c r="J725" s="1">
        <v>70</v>
      </c>
      <c r="K725" s="1">
        <v>2.76</v>
      </c>
      <c r="L725" s="4">
        <v>183.9</v>
      </c>
      <c r="M725" s="1">
        <v>1.32</v>
      </c>
      <c r="N725" s="1">
        <v>4</v>
      </c>
      <c r="O725" s="1">
        <v>0.79</v>
      </c>
      <c r="P725" s="1">
        <v>795</v>
      </c>
      <c r="Q725" s="1">
        <v>5.97</v>
      </c>
      <c r="R725" s="1">
        <v>0.57999999999999996</v>
      </c>
      <c r="S725" s="2">
        <v>45467</v>
      </c>
      <c r="T725" s="1">
        <v>165.65</v>
      </c>
      <c r="U725" s="1">
        <v>0.54200000000000004</v>
      </c>
      <c r="V725" s="6">
        <f t="shared" si="33"/>
        <v>42480.9</v>
      </c>
      <c r="W725" s="6" t="str">
        <f t="shared" si="34"/>
        <v>Sufficient</v>
      </c>
      <c r="X725" s="8" t="str">
        <f t="shared" si="35"/>
        <v>Medium</v>
      </c>
    </row>
    <row r="726" spans="1:24">
      <c r="A726" s="7" t="s">
        <v>856</v>
      </c>
      <c r="B726" s="1" t="s">
        <v>25</v>
      </c>
      <c r="C726" s="1">
        <v>22</v>
      </c>
      <c r="D726" s="1">
        <v>88</v>
      </c>
      <c r="E726" s="1">
        <v>11</v>
      </c>
      <c r="F726" s="1">
        <v>9</v>
      </c>
      <c r="G726" s="1">
        <v>11.9</v>
      </c>
      <c r="H726" s="1" t="s">
        <v>47</v>
      </c>
      <c r="I726" s="1" t="s">
        <v>39</v>
      </c>
      <c r="J726" s="1">
        <v>58</v>
      </c>
      <c r="K726" s="1">
        <v>4.63</v>
      </c>
      <c r="L726" s="4">
        <v>185.84</v>
      </c>
      <c r="M726" s="1">
        <v>1.41</v>
      </c>
      <c r="N726" s="1">
        <v>6</v>
      </c>
      <c r="O726" s="1">
        <v>0.92</v>
      </c>
      <c r="P726" s="1">
        <v>843</v>
      </c>
      <c r="Q726" s="1">
        <v>1.1399999999999999</v>
      </c>
      <c r="R726" s="1">
        <v>0.74</v>
      </c>
      <c r="S726" s="2">
        <v>45641</v>
      </c>
      <c r="T726" s="1">
        <v>46.72</v>
      </c>
      <c r="U726" s="1">
        <v>0.48599999999999999</v>
      </c>
      <c r="V726" s="6">
        <f t="shared" si="33"/>
        <v>4088.48</v>
      </c>
      <c r="W726" s="6" t="str">
        <f t="shared" si="34"/>
        <v>Reorder Required</v>
      </c>
      <c r="X726" s="8" t="str">
        <f t="shared" si="35"/>
        <v>LOW</v>
      </c>
    </row>
    <row r="727" spans="1:24">
      <c r="A727" s="7" t="s">
        <v>857</v>
      </c>
      <c r="B727" s="1" t="s">
        <v>66</v>
      </c>
      <c r="C727" s="1">
        <v>403</v>
      </c>
      <c r="D727" s="1">
        <v>27</v>
      </c>
      <c r="E727" s="1">
        <v>10</v>
      </c>
      <c r="F727" s="1">
        <v>7</v>
      </c>
      <c r="G727" s="1">
        <v>27.69</v>
      </c>
      <c r="H727" s="1" t="s">
        <v>106</v>
      </c>
      <c r="I727" s="1" t="s">
        <v>39</v>
      </c>
      <c r="J727" s="1">
        <v>167</v>
      </c>
      <c r="K727" s="1">
        <v>2.38</v>
      </c>
      <c r="L727" s="4">
        <v>148.16999999999999</v>
      </c>
      <c r="M727" s="1">
        <v>0.16</v>
      </c>
      <c r="N727" s="1">
        <v>3</v>
      </c>
      <c r="O727" s="1">
        <v>0.77</v>
      </c>
      <c r="P727" s="1">
        <v>251</v>
      </c>
      <c r="Q727" s="1">
        <v>8.74</v>
      </c>
      <c r="R727" s="1">
        <v>0.93</v>
      </c>
      <c r="S727" s="2">
        <v>45316</v>
      </c>
      <c r="T727" s="1">
        <v>106.85</v>
      </c>
      <c r="U727" s="1">
        <v>0.78100000000000003</v>
      </c>
      <c r="V727" s="6">
        <f t="shared" si="33"/>
        <v>59712.509999999995</v>
      </c>
      <c r="W727" s="6" t="str">
        <f t="shared" si="34"/>
        <v>Sufficient</v>
      </c>
      <c r="X727" s="8" t="str">
        <f t="shared" si="35"/>
        <v>High</v>
      </c>
    </row>
    <row r="728" spans="1:24">
      <c r="A728" s="7" t="s">
        <v>858</v>
      </c>
      <c r="B728" s="1" t="s">
        <v>66</v>
      </c>
      <c r="C728" s="1">
        <v>198</v>
      </c>
      <c r="D728" s="1">
        <v>32</v>
      </c>
      <c r="E728" s="1">
        <v>5</v>
      </c>
      <c r="F728" s="1">
        <v>9</v>
      </c>
      <c r="G728" s="1">
        <v>7.89</v>
      </c>
      <c r="H728" s="1" t="s">
        <v>70</v>
      </c>
      <c r="I728" s="1" t="s">
        <v>31</v>
      </c>
      <c r="J728" s="1">
        <v>154</v>
      </c>
      <c r="K728" s="1">
        <v>4.3499999999999996</v>
      </c>
      <c r="L728" s="4">
        <v>181.05</v>
      </c>
      <c r="M728" s="1">
        <v>1.32</v>
      </c>
      <c r="N728" s="1">
        <v>9</v>
      </c>
      <c r="O728" s="1">
        <v>0.76</v>
      </c>
      <c r="P728" s="1">
        <v>823</v>
      </c>
      <c r="Q728" s="1">
        <v>13.79</v>
      </c>
      <c r="R728" s="1">
        <v>0.23</v>
      </c>
      <c r="S728" s="2">
        <v>45315</v>
      </c>
      <c r="T728" s="1">
        <v>29.71</v>
      </c>
      <c r="U728" s="1">
        <v>0.47</v>
      </c>
      <c r="V728" s="6">
        <f t="shared" si="33"/>
        <v>35847.9</v>
      </c>
      <c r="W728" s="6" t="str">
        <f t="shared" si="34"/>
        <v>Sufficient</v>
      </c>
      <c r="X728" s="8" t="str">
        <f t="shared" si="35"/>
        <v>Medium</v>
      </c>
    </row>
    <row r="729" spans="1:24">
      <c r="A729" s="7" t="s">
        <v>859</v>
      </c>
      <c r="B729" s="1" t="s">
        <v>25</v>
      </c>
      <c r="C729" s="1">
        <v>361</v>
      </c>
      <c r="D729" s="1">
        <v>63</v>
      </c>
      <c r="E729" s="1">
        <v>7</v>
      </c>
      <c r="F729" s="1">
        <v>6</v>
      </c>
      <c r="G729" s="1">
        <v>43.61</v>
      </c>
      <c r="H729" s="1" t="s">
        <v>269</v>
      </c>
      <c r="I729" s="1" t="s">
        <v>31</v>
      </c>
      <c r="J729" s="1">
        <v>79</v>
      </c>
      <c r="K729" s="1">
        <v>3.04</v>
      </c>
      <c r="L729" s="4">
        <v>156.30000000000001</v>
      </c>
      <c r="M729" s="1">
        <v>0.32</v>
      </c>
      <c r="N729" s="1">
        <v>9</v>
      </c>
      <c r="O729" s="1">
        <v>0.96</v>
      </c>
      <c r="P729" s="1">
        <v>102</v>
      </c>
      <c r="Q729" s="1">
        <v>2.74</v>
      </c>
      <c r="R729" s="1">
        <v>0.68</v>
      </c>
      <c r="S729" s="2">
        <v>45342</v>
      </c>
      <c r="T729" s="1">
        <v>186.99</v>
      </c>
      <c r="U729" s="1">
        <v>0.55300000000000005</v>
      </c>
      <c r="V729" s="6">
        <f t="shared" si="33"/>
        <v>56424.3</v>
      </c>
      <c r="W729" s="6" t="str">
        <f t="shared" si="34"/>
        <v>Sufficient</v>
      </c>
      <c r="X729" s="8" t="str">
        <f t="shared" si="35"/>
        <v>High</v>
      </c>
    </row>
    <row r="730" spans="1:24">
      <c r="A730" s="7" t="s">
        <v>860</v>
      </c>
      <c r="B730" s="1" t="s">
        <v>41</v>
      </c>
      <c r="C730" s="1">
        <v>322</v>
      </c>
      <c r="D730" s="1">
        <v>39</v>
      </c>
      <c r="E730" s="1">
        <v>9</v>
      </c>
      <c r="F730" s="1">
        <v>7</v>
      </c>
      <c r="G730" s="1">
        <v>34.119999999999997</v>
      </c>
      <c r="H730" s="1" t="s">
        <v>200</v>
      </c>
      <c r="I730" s="1" t="s">
        <v>31</v>
      </c>
      <c r="J730" s="1">
        <v>24</v>
      </c>
      <c r="K730" s="1">
        <v>3.69</v>
      </c>
      <c r="L730" s="4">
        <v>110.38</v>
      </c>
      <c r="M730" s="1">
        <v>0.98</v>
      </c>
      <c r="N730" s="1">
        <v>2</v>
      </c>
      <c r="O730" s="1">
        <v>0.88</v>
      </c>
      <c r="P730" s="1">
        <v>366</v>
      </c>
      <c r="Q730" s="1">
        <v>9.27</v>
      </c>
      <c r="R730" s="1">
        <v>0.63</v>
      </c>
      <c r="S730" s="2">
        <v>45612</v>
      </c>
      <c r="T730" s="1">
        <v>258.67</v>
      </c>
      <c r="U730" s="1">
        <v>0.68799999999999994</v>
      </c>
      <c r="V730" s="6">
        <f t="shared" si="33"/>
        <v>35542.36</v>
      </c>
      <c r="W730" s="6" t="str">
        <f t="shared" si="34"/>
        <v>Sufficient</v>
      </c>
      <c r="X730" s="8" t="str">
        <f t="shared" si="35"/>
        <v>High</v>
      </c>
    </row>
    <row r="731" spans="1:24">
      <c r="A731" s="7" t="s">
        <v>861</v>
      </c>
      <c r="B731" s="1" t="s">
        <v>33</v>
      </c>
      <c r="C731" s="1">
        <v>471</v>
      </c>
      <c r="D731" s="1">
        <v>67</v>
      </c>
      <c r="E731" s="1">
        <v>14</v>
      </c>
      <c r="F731" s="1">
        <v>3</v>
      </c>
      <c r="G731" s="1">
        <v>49.69</v>
      </c>
      <c r="H731" s="1" t="s">
        <v>106</v>
      </c>
      <c r="I731" s="1" t="s">
        <v>27</v>
      </c>
      <c r="J731" s="1">
        <v>10</v>
      </c>
      <c r="K731" s="1">
        <v>4.49</v>
      </c>
      <c r="L731" s="4">
        <v>124.14</v>
      </c>
      <c r="M731" s="1">
        <v>1.48</v>
      </c>
      <c r="N731" s="1">
        <v>6</v>
      </c>
      <c r="O731" s="1">
        <v>1</v>
      </c>
      <c r="P731" s="1">
        <v>722</v>
      </c>
      <c r="Q731" s="1">
        <v>11.24</v>
      </c>
      <c r="R731" s="1">
        <v>0.25</v>
      </c>
      <c r="S731" s="2">
        <v>45527</v>
      </c>
      <c r="T731" s="1">
        <v>244.77</v>
      </c>
      <c r="U731" s="1">
        <v>0.53200000000000003</v>
      </c>
      <c r="V731" s="6">
        <f t="shared" si="33"/>
        <v>58469.94</v>
      </c>
      <c r="W731" s="6" t="str">
        <f t="shared" si="34"/>
        <v>Sufficient</v>
      </c>
      <c r="X731" s="8" t="str">
        <f t="shared" si="35"/>
        <v>High</v>
      </c>
    </row>
    <row r="732" spans="1:24">
      <c r="A732" s="7" t="s">
        <v>862</v>
      </c>
      <c r="B732" s="1" t="s">
        <v>66</v>
      </c>
      <c r="C732" s="1">
        <v>495</v>
      </c>
      <c r="D732" s="1">
        <v>77</v>
      </c>
      <c r="E732" s="1">
        <v>6</v>
      </c>
      <c r="F732" s="1">
        <v>3</v>
      </c>
      <c r="G732" s="1">
        <v>5.51</v>
      </c>
      <c r="H732" s="1" t="s">
        <v>151</v>
      </c>
      <c r="I732" s="1" t="s">
        <v>45</v>
      </c>
      <c r="J732" s="1">
        <v>150</v>
      </c>
      <c r="K732" s="1">
        <v>4.99</v>
      </c>
      <c r="L732" s="4">
        <v>129.36000000000001</v>
      </c>
      <c r="M732" s="1">
        <v>1.44</v>
      </c>
      <c r="N732" s="1">
        <v>9</v>
      </c>
      <c r="O732" s="1">
        <v>0.74</v>
      </c>
      <c r="P732" s="1">
        <v>293</v>
      </c>
      <c r="Q732" s="1">
        <v>2.89</v>
      </c>
      <c r="R732" s="1">
        <v>0.75</v>
      </c>
      <c r="S732" s="2">
        <v>45300</v>
      </c>
      <c r="T732" s="1">
        <v>258.26</v>
      </c>
      <c r="U732" s="1">
        <v>0.41299999999999998</v>
      </c>
      <c r="V732" s="6">
        <f t="shared" si="33"/>
        <v>64033.200000000004</v>
      </c>
      <c r="W732" s="6" t="str">
        <f t="shared" si="34"/>
        <v>Sufficient</v>
      </c>
      <c r="X732" s="8" t="str">
        <f t="shared" si="35"/>
        <v>High</v>
      </c>
    </row>
    <row r="733" spans="1:24">
      <c r="A733" s="7" t="s">
        <v>863</v>
      </c>
      <c r="B733" s="1" t="s">
        <v>29</v>
      </c>
      <c r="C733" s="1">
        <v>351</v>
      </c>
      <c r="D733" s="1">
        <v>76</v>
      </c>
      <c r="E733" s="1">
        <v>7</v>
      </c>
      <c r="F733" s="1">
        <v>9</v>
      </c>
      <c r="G733" s="1">
        <v>12.79</v>
      </c>
      <c r="H733" s="1" t="s">
        <v>68</v>
      </c>
      <c r="I733" s="1" t="s">
        <v>39</v>
      </c>
      <c r="J733" s="1">
        <v>137</v>
      </c>
      <c r="K733" s="1">
        <v>3.79</v>
      </c>
      <c r="L733" s="4">
        <v>34.11</v>
      </c>
      <c r="M733" s="1">
        <v>0.67</v>
      </c>
      <c r="N733" s="1">
        <v>0</v>
      </c>
      <c r="O733" s="1">
        <v>0.81</v>
      </c>
      <c r="P733" s="1">
        <v>990</v>
      </c>
      <c r="Q733" s="1">
        <v>8.19</v>
      </c>
      <c r="R733" s="1">
        <v>0.38</v>
      </c>
      <c r="S733" s="2">
        <v>45355</v>
      </c>
      <c r="T733" s="1">
        <v>60.63</v>
      </c>
      <c r="U733" s="1">
        <v>0.68</v>
      </c>
      <c r="V733" s="6">
        <f t="shared" si="33"/>
        <v>11972.61</v>
      </c>
      <c r="W733" s="6" t="str">
        <f t="shared" si="34"/>
        <v>Sufficient</v>
      </c>
      <c r="X733" s="8" t="str">
        <f t="shared" si="35"/>
        <v>High</v>
      </c>
    </row>
    <row r="734" spans="1:24">
      <c r="A734" s="7" t="s">
        <v>864</v>
      </c>
      <c r="B734" s="1" t="s">
        <v>29</v>
      </c>
      <c r="C734" s="1">
        <v>57</v>
      </c>
      <c r="D734" s="1">
        <v>80</v>
      </c>
      <c r="E734" s="1">
        <v>5</v>
      </c>
      <c r="F734" s="1">
        <v>5</v>
      </c>
      <c r="G734" s="1">
        <v>43.98</v>
      </c>
      <c r="H734" s="1" t="s">
        <v>153</v>
      </c>
      <c r="I734" s="1" t="s">
        <v>31</v>
      </c>
      <c r="J734" s="1">
        <v>171</v>
      </c>
      <c r="K734" s="1">
        <v>1.92</v>
      </c>
      <c r="L734" s="4">
        <v>46.68</v>
      </c>
      <c r="M734" s="1">
        <v>0.62</v>
      </c>
      <c r="N734" s="1">
        <v>5</v>
      </c>
      <c r="O734" s="1">
        <v>0.79</v>
      </c>
      <c r="P734" s="1">
        <v>143</v>
      </c>
      <c r="Q734" s="1">
        <v>2.2400000000000002</v>
      </c>
      <c r="R734" s="1">
        <v>0.76</v>
      </c>
      <c r="S734" s="2">
        <v>45372</v>
      </c>
      <c r="T734" s="1">
        <v>198.52</v>
      </c>
      <c r="U734" s="1">
        <v>0.57799999999999996</v>
      </c>
      <c r="V734" s="6">
        <f t="shared" si="33"/>
        <v>2660.7599999999998</v>
      </c>
      <c r="W734" s="6" t="str">
        <f t="shared" si="34"/>
        <v>Reorder Required</v>
      </c>
      <c r="X734" s="8" t="str">
        <f t="shared" si="35"/>
        <v>LOW</v>
      </c>
    </row>
    <row r="735" spans="1:24">
      <c r="A735" s="7" t="s">
        <v>865</v>
      </c>
      <c r="B735" s="1" t="s">
        <v>25</v>
      </c>
      <c r="C735" s="1">
        <v>439</v>
      </c>
      <c r="D735" s="1">
        <v>27</v>
      </c>
      <c r="E735" s="1">
        <v>11</v>
      </c>
      <c r="F735" s="1">
        <v>2</v>
      </c>
      <c r="G735" s="1">
        <v>20.37</v>
      </c>
      <c r="H735" s="1" t="s">
        <v>88</v>
      </c>
      <c r="I735" s="1" t="s">
        <v>31</v>
      </c>
      <c r="J735" s="1">
        <v>134</v>
      </c>
      <c r="K735" s="1">
        <v>1.85</v>
      </c>
      <c r="L735" s="4">
        <v>109.44</v>
      </c>
      <c r="M735" s="1">
        <v>0.94</v>
      </c>
      <c r="N735" s="1">
        <v>1</v>
      </c>
      <c r="O735" s="1">
        <v>0.96</v>
      </c>
      <c r="P735" s="1">
        <v>601</v>
      </c>
      <c r="Q735" s="1">
        <v>8.81</v>
      </c>
      <c r="R735" s="1">
        <v>0.49</v>
      </c>
      <c r="S735" s="2">
        <v>45517</v>
      </c>
      <c r="T735" s="1">
        <v>287.45999999999998</v>
      </c>
      <c r="U735" s="1">
        <v>0.69299999999999995</v>
      </c>
      <c r="V735" s="6">
        <f t="shared" si="33"/>
        <v>48044.159999999996</v>
      </c>
      <c r="W735" s="6" t="str">
        <f t="shared" si="34"/>
        <v>Sufficient</v>
      </c>
      <c r="X735" s="8" t="str">
        <f t="shared" si="35"/>
        <v>High</v>
      </c>
    </row>
    <row r="736" spans="1:24">
      <c r="A736" s="7" t="s">
        <v>866</v>
      </c>
      <c r="B736" s="1" t="s">
        <v>41</v>
      </c>
      <c r="C736" s="1">
        <v>258</v>
      </c>
      <c r="D736" s="1">
        <v>16</v>
      </c>
      <c r="E736" s="1">
        <v>12</v>
      </c>
      <c r="F736" s="1">
        <v>4</v>
      </c>
      <c r="G736" s="1">
        <v>23.85</v>
      </c>
      <c r="H736" s="1" t="s">
        <v>411</v>
      </c>
      <c r="I736" s="1" t="s">
        <v>45</v>
      </c>
      <c r="J736" s="1">
        <v>167</v>
      </c>
      <c r="K736" s="1">
        <v>1.89</v>
      </c>
      <c r="L736" s="4">
        <v>31.89</v>
      </c>
      <c r="M736" s="1">
        <v>0.46</v>
      </c>
      <c r="N736" s="1">
        <v>1</v>
      </c>
      <c r="O736" s="1">
        <v>0.78</v>
      </c>
      <c r="P736" s="1">
        <v>329</v>
      </c>
      <c r="Q736" s="1">
        <v>7.19</v>
      </c>
      <c r="R736" s="1">
        <v>0.82</v>
      </c>
      <c r="S736" s="2">
        <v>45525</v>
      </c>
      <c r="T736" s="1">
        <v>237.14</v>
      </c>
      <c r="U736" s="1">
        <v>0.75</v>
      </c>
      <c r="V736" s="6">
        <f t="shared" si="33"/>
        <v>8227.6200000000008</v>
      </c>
      <c r="W736" s="6" t="str">
        <f t="shared" si="34"/>
        <v>Sufficient</v>
      </c>
      <c r="X736" s="8" t="str">
        <f t="shared" si="35"/>
        <v>High</v>
      </c>
    </row>
    <row r="737" spans="1:24">
      <c r="A737" s="7" t="s">
        <v>867</v>
      </c>
      <c r="B737" s="1" t="s">
        <v>66</v>
      </c>
      <c r="C737" s="1">
        <v>188</v>
      </c>
      <c r="D737" s="1">
        <v>49</v>
      </c>
      <c r="E737" s="1">
        <v>11</v>
      </c>
      <c r="F737" s="1">
        <v>7</v>
      </c>
      <c r="G737" s="1">
        <v>43.17</v>
      </c>
      <c r="H737" s="1" t="s">
        <v>394</v>
      </c>
      <c r="I737" s="1" t="s">
        <v>27</v>
      </c>
      <c r="J737" s="1">
        <v>28</v>
      </c>
      <c r="K737" s="1">
        <v>0.94</v>
      </c>
      <c r="L737" s="4">
        <v>193.35</v>
      </c>
      <c r="M737" s="1">
        <v>1.95</v>
      </c>
      <c r="N737" s="1">
        <v>7</v>
      </c>
      <c r="O737" s="1">
        <v>0.81</v>
      </c>
      <c r="P737" s="1">
        <v>141</v>
      </c>
      <c r="Q737" s="1">
        <v>4.71</v>
      </c>
      <c r="R737" s="1">
        <v>0.95</v>
      </c>
      <c r="S737" s="2">
        <v>45292</v>
      </c>
      <c r="T737" s="1">
        <v>10.98</v>
      </c>
      <c r="U737" s="1">
        <v>0.48</v>
      </c>
      <c r="V737" s="6">
        <f t="shared" si="33"/>
        <v>36349.799999999996</v>
      </c>
      <c r="W737" s="6" t="str">
        <f t="shared" si="34"/>
        <v>Sufficient</v>
      </c>
      <c r="X737" s="8" t="str">
        <f t="shared" si="35"/>
        <v>Medium</v>
      </c>
    </row>
    <row r="738" spans="1:24">
      <c r="A738" s="7" t="s">
        <v>868</v>
      </c>
      <c r="B738" s="1" t="s">
        <v>41</v>
      </c>
      <c r="C738" s="1">
        <v>472</v>
      </c>
      <c r="D738" s="1">
        <v>79</v>
      </c>
      <c r="E738" s="1">
        <v>9</v>
      </c>
      <c r="F738" s="1">
        <v>3</v>
      </c>
      <c r="G738" s="1">
        <v>26.57</v>
      </c>
      <c r="H738" s="1" t="s">
        <v>55</v>
      </c>
      <c r="I738" s="1" t="s">
        <v>39</v>
      </c>
      <c r="J738" s="1">
        <v>128</v>
      </c>
      <c r="K738" s="1">
        <v>0.74</v>
      </c>
      <c r="L738" s="4">
        <v>106.35</v>
      </c>
      <c r="M738" s="1">
        <v>0.76</v>
      </c>
      <c r="N738" s="1">
        <v>2</v>
      </c>
      <c r="O738" s="1">
        <v>0.74</v>
      </c>
      <c r="P738" s="1">
        <v>862</v>
      </c>
      <c r="Q738" s="1">
        <v>12.94</v>
      </c>
      <c r="R738" s="1">
        <v>0.89</v>
      </c>
      <c r="S738" s="2">
        <v>45511</v>
      </c>
      <c r="T738" s="1">
        <v>265.87</v>
      </c>
      <c r="U738" s="1">
        <v>0.78300000000000003</v>
      </c>
      <c r="V738" s="6">
        <f t="shared" si="33"/>
        <v>50197.2</v>
      </c>
      <c r="W738" s="6" t="str">
        <f t="shared" si="34"/>
        <v>Sufficient</v>
      </c>
      <c r="X738" s="8" t="str">
        <f t="shared" si="35"/>
        <v>High</v>
      </c>
    </row>
    <row r="739" spans="1:24">
      <c r="A739" s="7" t="s">
        <v>869</v>
      </c>
      <c r="B739" s="1" t="s">
        <v>66</v>
      </c>
      <c r="C739" s="1">
        <v>416</v>
      </c>
      <c r="D739" s="1">
        <v>95</v>
      </c>
      <c r="E739" s="1">
        <v>12</v>
      </c>
      <c r="F739" s="1">
        <v>6</v>
      </c>
      <c r="G739" s="1">
        <v>10.48</v>
      </c>
      <c r="H739" s="1" t="s">
        <v>195</v>
      </c>
      <c r="I739" s="1" t="s">
        <v>27</v>
      </c>
      <c r="J739" s="1">
        <v>73</v>
      </c>
      <c r="K739" s="1">
        <v>3.11</v>
      </c>
      <c r="L739" s="4">
        <v>82.22</v>
      </c>
      <c r="M739" s="1">
        <v>1.85</v>
      </c>
      <c r="N739" s="1">
        <v>8</v>
      </c>
      <c r="O739" s="1">
        <v>0.93</v>
      </c>
      <c r="P739" s="1">
        <v>87</v>
      </c>
      <c r="Q739" s="1">
        <v>6.35</v>
      </c>
      <c r="R739" s="1">
        <v>0.59</v>
      </c>
      <c r="S739" s="2">
        <v>45395</v>
      </c>
      <c r="T739" s="1">
        <v>214.68</v>
      </c>
      <c r="U739" s="1">
        <v>0.44400000000000001</v>
      </c>
      <c r="V739" s="6">
        <f t="shared" si="33"/>
        <v>34203.519999999997</v>
      </c>
      <c r="W739" s="6" t="str">
        <f t="shared" si="34"/>
        <v>Sufficient</v>
      </c>
      <c r="X739" s="8" t="str">
        <f t="shared" si="35"/>
        <v>High</v>
      </c>
    </row>
    <row r="740" spans="1:24">
      <c r="A740" s="7" t="s">
        <v>870</v>
      </c>
      <c r="B740" s="1" t="s">
        <v>25</v>
      </c>
      <c r="C740" s="1">
        <v>362</v>
      </c>
      <c r="D740" s="1">
        <v>74</v>
      </c>
      <c r="E740" s="1">
        <v>4</v>
      </c>
      <c r="F740" s="1">
        <v>7</v>
      </c>
      <c r="G740" s="1">
        <v>44.71</v>
      </c>
      <c r="H740" s="1" t="s">
        <v>88</v>
      </c>
      <c r="I740" s="1" t="s">
        <v>27</v>
      </c>
      <c r="J740" s="1">
        <v>75</v>
      </c>
      <c r="K740" s="1">
        <v>4.1500000000000004</v>
      </c>
      <c r="L740" s="4">
        <v>39.93</v>
      </c>
      <c r="M740" s="1">
        <v>1.83</v>
      </c>
      <c r="N740" s="1">
        <v>3</v>
      </c>
      <c r="O740" s="1">
        <v>0.77</v>
      </c>
      <c r="P740" s="1">
        <v>462</v>
      </c>
      <c r="Q740" s="1">
        <v>10.8</v>
      </c>
      <c r="R740" s="1">
        <v>0.38</v>
      </c>
      <c r="S740" s="2">
        <v>45644</v>
      </c>
      <c r="T740" s="1">
        <v>45.4</v>
      </c>
      <c r="U740" s="1">
        <v>0.53100000000000003</v>
      </c>
      <c r="V740" s="6">
        <f t="shared" si="33"/>
        <v>14454.66</v>
      </c>
      <c r="W740" s="6" t="str">
        <f t="shared" si="34"/>
        <v>Sufficient</v>
      </c>
      <c r="X740" s="8" t="str">
        <f t="shared" si="35"/>
        <v>High</v>
      </c>
    </row>
    <row r="741" spans="1:24">
      <c r="A741" s="7" t="s">
        <v>871</v>
      </c>
      <c r="B741" s="1" t="s">
        <v>25</v>
      </c>
      <c r="C741" s="1">
        <v>333</v>
      </c>
      <c r="D741" s="1">
        <v>77</v>
      </c>
      <c r="E741" s="1">
        <v>9</v>
      </c>
      <c r="F741" s="1">
        <v>5</v>
      </c>
      <c r="G741" s="1">
        <v>2.52</v>
      </c>
      <c r="H741" s="1" t="s">
        <v>210</v>
      </c>
      <c r="I741" s="1" t="s">
        <v>27</v>
      </c>
      <c r="J741" s="1">
        <v>66</v>
      </c>
      <c r="K741" s="1">
        <v>0.66</v>
      </c>
      <c r="L741" s="4">
        <v>89.14</v>
      </c>
      <c r="M741" s="1">
        <v>0.79</v>
      </c>
      <c r="N741" s="1">
        <v>5</v>
      </c>
      <c r="O741" s="1">
        <v>0.72</v>
      </c>
      <c r="P741" s="1">
        <v>292</v>
      </c>
      <c r="Q741" s="1">
        <v>12.07</v>
      </c>
      <c r="R741" s="1">
        <v>0.99</v>
      </c>
      <c r="S741" s="2">
        <v>45359</v>
      </c>
      <c r="T741" s="1">
        <v>101.01</v>
      </c>
      <c r="U741" s="1">
        <v>0.72399999999999998</v>
      </c>
      <c r="V741" s="6">
        <f t="shared" si="33"/>
        <v>29683.62</v>
      </c>
      <c r="W741" s="6" t="str">
        <f t="shared" si="34"/>
        <v>Sufficient</v>
      </c>
      <c r="X741" s="8" t="str">
        <f t="shared" si="35"/>
        <v>High</v>
      </c>
    </row>
    <row r="742" spans="1:24">
      <c r="A742" s="7" t="s">
        <v>872</v>
      </c>
      <c r="B742" s="1" t="s">
        <v>29</v>
      </c>
      <c r="C742" s="1">
        <v>325</v>
      </c>
      <c r="D742" s="1">
        <v>58</v>
      </c>
      <c r="E742" s="1">
        <v>9</v>
      </c>
      <c r="F742" s="1">
        <v>5</v>
      </c>
      <c r="G742" s="1">
        <v>44.87</v>
      </c>
      <c r="H742" s="1" t="s">
        <v>174</v>
      </c>
      <c r="I742" s="1" t="s">
        <v>31</v>
      </c>
      <c r="J742" s="1">
        <v>53</v>
      </c>
      <c r="K742" s="1">
        <v>3.05</v>
      </c>
      <c r="L742" s="4">
        <v>67.459999999999994</v>
      </c>
      <c r="M742" s="1">
        <v>0.57999999999999996</v>
      </c>
      <c r="N742" s="1">
        <v>0</v>
      </c>
      <c r="O742" s="1">
        <v>0.83</v>
      </c>
      <c r="P742" s="1">
        <v>413</v>
      </c>
      <c r="Q742" s="1">
        <v>3.5</v>
      </c>
      <c r="R742" s="1">
        <v>0.73</v>
      </c>
      <c r="S742" s="2">
        <v>45624</v>
      </c>
      <c r="T742" s="1">
        <v>44.08</v>
      </c>
      <c r="U742" s="1">
        <v>0.70099999999999996</v>
      </c>
      <c r="V742" s="6">
        <f t="shared" si="33"/>
        <v>21924.499999999996</v>
      </c>
      <c r="W742" s="6" t="str">
        <f t="shared" si="34"/>
        <v>Sufficient</v>
      </c>
      <c r="X742" s="8" t="str">
        <f t="shared" si="35"/>
        <v>High</v>
      </c>
    </row>
    <row r="743" spans="1:24">
      <c r="A743" s="7" t="s">
        <v>873</v>
      </c>
      <c r="B743" s="1" t="s">
        <v>41</v>
      </c>
      <c r="C743" s="1">
        <v>49</v>
      </c>
      <c r="D743" s="1">
        <v>61</v>
      </c>
      <c r="E743" s="1">
        <v>13</v>
      </c>
      <c r="F743" s="1">
        <v>3</v>
      </c>
      <c r="G743" s="1">
        <v>3.48</v>
      </c>
      <c r="H743" s="1" t="s">
        <v>88</v>
      </c>
      <c r="I743" s="1" t="s">
        <v>45</v>
      </c>
      <c r="J743" s="1">
        <v>21</v>
      </c>
      <c r="K743" s="1">
        <v>2.17</v>
      </c>
      <c r="L743" s="4">
        <v>26.71</v>
      </c>
      <c r="M743" s="1">
        <v>1.56</v>
      </c>
      <c r="N743" s="1">
        <v>9</v>
      </c>
      <c r="O743" s="1">
        <v>0.82</v>
      </c>
      <c r="P743" s="1">
        <v>697</v>
      </c>
      <c r="Q743" s="1">
        <v>2.67</v>
      </c>
      <c r="R743" s="1">
        <v>0.52</v>
      </c>
      <c r="S743" s="2">
        <v>45446</v>
      </c>
      <c r="T743" s="1">
        <v>221.65</v>
      </c>
      <c r="U743" s="1">
        <v>0.36799999999999999</v>
      </c>
      <c r="V743" s="6">
        <f t="shared" si="33"/>
        <v>1308.79</v>
      </c>
      <c r="W743" s="6" t="str">
        <f t="shared" si="34"/>
        <v>Reorder Required</v>
      </c>
      <c r="X743" s="8" t="str">
        <f t="shared" si="35"/>
        <v>LOW</v>
      </c>
    </row>
    <row r="744" spans="1:24">
      <c r="A744" s="7" t="s">
        <v>874</v>
      </c>
      <c r="B744" s="1" t="s">
        <v>29</v>
      </c>
      <c r="C744" s="1">
        <v>209</v>
      </c>
      <c r="D744" s="1">
        <v>38</v>
      </c>
      <c r="E744" s="1">
        <v>7</v>
      </c>
      <c r="F744" s="1">
        <v>3</v>
      </c>
      <c r="G744" s="1">
        <v>33.630000000000003</v>
      </c>
      <c r="H744" s="1" t="s">
        <v>269</v>
      </c>
      <c r="I744" s="1" t="s">
        <v>45</v>
      </c>
      <c r="J744" s="1">
        <v>131</v>
      </c>
      <c r="K744" s="1">
        <v>4.5199999999999996</v>
      </c>
      <c r="L744" s="4">
        <v>193.73</v>
      </c>
      <c r="M744" s="1">
        <v>0.54</v>
      </c>
      <c r="N744" s="1">
        <v>9</v>
      </c>
      <c r="O744" s="1">
        <v>0.75</v>
      </c>
      <c r="P744" s="1">
        <v>113</v>
      </c>
      <c r="Q744" s="1">
        <v>1.1100000000000001</v>
      </c>
      <c r="R744" s="1">
        <v>0.59</v>
      </c>
      <c r="S744" s="2">
        <v>45373</v>
      </c>
      <c r="T744" s="1">
        <v>11.02</v>
      </c>
      <c r="U744" s="1">
        <v>0.44900000000000001</v>
      </c>
      <c r="V744" s="6">
        <f t="shared" si="33"/>
        <v>40489.57</v>
      </c>
      <c r="W744" s="6" t="str">
        <f t="shared" si="34"/>
        <v>Sufficient</v>
      </c>
      <c r="X744" s="8" t="str">
        <f t="shared" si="35"/>
        <v>Medium</v>
      </c>
    </row>
    <row r="745" spans="1:24">
      <c r="A745" s="7" t="s">
        <v>875</v>
      </c>
      <c r="B745" s="1" t="s">
        <v>41</v>
      </c>
      <c r="C745" s="1">
        <v>376</v>
      </c>
      <c r="D745" s="1">
        <v>30</v>
      </c>
      <c r="E745" s="1">
        <v>11</v>
      </c>
      <c r="F745" s="1">
        <v>9</v>
      </c>
      <c r="G745" s="1">
        <v>4.51</v>
      </c>
      <c r="H745" s="1" t="s">
        <v>159</v>
      </c>
      <c r="I745" s="1" t="s">
        <v>45</v>
      </c>
      <c r="J745" s="1">
        <v>177</v>
      </c>
      <c r="K745" s="1">
        <v>1.1499999999999999</v>
      </c>
      <c r="L745" s="4">
        <v>60.35</v>
      </c>
      <c r="M745" s="1">
        <v>1.0900000000000001</v>
      </c>
      <c r="N745" s="1">
        <v>2</v>
      </c>
      <c r="O745" s="1">
        <v>0.74</v>
      </c>
      <c r="P745" s="1">
        <v>904</v>
      </c>
      <c r="Q745" s="1">
        <v>5.28</v>
      </c>
      <c r="R745" s="1">
        <v>0.3</v>
      </c>
      <c r="S745" s="2">
        <v>45432</v>
      </c>
      <c r="T745" s="1">
        <v>144.71</v>
      </c>
      <c r="U745" s="1">
        <v>0.52900000000000003</v>
      </c>
      <c r="V745" s="6">
        <f t="shared" si="33"/>
        <v>22691.600000000002</v>
      </c>
      <c r="W745" s="6" t="str">
        <f t="shared" si="34"/>
        <v>Sufficient</v>
      </c>
      <c r="X745" s="8" t="str">
        <f t="shared" si="35"/>
        <v>High</v>
      </c>
    </row>
    <row r="746" spans="1:24">
      <c r="A746" s="7" t="s">
        <v>876</v>
      </c>
      <c r="B746" s="1" t="s">
        <v>29</v>
      </c>
      <c r="C746" s="1">
        <v>44</v>
      </c>
      <c r="D746" s="1">
        <v>99</v>
      </c>
      <c r="E746" s="1">
        <v>14</v>
      </c>
      <c r="F746" s="1">
        <v>3</v>
      </c>
      <c r="G746" s="1">
        <v>35.6</v>
      </c>
      <c r="H746" s="1" t="s">
        <v>244</v>
      </c>
      <c r="I746" s="1" t="s">
        <v>27</v>
      </c>
      <c r="J746" s="1">
        <v>33</v>
      </c>
      <c r="K746" s="1">
        <v>3.04</v>
      </c>
      <c r="L746" s="4">
        <v>141.19</v>
      </c>
      <c r="M746" s="1">
        <v>0.31</v>
      </c>
      <c r="N746" s="1">
        <v>3</v>
      </c>
      <c r="O746" s="1">
        <v>0.97</v>
      </c>
      <c r="P746" s="1">
        <v>924</v>
      </c>
      <c r="Q746" s="1">
        <v>12.42</v>
      </c>
      <c r="R746" s="1">
        <v>0.6</v>
      </c>
      <c r="S746" s="2">
        <v>45339</v>
      </c>
      <c r="T746" s="1">
        <v>299.94</v>
      </c>
      <c r="U746" s="1">
        <v>0.78900000000000003</v>
      </c>
      <c r="V746" s="6">
        <f t="shared" si="33"/>
        <v>6212.36</v>
      </c>
      <c r="W746" s="6" t="str">
        <f t="shared" si="34"/>
        <v>Reorder Required</v>
      </c>
      <c r="X746" s="8" t="str">
        <f t="shared" si="35"/>
        <v>LOW</v>
      </c>
    </row>
    <row r="747" spans="1:24">
      <c r="A747" s="7" t="s">
        <v>877</v>
      </c>
      <c r="B747" s="1" t="s">
        <v>33</v>
      </c>
      <c r="C747" s="1">
        <v>131</v>
      </c>
      <c r="D747" s="1">
        <v>87</v>
      </c>
      <c r="E747" s="1">
        <v>13</v>
      </c>
      <c r="F747" s="1">
        <v>9</v>
      </c>
      <c r="G747" s="1">
        <v>2.66</v>
      </c>
      <c r="H747" s="1" t="s">
        <v>85</v>
      </c>
      <c r="I747" s="1" t="s">
        <v>39</v>
      </c>
      <c r="J747" s="1">
        <v>148</v>
      </c>
      <c r="K747" s="1">
        <v>4.87</v>
      </c>
      <c r="L747" s="4">
        <v>27.35</v>
      </c>
      <c r="M747" s="1">
        <v>0.83</v>
      </c>
      <c r="N747" s="1">
        <v>4</v>
      </c>
      <c r="O747" s="1">
        <v>0.72</v>
      </c>
      <c r="P747" s="1">
        <v>250</v>
      </c>
      <c r="Q747" s="1">
        <v>11.82</v>
      </c>
      <c r="R747" s="1">
        <v>0.34</v>
      </c>
      <c r="S747" s="2">
        <v>45627</v>
      </c>
      <c r="T747" s="1">
        <v>256.83</v>
      </c>
      <c r="U747" s="1">
        <v>0.60699999999999998</v>
      </c>
      <c r="V747" s="6">
        <f t="shared" si="33"/>
        <v>3582.8500000000004</v>
      </c>
      <c r="W747" s="6" t="str">
        <f t="shared" si="34"/>
        <v>Sufficient</v>
      </c>
      <c r="X747" s="8" t="str">
        <f t="shared" si="35"/>
        <v>Medium</v>
      </c>
    </row>
    <row r="748" spans="1:24">
      <c r="A748" s="7" t="s">
        <v>878</v>
      </c>
      <c r="B748" s="1" t="s">
        <v>33</v>
      </c>
      <c r="C748" s="1">
        <v>430</v>
      </c>
      <c r="D748" s="1">
        <v>18</v>
      </c>
      <c r="E748" s="1">
        <v>5</v>
      </c>
      <c r="F748" s="1">
        <v>8</v>
      </c>
      <c r="G748" s="1">
        <v>42.28</v>
      </c>
      <c r="H748" s="1" t="s">
        <v>327</v>
      </c>
      <c r="I748" s="1" t="s">
        <v>27</v>
      </c>
      <c r="J748" s="1">
        <v>10</v>
      </c>
      <c r="K748" s="1">
        <v>2.0499999999999998</v>
      </c>
      <c r="L748" s="4">
        <v>183.5</v>
      </c>
      <c r="M748" s="1">
        <v>0.25</v>
      </c>
      <c r="N748" s="1">
        <v>0</v>
      </c>
      <c r="O748" s="1">
        <v>0.73</v>
      </c>
      <c r="P748" s="1">
        <v>356</v>
      </c>
      <c r="Q748" s="1">
        <v>13.21</v>
      </c>
      <c r="R748" s="1">
        <v>0.49</v>
      </c>
      <c r="S748" s="2">
        <v>45476</v>
      </c>
      <c r="T748" s="1">
        <v>180.29</v>
      </c>
      <c r="U748" s="1">
        <v>0.79500000000000004</v>
      </c>
      <c r="V748" s="6">
        <f t="shared" si="33"/>
        <v>78905</v>
      </c>
      <c r="W748" s="6" t="str">
        <f t="shared" si="34"/>
        <v>Sufficient</v>
      </c>
      <c r="X748" s="8" t="str">
        <f t="shared" si="35"/>
        <v>High</v>
      </c>
    </row>
    <row r="749" spans="1:24">
      <c r="A749" s="7" t="s">
        <v>879</v>
      </c>
      <c r="B749" s="1" t="s">
        <v>33</v>
      </c>
      <c r="C749" s="1">
        <v>454</v>
      </c>
      <c r="D749" s="1">
        <v>56</v>
      </c>
      <c r="E749" s="1">
        <v>6</v>
      </c>
      <c r="F749" s="1">
        <v>4</v>
      </c>
      <c r="G749" s="1">
        <v>23.83</v>
      </c>
      <c r="H749" s="1" t="s">
        <v>97</v>
      </c>
      <c r="I749" s="1" t="s">
        <v>45</v>
      </c>
      <c r="J749" s="1">
        <v>37</v>
      </c>
      <c r="K749" s="1">
        <v>3.84</v>
      </c>
      <c r="L749" s="4">
        <v>122.24</v>
      </c>
      <c r="M749" s="1">
        <v>0.64</v>
      </c>
      <c r="N749" s="1">
        <v>3</v>
      </c>
      <c r="O749" s="1">
        <v>0.77</v>
      </c>
      <c r="P749" s="1">
        <v>823</v>
      </c>
      <c r="Q749" s="1">
        <v>11.65</v>
      </c>
      <c r="R749" s="1">
        <v>0.59</v>
      </c>
      <c r="S749" s="2">
        <v>45420</v>
      </c>
      <c r="T749" s="1">
        <v>211.24</v>
      </c>
      <c r="U749" s="1">
        <v>0.70299999999999996</v>
      </c>
      <c r="V749" s="6">
        <f t="shared" si="33"/>
        <v>55496.959999999999</v>
      </c>
      <c r="W749" s="6" t="str">
        <f t="shared" si="34"/>
        <v>Sufficient</v>
      </c>
      <c r="X749" s="8" t="str">
        <f t="shared" si="35"/>
        <v>High</v>
      </c>
    </row>
    <row r="750" spans="1:24">
      <c r="A750" s="7" t="s">
        <v>880</v>
      </c>
      <c r="B750" s="1" t="s">
        <v>33</v>
      </c>
      <c r="C750" s="1">
        <v>225</v>
      </c>
      <c r="D750" s="1">
        <v>85</v>
      </c>
      <c r="E750" s="1">
        <v>3</v>
      </c>
      <c r="F750" s="1">
        <v>3</v>
      </c>
      <c r="G750" s="1">
        <v>5.58</v>
      </c>
      <c r="H750" s="1" t="s">
        <v>147</v>
      </c>
      <c r="I750" s="1" t="s">
        <v>31</v>
      </c>
      <c r="J750" s="1">
        <v>77</v>
      </c>
      <c r="K750" s="1">
        <v>4.47</v>
      </c>
      <c r="L750" s="4">
        <v>134.81</v>
      </c>
      <c r="M750" s="1">
        <v>1.36</v>
      </c>
      <c r="N750" s="1">
        <v>4</v>
      </c>
      <c r="O750" s="1">
        <v>0.99</v>
      </c>
      <c r="P750" s="1">
        <v>224</v>
      </c>
      <c r="Q750" s="1">
        <v>1.34</v>
      </c>
      <c r="R750" s="1">
        <v>0.96</v>
      </c>
      <c r="S750" s="2">
        <v>45334</v>
      </c>
      <c r="T750" s="1">
        <v>185.06</v>
      </c>
      <c r="U750" s="1">
        <v>0.59199999999999997</v>
      </c>
      <c r="V750" s="6">
        <f t="shared" si="33"/>
        <v>30332.25</v>
      </c>
      <c r="W750" s="6" t="str">
        <f t="shared" si="34"/>
        <v>Sufficient</v>
      </c>
      <c r="X750" s="8" t="str">
        <f t="shared" si="35"/>
        <v>Medium</v>
      </c>
    </row>
    <row r="751" spans="1:24">
      <c r="A751" s="7" t="s">
        <v>881</v>
      </c>
      <c r="B751" s="1" t="s">
        <v>66</v>
      </c>
      <c r="C751" s="1">
        <v>204</v>
      </c>
      <c r="D751" s="1">
        <v>51</v>
      </c>
      <c r="E751" s="1">
        <v>8</v>
      </c>
      <c r="F751" s="1">
        <v>7</v>
      </c>
      <c r="G751" s="1">
        <v>35.630000000000003</v>
      </c>
      <c r="H751" s="1" t="s">
        <v>113</v>
      </c>
      <c r="I751" s="1" t="s">
        <v>27</v>
      </c>
      <c r="J751" s="1">
        <v>114</v>
      </c>
      <c r="K751" s="1">
        <v>1.34</v>
      </c>
      <c r="L751" s="4">
        <v>158.54</v>
      </c>
      <c r="M751" s="1">
        <v>1.98</v>
      </c>
      <c r="N751" s="1">
        <v>3</v>
      </c>
      <c r="O751" s="1">
        <v>0.73</v>
      </c>
      <c r="P751" s="1">
        <v>738</v>
      </c>
      <c r="Q751" s="1">
        <v>6.4</v>
      </c>
      <c r="R751" s="1">
        <v>0.7</v>
      </c>
      <c r="S751" s="2">
        <v>45482</v>
      </c>
      <c r="T751" s="1">
        <v>245.15</v>
      </c>
      <c r="U751" s="1">
        <v>0.51300000000000001</v>
      </c>
      <c r="V751" s="6">
        <f t="shared" si="33"/>
        <v>32342.16</v>
      </c>
      <c r="W751" s="6" t="str">
        <f t="shared" si="34"/>
        <v>Sufficient</v>
      </c>
      <c r="X751" s="8" t="str">
        <f t="shared" si="35"/>
        <v>Medium</v>
      </c>
    </row>
    <row r="752" spans="1:24">
      <c r="A752" s="7" t="s">
        <v>882</v>
      </c>
      <c r="B752" s="1" t="s">
        <v>33</v>
      </c>
      <c r="C752" s="1">
        <v>401</v>
      </c>
      <c r="D752" s="1">
        <v>60</v>
      </c>
      <c r="E752" s="1">
        <v>6</v>
      </c>
      <c r="F752" s="1">
        <v>7</v>
      </c>
      <c r="G752" s="1">
        <v>24.98</v>
      </c>
      <c r="H752" s="1" t="s">
        <v>459</v>
      </c>
      <c r="I752" s="1" t="s">
        <v>31</v>
      </c>
      <c r="J752" s="1">
        <v>103</v>
      </c>
      <c r="K752" s="1">
        <v>4.97</v>
      </c>
      <c r="L752" s="4">
        <v>125.12</v>
      </c>
      <c r="M752" s="1">
        <v>0.57999999999999996</v>
      </c>
      <c r="N752" s="1">
        <v>9</v>
      </c>
      <c r="O752" s="1">
        <v>0.94</v>
      </c>
      <c r="P752" s="1">
        <v>646</v>
      </c>
      <c r="Q752" s="1">
        <v>1.08</v>
      </c>
      <c r="R752" s="1">
        <v>0.5</v>
      </c>
      <c r="S752" s="2">
        <v>45632</v>
      </c>
      <c r="T752" s="1">
        <v>266.94</v>
      </c>
      <c r="U752" s="1">
        <v>0.46400000000000002</v>
      </c>
      <c r="V752" s="6">
        <f t="shared" si="33"/>
        <v>50173.120000000003</v>
      </c>
      <c r="W752" s="6" t="str">
        <f t="shared" si="34"/>
        <v>Sufficient</v>
      </c>
      <c r="X752" s="8" t="str">
        <f t="shared" si="35"/>
        <v>High</v>
      </c>
    </row>
    <row r="753" spans="1:24">
      <c r="A753" s="7" t="s">
        <v>883</v>
      </c>
      <c r="B753" s="1" t="s">
        <v>25</v>
      </c>
      <c r="C753" s="1">
        <v>398</v>
      </c>
      <c r="D753" s="1">
        <v>65</v>
      </c>
      <c r="E753" s="1">
        <v>3</v>
      </c>
      <c r="F753" s="1">
        <v>9</v>
      </c>
      <c r="G753" s="1">
        <v>10.36</v>
      </c>
      <c r="H753" s="1" t="s">
        <v>95</v>
      </c>
      <c r="I753" s="1" t="s">
        <v>45</v>
      </c>
      <c r="J753" s="1">
        <v>133</v>
      </c>
      <c r="K753" s="1">
        <v>4.1399999999999997</v>
      </c>
      <c r="L753" s="4">
        <v>23.47</v>
      </c>
      <c r="M753" s="1">
        <v>1</v>
      </c>
      <c r="N753" s="1">
        <v>9</v>
      </c>
      <c r="O753" s="1">
        <v>0.97</v>
      </c>
      <c r="P753" s="1">
        <v>721</v>
      </c>
      <c r="Q753" s="1">
        <v>1.5</v>
      </c>
      <c r="R753" s="1">
        <v>0.28999999999999998</v>
      </c>
      <c r="S753" s="2">
        <v>45624</v>
      </c>
      <c r="T753" s="1">
        <v>232.31</v>
      </c>
      <c r="U753" s="1">
        <v>0.39200000000000002</v>
      </c>
      <c r="V753" s="6">
        <f t="shared" si="33"/>
        <v>9341.06</v>
      </c>
      <c r="W753" s="6" t="str">
        <f t="shared" si="34"/>
        <v>Sufficient</v>
      </c>
      <c r="X753" s="8" t="str">
        <f t="shared" si="35"/>
        <v>High</v>
      </c>
    </row>
    <row r="754" spans="1:24">
      <c r="A754" s="7" t="s">
        <v>884</v>
      </c>
      <c r="B754" s="1" t="s">
        <v>25</v>
      </c>
      <c r="C754" s="1">
        <v>66</v>
      </c>
      <c r="D754" s="1">
        <v>60</v>
      </c>
      <c r="E754" s="1">
        <v>4</v>
      </c>
      <c r="F754" s="1">
        <v>8</v>
      </c>
      <c r="G754" s="1">
        <v>1.77</v>
      </c>
      <c r="H754" s="1" t="s">
        <v>117</v>
      </c>
      <c r="I754" s="1" t="s">
        <v>27</v>
      </c>
      <c r="J754" s="1">
        <v>133</v>
      </c>
      <c r="K754" s="1">
        <v>1.1200000000000001</v>
      </c>
      <c r="L754" s="4">
        <v>91.62</v>
      </c>
      <c r="M754" s="1">
        <v>0.95</v>
      </c>
      <c r="N754" s="1">
        <v>6</v>
      </c>
      <c r="O754" s="1">
        <v>0.81</v>
      </c>
      <c r="P754" s="1">
        <v>743</v>
      </c>
      <c r="Q754" s="1">
        <v>7.7</v>
      </c>
      <c r="R754" s="1">
        <v>0.8</v>
      </c>
      <c r="S754" s="2">
        <v>45376</v>
      </c>
      <c r="T754" s="1">
        <v>62.77</v>
      </c>
      <c r="U754" s="1">
        <v>0.61</v>
      </c>
      <c r="V754" s="6">
        <f t="shared" si="33"/>
        <v>6046.92</v>
      </c>
      <c r="W754" s="6" t="str">
        <f t="shared" si="34"/>
        <v>Sufficient</v>
      </c>
      <c r="X754" s="8" t="str">
        <f t="shared" si="35"/>
        <v>LOW</v>
      </c>
    </row>
    <row r="755" spans="1:24">
      <c r="A755" s="7" t="s">
        <v>885</v>
      </c>
      <c r="B755" s="1" t="s">
        <v>66</v>
      </c>
      <c r="C755" s="1">
        <v>393</v>
      </c>
      <c r="D755" s="1">
        <v>79</v>
      </c>
      <c r="E755" s="1">
        <v>5</v>
      </c>
      <c r="F755" s="1">
        <v>8</v>
      </c>
      <c r="G755" s="1">
        <v>21.48</v>
      </c>
      <c r="H755" s="1" t="s">
        <v>309</v>
      </c>
      <c r="I755" s="1" t="s">
        <v>31</v>
      </c>
      <c r="J755" s="1">
        <v>31</v>
      </c>
      <c r="K755" s="1">
        <v>1.9</v>
      </c>
      <c r="L755" s="4">
        <v>59.79</v>
      </c>
      <c r="M755" s="1">
        <v>0.45</v>
      </c>
      <c r="N755" s="1">
        <v>7</v>
      </c>
      <c r="O755" s="1">
        <v>0.79</v>
      </c>
      <c r="P755" s="1">
        <v>597</v>
      </c>
      <c r="Q755" s="1">
        <v>6.04</v>
      </c>
      <c r="R755" s="1">
        <v>0.56999999999999995</v>
      </c>
      <c r="S755" s="2">
        <v>45318</v>
      </c>
      <c r="T755" s="1">
        <v>118.03</v>
      </c>
      <c r="U755" s="1">
        <v>0.56799999999999995</v>
      </c>
      <c r="V755" s="6">
        <f t="shared" si="33"/>
        <v>23497.47</v>
      </c>
      <c r="W755" s="6" t="str">
        <f t="shared" si="34"/>
        <v>Sufficient</v>
      </c>
      <c r="X755" s="8" t="str">
        <f t="shared" si="35"/>
        <v>High</v>
      </c>
    </row>
    <row r="756" spans="1:24">
      <c r="A756" s="7" t="s">
        <v>886</v>
      </c>
      <c r="B756" s="1" t="s">
        <v>33</v>
      </c>
      <c r="C756" s="1">
        <v>247</v>
      </c>
      <c r="D756" s="1">
        <v>29</v>
      </c>
      <c r="E756" s="1">
        <v>11</v>
      </c>
      <c r="F756" s="1">
        <v>2</v>
      </c>
      <c r="G756" s="1">
        <v>5.2</v>
      </c>
      <c r="H756" s="1" t="s">
        <v>256</v>
      </c>
      <c r="I756" s="1" t="s">
        <v>27</v>
      </c>
      <c r="J756" s="1">
        <v>166</v>
      </c>
      <c r="K756" s="1">
        <v>3.31</v>
      </c>
      <c r="L756" s="4">
        <v>102.48</v>
      </c>
      <c r="M756" s="1">
        <v>1.26</v>
      </c>
      <c r="N756" s="1">
        <v>7</v>
      </c>
      <c r="O756" s="1">
        <v>0.9</v>
      </c>
      <c r="P756" s="1">
        <v>906</v>
      </c>
      <c r="Q756" s="1">
        <v>8.82</v>
      </c>
      <c r="R756" s="1">
        <v>0.25</v>
      </c>
      <c r="S756" s="2">
        <v>45494</v>
      </c>
      <c r="T756" s="1">
        <v>237.48</v>
      </c>
      <c r="U756" s="1">
        <v>0.48199999999999998</v>
      </c>
      <c r="V756" s="6">
        <f t="shared" si="33"/>
        <v>25312.560000000001</v>
      </c>
      <c r="W756" s="6" t="str">
        <f t="shared" si="34"/>
        <v>Sufficient</v>
      </c>
      <c r="X756" s="8" t="str">
        <f t="shared" si="35"/>
        <v>Medium</v>
      </c>
    </row>
    <row r="757" spans="1:24">
      <c r="A757" s="7" t="s">
        <v>887</v>
      </c>
      <c r="B757" s="1" t="s">
        <v>33</v>
      </c>
      <c r="C757" s="1">
        <v>58</v>
      </c>
      <c r="D757" s="1">
        <v>97</v>
      </c>
      <c r="E757" s="1">
        <v>10</v>
      </c>
      <c r="F757" s="1">
        <v>6</v>
      </c>
      <c r="G757" s="1">
        <v>5.61</v>
      </c>
      <c r="H757" s="1" t="s">
        <v>269</v>
      </c>
      <c r="I757" s="1" t="s">
        <v>45</v>
      </c>
      <c r="J757" s="1">
        <v>98</v>
      </c>
      <c r="K757" s="1">
        <v>4.4800000000000004</v>
      </c>
      <c r="L757" s="4">
        <v>86.82</v>
      </c>
      <c r="M757" s="1">
        <v>1.48</v>
      </c>
      <c r="N757" s="1">
        <v>2</v>
      </c>
      <c r="O757" s="1">
        <v>0.91</v>
      </c>
      <c r="P757" s="1">
        <v>148</v>
      </c>
      <c r="Q757" s="1">
        <v>1.93</v>
      </c>
      <c r="R757" s="1">
        <v>0.73</v>
      </c>
      <c r="S757" s="2">
        <v>45612</v>
      </c>
      <c r="T757" s="1">
        <v>248.72</v>
      </c>
      <c r="U757" s="1">
        <v>0.56599999999999995</v>
      </c>
      <c r="V757" s="6">
        <f t="shared" si="33"/>
        <v>5035.5599999999995</v>
      </c>
      <c r="W757" s="6" t="str">
        <f t="shared" si="34"/>
        <v>Reorder Required</v>
      </c>
      <c r="X757" s="8" t="str">
        <f t="shared" si="35"/>
        <v>LOW</v>
      </c>
    </row>
    <row r="758" spans="1:24">
      <c r="A758" s="7" t="s">
        <v>888</v>
      </c>
      <c r="B758" s="1" t="s">
        <v>33</v>
      </c>
      <c r="C758" s="1">
        <v>35</v>
      </c>
      <c r="D758" s="1">
        <v>36</v>
      </c>
      <c r="E758" s="1">
        <v>9</v>
      </c>
      <c r="F758" s="1">
        <v>3</v>
      </c>
      <c r="G758" s="1">
        <v>14.1</v>
      </c>
      <c r="H758" s="1" t="s">
        <v>88</v>
      </c>
      <c r="I758" s="1" t="s">
        <v>39</v>
      </c>
      <c r="J758" s="1">
        <v>54</v>
      </c>
      <c r="K758" s="1">
        <v>1.38</v>
      </c>
      <c r="L758" s="4">
        <v>167.04</v>
      </c>
      <c r="M758" s="1">
        <v>0.38</v>
      </c>
      <c r="N758" s="1">
        <v>4</v>
      </c>
      <c r="O758" s="1">
        <v>0.93</v>
      </c>
      <c r="P758" s="1">
        <v>275</v>
      </c>
      <c r="Q758" s="1">
        <v>9.24</v>
      </c>
      <c r="R758" s="1">
        <v>0.48</v>
      </c>
      <c r="S758" s="2">
        <v>45448</v>
      </c>
      <c r="T758" s="1">
        <v>192.35</v>
      </c>
      <c r="U758" s="1">
        <v>0.68700000000000006</v>
      </c>
      <c r="V758" s="6">
        <f t="shared" si="33"/>
        <v>5846.4</v>
      </c>
      <c r="W758" s="6" t="str">
        <f t="shared" si="34"/>
        <v>Reorder Required</v>
      </c>
      <c r="X758" s="8" t="str">
        <f t="shared" si="35"/>
        <v>LOW</v>
      </c>
    </row>
    <row r="759" spans="1:24">
      <c r="A759" s="7" t="s">
        <v>889</v>
      </c>
      <c r="B759" s="1" t="s">
        <v>29</v>
      </c>
      <c r="C759" s="1">
        <v>41</v>
      </c>
      <c r="D759" s="1">
        <v>47</v>
      </c>
      <c r="E759" s="1">
        <v>13</v>
      </c>
      <c r="F759" s="1">
        <v>9</v>
      </c>
      <c r="G759" s="1">
        <v>31.89</v>
      </c>
      <c r="H759" s="1" t="s">
        <v>130</v>
      </c>
      <c r="I759" s="1" t="s">
        <v>45</v>
      </c>
      <c r="J759" s="1">
        <v>133</v>
      </c>
      <c r="K759" s="1">
        <v>3.79</v>
      </c>
      <c r="L759" s="4">
        <v>56.94</v>
      </c>
      <c r="M759" s="1">
        <v>1.54</v>
      </c>
      <c r="N759" s="1">
        <v>9</v>
      </c>
      <c r="O759" s="1">
        <v>0.95</v>
      </c>
      <c r="P759" s="1">
        <v>964</v>
      </c>
      <c r="Q759" s="1">
        <v>1.91</v>
      </c>
      <c r="R759" s="1">
        <v>0.52</v>
      </c>
      <c r="S759" s="2">
        <v>45650</v>
      </c>
      <c r="T759" s="1">
        <v>217.1</v>
      </c>
      <c r="U759" s="1">
        <v>0.38500000000000001</v>
      </c>
      <c r="V759" s="6">
        <f t="shared" si="33"/>
        <v>2334.54</v>
      </c>
      <c r="W759" s="6" t="str">
        <f t="shared" si="34"/>
        <v>Reorder Required</v>
      </c>
      <c r="X759" s="8" t="str">
        <f t="shared" si="35"/>
        <v>LOW</v>
      </c>
    </row>
    <row r="760" spans="1:24">
      <c r="A760" s="7" t="s">
        <v>890</v>
      </c>
      <c r="B760" s="1" t="s">
        <v>41</v>
      </c>
      <c r="C760" s="1">
        <v>232</v>
      </c>
      <c r="D760" s="1">
        <v>81</v>
      </c>
      <c r="E760" s="1">
        <v>14</v>
      </c>
      <c r="F760" s="1">
        <v>7</v>
      </c>
      <c r="G760" s="1">
        <v>26.97</v>
      </c>
      <c r="H760" s="1" t="s">
        <v>238</v>
      </c>
      <c r="I760" s="1" t="s">
        <v>39</v>
      </c>
      <c r="J760" s="1">
        <v>154</v>
      </c>
      <c r="K760" s="1">
        <v>1.72</v>
      </c>
      <c r="L760" s="4">
        <v>48.25</v>
      </c>
      <c r="M760" s="1">
        <v>1.43</v>
      </c>
      <c r="N760" s="1">
        <v>7</v>
      </c>
      <c r="O760" s="1">
        <v>0.78</v>
      </c>
      <c r="P760" s="1">
        <v>598</v>
      </c>
      <c r="Q760" s="1">
        <v>6.93</v>
      </c>
      <c r="R760" s="1">
        <v>0.87</v>
      </c>
      <c r="S760" s="2">
        <v>45411</v>
      </c>
      <c r="T760" s="1">
        <v>60.6</v>
      </c>
      <c r="U760" s="1">
        <v>0.53900000000000003</v>
      </c>
      <c r="V760" s="6">
        <f t="shared" si="33"/>
        <v>11194</v>
      </c>
      <c r="W760" s="6" t="str">
        <f t="shared" si="34"/>
        <v>Sufficient</v>
      </c>
      <c r="X760" s="8" t="str">
        <f t="shared" si="35"/>
        <v>Medium</v>
      </c>
    </row>
    <row r="761" spans="1:24">
      <c r="A761" s="7" t="s">
        <v>891</v>
      </c>
      <c r="B761" s="1" t="s">
        <v>29</v>
      </c>
      <c r="C761" s="1">
        <v>329</v>
      </c>
      <c r="D761" s="1">
        <v>74</v>
      </c>
      <c r="E761" s="1">
        <v>6</v>
      </c>
      <c r="F761" s="1">
        <v>8</v>
      </c>
      <c r="G761" s="1">
        <v>4.38</v>
      </c>
      <c r="H761" s="1" t="s">
        <v>36</v>
      </c>
      <c r="I761" s="1" t="s">
        <v>39</v>
      </c>
      <c r="J761" s="1">
        <v>88</v>
      </c>
      <c r="K761" s="1">
        <v>4.12</v>
      </c>
      <c r="L761" s="4">
        <v>192.04</v>
      </c>
      <c r="M761" s="1">
        <v>0.47</v>
      </c>
      <c r="N761" s="1">
        <v>6</v>
      </c>
      <c r="O761" s="1">
        <v>0.91</v>
      </c>
      <c r="P761" s="1">
        <v>322</v>
      </c>
      <c r="Q761" s="1">
        <v>5.93</v>
      </c>
      <c r="R761" s="1">
        <v>0.31</v>
      </c>
      <c r="S761" s="2">
        <v>45511</v>
      </c>
      <c r="T761" s="1">
        <v>118.07</v>
      </c>
      <c r="U761" s="1">
        <v>0.55600000000000005</v>
      </c>
      <c r="V761" s="6">
        <f t="shared" si="33"/>
        <v>63181.159999999996</v>
      </c>
      <c r="W761" s="6" t="str">
        <f t="shared" si="34"/>
        <v>Sufficient</v>
      </c>
      <c r="X761" s="8" t="str">
        <f t="shared" si="35"/>
        <v>High</v>
      </c>
    </row>
    <row r="762" spans="1:24">
      <c r="A762" s="7" t="s">
        <v>892</v>
      </c>
      <c r="B762" s="1" t="s">
        <v>41</v>
      </c>
      <c r="C762" s="1">
        <v>168</v>
      </c>
      <c r="D762" s="1">
        <v>63</v>
      </c>
      <c r="E762" s="1">
        <v>3</v>
      </c>
      <c r="F762" s="1">
        <v>7</v>
      </c>
      <c r="G762" s="1">
        <v>48.45</v>
      </c>
      <c r="H762" s="1" t="s">
        <v>55</v>
      </c>
      <c r="I762" s="1" t="s">
        <v>45</v>
      </c>
      <c r="J762" s="1">
        <v>48</v>
      </c>
      <c r="K762" s="1">
        <v>3.58</v>
      </c>
      <c r="L762" s="4">
        <v>190.41</v>
      </c>
      <c r="M762" s="1">
        <v>1.33</v>
      </c>
      <c r="N762" s="1">
        <v>8</v>
      </c>
      <c r="O762" s="1">
        <v>0.74</v>
      </c>
      <c r="P762" s="1">
        <v>833</v>
      </c>
      <c r="Q762" s="1">
        <v>4.1399999999999997</v>
      </c>
      <c r="R762" s="1">
        <v>0.47</v>
      </c>
      <c r="S762" s="2">
        <v>45627</v>
      </c>
      <c r="T762" s="1">
        <v>165.04</v>
      </c>
      <c r="U762" s="1">
        <v>0.40400000000000003</v>
      </c>
      <c r="V762" s="6">
        <f t="shared" si="33"/>
        <v>31988.880000000001</v>
      </c>
      <c r="W762" s="6" t="str">
        <f t="shared" si="34"/>
        <v>Sufficient</v>
      </c>
      <c r="X762" s="8" t="str">
        <f t="shared" si="35"/>
        <v>Medium</v>
      </c>
    </row>
    <row r="763" spans="1:24">
      <c r="A763" s="7" t="s">
        <v>893</v>
      </c>
      <c r="B763" s="1" t="s">
        <v>33</v>
      </c>
      <c r="C763" s="1">
        <v>475</v>
      </c>
      <c r="D763" s="1">
        <v>33</v>
      </c>
      <c r="E763" s="1">
        <v>10</v>
      </c>
      <c r="F763" s="1">
        <v>7</v>
      </c>
      <c r="G763" s="1">
        <v>44.47</v>
      </c>
      <c r="H763" s="1" t="s">
        <v>74</v>
      </c>
      <c r="I763" s="1" t="s">
        <v>31</v>
      </c>
      <c r="J763" s="1">
        <v>177</v>
      </c>
      <c r="K763" s="1">
        <v>2.85</v>
      </c>
      <c r="L763" s="4">
        <v>198.76</v>
      </c>
      <c r="M763" s="1">
        <v>0.85</v>
      </c>
      <c r="N763" s="1">
        <v>9</v>
      </c>
      <c r="O763" s="1">
        <v>0.85</v>
      </c>
      <c r="P763" s="1">
        <v>235</v>
      </c>
      <c r="Q763" s="1">
        <v>5.37</v>
      </c>
      <c r="R763" s="1">
        <v>0.49</v>
      </c>
      <c r="S763" s="2">
        <v>45338</v>
      </c>
      <c r="T763" s="1">
        <v>295.27999999999997</v>
      </c>
      <c r="U763" s="1">
        <v>0.47499999999999998</v>
      </c>
      <c r="V763" s="6">
        <f t="shared" si="33"/>
        <v>94411</v>
      </c>
      <c r="W763" s="6" t="str">
        <f t="shared" si="34"/>
        <v>Sufficient</v>
      </c>
      <c r="X763" s="8" t="str">
        <f t="shared" si="35"/>
        <v>High</v>
      </c>
    </row>
    <row r="764" spans="1:24">
      <c r="A764" s="7" t="s">
        <v>894</v>
      </c>
      <c r="B764" s="1" t="s">
        <v>33</v>
      </c>
      <c r="C764" s="1">
        <v>260</v>
      </c>
      <c r="D764" s="1">
        <v>56</v>
      </c>
      <c r="E764" s="1">
        <v>6</v>
      </c>
      <c r="F764" s="1">
        <v>8</v>
      </c>
      <c r="G764" s="1">
        <v>13.7</v>
      </c>
      <c r="H764" s="1" t="s">
        <v>44</v>
      </c>
      <c r="I764" s="1" t="s">
        <v>27</v>
      </c>
      <c r="J764" s="1">
        <v>37</v>
      </c>
      <c r="K764" s="1">
        <v>3.42</v>
      </c>
      <c r="L764" s="4">
        <v>117.99</v>
      </c>
      <c r="M764" s="1">
        <v>1.39</v>
      </c>
      <c r="N764" s="1">
        <v>6</v>
      </c>
      <c r="O764" s="1">
        <v>0.88</v>
      </c>
      <c r="P764" s="1">
        <v>989</v>
      </c>
      <c r="Q764" s="1">
        <v>1.01</v>
      </c>
      <c r="R764" s="1">
        <v>0.2</v>
      </c>
      <c r="S764" s="2">
        <v>45652</v>
      </c>
      <c r="T764" s="1">
        <v>241.77</v>
      </c>
      <c r="U764" s="1">
        <v>0.37</v>
      </c>
      <c r="V764" s="6">
        <f t="shared" si="33"/>
        <v>30677.399999999998</v>
      </c>
      <c r="W764" s="6" t="str">
        <f t="shared" si="34"/>
        <v>Sufficient</v>
      </c>
      <c r="X764" s="8" t="str">
        <f t="shared" si="35"/>
        <v>High</v>
      </c>
    </row>
    <row r="765" spans="1:24">
      <c r="A765" s="7" t="s">
        <v>895</v>
      </c>
      <c r="B765" s="1" t="s">
        <v>29</v>
      </c>
      <c r="C765" s="1">
        <v>291</v>
      </c>
      <c r="D765" s="1">
        <v>80</v>
      </c>
      <c r="E765" s="1">
        <v>5</v>
      </c>
      <c r="F765" s="1">
        <v>4</v>
      </c>
      <c r="G765" s="1">
        <v>6.99</v>
      </c>
      <c r="H765" s="1" t="s">
        <v>325</v>
      </c>
      <c r="I765" s="1" t="s">
        <v>27</v>
      </c>
      <c r="J765" s="1">
        <v>139</v>
      </c>
      <c r="K765" s="1">
        <v>4.4400000000000004</v>
      </c>
      <c r="L765" s="4">
        <v>31.5</v>
      </c>
      <c r="M765" s="1">
        <v>1.04</v>
      </c>
      <c r="N765" s="1">
        <v>1</v>
      </c>
      <c r="O765" s="1">
        <v>0.75</v>
      </c>
      <c r="P765" s="1">
        <v>501</v>
      </c>
      <c r="Q765" s="1">
        <v>5.54</v>
      </c>
      <c r="R765" s="1">
        <v>0.88</v>
      </c>
      <c r="S765" s="2">
        <v>45340</v>
      </c>
      <c r="T765" s="1">
        <v>65.86</v>
      </c>
      <c r="U765" s="1">
        <v>0.67600000000000005</v>
      </c>
      <c r="V765" s="6">
        <f t="shared" si="33"/>
        <v>9166.5</v>
      </c>
      <c r="W765" s="6" t="str">
        <f t="shared" si="34"/>
        <v>Sufficient</v>
      </c>
      <c r="X765" s="8" t="str">
        <f t="shared" si="35"/>
        <v>High</v>
      </c>
    </row>
    <row r="766" spans="1:24">
      <c r="A766" s="7" t="s">
        <v>896</v>
      </c>
      <c r="B766" s="1" t="s">
        <v>29</v>
      </c>
      <c r="C766" s="1">
        <v>78</v>
      </c>
      <c r="D766" s="1">
        <v>92</v>
      </c>
      <c r="E766" s="1">
        <v>11</v>
      </c>
      <c r="F766" s="1">
        <v>8</v>
      </c>
      <c r="G766" s="1">
        <v>47.18</v>
      </c>
      <c r="H766" s="1" t="s">
        <v>44</v>
      </c>
      <c r="I766" s="1" t="s">
        <v>27</v>
      </c>
      <c r="J766" s="1">
        <v>164</v>
      </c>
      <c r="K766" s="1">
        <v>2.2400000000000002</v>
      </c>
      <c r="L766" s="4">
        <v>177.23</v>
      </c>
      <c r="M766" s="1">
        <v>0.19</v>
      </c>
      <c r="N766" s="1">
        <v>3</v>
      </c>
      <c r="O766" s="1">
        <v>0.72</v>
      </c>
      <c r="P766" s="1">
        <v>610</v>
      </c>
      <c r="Q766" s="1">
        <v>2.1</v>
      </c>
      <c r="R766" s="1">
        <v>0.87</v>
      </c>
      <c r="S766" s="2">
        <v>45292</v>
      </c>
      <c r="T766" s="1">
        <v>112.2</v>
      </c>
      <c r="U766" s="1">
        <v>0.66700000000000004</v>
      </c>
      <c r="V766" s="6">
        <f t="shared" si="33"/>
        <v>13823.939999999999</v>
      </c>
      <c r="W766" s="6" t="str">
        <f t="shared" si="34"/>
        <v>Reorder Required</v>
      </c>
      <c r="X766" s="8" t="str">
        <f t="shared" si="35"/>
        <v>LOW</v>
      </c>
    </row>
    <row r="767" spans="1:24">
      <c r="A767" s="7" t="s">
        <v>897</v>
      </c>
      <c r="B767" s="1" t="s">
        <v>41</v>
      </c>
      <c r="C767" s="1">
        <v>306</v>
      </c>
      <c r="D767" s="1">
        <v>95</v>
      </c>
      <c r="E767" s="1">
        <v>12</v>
      </c>
      <c r="F767" s="1">
        <v>8</v>
      </c>
      <c r="G767" s="1">
        <v>23.6</v>
      </c>
      <c r="H767" s="1" t="s">
        <v>178</v>
      </c>
      <c r="I767" s="1" t="s">
        <v>39</v>
      </c>
      <c r="J767" s="1">
        <v>158</v>
      </c>
      <c r="K767" s="1">
        <v>3.96</v>
      </c>
      <c r="L767" s="4">
        <v>37.57</v>
      </c>
      <c r="M767" s="1">
        <v>1.6</v>
      </c>
      <c r="N767" s="1">
        <v>7</v>
      </c>
      <c r="O767" s="1">
        <v>0.76</v>
      </c>
      <c r="P767" s="1">
        <v>554</v>
      </c>
      <c r="Q767" s="1">
        <v>13.9</v>
      </c>
      <c r="R767" s="1">
        <v>0.73</v>
      </c>
      <c r="S767" s="2">
        <v>45401</v>
      </c>
      <c r="T767" s="1">
        <v>72.900000000000006</v>
      </c>
      <c r="U767" s="1">
        <v>0.58299999999999996</v>
      </c>
      <c r="V767" s="6">
        <f t="shared" si="33"/>
        <v>11496.42</v>
      </c>
      <c r="W767" s="6" t="str">
        <f t="shared" si="34"/>
        <v>Sufficient</v>
      </c>
      <c r="X767" s="8" t="str">
        <f t="shared" si="35"/>
        <v>High</v>
      </c>
    </row>
    <row r="768" spans="1:24">
      <c r="A768" s="7" t="s">
        <v>898</v>
      </c>
      <c r="B768" s="1" t="s">
        <v>25</v>
      </c>
      <c r="C768" s="1">
        <v>445</v>
      </c>
      <c r="D768" s="1">
        <v>72</v>
      </c>
      <c r="E768" s="1">
        <v>6</v>
      </c>
      <c r="F768" s="1">
        <v>6</v>
      </c>
      <c r="G768" s="1">
        <v>16.25</v>
      </c>
      <c r="H768" s="1" t="s">
        <v>294</v>
      </c>
      <c r="I768" s="1" t="s">
        <v>39</v>
      </c>
      <c r="J768" s="1">
        <v>96</v>
      </c>
      <c r="K768" s="1">
        <v>1.22</v>
      </c>
      <c r="L768" s="4">
        <v>39.56</v>
      </c>
      <c r="M768" s="1">
        <v>1.1599999999999999</v>
      </c>
      <c r="N768" s="1">
        <v>8</v>
      </c>
      <c r="O768" s="1">
        <v>0.83</v>
      </c>
      <c r="P768" s="1">
        <v>143</v>
      </c>
      <c r="Q768" s="1">
        <v>2.04</v>
      </c>
      <c r="R768" s="1">
        <v>0.92</v>
      </c>
      <c r="S768" s="2">
        <v>45536</v>
      </c>
      <c r="T768" s="1">
        <v>54.16</v>
      </c>
      <c r="U768" s="1">
        <v>0.501</v>
      </c>
      <c r="V768" s="6">
        <f t="shared" si="33"/>
        <v>17604.2</v>
      </c>
      <c r="W768" s="6" t="str">
        <f t="shared" si="34"/>
        <v>Sufficient</v>
      </c>
      <c r="X768" s="8" t="str">
        <f t="shared" si="35"/>
        <v>High</v>
      </c>
    </row>
    <row r="769" spans="1:24">
      <c r="A769" s="7" t="s">
        <v>899</v>
      </c>
      <c r="B769" s="1" t="s">
        <v>41</v>
      </c>
      <c r="C769" s="1">
        <v>221</v>
      </c>
      <c r="D769" s="1">
        <v>66</v>
      </c>
      <c r="E769" s="1">
        <v>6</v>
      </c>
      <c r="F769" s="1">
        <v>9</v>
      </c>
      <c r="G769" s="1">
        <v>25.03</v>
      </c>
      <c r="H769" s="1" t="s">
        <v>325</v>
      </c>
      <c r="I769" s="1" t="s">
        <v>45</v>
      </c>
      <c r="J769" s="1">
        <v>144</v>
      </c>
      <c r="K769" s="1">
        <v>3.66</v>
      </c>
      <c r="L769" s="4">
        <v>46.75</v>
      </c>
      <c r="M769" s="1">
        <v>1.48</v>
      </c>
      <c r="N769" s="1">
        <v>6</v>
      </c>
      <c r="O769" s="1">
        <v>0.97</v>
      </c>
      <c r="P769" s="1">
        <v>356</v>
      </c>
      <c r="Q769" s="1">
        <v>14.34</v>
      </c>
      <c r="R769" s="1">
        <v>0.42</v>
      </c>
      <c r="S769" s="2">
        <v>45331</v>
      </c>
      <c r="T769" s="1">
        <v>44.79</v>
      </c>
      <c r="U769" s="1">
        <v>0.60099999999999998</v>
      </c>
      <c r="V769" s="6">
        <f t="shared" si="33"/>
        <v>10331.75</v>
      </c>
      <c r="W769" s="6" t="str">
        <f t="shared" si="34"/>
        <v>Sufficient</v>
      </c>
      <c r="X769" s="8" t="str">
        <f t="shared" si="35"/>
        <v>Medium</v>
      </c>
    </row>
    <row r="770" spans="1:24">
      <c r="A770" s="7" t="s">
        <v>900</v>
      </c>
      <c r="B770" s="1" t="s">
        <v>29</v>
      </c>
      <c r="C770" s="1">
        <v>51</v>
      </c>
      <c r="D770" s="1">
        <v>64</v>
      </c>
      <c r="E770" s="1">
        <v>11</v>
      </c>
      <c r="F770" s="1">
        <v>9</v>
      </c>
      <c r="G770" s="1">
        <v>38.86</v>
      </c>
      <c r="H770" s="1" t="s">
        <v>34</v>
      </c>
      <c r="I770" s="1" t="s">
        <v>31</v>
      </c>
      <c r="J770" s="1">
        <v>61</v>
      </c>
      <c r="K770" s="1">
        <v>3.88</v>
      </c>
      <c r="L770" s="4">
        <v>134.15</v>
      </c>
      <c r="M770" s="1">
        <v>0.34</v>
      </c>
      <c r="N770" s="1">
        <v>4</v>
      </c>
      <c r="O770" s="1">
        <v>0.86</v>
      </c>
      <c r="P770" s="1">
        <v>787</v>
      </c>
      <c r="Q770" s="1">
        <v>7.88</v>
      </c>
      <c r="R770" s="1">
        <v>0.38</v>
      </c>
      <c r="S770" s="2">
        <v>45359</v>
      </c>
      <c r="T770" s="1">
        <v>290.05</v>
      </c>
      <c r="U770" s="1">
        <v>0.63900000000000001</v>
      </c>
      <c r="V770" s="6">
        <f t="shared" si="33"/>
        <v>6841.6500000000005</v>
      </c>
      <c r="W770" s="6" t="str">
        <f t="shared" si="34"/>
        <v>Reorder Required</v>
      </c>
      <c r="X770" s="8" t="str">
        <f t="shared" si="35"/>
        <v>LOW</v>
      </c>
    </row>
    <row r="771" spans="1:24">
      <c r="A771" s="7" t="s">
        <v>901</v>
      </c>
      <c r="B771" s="1" t="s">
        <v>29</v>
      </c>
      <c r="C771" s="1">
        <v>462</v>
      </c>
      <c r="D771" s="1">
        <v>69</v>
      </c>
      <c r="E771" s="1">
        <v>14</v>
      </c>
      <c r="F771" s="1">
        <v>8</v>
      </c>
      <c r="G771" s="1">
        <v>9.25</v>
      </c>
      <c r="H771" s="1" t="s">
        <v>269</v>
      </c>
      <c r="I771" s="1" t="s">
        <v>45</v>
      </c>
      <c r="J771" s="1">
        <v>135</v>
      </c>
      <c r="K771" s="1">
        <v>2.4900000000000002</v>
      </c>
      <c r="L771" s="4">
        <v>30.37</v>
      </c>
      <c r="M771" s="1">
        <v>1.47</v>
      </c>
      <c r="N771" s="1">
        <v>0</v>
      </c>
      <c r="O771" s="1">
        <v>0.92</v>
      </c>
      <c r="P771" s="1">
        <v>566</v>
      </c>
      <c r="Q771" s="1">
        <v>8.18</v>
      </c>
      <c r="R771" s="1">
        <v>0.25</v>
      </c>
      <c r="S771" s="2">
        <v>45595</v>
      </c>
      <c r="T771" s="1">
        <v>272.92</v>
      </c>
      <c r="U771" s="1">
        <v>0.59599999999999997</v>
      </c>
      <c r="V771" s="6">
        <f t="shared" si="33"/>
        <v>14030.94</v>
      </c>
      <c r="W771" s="6" t="str">
        <f t="shared" si="34"/>
        <v>Sufficient</v>
      </c>
      <c r="X771" s="8" t="str">
        <f t="shared" si="35"/>
        <v>High</v>
      </c>
    </row>
    <row r="772" spans="1:24">
      <c r="A772" s="7" t="s">
        <v>902</v>
      </c>
      <c r="B772" s="1" t="s">
        <v>66</v>
      </c>
      <c r="C772" s="1">
        <v>181</v>
      </c>
      <c r="D772" s="1">
        <v>71</v>
      </c>
      <c r="E772" s="1">
        <v>13</v>
      </c>
      <c r="F772" s="1">
        <v>5</v>
      </c>
      <c r="G772" s="1">
        <v>38.61</v>
      </c>
      <c r="H772" s="1" t="s">
        <v>103</v>
      </c>
      <c r="I772" s="1" t="s">
        <v>45</v>
      </c>
      <c r="J772" s="1">
        <v>156</v>
      </c>
      <c r="K772" s="1">
        <v>4.07</v>
      </c>
      <c r="L772" s="4">
        <v>157.87</v>
      </c>
      <c r="M772" s="1">
        <v>0.89</v>
      </c>
      <c r="N772" s="1">
        <v>8</v>
      </c>
      <c r="O772" s="1">
        <v>0.75</v>
      </c>
      <c r="P772" s="1">
        <v>914</v>
      </c>
      <c r="Q772" s="1">
        <v>12.03</v>
      </c>
      <c r="R772" s="1">
        <v>0.67</v>
      </c>
      <c r="S772" s="2">
        <v>45407</v>
      </c>
      <c r="T772" s="1">
        <v>150.13999999999999</v>
      </c>
      <c r="U772" s="1">
        <v>0.59499999999999997</v>
      </c>
      <c r="V772" s="6">
        <f t="shared" ref="V772:V835" si="36">C772*L772</f>
        <v>28574.47</v>
      </c>
      <c r="W772" s="6" t="str">
        <f t="shared" ref="W772:W835" si="37">IF(C772&lt;=D772,"Reorder Required","Sufficient")</f>
        <v>Sufficient</v>
      </c>
      <c r="X772" s="8" t="str">
        <f t="shared" ref="X772:X835" si="38">IF(C772&lt;100,"LOW",IF(C772&lt;250,"Medium","High"))</f>
        <v>Medium</v>
      </c>
    </row>
    <row r="773" spans="1:24">
      <c r="A773" s="7" t="s">
        <v>903</v>
      </c>
      <c r="B773" s="1" t="s">
        <v>29</v>
      </c>
      <c r="C773" s="1">
        <v>274</v>
      </c>
      <c r="D773" s="1">
        <v>39</v>
      </c>
      <c r="E773" s="1">
        <v>14</v>
      </c>
      <c r="F773" s="1">
        <v>9</v>
      </c>
      <c r="G773" s="1">
        <v>37.72</v>
      </c>
      <c r="H773" s="1" t="s">
        <v>176</v>
      </c>
      <c r="I773" s="1" t="s">
        <v>31</v>
      </c>
      <c r="J773" s="1">
        <v>82</v>
      </c>
      <c r="K773" s="1">
        <v>3.01</v>
      </c>
      <c r="L773" s="4">
        <v>21.07</v>
      </c>
      <c r="M773" s="1">
        <v>1.62</v>
      </c>
      <c r="N773" s="1">
        <v>5</v>
      </c>
      <c r="O773" s="1">
        <v>0.73</v>
      </c>
      <c r="P773" s="1">
        <v>223</v>
      </c>
      <c r="Q773" s="1">
        <v>10.74</v>
      </c>
      <c r="R773" s="1">
        <v>0.6</v>
      </c>
      <c r="S773" s="2">
        <v>45557</v>
      </c>
      <c r="T773" s="1">
        <v>169.08</v>
      </c>
      <c r="U773" s="1">
        <v>0.54700000000000004</v>
      </c>
      <c r="V773" s="6">
        <f t="shared" si="36"/>
        <v>5773.18</v>
      </c>
      <c r="W773" s="6" t="str">
        <f t="shared" si="37"/>
        <v>Sufficient</v>
      </c>
      <c r="X773" s="8" t="str">
        <f t="shared" si="38"/>
        <v>High</v>
      </c>
    </row>
    <row r="774" spans="1:24">
      <c r="A774" s="7" t="s">
        <v>904</v>
      </c>
      <c r="B774" s="1" t="s">
        <v>66</v>
      </c>
      <c r="C774" s="1">
        <v>273</v>
      </c>
      <c r="D774" s="1">
        <v>31</v>
      </c>
      <c r="E774" s="1">
        <v>4</v>
      </c>
      <c r="F774" s="1">
        <v>9</v>
      </c>
      <c r="G774" s="1">
        <v>27.43</v>
      </c>
      <c r="H774" s="1" t="s">
        <v>52</v>
      </c>
      <c r="I774" s="1" t="s">
        <v>39</v>
      </c>
      <c r="J774" s="1">
        <v>149</v>
      </c>
      <c r="K774" s="1">
        <v>4.71</v>
      </c>
      <c r="L774" s="4">
        <v>30.98</v>
      </c>
      <c r="M774" s="1">
        <v>1.24</v>
      </c>
      <c r="N774" s="1">
        <v>1</v>
      </c>
      <c r="O774" s="1">
        <v>0.77</v>
      </c>
      <c r="P774" s="1">
        <v>744</v>
      </c>
      <c r="Q774" s="1">
        <v>4.32</v>
      </c>
      <c r="R774" s="1">
        <v>0.85</v>
      </c>
      <c r="S774" s="2">
        <v>45640</v>
      </c>
      <c r="T774" s="1">
        <v>253.2</v>
      </c>
      <c r="U774" s="1">
        <v>0.63800000000000001</v>
      </c>
      <c r="V774" s="6">
        <f t="shared" si="36"/>
        <v>8457.5400000000009</v>
      </c>
      <c r="W774" s="6" t="str">
        <f t="shared" si="37"/>
        <v>Sufficient</v>
      </c>
      <c r="X774" s="8" t="str">
        <f t="shared" si="38"/>
        <v>High</v>
      </c>
    </row>
    <row r="775" spans="1:24">
      <c r="A775" s="7" t="s">
        <v>905</v>
      </c>
      <c r="B775" s="1" t="s">
        <v>25</v>
      </c>
      <c r="C775" s="1">
        <v>28</v>
      </c>
      <c r="D775" s="1">
        <v>84</v>
      </c>
      <c r="E775" s="1">
        <v>14</v>
      </c>
      <c r="F775" s="1">
        <v>9</v>
      </c>
      <c r="G775" s="1">
        <v>43.43</v>
      </c>
      <c r="H775" s="1" t="s">
        <v>216</v>
      </c>
      <c r="I775" s="1" t="s">
        <v>45</v>
      </c>
      <c r="J775" s="1">
        <v>103</v>
      </c>
      <c r="K775" s="1">
        <v>1.01</v>
      </c>
      <c r="L775" s="4">
        <v>92.55</v>
      </c>
      <c r="M775" s="1">
        <v>0.77</v>
      </c>
      <c r="N775" s="1">
        <v>9</v>
      </c>
      <c r="O775" s="1">
        <v>0.79</v>
      </c>
      <c r="P775" s="1">
        <v>122</v>
      </c>
      <c r="Q775" s="1">
        <v>1.36</v>
      </c>
      <c r="R775" s="1">
        <v>0.59</v>
      </c>
      <c r="S775" s="2">
        <v>45519</v>
      </c>
      <c r="T775" s="1">
        <v>198.16</v>
      </c>
      <c r="U775" s="1">
        <v>0.437</v>
      </c>
      <c r="V775" s="6">
        <f t="shared" si="36"/>
        <v>2591.4</v>
      </c>
      <c r="W775" s="6" t="str">
        <f t="shared" si="37"/>
        <v>Reorder Required</v>
      </c>
      <c r="X775" s="8" t="str">
        <f t="shared" si="38"/>
        <v>LOW</v>
      </c>
    </row>
    <row r="776" spans="1:24">
      <c r="A776" s="7" t="s">
        <v>906</v>
      </c>
      <c r="B776" s="1" t="s">
        <v>41</v>
      </c>
      <c r="C776" s="1">
        <v>484</v>
      </c>
      <c r="D776" s="1">
        <v>93</v>
      </c>
      <c r="E776" s="1">
        <v>7</v>
      </c>
      <c r="F776" s="1">
        <v>8</v>
      </c>
      <c r="G776" s="1">
        <v>7.48</v>
      </c>
      <c r="H776" s="1" t="s">
        <v>282</v>
      </c>
      <c r="I776" s="1" t="s">
        <v>45</v>
      </c>
      <c r="J776" s="1">
        <v>11</v>
      </c>
      <c r="K776" s="1">
        <v>1.0900000000000001</v>
      </c>
      <c r="L776" s="4">
        <v>82.04</v>
      </c>
      <c r="M776" s="1">
        <v>0.48</v>
      </c>
      <c r="N776" s="1">
        <v>9</v>
      </c>
      <c r="O776" s="1">
        <v>0.86</v>
      </c>
      <c r="P776" s="1">
        <v>194</v>
      </c>
      <c r="Q776" s="1">
        <v>11.9</v>
      </c>
      <c r="R776" s="1">
        <v>0.36</v>
      </c>
      <c r="S776" s="2">
        <v>45296</v>
      </c>
      <c r="T776" s="1">
        <v>222.47</v>
      </c>
      <c r="U776" s="1">
        <v>0.57499999999999996</v>
      </c>
      <c r="V776" s="6">
        <f t="shared" si="36"/>
        <v>39707.360000000001</v>
      </c>
      <c r="W776" s="6" t="str">
        <f t="shared" si="37"/>
        <v>Sufficient</v>
      </c>
      <c r="X776" s="8" t="str">
        <f t="shared" si="38"/>
        <v>High</v>
      </c>
    </row>
    <row r="777" spans="1:24">
      <c r="A777" s="7" t="s">
        <v>907</v>
      </c>
      <c r="B777" s="1" t="s">
        <v>41</v>
      </c>
      <c r="C777" s="1">
        <v>158</v>
      </c>
      <c r="D777" s="1">
        <v>38</v>
      </c>
      <c r="E777" s="1">
        <v>6</v>
      </c>
      <c r="F777" s="1">
        <v>7</v>
      </c>
      <c r="G777" s="1">
        <v>30.18</v>
      </c>
      <c r="H777" s="1" t="s">
        <v>189</v>
      </c>
      <c r="I777" s="1" t="s">
        <v>39</v>
      </c>
      <c r="J777" s="1">
        <v>26</v>
      </c>
      <c r="K777" s="1">
        <v>4.29</v>
      </c>
      <c r="L777" s="4">
        <v>198.04</v>
      </c>
      <c r="M777" s="1">
        <v>1.65</v>
      </c>
      <c r="N777" s="1">
        <v>1</v>
      </c>
      <c r="O777" s="1">
        <v>0.96</v>
      </c>
      <c r="P777" s="1">
        <v>957</v>
      </c>
      <c r="Q777" s="1">
        <v>2.82</v>
      </c>
      <c r="R777" s="1">
        <v>0.85</v>
      </c>
      <c r="S777" s="2">
        <v>45296</v>
      </c>
      <c r="T777" s="1">
        <v>239.43</v>
      </c>
      <c r="U777" s="1">
        <v>0.61499999999999999</v>
      </c>
      <c r="V777" s="6">
        <f t="shared" si="36"/>
        <v>31290.32</v>
      </c>
      <c r="W777" s="6" t="str">
        <f t="shared" si="37"/>
        <v>Sufficient</v>
      </c>
      <c r="X777" s="8" t="str">
        <f t="shared" si="38"/>
        <v>Medium</v>
      </c>
    </row>
    <row r="778" spans="1:24">
      <c r="A778" s="7" t="s">
        <v>908</v>
      </c>
      <c r="B778" s="1" t="s">
        <v>66</v>
      </c>
      <c r="C778" s="1">
        <v>499</v>
      </c>
      <c r="D778" s="1">
        <v>50</v>
      </c>
      <c r="E778" s="1">
        <v>11</v>
      </c>
      <c r="F778" s="1">
        <v>3</v>
      </c>
      <c r="G778" s="1">
        <v>23.02</v>
      </c>
      <c r="H778" s="1" t="s">
        <v>195</v>
      </c>
      <c r="I778" s="1" t="s">
        <v>27</v>
      </c>
      <c r="J778" s="1">
        <v>134</v>
      </c>
      <c r="K778" s="1">
        <v>4.29</v>
      </c>
      <c r="L778" s="4">
        <v>193.7</v>
      </c>
      <c r="M778" s="1">
        <v>1.1599999999999999</v>
      </c>
      <c r="N778" s="1">
        <v>9</v>
      </c>
      <c r="O778" s="1">
        <v>0.83</v>
      </c>
      <c r="P778" s="1">
        <v>713</v>
      </c>
      <c r="Q778" s="1">
        <v>9.3800000000000008</v>
      </c>
      <c r="R778" s="1">
        <v>0.56000000000000005</v>
      </c>
      <c r="S778" s="2">
        <v>45648</v>
      </c>
      <c r="T778" s="1">
        <v>150.08000000000001</v>
      </c>
      <c r="U778" s="1">
        <v>0.50700000000000001</v>
      </c>
      <c r="V778" s="6">
        <f t="shared" si="36"/>
        <v>96656.299999999988</v>
      </c>
      <c r="W778" s="6" t="str">
        <f t="shared" si="37"/>
        <v>Sufficient</v>
      </c>
      <c r="X778" s="8" t="str">
        <f t="shared" si="38"/>
        <v>High</v>
      </c>
    </row>
    <row r="779" spans="1:24">
      <c r="A779" s="7" t="s">
        <v>909</v>
      </c>
      <c r="B779" s="1" t="s">
        <v>41</v>
      </c>
      <c r="C779" s="1">
        <v>29</v>
      </c>
      <c r="D779" s="1">
        <v>51</v>
      </c>
      <c r="E779" s="1">
        <v>14</v>
      </c>
      <c r="F779" s="1">
        <v>7</v>
      </c>
      <c r="G779" s="1">
        <v>21.69</v>
      </c>
      <c r="H779" s="1" t="s">
        <v>346</v>
      </c>
      <c r="I779" s="1" t="s">
        <v>31</v>
      </c>
      <c r="J779" s="1">
        <v>140</v>
      </c>
      <c r="K779" s="1">
        <v>2.62</v>
      </c>
      <c r="L779" s="4">
        <v>46.04</v>
      </c>
      <c r="M779" s="1">
        <v>1.98</v>
      </c>
      <c r="N779" s="1">
        <v>0</v>
      </c>
      <c r="O779" s="1">
        <v>0.86</v>
      </c>
      <c r="P779" s="1">
        <v>105</v>
      </c>
      <c r="Q779" s="1">
        <v>14.2</v>
      </c>
      <c r="R779" s="1">
        <v>0.96</v>
      </c>
      <c r="S779" s="2">
        <v>45467</v>
      </c>
      <c r="T779" s="1">
        <v>292.69</v>
      </c>
      <c r="U779" s="1">
        <v>0.755</v>
      </c>
      <c r="V779" s="6">
        <f t="shared" si="36"/>
        <v>1335.16</v>
      </c>
      <c r="W779" s="6" t="str">
        <f t="shared" si="37"/>
        <v>Reorder Required</v>
      </c>
      <c r="X779" s="8" t="str">
        <f t="shared" si="38"/>
        <v>LOW</v>
      </c>
    </row>
    <row r="780" spans="1:24">
      <c r="A780" s="7" t="s">
        <v>910</v>
      </c>
      <c r="B780" s="1" t="s">
        <v>29</v>
      </c>
      <c r="C780" s="1">
        <v>233</v>
      </c>
      <c r="D780" s="1">
        <v>74</v>
      </c>
      <c r="E780" s="1">
        <v>7</v>
      </c>
      <c r="F780" s="1">
        <v>6</v>
      </c>
      <c r="G780" s="1">
        <v>13.38</v>
      </c>
      <c r="H780" s="1" t="s">
        <v>143</v>
      </c>
      <c r="I780" s="1" t="s">
        <v>31</v>
      </c>
      <c r="J780" s="1">
        <v>30</v>
      </c>
      <c r="K780" s="1">
        <v>4.84</v>
      </c>
      <c r="L780" s="4">
        <v>189.87</v>
      </c>
      <c r="M780" s="1">
        <v>0.81</v>
      </c>
      <c r="N780" s="1">
        <v>3</v>
      </c>
      <c r="O780" s="1">
        <v>0.7</v>
      </c>
      <c r="P780" s="1">
        <v>744</v>
      </c>
      <c r="Q780" s="1">
        <v>8.69</v>
      </c>
      <c r="R780" s="1">
        <v>0.63</v>
      </c>
      <c r="S780" s="2">
        <v>45353</v>
      </c>
      <c r="T780" s="1">
        <v>192.23</v>
      </c>
      <c r="U780" s="1">
        <v>0.64100000000000001</v>
      </c>
      <c r="V780" s="6">
        <f t="shared" si="36"/>
        <v>44239.71</v>
      </c>
      <c r="W780" s="6" t="str">
        <f t="shared" si="37"/>
        <v>Sufficient</v>
      </c>
      <c r="X780" s="8" t="str">
        <f t="shared" si="38"/>
        <v>Medium</v>
      </c>
    </row>
    <row r="781" spans="1:24">
      <c r="A781" s="7" t="s">
        <v>911</v>
      </c>
      <c r="B781" s="1" t="s">
        <v>33</v>
      </c>
      <c r="C781" s="1">
        <v>292</v>
      </c>
      <c r="D781" s="1">
        <v>40</v>
      </c>
      <c r="E781" s="1">
        <v>11</v>
      </c>
      <c r="F781" s="1">
        <v>5</v>
      </c>
      <c r="G781" s="1">
        <v>19.239999999999998</v>
      </c>
      <c r="H781" s="1" t="s">
        <v>130</v>
      </c>
      <c r="I781" s="1" t="s">
        <v>27</v>
      </c>
      <c r="J781" s="1">
        <v>87</v>
      </c>
      <c r="K781" s="1">
        <v>3.56</v>
      </c>
      <c r="L781" s="4">
        <v>141.53</v>
      </c>
      <c r="M781" s="1">
        <v>1.4</v>
      </c>
      <c r="N781" s="1">
        <v>9</v>
      </c>
      <c r="O781" s="1">
        <v>0.71</v>
      </c>
      <c r="P781" s="1">
        <v>683</v>
      </c>
      <c r="Q781" s="1">
        <v>5</v>
      </c>
      <c r="R781" s="1">
        <v>0.28999999999999998</v>
      </c>
      <c r="S781" s="2">
        <v>45508</v>
      </c>
      <c r="T781" s="1">
        <v>193.71</v>
      </c>
      <c r="U781" s="1">
        <v>0.34699999999999998</v>
      </c>
      <c r="V781" s="6">
        <f t="shared" si="36"/>
        <v>41326.76</v>
      </c>
      <c r="W781" s="6" t="str">
        <f t="shared" si="37"/>
        <v>Sufficient</v>
      </c>
      <c r="X781" s="8" t="str">
        <f t="shared" si="38"/>
        <v>High</v>
      </c>
    </row>
    <row r="782" spans="1:24">
      <c r="A782" s="7" t="s">
        <v>912</v>
      </c>
      <c r="B782" s="1" t="s">
        <v>66</v>
      </c>
      <c r="C782" s="1">
        <v>343</v>
      </c>
      <c r="D782" s="1">
        <v>39</v>
      </c>
      <c r="E782" s="1">
        <v>13</v>
      </c>
      <c r="F782" s="1">
        <v>8</v>
      </c>
      <c r="G782" s="1">
        <v>6.3</v>
      </c>
      <c r="H782" s="1" t="s">
        <v>34</v>
      </c>
      <c r="I782" s="1" t="s">
        <v>31</v>
      </c>
      <c r="J782" s="1">
        <v>88</v>
      </c>
      <c r="K782" s="1">
        <v>4.92</v>
      </c>
      <c r="L782" s="4">
        <v>87.68</v>
      </c>
      <c r="M782" s="1">
        <v>1.28</v>
      </c>
      <c r="N782" s="1">
        <v>1</v>
      </c>
      <c r="O782" s="1">
        <v>0.73</v>
      </c>
      <c r="P782" s="1">
        <v>293</v>
      </c>
      <c r="Q782" s="1">
        <v>3.5</v>
      </c>
      <c r="R782" s="1">
        <v>0.88</v>
      </c>
      <c r="S782" s="2">
        <v>45647</v>
      </c>
      <c r="T782" s="1">
        <v>50.9</v>
      </c>
      <c r="U782" s="1">
        <v>0.621</v>
      </c>
      <c r="V782" s="6">
        <f t="shared" si="36"/>
        <v>30074.240000000002</v>
      </c>
      <c r="W782" s="6" t="str">
        <f t="shared" si="37"/>
        <v>Sufficient</v>
      </c>
      <c r="X782" s="8" t="str">
        <f t="shared" si="38"/>
        <v>High</v>
      </c>
    </row>
    <row r="783" spans="1:24">
      <c r="A783" s="7" t="s">
        <v>913</v>
      </c>
      <c r="B783" s="1" t="s">
        <v>41</v>
      </c>
      <c r="C783" s="1">
        <v>67</v>
      </c>
      <c r="D783" s="1">
        <v>27</v>
      </c>
      <c r="E783" s="1">
        <v>11</v>
      </c>
      <c r="F783" s="1">
        <v>4</v>
      </c>
      <c r="G783" s="1">
        <v>13.33</v>
      </c>
      <c r="H783" s="1" t="s">
        <v>229</v>
      </c>
      <c r="I783" s="1" t="s">
        <v>27</v>
      </c>
      <c r="J783" s="1">
        <v>60</v>
      </c>
      <c r="K783" s="1">
        <v>2.9</v>
      </c>
      <c r="L783" s="4">
        <v>150.53</v>
      </c>
      <c r="M783" s="1">
        <v>1.31</v>
      </c>
      <c r="N783" s="1">
        <v>9</v>
      </c>
      <c r="O783" s="1">
        <v>0.91</v>
      </c>
      <c r="P783" s="1">
        <v>943</v>
      </c>
      <c r="Q783" s="1">
        <v>1.38</v>
      </c>
      <c r="R783" s="1">
        <v>0.9</v>
      </c>
      <c r="S783" s="2">
        <v>45359</v>
      </c>
      <c r="T783" s="1">
        <v>296.44</v>
      </c>
      <c r="U783" s="1">
        <v>0.46899999999999997</v>
      </c>
      <c r="V783" s="6">
        <f t="shared" si="36"/>
        <v>10085.51</v>
      </c>
      <c r="W783" s="6" t="str">
        <f t="shared" si="37"/>
        <v>Sufficient</v>
      </c>
      <c r="X783" s="8" t="str">
        <f t="shared" si="38"/>
        <v>LOW</v>
      </c>
    </row>
    <row r="784" spans="1:24">
      <c r="A784" s="7" t="s">
        <v>914</v>
      </c>
      <c r="B784" s="1" t="s">
        <v>66</v>
      </c>
      <c r="C784" s="1">
        <v>455</v>
      </c>
      <c r="D784" s="1">
        <v>26</v>
      </c>
      <c r="E784" s="1">
        <v>4</v>
      </c>
      <c r="F784" s="1">
        <v>2</v>
      </c>
      <c r="G784" s="1">
        <v>14.33</v>
      </c>
      <c r="H784" s="1" t="s">
        <v>59</v>
      </c>
      <c r="I784" s="1" t="s">
        <v>45</v>
      </c>
      <c r="J784" s="1">
        <v>115</v>
      </c>
      <c r="K784" s="1">
        <v>1.41</v>
      </c>
      <c r="L784" s="4">
        <v>181.03</v>
      </c>
      <c r="M784" s="1">
        <v>1.5</v>
      </c>
      <c r="N784" s="1">
        <v>8</v>
      </c>
      <c r="O784" s="1">
        <v>0.85</v>
      </c>
      <c r="P784" s="1">
        <v>253</v>
      </c>
      <c r="Q784" s="1">
        <v>9.73</v>
      </c>
      <c r="R784" s="1">
        <v>0.56000000000000005</v>
      </c>
      <c r="S784" s="2">
        <v>45536</v>
      </c>
      <c r="T784" s="1">
        <v>30.52</v>
      </c>
      <c r="U784" s="1">
        <v>0.502</v>
      </c>
      <c r="V784" s="6">
        <f t="shared" si="36"/>
        <v>82368.649999999994</v>
      </c>
      <c r="W784" s="6" t="str">
        <f t="shared" si="37"/>
        <v>Sufficient</v>
      </c>
      <c r="X784" s="8" t="str">
        <f t="shared" si="38"/>
        <v>High</v>
      </c>
    </row>
    <row r="785" spans="1:24">
      <c r="A785" s="7" t="s">
        <v>915</v>
      </c>
      <c r="B785" s="1" t="s">
        <v>66</v>
      </c>
      <c r="C785" s="1">
        <v>130</v>
      </c>
      <c r="D785" s="1">
        <v>47</v>
      </c>
      <c r="E785" s="1">
        <v>11</v>
      </c>
      <c r="F785" s="1">
        <v>8</v>
      </c>
      <c r="G785" s="1">
        <v>36.31</v>
      </c>
      <c r="H785" s="1" t="s">
        <v>221</v>
      </c>
      <c r="I785" s="1" t="s">
        <v>31</v>
      </c>
      <c r="J785" s="1">
        <v>114</v>
      </c>
      <c r="K785" s="1">
        <v>2.5</v>
      </c>
      <c r="L785" s="4">
        <v>44.23</v>
      </c>
      <c r="M785" s="1">
        <v>0.36</v>
      </c>
      <c r="N785" s="1">
        <v>1</v>
      </c>
      <c r="O785" s="1">
        <v>0.76</v>
      </c>
      <c r="P785" s="1">
        <v>640</v>
      </c>
      <c r="Q785" s="1">
        <v>8.81</v>
      </c>
      <c r="R785" s="1">
        <v>0.22</v>
      </c>
      <c r="S785" s="2">
        <v>45328</v>
      </c>
      <c r="T785" s="1">
        <v>295.83</v>
      </c>
      <c r="U785" s="1">
        <v>0.65700000000000003</v>
      </c>
      <c r="V785" s="6">
        <f t="shared" si="36"/>
        <v>5749.9</v>
      </c>
      <c r="W785" s="6" t="str">
        <f t="shared" si="37"/>
        <v>Sufficient</v>
      </c>
      <c r="X785" s="8" t="str">
        <f t="shared" si="38"/>
        <v>Medium</v>
      </c>
    </row>
    <row r="786" spans="1:24">
      <c r="A786" s="7" t="s">
        <v>916</v>
      </c>
      <c r="B786" s="1" t="s">
        <v>33</v>
      </c>
      <c r="C786" s="1">
        <v>172</v>
      </c>
      <c r="D786" s="1">
        <v>23</v>
      </c>
      <c r="E786" s="1">
        <v>5</v>
      </c>
      <c r="F786" s="1">
        <v>3</v>
      </c>
      <c r="G786" s="1">
        <v>3.38</v>
      </c>
      <c r="H786" s="1" t="s">
        <v>156</v>
      </c>
      <c r="I786" s="1" t="s">
        <v>31</v>
      </c>
      <c r="J786" s="1">
        <v>19</v>
      </c>
      <c r="K786" s="1">
        <v>4.91</v>
      </c>
      <c r="L786" s="4">
        <v>47.24</v>
      </c>
      <c r="M786" s="1">
        <v>1.1399999999999999</v>
      </c>
      <c r="N786" s="1">
        <v>8</v>
      </c>
      <c r="O786" s="1">
        <v>0.88</v>
      </c>
      <c r="P786" s="1">
        <v>65</v>
      </c>
      <c r="Q786" s="1">
        <v>7.46</v>
      </c>
      <c r="R786" s="1">
        <v>0.22</v>
      </c>
      <c r="S786" s="2">
        <v>45409</v>
      </c>
      <c r="T786" s="1">
        <v>274.06</v>
      </c>
      <c r="U786" s="1">
        <v>0.44500000000000001</v>
      </c>
      <c r="V786" s="6">
        <f t="shared" si="36"/>
        <v>8125.2800000000007</v>
      </c>
      <c r="W786" s="6" t="str">
        <f t="shared" si="37"/>
        <v>Sufficient</v>
      </c>
      <c r="X786" s="8" t="str">
        <f t="shared" si="38"/>
        <v>Medium</v>
      </c>
    </row>
    <row r="787" spans="1:24">
      <c r="A787" s="7" t="s">
        <v>917</v>
      </c>
      <c r="B787" s="1" t="s">
        <v>29</v>
      </c>
      <c r="C787" s="1">
        <v>142</v>
      </c>
      <c r="D787" s="1">
        <v>96</v>
      </c>
      <c r="E787" s="1">
        <v>6</v>
      </c>
      <c r="F787" s="1">
        <v>2</v>
      </c>
      <c r="G787" s="1">
        <v>32.909999999999997</v>
      </c>
      <c r="H787" s="1" t="s">
        <v>34</v>
      </c>
      <c r="I787" s="1" t="s">
        <v>45</v>
      </c>
      <c r="J787" s="1">
        <v>125</v>
      </c>
      <c r="K787" s="1">
        <v>2.17</v>
      </c>
      <c r="L787" s="4">
        <v>87.66</v>
      </c>
      <c r="M787" s="1">
        <v>1.07</v>
      </c>
      <c r="N787" s="1">
        <v>0</v>
      </c>
      <c r="O787" s="1">
        <v>0.86</v>
      </c>
      <c r="P787" s="1">
        <v>175</v>
      </c>
      <c r="Q787" s="1">
        <v>3.71</v>
      </c>
      <c r="R787" s="1">
        <v>0.48</v>
      </c>
      <c r="S787" s="2">
        <v>45488</v>
      </c>
      <c r="T787" s="1">
        <v>258.36</v>
      </c>
      <c r="U787" s="1">
        <v>0.61</v>
      </c>
      <c r="V787" s="6">
        <f t="shared" si="36"/>
        <v>12447.72</v>
      </c>
      <c r="W787" s="6" t="str">
        <f t="shared" si="37"/>
        <v>Sufficient</v>
      </c>
      <c r="X787" s="8" t="str">
        <f t="shared" si="38"/>
        <v>Medium</v>
      </c>
    </row>
    <row r="788" spans="1:24">
      <c r="A788" s="7" t="s">
        <v>918</v>
      </c>
      <c r="B788" s="1" t="s">
        <v>66</v>
      </c>
      <c r="C788" s="1">
        <v>424</v>
      </c>
      <c r="D788" s="1">
        <v>98</v>
      </c>
      <c r="E788" s="1">
        <v>3</v>
      </c>
      <c r="F788" s="1">
        <v>4</v>
      </c>
      <c r="G788" s="1">
        <v>11.85</v>
      </c>
      <c r="H788" s="1" t="s">
        <v>135</v>
      </c>
      <c r="I788" s="1" t="s">
        <v>39</v>
      </c>
      <c r="J788" s="1">
        <v>64</v>
      </c>
      <c r="K788" s="1">
        <v>4.8099999999999996</v>
      </c>
      <c r="L788" s="4">
        <v>42.15</v>
      </c>
      <c r="M788" s="1">
        <v>0.75</v>
      </c>
      <c r="N788" s="1">
        <v>6</v>
      </c>
      <c r="O788" s="1">
        <v>0.73</v>
      </c>
      <c r="P788" s="1">
        <v>648</v>
      </c>
      <c r="Q788" s="1">
        <v>4.3099999999999996</v>
      </c>
      <c r="R788" s="1">
        <v>0.77</v>
      </c>
      <c r="S788" s="2">
        <v>45337</v>
      </c>
      <c r="T788" s="1">
        <v>205.34</v>
      </c>
      <c r="U788" s="1">
        <v>0.56200000000000006</v>
      </c>
      <c r="V788" s="6">
        <f t="shared" si="36"/>
        <v>17871.599999999999</v>
      </c>
      <c r="W788" s="6" t="str">
        <f t="shared" si="37"/>
        <v>Sufficient</v>
      </c>
      <c r="X788" s="8" t="str">
        <f t="shared" si="38"/>
        <v>High</v>
      </c>
    </row>
    <row r="789" spans="1:24">
      <c r="A789" s="7" t="s">
        <v>919</v>
      </c>
      <c r="B789" s="1" t="s">
        <v>41</v>
      </c>
      <c r="C789" s="1">
        <v>376</v>
      </c>
      <c r="D789" s="1">
        <v>88</v>
      </c>
      <c r="E789" s="1">
        <v>3</v>
      </c>
      <c r="F789" s="1">
        <v>6</v>
      </c>
      <c r="G789" s="1">
        <v>5.01</v>
      </c>
      <c r="H789" s="1" t="s">
        <v>183</v>
      </c>
      <c r="I789" s="1" t="s">
        <v>39</v>
      </c>
      <c r="J789" s="1">
        <v>45</v>
      </c>
      <c r="K789" s="1">
        <v>4.09</v>
      </c>
      <c r="L789" s="4">
        <v>78.48</v>
      </c>
      <c r="M789" s="1">
        <v>0.93</v>
      </c>
      <c r="N789" s="1">
        <v>5</v>
      </c>
      <c r="O789" s="1">
        <v>0.89</v>
      </c>
      <c r="P789" s="1">
        <v>515</v>
      </c>
      <c r="Q789" s="1">
        <v>14.42</v>
      </c>
      <c r="R789" s="1">
        <v>0.46</v>
      </c>
      <c r="S789" s="2">
        <v>45344</v>
      </c>
      <c r="T789" s="1">
        <v>186.57</v>
      </c>
      <c r="U789" s="1">
        <v>0.66900000000000004</v>
      </c>
      <c r="V789" s="6">
        <f t="shared" si="36"/>
        <v>29508.480000000003</v>
      </c>
      <c r="W789" s="6" t="str">
        <f t="shared" si="37"/>
        <v>Sufficient</v>
      </c>
      <c r="X789" s="8" t="str">
        <f t="shared" si="38"/>
        <v>High</v>
      </c>
    </row>
    <row r="790" spans="1:24">
      <c r="A790" s="7" t="s">
        <v>920</v>
      </c>
      <c r="B790" s="1" t="s">
        <v>25</v>
      </c>
      <c r="C790" s="1">
        <v>121</v>
      </c>
      <c r="D790" s="1">
        <v>65</v>
      </c>
      <c r="E790" s="1">
        <v>3</v>
      </c>
      <c r="F790" s="1">
        <v>6</v>
      </c>
      <c r="G790" s="1">
        <v>15.74</v>
      </c>
      <c r="H790" s="1" t="s">
        <v>61</v>
      </c>
      <c r="I790" s="1" t="s">
        <v>45</v>
      </c>
      <c r="J790" s="1">
        <v>60</v>
      </c>
      <c r="K790" s="1">
        <v>2.4900000000000002</v>
      </c>
      <c r="L790" s="4">
        <v>132.68</v>
      </c>
      <c r="M790" s="1">
        <v>1.0900000000000001</v>
      </c>
      <c r="N790" s="1">
        <v>5</v>
      </c>
      <c r="O790" s="1">
        <v>0.93</v>
      </c>
      <c r="P790" s="1">
        <v>839</v>
      </c>
      <c r="Q790" s="1">
        <v>1.29</v>
      </c>
      <c r="R790" s="1">
        <v>0.21</v>
      </c>
      <c r="S790" s="2">
        <v>45344</v>
      </c>
      <c r="T790" s="1">
        <v>299.02</v>
      </c>
      <c r="U790" s="1">
        <v>0.436</v>
      </c>
      <c r="V790" s="6">
        <f t="shared" si="36"/>
        <v>16054.28</v>
      </c>
      <c r="W790" s="6" t="str">
        <f t="shared" si="37"/>
        <v>Sufficient</v>
      </c>
      <c r="X790" s="8" t="str">
        <f t="shared" si="38"/>
        <v>Medium</v>
      </c>
    </row>
    <row r="791" spans="1:24">
      <c r="A791" s="7" t="s">
        <v>921</v>
      </c>
      <c r="B791" s="1" t="s">
        <v>66</v>
      </c>
      <c r="C791" s="1">
        <v>260</v>
      </c>
      <c r="D791" s="1">
        <v>31</v>
      </c>
      <c r="E791" s="1">
        <v>11</v>
      </c>
      <c r="F791" s="1">
        <v>4</v>
      </c>
      <c r="G791" s="1">
        <v>12</v>
      </c>
      <c r="H791" s="1" t="s">
        <v>47</v>
      </c>
      <c r="I791" s="1" t="s">
        <v>31</v>
      </c>
      <c r="J791" s="1">
        <v>83</v>
      </c>
      <c r="K791" s="1">
        <v>2.94</v>
      </c>
      <c r="L791" s="4">
        <v>164.44</v>
      </c>
      <c r="M791" s="1">
        <v>0.71</v>
      </c>
      <c r="N791" s="1">
        <v>1</v>
      </c>
      <c r="O791" s="1">
        <v>0.79</v>
      </c>
      <c r="P791" s="1">
        <v>927</v>
      </c>
      <c r="Q791" s="1">
        <v>6.09</v>
      </c>
      <c r="R791" s="1">
        <v>0.88</v>
      </c>
      <c r="S791" s="2">
        <v>45452</v>
      </c>
      <c r="T791" s="1">
        <v>292.45999999999998</v>
      </c>
      <c r="U791" s="1">
        <v>0.72399999999999998</v>
      </c>
      <c r="V791" s="6">
        <f t="shared" si="36"/>
        <v>42754.400000000001</v>
      </c>
      <c r="W791" s="6" t="str">
        <f t="shared" si="37"/>
        <v>Sufficient</v>
      </c>
      <c r="X791" s="8" t="str">
        <f t="shared" si="38"/>
        <v>High</v>
      </c>
    </row>
    <row r="792" spans="1:24">
      <c r="A792" s="7" t="s">
        <v>922</v>
      </c>
      <c r="B792" s="1" t="s">
        <v>66</v>
      </c>
      <c r="C792" s="1">
        <v>340</v>
      </c>
      <c r="D792" s="1">
        <v>76</v>
      </c>
      <c r="E792" s="1">
        <v>13</v>
      </c>
      <c r="F792" s="1">
        <v>7</v>
      </c>
      <c r="G792" s="1">
        <v>28.05</v>
      </c>
      <c r="H792" s="1" t="s">
        <v>195</v>
      </c>
      <c r="I792" s="1" t="s">
        <v>31</v>
      </c>
      <c r="J792" s="1">
        <v>26</v>
      </c>
      <c r="K792" s="1">
        <v>3.23</v>
      </c>
      <c r="L792" s="4">
        <v>67.37</v>
      </c>
      <c r="M792" s="1">
        <v>0.66</v>
      </c>
      <c r="N792" s="1">
        <v>0</v>
      </c>
      <c r="O792" s="1">
        <v>0.91</v>
      </c>
      <c r="P792" s="1">
        <v>477</v>
      </c>
      <c r="Q792" s="1">
        <v>1.54</v>
      </c>
      <c r="R792" s="1">
        <v>0.97</v>
      </c>
      <c r="S792" s="2">
        <v>45480</v>
      </c>
      <c r="T792" s="1">
        <v>245.43</v>
      </c>
      <c r="U792" s="1">
        <v>0.73099999999999998</v>
      </c>
      <c r="V792" s="6">
        <f t="shared" si="36"/>
        <v>22905.800000000003</v>
      </c>
      <c r="W792" s="6" t="str">
        <f t="shared" si="37"/>
        <v>Sufficient</v>
      </c>
      <c r="X792" s="8" t="str">
        <f t="shared" si="38"/>
        <v>High</v>
      </c>
    </row>
    <row r="793" spans="1:24">
      <c r="A793" s="7" t="s">
        <v>923</v>
      </c>
      <c r="B793" s="1" t="s">
        <v>33</v>
      </c>
      <c r="C793" s="1">
        <v>210</v>
      </c>
      <c r="D793" s="1">
        <v>65</v>
      </c>
      <c r="E793" s="1">
        <v>10</v>
      </c>
      <c r="F793" s="1">
        <v>4</v>
      </c>
      <c r="G793" s="1">
        <v>18.510000000000002</v>
      </c>
      <c r="H793" s="1" t="s">
        <v>440</v>
      </c>
      <c r="I793" s="1" t="s">
        <v>31</v>
      </c>
      <c r="J793" s="1">
        <v>70</v>
      </c>
      <c r="K793" s="1">
        <v>3.5</v>
      </c>
      <c r="L793" s="4">
        <v>63.53</v>
      </c>
      <c r="M793" s="1">
        <v>1.5</v>
      </c>
      <c r="N793" s="1">
        <v>9</v>
      </c>
      <c r="O793" s="1">
        <v>0.76</v>
      </c>
      <c r="P793" s="1">
        <v>400</v>
      </c>
      <c r="Q793" s="1">
        <v>3.68</v>
      </c>
      <c r="R793" s="1">
        <v>0.48</v>
      </c>
      <c r="S793" s="2">
        <v>45445</v>
      </c>
      <c r="T793" s="1">
        <v>35.19</v>
      </c>
      <c r="U793" s="1">
        <v>0.36699999999999999</v>
      </c>
      <c r="V793" s="6">
        <f t="shared" si="36"/>
        <v>13341.300000000001</v>
      </c>
      <c r="W793" s="6" t="str">
        <f t="shared" si="37"/>
        <v>Sufficient</v>
      </c>
      <c r="X793" s="8" t="str">
        <f t="shared" si="38"/>
        <v>Medium</v>
      </c>
    </row>
    <row r="794" spans="1:24">
      <c r="A794" s="7" t="s">
        <v>924</v>
      </c>
      <c r="B794" s="1" t="s">
        <v>29</v>
      </c>
      <c r="C794" s="1">
        <v>236</v>
      </c>
      <c r="D794" s="1">
        <v>28</v>
      </c>
      <c r="E794" s="1">
        <v>7</v>
      </c>
      <c r="F794" s="1">
        <v>9</v>
      </c>
      <c r="G794" s="1">
        <v>48.33</v>
      </c>
      <c r="H794" s="1" t="s">
        <v>258</v>
      </c>
      <c r="I794" s="1" t="s">
        <v>27</v>
      </c>
      <c r="J794" s="1">
        <v>100</v>
      </c>
      <c r="K794" s="1">
        <v>0.85</v>
      </c>
      <c r="L794" s="4">
        <v>158.15</v>
      </c>
      <c r="M794" s="1">
        <v>0.23</v>
      </c>
      <c r="N794" s="1">
        <v>7</v>
      </c>
      <c r="O794" s="1">
        <v>0.93</v>
      </c>
      <c r="P794" s="1">
        <v>604</v>
      </c>
      <c r="Q794" s="1">
        <v>14.06</v>
      </c>
      <c r="R794" s="1">
        <v>0.26</v>
      </c>
      <c r="S794" s="2">
        <v>45362</v>
      </c>
      <c r="T794" s="1">
        <v>117.93</v>
      </c>
      <c r="U794" s="1">
        <v>0.66200000000000003</v>
      </c>
      <c r="V794" s="6">
        <f t="shared" si="36"/>
        <v>37323.4</v>
      </c>
      <c r="W794" s="6" t="str">
        <f t="shared" si="37"/>
        <v>Sufficient</v>
      </c>
      <c r="X794" s="8" t="str">
        <f t="shared" si="38"/>
        <v>Medium</v>
      </c>
    </row>
    <row r="795" spans="1:24">
      <c r="A795" s="7" t="s">
        <v>925</v>
      </c>
      <c r="B795" s="1" t="s">
        <v>25</v>
      </c>
      <c r="C795" s="1">
        <v>70</v>
      </c>
      <c r="D795" s="1">
        <v>66</v>
      </c>
      <c r="E795" s="1">
        <v>7</v>
      </c>
      <c r="F795" s="1">
        <v>9</v>
      </c>
      <c r="G795" s="1">
        <v>48.21</v>
      </c>
      <c r="H795" s="1" t="s">
        <v>122</v>
      </c>
      <c r="I795" s="1" t="s">
        <v>39</v>
      </c>
      <c r="J795" s="1">
        <v>150</v>
      </c>
      <c r="K795" s="1">
        <v>4.7</v>
      </c>
      <c r="L795" s="4">
        <v>82.39</v>
      </c>
      <c r="M795" s="1">
        <v>0.69</v>
      </c>
      <c r="N795" s="1">
        <v>7</v>
      </c>
      <c r="O795" s="1">
        <v>0.97</v>
      </c>
      <c r="P795" s="1">
        <v>128</v>
      </c>
      <c r="Q795" s="1">
        <v>3.09</v>
      </c>
      <c r="R795" s="1">
        <v>0.43</v>
      </c>
      <c r="S795" s="2">
        <v>45487</v>
      </c>
      <c r="T795" s="1">
        <v>261.12</v>
      </c>
      <c r="U795" s="1">
        <v>0.51200000000000001</v>
      </c>
      <c r="V795" s="6">
        <f t="shared" si="36"/>
        <v>5767.3</v>
      </c>
      <c r="W795" s="6" t="str">
        <f t="shared" si="37"/>
        <v>Sufficient</v>
      </c>
      <c r="X795" s="8" t="str">
        <f t="shared" si="38"/>
        <v>LOW</v>
      </c>
    </row>
    <row r="796" spans="1:24">
      <c r="A796" s="7" t="s">
        <v>926</v>
      </c>
      <c r="B796" s="1" t="s">
        <v>41</v>
      </c>
      <c r="C796" s="1">
        <v>311</v>
      </c>
      <c r="D796" s="1">
        <v>53</v>
      </c>
      <c r="E796" s="1">
        <v>11</v>
      </c>
      <c r="F796" s="1">
        <v>8</v>
      </c>
      <c r="G796" s="1">
        <v>22.74</v>
      </c>
      <c r="H796" s="1" t="s">
        <v>113</v>
      </c>
      <c r="I796" s="1" t="s">
        <v>31</v>
      </c>
      <c r="J796" s="1">
        <v>104</v>
      </c>
      <c r="K796" s="1">
        <v>3.19</v>
      </c>
      <c r="L796" s="4">
        <v>165.51</v>
      </c>
      <c r="M796" s="1">
        <v>1.34</v>
      </c>
      <c r="N796" s="1">
        <v>1</v>
      </c>
      <c r="O796" s="1">
        <v>0.83</v>
      </c>
      <c r="P796" s="1">
        <v>550</v>
      </c>
      <c r="Q796" s="1">
        <v>9.41</v>
      </c>
      <c r="R796" s="1">
        <v>0.84</v>
      </c>
      <c r="S796" s="2">
        <v>45360</v>
      </c>
      <c r="T796" s="1">
        <v>213.73</v>
      </c>
      <c r="U796" s="1">
        <v>0.70499999999999996</v>
      </c>
      <c r="V796" s="6">
        <f t="shared" si="36"/>
        <v>51473.61</v>
      </c>
      <c r="W796" s="6" t="str">
        <f t="shared" si="37"/>
        <v>Sufficient</v>
      </c>
      <c r="X796" s="8" t="str">
        <f t="shared" si="38"/>
        <v>High</v>
      </c>
    </row>
    <row r="797" spans="1:24">
      <c r="A797" s="7" t="s">
        <v>927</v>
      </c>
      <c r="B797" s="1" t="s">
        <v>25</v>
      </c>
      <c r="C797" s="1">
        <v>100</v>
      </c>
      <c r="D797" s="1">
        <v>44</v>
      </c>
      <c r="E797" s="1">
        <v>5</v>
      </c>
      <c r="F797" s="1">
        <v>3</v>
      </c>
      <c r="G797" s="1">
        <v>39.96</v>
      </c>
      <c r="H797" s="1" t="s">
        <v>205</v>
      </c>
      <c r="I797" s="1" t="s">
        <v>39</v>
      </c>
      <c r="J797" s="1">
        <v>89</v>
      </c>
      <c r="K797" s="1">
        <v>4.6900000000000004</v>
      </c>
      <c r="L797" s="4">
        <v>198.74</v>
      </c>
      <c r="M797" s="1">
        <v>0.5</v>
      </c>
      <c r="N797" s="1">
        <v>3</v>
      </c>
      <c r="O797" s="1">
        <v>0.77</v>
      </c>
      <c r="P797" s="1">
        <v>838</v>
      </c>
      <c r="Q797" s="1">
        <v>5.86</v>
      </c>
      <c r="R797" s="1">
        <v>0.63</v>
      </c>
      <c r="S797" s="2">
        <v>45620</v>
      </c>
      <c r="T797" s="1">
        <v>45.38</v>
      </c>
      <c r="U797" s="1">
        <v>0.64800000000000002</v>
      </c>
      <c r="V797" s="6">
        <f t="shared" si="36"/>
        <v>19874</v>
      </c>
      <c r="W797" s="6" t="str">
        <f t="shared" si="37"/>
        <v>Sufficient</v>
      </c>
      <c r="X797" s="8" t="str">
        <f t="shared" si="38"/>
        <v>Medium</v>
      </c>
    </row>
    <row r="798" spans="1:24">
      <c r="A798" s="7" t="s">
        <v>928</v>
      </c>
      <c r="B798" s="1" t="s">
        <v>41</v>
      </c>
      <c r="C798" s="1">
        <v>402</v>
      </c>
      <c r="D798" s="1">
        <v>10</v>
      </c>
      <c r="E798" s="1">
        <v>5</v>
      </c>
      <c r="F798" s="1">
        <v>9</v>
      </c>
      <c r="G798" s="1">
        <v>1.65</v>
      </c>
      <c r="H798" s="1" t="s">
        <v>68</v>
      </c>
      <c r="I798" s="1" t="s">
        <v>39</v>
      </c>
      <c r="J798" s="1">
        <v>112</v>
      </c>
      <c r="K798" s="1">
        <v>3.34</v>
      </c>
      <c r="L798" s="4">
        <v>196.14</v>
      </c>
      <c r="M798" s="1">
        <v>1.19</v>
      </c>
      <c r="N798" s="1">
        <v>3</v>
      </c>
      <c r="O798" s="1">
        <v>0.82</v>
      </c>
      <c r="P798" s="1">
        <v>428</v>
      </c>
      <c r="Q798" s="1">
        <v>9.86</v>
      </c>
      <c r="R798" s="1">
        <v>0.51</v>
      </c>
      <c r="S798" s="2">
        <v>45638</v>
      </c>
      <c r="T798" s="1">
        <v>110.99</v>
      </c>
      <c r="U798" s="1">
        <v>0.61799999999999999</v>
      </c>
      <c r="V798" s="6">
        <f t="shared" si="36"/>
        <v>78848.28</v>
      </c>
      <c r="W798" s="6" t="str">
        <f t="shared" si="37"/>
        <v>Sufficient</v>
      </c>
      <c r="X798" s="8" t="str">
        <f t="shared" si="38"/>
        <v>High</v>
      </c>
    </row>
    <row r="799" spans="1:24">
      <c r="A799" s="7" t="s">
        <v>929</v>
      </c>
      <c r="B799" s="1" t="s">
        <v>29</v>
      </c>
      <c r="C799" s="1">
        <v>107</v>
      </c>
      <c r="D799" s="1">
        <v>61</v>
      </c>
      <c r="E799" s="1">
        <v>9</v>
      </c>
      <c r="F799" s="1">
        <v>5</v>
      </c>
      <c r="G799" s="1">
        <v>27.84</v>
      </c>
      <c r="H799" s="1" t="s">
        <v>128</v>
      </c>
      <c r="I799" s="1" t="s">
        <v>31</v>
      </c>
      <c r="J799" s="1">
        <v>57</v>
      </c>
      <c r="K799" s="1">
        <v>2.44</v>
      </c>
      <c r="L799" s="4">
        <v>135.91</v>
      </c>
      <c r="M799" s="1">
        <v>0.67</v>
      </c>
      <c r="N799" s="1">
        <v>1</v>
      </c>
      <c r="O799" s="1">
        <v>0.78</v>
      </c>
      <c r="P799" s="1">
        <v>313</v>
      </c>
      <c r="Q799" s="1">
        <v>12.93</v>
      </c>
      <c r="R799" s="1">
        <v>0.47</v>
      </c>
      <c r="S799" s="2">
        <v>45365</v>
      </c>
      <c r="T799" s="1">
        <v>15.63</v>
      </c>
      <c r="U799" s="1">
        <v>0.73499999999999999</v>
      </c>
      <c r="V799" s="6">
        <f t="shared" si="36"/>
        <v>14542.369999999999</v>
      </c>
      <c r="W799" s="6" t="str">
        <f t="shared" si="37"/>
        <v>Sufficient</v>
      </c>
      <c r="X799" s="8" t="str">
        <f t="shared" si="38"/>
        <v>Medium</v>
      </c>
    </row>
    <row r="800" spans="1:24">
      <c r="A800" s="7" t="s">
        <v>930</v>
      </c>
      <c r="B800" s="1" t="s">
        <v>41</v>
      </c>
      <c r="C800" s="1">
        <v>213</v>
      </c>
      <c r="D800" s="1">
        <v>94</v>
      </c>
      <c r="E800" s="1">
        <v>11</v>
      </c>
      <c r="F800" s="1">
        <v>8</v>
      </c>
      <c r="G800" s="1">
        <v>37.42</v>
      </c>
      <c r="H800" s="1" t="s">
        <v>205</v>
      </c>
      <c r="I800" s="1" t="s">
        <v>45</v>
      </c>
      <c r="J800" s="1">
        <v>95</v>
      </c>
      <c r="K800" s="1">
        <v>3.05</v>
      </c>
      <c r="L800" s="4">
        <v>81.290000000000006</v>
      </c>
      <c r="M800" s="1">
        <v>1.7</v>
      </c>
      <c r="N800" s="1">
        <v>8</v>
      </c>
      <c r="O800" s="1">
        <v>0.7</v>
      </c>
      <c r="P800" s="1">
        <v>354</v>
      </c>
      <c r="Q800" s="1">
        <v>5.01</v>
      </c>
      <c r="R800" s="1">
        <v>0.28999999999999998</v>
      </c>
      <c r="S800" s="2">
        <v>45327</v>
      </c>
      <c r="T800" s="1">
        <v>268.91000000000003</v>
      </c>
      <c r="U800" s="1">
        <v>0.33500000000000002</v>
      </c>
      <c r="V800" s="6">
        <f t="shared" si="36"/>
        <v>17314.77</v>
      </c>
      <c r="W800" s="6" t="str">
        <f t="shared" si="37"/>
        <v>Sufficient</v>
      </c>
      <c r="X800" s="8" t="str">
        <f t="shared" si="38"/>
        <v>Medium</v>
      </c>
    </row>
    <row r="801" spans="1:24">
      <c r="A801" s="7" t="s">
        <v>931</v>
      </c>
      <c r="B801" s="1" t="s">
        <v>33</v>
      </c>
      <c r="C801" s="1">
        <v>123</v>
      </c>
      <c r="D801" s="1">
        <v>79</v>
      </c>
      <c r="E801" s="1">
        <v>8</v>
      </c>
      <c r="F801" s="1">
        <v>8</v>
      </c>
      <c r="G801" s="1">
        <v>11.63</v>
      </c>
      <c r="H801" s="1" t="s">
        <v>103</v>
      </c>
      <c r="I801" s="1" t="s">
        <v>45</v>
      </c>
      <c r="J801" s="1">
        <v>79</v>
      </c>
      <c r="K801" s="1">
        <v>4.2300000000000004</v>
      </c>
      <c r="L801" s="4">
        <v>22.44</v>
      </c>
      <c r="M801" s="1">
        <v>0.76</v>
      </c>
      <c r="N801" s="1">
        <v>3</v>
      </c>
      <c r="O801" s="1">
        <v>0.9</v>
      </c>
      <c r="P801" s="1">
        <v>537</v>
      </c>
      <c r="Q801" s="1">
        <v>2.1</v>
      </c>
      <c r="R801" s="1">
        <v>0.47</v>
      </c>
      <c r="S801" s="2">
        <v>45563</v>
      </c>
      <c r="T801" s="1">
        <v>226.63</v>
      </c>
      <c r="U801" s="1">
        <v>0.56599999999999995</v>
      </c>
      <c r="V801" s="6">
        <f t="shared" si="36"/>
        <v>2760.1200000000003</v>
      </c>
      <c r="W801" s="6" t="str">
        <f t="shared" si="37"/>
        <v>Sufficient</v>
      </c>
      <c r="X801" s="8" t="str">
        <f t="shared" si="38"/>
        <v>Medium</v>
      </c>
    </row>
    <row r="802" spans="1:24">
      <c r="A802" s="7" t="s">
        <v>932</v>
      </c>
      <c r="B802" s="1" t="s">
        <v>33</v>
      </c>
      <c r="C802" s="1">
        <v>290</v>
      </c>
      <c r="D802" s="1">
        <v>46</v>
      </c>
      <c r="E802" s="1">
        <v>4</v>
      </c>
      <c r="F802" s="1">
        <v>8</v>
      </c>
      <c r="G802" s="1">
        <v>4</v>
      </c>
      <c r="H802" s="1" t="s">
        <v>97</v>
      </c>
      <c r="I802" s="1" t="s">
        <v>39</v>
      </c>
      <c r="J802" s="1">
        <v>56</v>
      </c>
      <c r="K802" s="1">
        <v>1.97</v>
      </c>
      <c r="L802" s="4">
        <v>150.22999999999999</v>
      </c>
      <c r="M802" s="1">
        <v>0.54</v>
      </c>
      <c r="N802" s="1">
        <v>3</v>
      </c>
      <c r="O802" s="1">
        <v>0.71</v>
      </c>
      <c r="P802" s="1">
        <v>789</v>
      </c>
      <c r="Q802" s="1">
        <v>3.86</v>
      </c>
      <c r="R802" s="1">
        <v>0.57999999999999996</v>
      </c>
      <c r="S802" s="2">
        <v>45580</v>
      </c>
      <c r="T802" s="1">
        <v>136.4</v>
      </c>
      <c r="U802" s="1">
        <v>0.59499999999999997</v>
      </c>
      <c r="V802" s="6">
        <f t="shared" si="36"/>
        <v>43566.7</v>
      </c>
      <c r="W802" s="6" t="str">
        <f t="shared" si="37"/>
        <v>Sufficient</v>
      </c>
      <c r="X802" s="8" t="str">
        <f t="shared" si="38"/>
        <v>High</v>
      </c>
    </row>
    <row r="803" spans="1:24">
      <c r="A803" s="7" t="s">
        <v>933</v>
      </c>
      <c r="B803" s="1" t="s">
        <v>33</v>
      </c>
      <c r="C803" s="1">
        <v>115</v>
      </c>
      <c r="D803" s="1">
        <v>74</v>
      </c>
      <c r="E803" s="1">
        <v>3</v>
      </c>
      <c r="F803" s="1">
        <v>2</v>
      </c>
      <c r="G803" s="1">
        <v>8.64</v>
      </c>
      <c r="H803" s="1" t="s">
        <v>113</v>
      </c>
      <c r="I803" s="1" t="s">
        <v>27</v>
      </c>
      <c r="J803" s="1">
        <v>19</v>
      </c>
      <c r="K803" s="1">
        <v>4.8</v>
      </c>
      <c r="L803" s="4">
        <v>195.81</v>
      </c>
      <c r="M803" s="1">
        <v>1.1100000000000001</v>
      </c>
      <c r="N803" s="1">
        <v>3</v>
      </c>
      <c r="O803" s="1">
        <v>0.76</v>
      </c>
      <c r="P803" s="1">
        <v>174</v>
      </c>
      <c r="Q803" s="1">
        <v>7.15</v>
      </c>
      <c r="R803" s="1">
        <v>0.74</v>
      </c>
      <c r="S803" s="2">
        <v>45296</v>
      </c>
      <c r="T803" s="1">
        <v>230.51</v>
      </c>
      <c r="U803" s="1">
        <v>0.624</v>
      </c>
      <c r="V803" s="6">
        <f t="shared" si="36"/>
        <v>22518.15</v>
      </c>
      <c r="W803" s="6" t="str">
        <f t="shared" si="37"/>
        <v>Sufficient</v>
      </c>
      <c r="X803" s="8" t="str">
        <f t="shared" si="38"/>
        <v>Medium</v>
      </c>
    </row>
    <row r="804" spans="1:24">
      <c r="A804" s="7" t="s">
        <v>934</v>
      </c>
      <c r="B804" s="1" t="s">
        <v>33</v>
      </c>
      <c r="C804" s="1">
        <v>442</v>
      </c>
      <c r="D804" s="1">
        <v>60</v>
      </c>
      <c r="E804" s="1">
        <v>4</v>
      </c>
      <c r="F804" s="1">
        <v>2</v>
      </c>
      <c r="G804" s="1">
        <v>22.65</v>
      </c>
      <c r="H804" s="1" t="s">
        <v>38</v>
      </c>
      <c r="I804" s="1" t="s">
        <v>39</v>
      </c>
      <c r="J804" s="1">
        <v>89</v>
      </c>
      <c r="K804" s="1">
        <v>2.6</v>
      </c>
      <c r="L804" s="4">
        <v>22.92</v>
      </c>
      <c r="M804" s="1">
        <v>0.36</v>
      </c>
      <c r="N804" s="1">
        <v>4</v>
      </c>
      <c r="O804" s="1">
        <v>0.92</v>
      </c>
      <c r="P804" s="1">
        <v>667</v>
      </c>
      <c r="Q804" s="1">
        <v>8.2100000000000009</v>
      </c>
      <c r="R804" s="1">
        <v>0.41</v>
      </c>
      <c r="S804" s="2">
        <v>45604</v>
      </c>
      <c r="T804" s="1">
        <v>280.69</v>
      </c>
      <c r="U804" s="1">
        <v>0.65900000000000003</v>
      </c>
      <c r="V804" s="6">
        <f t="shared" si="36"/>
        <v>10130.640000000001</v>
      </c>
      <c r="W804" s="6" t="str">
        <f t="shared" si="37"/>
        <v>Sufficient</v>
      </c>
      <c r="X804" s="8" t="str">
        <f t="shared" si="38"/>
        <v>High</v>
      </c>
    </row>
    <row r="805" spans="1:24">
      <c r="A805" s="7" t="s">
        <v>935</v>
      </c>
      <c r="B805" s="1" t="s">
        <v>25</v>
      </c>
      <c r="C805" s="1">
        <v>398</v>
      </c>
      <c r="D805" s="1">
        <v>10</v>
      </c>
      <c r="E805" s="1">
        <v>3</v>
      </c>
      <c r="F805" s="1">
        <v>6</v>
      </c>
      <c r="G805" s="1">
        <v>25.81</v>
      </c>
      <c r="H805" s="1" t="s">
        <v>256</v>
      </c>
      <c r="I805" s="1" t="s">
        <v>39</v>
      </c>
      <c r="J805" s="1">
        <v>22</v>
      </c>
      <c r="K805" s="1">
        <v>4.8</v>
      </c>
      <c r="L805" s="4">
        <v>11.17</v>
      </c>
      <c r="M805" s="1">
        <v>1.62</v>
      </c>
      <c r="N805" s="1">
        <v>9</v>
      </c>
      <c r="O805" s="1">
        <v>0.9</v>
      </c>
      <c r="P805" s="1">
        <v>791</v>
      </c>
      <c r="Q805" s="1">
        <v>14.19</v>
      </c>
      <c r="R805" s="1">
        <v>0.92</v>
      </c>
      <c r="S805" s="2">
        <v>45624</v>
      </c>
      <c r="T805" s="1">
        <v>91.17</v>
      </c>
      <c r="U805" s="1">
        <v>0.61099999999999999</v>
      </c>
      <c r="V805" s="6">
        <f t="shared" si="36"/>
        <v>4445.66</v>
      </c>
      <c r="W805" s="6" t="str">
        <f t="shared" si="37"/>
        <v>Sufficient</v>
      </c>
      <c r="X805" s="8" t="str">
        <f t="shared" si="38"/>
        <v>High</v>
      </c>
    </row>
    <row r="806" spans="1:24">
      <c r="A806" s="7" t="s">
        <v>936</v>
      </c>
      <c r="B806" s="1" t="s">
        <v>29</v>
      </c>
      <c r="C806" s="1">
        <v>217</v>
      </c>
      <c r="D806" s="1">
        <v>30</v>
      </c>
      <c r="E806" s="1">
        <v>12</v>
      </c>
      <c r="F806" s="1">
        <v>8</v>
      </c>
      <c r="G806" s="1">
        <v>19.66</v>
      </c>
      <c r="H806" s="1" t="s">
        <v>88</v>
      </c>
      <c r="I806" s="1" t="s">
        <v>45</v>
      </c>
      <c r="J806" s="1">
        <v>67</v>
      </c>
      <c r="K806" s="1">
        <v>4.46</v>
      </c>
      <c r="L806" s="4">
        <v>168.04</v>
      </c>
      <c r="M806" s="1">
        <v>1.39</v>
      </c>
      <c r="N806" s="1">
        <v>7</v>
      </c>
      <c r="O806" s="1">
        <v>0.72</v>
      </c>
      <c r="P806" s="1">
        <v>695</v>
      </c>
      <c r="Q806" s="1">
        <v>1.23</v>
      </c>
      <c r="R806" s="1">
        <v>0.59</v>
      </c>
      <c r="S806" s="2">
        <v>45376</v>
      </c>
      <c r="T806" s="1">
        <v>92.89</v>
      </c>
      <c r="U806" s="1">
        <v>0.39900000000000002</v>
      </c>
      <c r="V806" s="6">
        <f t="shared" si="36"/>
        <v>36464.68</v>
      </c>
      <c r="W806" s="6" t="str">
        <f t="shared" si="37"/>
        <v>Sufficient</v>
      </c>
      <c r="X806" s="8" t="str">
        <f t="shared" si="38"/>
        <v>Medium</v>
      </c>
    </row>
    <row r="807" spans="1:24">
      <c r="A807" s="7" t="s">
        <v>937</v>
      </c>
      <c r="B807" s="1" t="s">
        <v>41</v>
      </c>
      <c r="C807" s="1">
        <v>20</v>
      </c>
      <c r="D807" s="1">
        <v>62</v>
      </c>
      <c r="E807" s="1">
        <v>12</v>
      </c>
      <c r="F807" s="1">
        <v>7</v>
      </c>
      <c r="G807" s="1">
        <v>22.56</v>
      </c>
      <c r="H807" s="1" t="s">
        <v>276</v>
      </c>
      <c r="I807" s="1" t="s">
        <v>31</v>
      </c>
      <c r="J807" s="1">
        <v>93</v>
      </c>
      <c r="K807" s="1">
        <v>3.95</v>
      </c>
      <c r="L807" s="4">
        <v>29.43</v>
      </c>
      <c r="M807" s="1">
        <v>1.56</v>
      </c>
      <c r="N807" s="1">
        <v>3</v>
      </c>
      <c r="O807" s="1">
        <v>0.9</v>
      </c>
      <c r="P807" s="1">
        <v>130</v>
      </c>
      <c r="Q807" s="1">
        <v>11.61</v>
      </c>
      <c r="R807" s="1">
        <v>0.52</v>
      </c>
      <c r="S807" s="2">
        <v>45517</v>
      </c>
      <c r="T807" s="1">
        <v>149.97</v>
      </c>
      <c r="U807" s="1">
        <v>0.623</v>
      </c>
      <c r="V807" s="6">
        <f t="shared" si="36"/>
        <v>588.6</v>
      </c>
      <c r="W807" s="6" t="str">
        <f t="shared" si="37"/>
        <v>Reorder Required</v>
      </c>
      <c r="X807" s="8" t="str">
        <f t="shared" si="38"/>
        <v>LOW</v>
      </c>
    </row>
    <row r="808" spans="1:24">
      <c r="A808" s="7" t="s">
        <v>938</v>
      </c>
      <c r="B808" s="1" t="s">
        <v>41</v>
      </c>
      <c r="C808" s="1">
        <v>426</v>
      </c>
      <c r="D808" s="1">
        <v>25</v>
      </c>
      <c r="E808" s="1">
        <v>11</v>
      </c>
      <c r="F808" s="1">
        <v>9</v>
      </c>
      <c r="G808" s="1">
        <v>24.04</v>
      </c>
      <c r="H808" s="1" t="s">
        <v>135</v>
      </c>
      <c r="I808" s="1" t="s">
        <v>31</v>
      </c>
      <c r="J808" s="1">
        <v>77</v>
      </c>
      <c r="K808" s="1">
        <v>2.6</v>
      </c>
      <c r="L808" s="4">
        <v>25.51</v>
      </c>
      <c r="M808" s="1">
        <v>0.86</v>
      </c>
      <c r="N808" s="1">
        <v>2</v>
      </c>
      <c r="O808" s="1">
        <v>0.98</v>
      </c>
      <c r="P808" s="1">
        <v>921</v>
      </c>
      <c r="Q808" s="1">
        <v>2.02</v>
      </c>
      <c r="R808" s="1">
        <v>0.68</v>
      </c>
      <c r="S808" s="2">
        <v>45471</v>
      </c>
      <c r="T808" s="1">
        <v>215</v>
      </c>
      <c r="U808" s="1">
        <v>0.63300000000000001</v>
      </c>
      <c r="V808" s="6">
        <f t="shared" si="36"/>
        <v>10867.26</v>
      </c>
      <c r="W808" s="6" t="str">
        <f t="shared" si="37"/>
        <v>Sufficient</v>
      </c>
      <c r="X808" s="8" t="str">
        <f t="shared" si="38"/>
        <v>High</v>
      </c>
    </row>
    <row r="809" spans="1:24">
      <c r="A809" s="7" t="s">
        <v>939</v>
      </c>
      <c r="B809" s="1" t="s">
        <v>33</v>
      </c>
      <c r="C809" s="1">
        <v>397</v>
      </c>
      <c r="D809" s="1">
        <v>70</v>
      </c>
      <c r="E809" s="1">
        <v>12</v>
      </c>
      <c r="F809" s="1">
        <v>6</v>
      </c>
      <c r="G809" s="1">
        <v>38.700000000000003</v>
      </c>
      <c r="H809" s="1" t="s">
        <v>350</v>
      </c>
      <c r="I809" s="1" t="s">
        <v>27</v>
      </c>
      <c r="J809" s="1">
        <v>93</v>
      </c>
      <c r="K809" s="1">
        <v>3.14</v>
      </c>
      <c r="L809" s="4">
        <v>182.96</v>
      </c>
      <c r="M809" s="1">
        <v>1.69</v>
      </c>
      <c r="N809" s="1">
        <v>0</v>
      </c>
      <c r="O809" s="1">
        <v>0.72</v>
      </c>
      <c r="P809" s="1">
        <v>670</v>
      </c>
      <c r="Q809" s="1">
        <v>2.09</v>
      </c>
      <c r="R809" s="1">
        <v>0.33</v>
      </c>
      <c r="S809" s="2">
        <v>45401</v>
      </c>
      <c r="T809" s="1">
        <v>297.98</v>
      </c>
      <c r="U809" s="1">
        <v>0.46899999999999997</v>
      </c>
      <c r="V809" s="6">
        <f t="shared" si="36"/>
        <v>72635.12000000001</v>
      </c>
      <c r="W809" s="6" t="str">
        <f t="shared" si="37"/>
        <v>Sufficient</v>
      </c>
      <c r="X809" s="8" t="str">
        <f t="shared" si="38"/>
        <v>High</v>
      </c>
    </row>
    <row r="810" spans="1:24">
      <c r="A810" s="7" t="s">
        <v>940</v>
      </c>
      <c r="B810" s="1" t="s">
        <v>33</v>
      </c>
      <c r="C810" s="1">
        <v>186</v>
      </c>
      <c r="D810" s="1">
        <v>63</v>
      </c>
      <c r="E810" s="1">
        <v>14</v>
      </c>
      <c r="F810" s="1">
        <v>3</v>
      </c>
      <c r="G810" s="1">
        <v>6.16</v>
      </c>
      <c r="H810" s="1" t="s">
        <v>327</v>
      </c>
      <c r="I810" s="1" t="s">
        <v>45</v>
      </c>
      <c r="J810" s="1">
        <v>95</v>
      </c>
      <c r="K810" s="1">
        <v>4.2699999999999996</v>
      </c>
      <c r="L810" s="4">
        <v>25.12</v>
      </c>
      <c r="M810" s="1">
        <v>1.04</v>
      </c>
      <c r="N810" s="1">
        <v>1</v>
      </c>
      <c r="O810" s="1">
        <v>0.82</v>
      </c>
      <c r="P810" s="1">
        <v>224</v>
      </c>
      <c r="Q810" s="1">
        <v>10.16</v>
      </c>
      <c r="R810" s="1">
        <v>0.28999999999999998</v>
      </c>
      <c r="S810" s="2">
        <v>45613</v>
      </c>
      <c r="T810" s="1">
        <v>57.25</v>
      </c>
      <c r="U810" s="1">
        <v>0.63300000000000001</v>
      </c>
      <c r="V810" s="6">
        <f t="shared" si="36"/>
        <v>4672.3200000000006</v>
      </c>
      <c r="W810" s="6" t="str">
        <f t="shared" si="37"/>
        <v>Sufficient</v>
      </c>
      <c r="X810" s="8" t="str">
        <f t="shared" si="38"/>
        <v>Medium</v>
      </c>
    </row>
    <row r="811" spans="1:24">
      <c r="A811" s="7" t="s">
        <v>941</v>
      </c>
      <c r="B811" s="1" t="s">
        <v>66</v>
      </c>
      <c r="C811" s="1">
        <v>145</v>
      </c>
      <c r="D811" s="1">
        <v>49</v>
      </c>
      <c r="E811" s="1">
        <v>10</v>
      </c>
      <c r="F811" s="1">
        <v>4</v>
      </c>
      <c r="G811" s="1">
        <v>38.68</v>
      </c>
      <c r="H811" s="1" t="s">
        <v>238</v>
      </c>
      <c r="I811" s="1" t="s">
        <v>45</v>
      </c>
      <c r="J811" s="1">
        <v>166</v>
      </c>
      <c r="K811" s="1">
        <v>2.95</v>
      </c>
      <c r="L811" s="4">
        <v>31.66</v>
      </c>
      <c r="M811" s="1">
        <v>0.28000000000000003</v>
      </c>
      <c r="N811" s="1">
        <v>3</v>
      </c>
      <c r="O811" s="1">
        <v>0.92</v>
      </c>
      <c r="P811" s="1">
        <v>725</v>
      </c>
      <c r="Q811" s="1">
        <v>13.73</v>
      </c>
      <c r="R811" s="1">
        <v>0.48</v>
      </c>
      <c r="S811" s="2">
        <v>45369</v>
      </c>
      <c r="T811" s="1">
        <v>109.22</v>
      </c>
      <c r="U811" s="1">
        <v>0.77500000000000002</v>
      </c>
      <c r="V811" s="6">
        <f t="shared" si="36"/>
        <v>4590.7</v>
      </c>
      <c r="W811" s="6" t="str">
        <f t="shared" si="37"/>
        <v>Sufficient</v>
      </c>
      <c r="X811" s="8" t="str">
        <f t="shared" si="38"/>
        <v>Medium</v>
      </c>
    </row>
    <row r="812" spans="1:24">
      <c r="A812" s="7" t="s">
        <v>942</v>
      </c>
      <c r="B812" s="1" t="s">
        <v>29</v>
      </c>
      <c r="C812" s="1">
        <v>332</v>
      </c>
      <c r="D812" s="1">
        <v>35</v>
      </c>
      <c r="E812" s="1">
        <v>9</v>
      </c>
      <c r="F812" s="1">
        <v>2</v>
      </c>
      <c r="G812" s="1">
        <v>34.74</v>
      </c>
      <c r="H812" s="1" t="s">
        <v>55</v>
      </c>
      <c r="I812" s="1" t="s">
        <v>39</v>
      </c>
      <c r="J812" s="1">
        <v>153</v>
      </c>
      <c r="K812" s="1">
        <v>3.82</v>
      </c>
      <c r="L812" s="4">
        <v>118.22</v>
      </c>
      <c r="M812" s="1">
        <v>0.53</v>
      </c>
      <c r="N812" s="1">
        <v>8</v>
      </c>
      <c r="O812" s="1">
        <v>0.9</v>
      </c>
      <c r="P812" s="1">
        <v>174</v>
      </c>
      <c r="Q812" s="1">
        <v>5.03</v>
      </c>
      <c r="R812" s="1">
        <v>0.23</v>
      </c>
      <c r="S812" s="2">
        <v>45502</v>
      </c>
      <c r="T812" s="1">
        <v>115.4</v>
      </c>
      <c r="U812" s="1">
        <v>0.48</v>
      </c>
      <c r="V812" s="6">
        <f t="shared" si="36"/>
        <v>39249.040000000001</v>
      </c>
      <c r="W812" s="6" t="str">
        <f t="shared" si="37"/>
        <v>Sufficient</v>
      </c>
      <c r="X812" s="8" t="str">
        <f t="shared" si="38"/>
        <v>High</v>
      </c>
    </row>
    <row r="813" spans="1:24">
      <c r="A813" s="7" t="s">
        <v>943</v>
      </c>
      <c r="B813" s="1" t="s">
        <v>25</v>
      </c>
      <c r="C813" s="1">
        <v>100</v>
      </c>
      <c r="D813" s="1">
        <v>89</v>
      </c>
      <c r="E813" s="1">
        <v>5</v>
      </c>
      <c r="F813" s="1">
        <v>8</v>
      </c>
      <c r="G813" s="1">
        <v>37.340000000000003</v>
      </c>
      <c r="H813" s="1" t="s">
        <v>258</v>
      </c>
      <c r="I813" s="1" t="s">
        <v>45</v>
      </c>
      <c r="J813" s="1">
        <v>72</v>
      </c>
      <c r="K813" s="1">
        <v>4.0599999999999996</v>
      </c>
      <c r="L813" s="4">
        <v>153.79</v>
      </c>
      <c r="M813" s="1">
        <v>1.45</v>
      </c>
      <c r="N813" s="1">
        <v>0</v>
      </c>
      <c r="O813" s="1">
        <v>0.77</v>
      </c>
      <c r="P813" s="1">
        <v>397</v>
      </c>
      <c r="Q813" s="1">
        <v>4.7699999999999996</v>
      </c>
      <c r="R813" s="1">
        <v>0.5</v>
      </c>
      <c r="S813" s="2">
        <v>45607</v>
      </c>
      <c r="T813" s="1">
        <v>220.49</v>
      </c>
      <c r="U813" s="1">
        <v>0.57299999999999995</v>
      </c>
      <c r="V813" s="6">
        <f t="shared" si="36"/>
        <v>15379</v>
      </c>
      <c r="W813" s="6" t="str">
        <f t="shared" si="37"/>
        <v>Sufficient</v>
      </c>
      <c r="X813" s="8" t="str">
        <f t="shared" si="38"/>
        <v>Medium</v>
      </c>
    </row>
    <row r="814" spans="1:24">
      <c r="A814" s="7" t="s">
        <v>944</v>
      </c>
      <c r="B814" s="1" t="s">
        <v>41</v>
      </c>
      <c r="C814" s="1">
        <v>437</v>
      </c>
      <c r="D814" s="1">
        <v>74</v>
      </c>
      <c r="E814" s="1">
        <v>10</v>
      </c>
      <c r="F814" s="1">
        <v>3</v>
      </c>
      <c r="G814" s="1">
        <v>36.99</v>
      </c>
      <c r="H814" s="1" t="s">
        <v>119</v>
      </c>
      <c r="I814" s="1" t="s">
        <v>39</v>
      </c>
      <c r="J814" s="1">
        <v>52</v>
      </c>
      <c r="K814" s="1">
        <v>2.81</v>
      </c>
      <c r="L814" s="4">
        <v>85.92</v>
      </c>
      <c r="M814" s="1">
        <v>1.8</v>
      </c>
      <c r="N814" s="1">
        <v>5</v>
      </c>
      <c r="O814" s="1">
        <v>0.75</v>
      </c>
      <c r="P814" s="1">
        <v>938</v>
      </c>
      <c r="Q814" s="1">
        <v>9.65</v>
      </c>
      <c r="R814" s="1">
        <v>0.74</v>
      </c>
      <c r="S814" s="2">
        <v>45643</v>
      </c>
      <c r="T814" s="1">
        <v>267.11</v>
      </c>
      <c r="U814" s="1">
        <v>0.54700000000000004</v>
      </c>
      <c r="V814" s="6">
        <f t="shared" si="36"/>
        <v>37547.040000000001</v>
      </c>
      <c r="W814" s="6" t="str">
        <f t="shared" si="37"/>
        <v>Sufficient</v>
      </c>
      <c r="X814" s="8" t="str">
        <f t="shared" si="38"/>
        <v>High</v>
      </c>
    </row>
    <row r="815" spans="1:24">
      <c r="A815" s="7" t="s">
        <v>945</v>
      </c>
      <c r="B815" s="1" t="s">
        <v>66</v>
      </c>
      <c r="C815" s="1">
        <v>270</v>
      </c>
      <c r="D815" s="1">
        <v>83</v>
      </c>
      <c r="E815" s="1">
        <v>4</v>
      </c>
      <c r="F815" s="1">
        <v>6</v>
      </c>
      <c r="G815" s="1">
        <v>24.06</v>
      </c>
      <c r="H815" s="1" t="s">
        <v>44</v>
      </c>
      <c r="I815" s="1" t="s">
        <v>27</v>
      </c>
      <c r="J815" s="1">
        <v>160</v>
      </c>
      <c r="K815" s="1">
        <v>2.91</v>
      </c>
      <c r="L815" s="4">
        <v>89.91</v>
      </c>
      <c r="M815" s="1">
        <v>0.28000000000000003</v>
      </c>
      <c r="N815" s="1">
        <v>5</v>
      </c>
      <c r="O815" s="1">
        <v>0.94</v>
      </c>
      <c r="P815" s="1">
        <v>416</v>
      </c>
      <c r="Q815" s="1">
        <v>11.87</v>
      </c>
      <c r="R815" s="1">
        <v>0.85</v>
      </c>
      <c r="S815" s="2">
        <v>45518</v>
      </c>
      <c r="T815" s="1">
        <v>63.3</v>
      </c>
      <c r="U815" s="1">
        <v>0.78800000000000003</v>
      </c>
      <c r="V815" s="6">
        <f t="shared" si="36"/>
        <v>24275.7</v>
      </c>
      <c r="W815" s="6" t="str">
        <f t="shared" si="37"/>
        <v>Sufficient</v>
      </c>
      <c r="X815" s="8" t="str">
        <f t="shared" si="38"/>
        <v>High</v>
      </c>
    </row>
    <row r="816" spans="1:24">
      <c r="A816" s="7" t="s">
        <v>946</v>
      </c>
      <c r="B816" s="1" t="s">
        <v>66</v>
      </c>
      <c r="C816" s="1">
        <v>188</v>
      </c>
      <c r="D816" s="1">
        <v>73</v>
      </c>
      <c r="E816" s="1">
        <v>4</v>
      </c>
      <c r="F816" s="1">
        <v>6</v>
      </c>
      <c r="G816" s="1">
        <v>11.36</v>
      </c>
      <c r="H816" s="1" t="s">
        <v>83</v>
      </c>
      <c r="I816" s="1" t="s">
        <v>45</v>
      </c>
      <c r="J816" s="1">
        <v>167</v>
      </c>
      <c r="K816" s="1">
        <v>1.39</v>
      </c>
      <c r="L816" s="4">
        <v>130.19999999999999</v>
      </c>
      <c r="M816" s="1">
        <v>1.74</v>
      </c>
      <c r="N816" s="1">
        <v>9</v>
      </c>
      <c r="O816" s="1">
        <v>0.99</v>
      </c>
      <c r="P816" s="1">
        <v>584</v>
      </c>
      <c r="Q816" s="1">
        <v>13.17</v>
      </c>
      <c r="R816" s="1">
        <v>0.66</v>
      </c>
      <c r="S816" s="2">
        <v>45403</v>
      </c>
      <c r="T816" s="1">
        <v>216.96</v>
      </c>
      <c r="U816" s="1">
        <v>0.55200000000000005</v>
      </c>
      <c r="V816" s="6">
        <f t="shared" si="36"/>
        <v>24477.599999999999</v>
      </c>
      <c r="W816" s="6" t="str">
        <f t="shared" si="37"/>
        <v>Sufficient</v>
      </c>
      <c r="X816" s="8" t="str">
        <f t="shared" si="38"/>
        <v>Medium</v>
      </c>
    </row>
    <row r="817" spans="1:24">
      <c r="A817" s="7" t="s">
        <v>947</v>
      </c>
      <c r="B817" s="1" t="s">
        <v>41</v>
      </c>
      <c r="C817" s="1">
        <v>496</v>
      </c>
      <c r="D817" s="1">
        <v>52</v>
      </c>
      <c r="E817" s="1">
        <v>13</v>
      </c>
      <c r="F817" s="1">
        <v>2</v>
      </c>
      <c r="G817" s="1">
        <v>27.29</v>
      </c>
      <c r="H817" s="1" t="s">
        <v>153</v>
      </c>
      <c r="I817" s="1" t="s">
        <v>45</v>
      </c>
      <c r="J817" s="1">
        <v>39</v>
      </c>
      <c r="K817" s="1">
        <v>1.6</v>
      </c>
      <c r="L817" s="4">
        <v>106.03</v>
      </c>
      <c r="M817" s="1">
        <v>1.62</v>
      </c>
      <c r="N817" s="1">
        <v>2</v>
      </c>
      <c r="O817" s="1">
        <v>0.93</v>
      </c>
      <c r="P817" s="1">
        <v>464</v>
      </c>
      <c r="Q817" s="1">
        <v>4.5</v>
      </c>
      <c r="R817" s="1">
        <v>0.75</v>
      </c>
      <c r="S817" s="2">
        <v>45336</v>
      </c>
      <c r="T817" s="1">
        <v>273.79000000000002</v>
      </c>
      <c r="U817" s="1">
        <v>0.59399999999999997</v>
      </c>
      <c r="V817" s="6">
        <f t="shared" si="36"/>
        <v>52590.879999999997</v>
      </c>
      <c r="W817" s="6" t="str">
        <f t="shared" si="37"/>
        <v>Sufficient</v>
      </c>
      <c r="X817" s="8" t="str">
        <f t="shared" si="38"/>
        <v>High</v>
      </c>
    </row>
    <row r="818" spans="1:24">
      <c r="A818" s="7" t="s">
        <v>948</v>
      </c>
      <c r="B818" s="1" t="s">
        <v>25</v>
      </c>
      <c r="C818" s="1">
        <v>92</v>
      </c>
      <c r="D818" s="1">
        <v>26</v>
      </c>
      <c r="E818" s="1">
        <v>12</v>
      </c>
      <c r="F818" s="1">
        <v>6</v>
      </c>
      <c r="G818" s="1">
        <v>47.94</v>
      </c>
      <c r="H818" s="1" t="s">
        <v>208</v>
      </c>
      <c r="I818" s="1" t="s">
        <v>39</v>
      </c>
      <c r="J818" s="1">
        <v>76</v>
      </c>
      <c r="K818" s="1">
        <v>4.57</v>
      </c>
      <c r="L818" s="4">
        <v>13.54</v>
      </c>
      <c r="M818" s="1">
        <v>0.78</v>
      </c>
      <c r="N818" s="1">
        <v>9</v>
      </c>
      <c r="O818" s="1">
        <v>0.99</v>
      </c>
      <c r="P818" s="1">
        <v>927</v>
      </c>
      <c r="Q818" s="1">
        <v>11.36</v>
      </c>
      <c r="R818" s="1">
        <v>0.87</v>
      </c>
      <c r="S818" s="2">
        <v>45343</v>
      </c>
      <c r="T818" s="1">
        <v>45.18</v>
      </c>
      <c r="U818" s="1">
        <v>0.66500000000000004</v>
      </c>
      <c r="V818" s="6">
        <f t="shared" si="36"/>
        <v>1245.6799999999998</v>
      </c>
      <c r="W818" s="6" t="str">
        <f t="shared" si="37"/>
        <v>Sufficient</v>
      </c>
      <c r="X818" s="8" t="str">
        <f t="shared" si="38"/>
        <v>LOW</v>
      </c>
    </row>
    <row r="819" spans="1:24">
      <c r="A819" s="7" t="s">
        <v>949</v>
      </c>
      <c r="B819" s="1" t="s">
        <v>66</v>
      </c>
      <c r="C819" s="1">
        <v>160</v>
      </c>
      <c r="D819" s="1">
        <v>68</v>
      </c>
      <c r="E819" s="1">
        <v>5</v>
      </c>
      <c r="F819" s="1">
        <v>7</v>
      </c>
      <c r="G819" s="1">
        <v>29.84</v>
      </c>
      <c r="H819" s="1" t="s">
        <v>83</v>
      </c>
      <c r="I819" s="1" t="s">
        <v>45</v>
      </c>
      <c r="J819" s="1">
        <v>33</v>
      </c>
      <c r="K819" s="1">
        <v>4.28</v>
      </c>
      <c r="L819" s="4">
        <v>31.58</v>
      </c>
      <c r="M819" s="1">
        <v>1.41</v>
      </c>
      <c r="N819" s="1">
        <v>8</v>
      </c>
      <c r="O819" s="1">
        <v>0.88</v>
      </c>
      <c r="P819" s="1">
        <v>892</v>
      </c>
      <c r="Q819" s="1">
        <v>5.3</v>
      </c>
      <c r="R819" s="1">
        <v>0.82</v>
      </c>
      <c r="S819" s="2">
        <v>45363</v>
      </c>
      <c r="T819" s="1">
        <v>194.17</v>
      </c>
      <c r="U819" s="1">
        <v>0.51</v>
      </c>
      <c r="V819" s="6">
        <f t="shared" si="36"/>
        <v>5052.7999999999993</v>
      </c>
      <c r="W819" s="6" t="str">
        <f t="shared" si="37"/>
        <v>Sufficient</v>
      </c>
      <c r="X819" s="8" t="str">
        <f t="shared" si="38"/>
        <v>Medium</v>
      </c>
    </row>
    <row r="820" spans="1:24">
      <c r="A820" s="7" t="s">
        <v>950</v>
      </c>
      <c r="B820" s="1" t="s">
        <v>66</v>
      </c>
      <c r="C820" s="1">
        <v>89</v>
      </c>
      <c r="D820" s="1">
        <v>32</v>
      </c>
      <c r="E820" s="1">
        <v>9</v>
      </c>
      <c r="F820" s="1">
        <v>6</v>
      </c>
      <c r="G820" s="1">
        <v>1.54</v>
      </c>
      <c r="H820" s="1" t="s">
        <v>124</v>
      </c>
      <c r="I820" s="1" t="s">
        <v>31</v>
      </c>
      <c r="J820" s="1">
        <v>110</v>
      </c>
      <c r="K820" s="1">
        <v>0.55000000000000004</v>
      </c>
      <c r="L820" s="4">
        <v>120.5</v>
      </c>
      <c r="M820" s="1">
        <v>0.46</v>
      </c>
      <c r="N820" s="1">
        <v>9</v>
      </c>
      <c r="O820" s="1">
        <v>0.98</v>
      </c>
      <c r="P820" s="1">
        <v>623</v>
      </c>
      <c r="Q820" s="1">
        <v>8.6300000000000008</v>
      </c>
      <c r="R820" s="1">
        <v>0.46</v>
      </c>
      <c r="S820" s="2">
        <v>45355</v>
      </c>
      <c r="T820" s="1">
        <v>68.69</v>
      </c>
      <c r="U820" s="1">
        <v>0.57699999999999996</v>
      </c>
      <c r="V820" s="6">
        <f t="shared" si="36"/>
        <v>10724.5</v>
      </c>
      <c r="W820" s="6" t="str">
        <f t="shared" si="37"/>
        <v>Sufficient</v>
      </c>
      <c r="X820" s="8" t="str">
        <f t="shared" si="38"/>
        <v>LOW</v>
      </c>
    </row>
    <row r="821" spans="1:24">
      <c r="A821" s="7" t="s">
        <v>951</v>
      </c>
      <c r="B821" s="1" t="s">
        <v>29</v>
      </c>
      <c r="C821" s="1">
        <v>281</v>
      </c>
      <c r="D821" s="1">
        <v>16</v>
      </c>
      <c r="E821" s="1">
        <v>3</v>
      </c>
      <c r="F821" s="1">
        <v>5</v>
      </c>
      <c r="G821" s="1">
        <v>3.93</v>
      </c>
      <c r="H821" s="1" t="s">
        <v>256</v>
      </c>
      <c r="I821" s="1" t="s">
        <v>27</v>
      </c>
      <c r="J821" s="1">
        <v>115</v>
      </c>
      <c r="K821" s="1">
        <v>4.41</v>
      </c>
      <c r="L821" s="4">
        <v>160.80000000000001</v>
      </c>
      <c r="M821" s="1">
        <v>1.65</v>
      </c>
      <c r="N821" s="1">
        <v>2</v>
      </c>
      <c r="O821" s="1">
        <v>0.91</v>
      </c>
      <c r="P821" s="1">
        <v>773</v>
      </c>
      <c r="Q821" s="1">
        <v>3.67</v>
      </c>
      <c r="R821" s="1">
        <v>0.66</v>
      </c>
      <c r="S821" s="2">
        <v>45593</v>
      </c>
      <c r="T821" s="1">
        <v>137.93</v>
      </c>
      <c r="U821" s="1">
        <v>0.55800000000000005</v>
      </c>
      <c r="V821" s="6">
        <f t="shared" si="36"/>
        <v>45184.800000000003</v>
      </c>
      <c r="W821" s="6" t="str">
        <f t="shared" si="37"/>
        <v>Sufficient</v>
      </c>
      <c r="X821" s="8" t="str">
        <f t="shared" si="38"/>
        <v>High</v>
      </c>
    </row>
    <row r="822" spans="1:24">
      <c r="A822" s="7" t="s">
        <v>952</v>
      </c>
      <c r="B822" s="1" t="s">
        <v>25</v>
      </c>
      <c r="C822" s="1">
        <v>359</v>
      </c>
      <c r="D822" s="1">
        <v>53</v>
      </c>
      <c r="E822" s="1">
        <v>10</v>
      </c>
      <c r="F822" s="1">
        <v>9</v>
      </c>
      <c r="G822" s="1">
        <v>49.65</v>
      </c>
      <c r="H822" s="1" t="s">
        <v>34</v>
      </c>
      <c r="I822" s="1" t="s">
        <v>31</v>
      </c>
      <c r="J822" s="1">
        <v>110</v>
      </c>
      <c r="K822" s="1">
        <v>0.61</v>
      </c>
      <c r="L822" s="4">
        <v>154.99</v>
      </c>
      <c r="M822" s="1">
        <v>1.35</v>
      </c>
      <c r="N822" s="1">
        <v>0</v>
      </c>
      <c r="O822" s="1">
        <v>0.97</v>
      </c>
      <c r="P822" s="1">
        <v>301</v>
      </c>
      <c r="Q822" s="1">
        <v>3.04</v>
      </c>
      <c r="R822" s="1">
        <v>0.41</v>
      </c>
      <c r="S822" s="2">
        <v>45488</v>
      </c>
      <c r="T822" s="1">
        <v>46.77</v>
      </c>
      <c r="U822" s="1">
        <v>0.58199999999999996</v>
      </c>
      <c r="V822" s="6">
        <f t="shared" si="36"/>
        <v>55641.41</v>
      </c>
      <c r="W822" s="6" t="str">
        <f t="shared" si="37"/>
        <v>Sufficient</v>
      </c>
      <c r="X822" s="8" t="str">
        <f t="shared" si="38"/>
        <v>High</v>
      </c>
    </row>
    <row r="823" spans="1:24">
      <c r="A823" s="7" t="s">
        <v>953</v>
      </c>
      <c r="B823" s="1" t="s">
        <v>66</v>
      </c>
      <c r="C823" s="1">
        <v>327</v>
      </c>
      <c r="D823" s="1">
        <v>62</v>
      </c>
      <c r="E823" s="1">
        <v>14</v>
      </c>
      <c r="F823" s="1">
        <v>4</v>
      </c>
      <c r="G823" s="1">
        <v>4.53</v>
      </c>
      <c r="H823" s="1" t="s">
        <v>42</v>
      </c>
      <c r="I823" s="1" t="s">
        <v>39</v>
      </c>
      <c r="J823" s="1">
        <v>17</v>
      </c>
      <c r="K823" s="1">
        <v>2.56</v>
      </c>
      <c r="L823" s="4">
        <v>150.61000000000001</v>
      </c>
      <c r="M823" s="1">
        <v>0.93</v>
      </c>
      <c r="N823" s="1">
        <v>1</v>
      </c>
      <c r="O823" s="1">
        <v>0.75</v>
      </c>
      <c r="P823" s="1">
        <v>657</v>
      </c>
      <c r="Q823" s="1">
        <v>14.09</v>
      </c>
      <c r="R823" s="1">
        <v>0.66</v>
      </c>
      <c r="S823" s="2">
        <v>45471</v>
      </c>
      <c r="T823" s="1">
        <v>208.25</v>
      </c>
      <c r="U823" s="1">
        <v>0.75700000000000001</v>
      </c>
      <c r="V823" s="6">
        <f t="shared" si="36"/>
        <v>49249.47</v>
      </c>
      <c r="W823" s="6" t="str">
        <f t="shared" si="37"/>
        <v>Sufficient</v>
      </c>
      <c r="X823" s="8" t="str">
        <f t="shared" si="38"/>
        <v>High</v>
      </c>
    </row>
    <row r="824" spans="1:24">
      <c r="A824" s="7" t="s">
        <v>954</v>
      </c>
      <c r="B824" s="1" t="s">
        <v>25</v>
      </c>
      <c r="C824" s="1">
        <v>264</v>
      </c>
      <c r="D824" s="1">
        <v>80</v>
      </c>
      <c r="E824" s="1">
        <v>9</v>
      </c>
      <c r="F824" s="1">
        <v>6</v>
      </c>
      <c r="G824" s="1">
        <v>3.26</v>
      </c>
      <c r="H824" s="1" t="s">
        <v>79</v>
      </c>
      <c r="I824" s="1" t="s">
        <v>39</v>
      </c>
      <c r="J824" s="1">
        <v>105</v>
      </c>
      <c r="K824" s="1">
        <v>0.8</v>
      </c>
      <c r="L824" s="4">
        <v>156.54</v>
      </c>
      <c r="M824" s="1">
        <v>1.74</v>
      </c>
      <c r="N824" s="1">
        <v>3</v>
      </c>
      <c r="O824" s="1">
        <v>0.94</v>
      </c>
      <c r="P824" s="1">
        <v>770</v>
      </c>
      <c r="Q824" s="1">
        <v>8.66</v>
      </c>
      <c r="R824" s="1">
        <v>0.54</v>
      </c>
      <c r="S824" s="2">
        <v>45511</v>
      </c>
      <c r="T824" s="1">
        <v>126.4</v>
      </c>
      <c r="U824" s="1">
        <v>0.57699999999999996</v>
      </c>
      <c r="V824" s="6">
        <f t="shared" si="36"/>
        <v>41326.559999999998</v>
      </c>
      <c r="W824" s="6" t="str">
        <f t="shared" si="37"/>
        <v>Sufficient</v>
      </c>
      <c r="X824" s="8" t="str">
        <f t="shared" si="38"/>
        <v>High</v>
      </c>
    </row>
    <row r="825" spans="1:24">
      <c r="A825" s="7" t="s">
        <v>955</v>
      </c>
      <c r="B825" s="1" t="s">
        <v>41</v>
      </c>
      <c r="C825" s="1">
        <v>22</v>
      </c>
      <c r="D825" s="1">
        <v>88</v>
      </c>
      <c r="E825" s="1">
        <v>6</v>
      </c>
      <c r="F825" s="1">
        <v>9</v>
      </c>
      <c r="G825" s="1">
        <v>18.3</v>
      </c>
      <c r="H825" s="1" t="s">
        <v>327</v>
      </c>
      <c r="I825" s="1" t="s">
        <v>39</v>
      </c>
      <c r="J825" s="1">
        <v>171</v>
      </c>
      <c r="K825" s="1">
        <v>4.8600000000000003</v>
      </c>
      <c r="L825" s="4">
        <v>18.440000000000001</v>
      </c>
      <c r="M825" s="1">
        <v>0.36</v>
      </c>
      <c r="N825" s="1">
        <v>3</v>
      </c>
      <c r="O825" s="1">
        <v>0.76</v>
      </c>
      <c r="P825" s="1">
        <v>618</v>
      </c>
      <c r="Q825" s="1">
        <v>1.06</v>
      </c>
      <c r="R825" s="1">
        <v>0.5</v>
      </c>
      <c r="S825" s="2">
        <v>45453</v>
      </c>
      <c r="T825" s="1">
        <v>174.5</v>
      </c>
      <c r="U825" s="1">
        <v>0.56999999999999995</v>
      </c>
      <c r="V825" s="6">
        <f t="shared" si="36"/>
        <v>405.68</v>
      </c>
      <c r="W825" s="6" t="str">
        <f t="shared" si="37"/>
        <v>Reorder Required</v>
      </c>
      <c r="X825" s="8" t="str">
        <f t="shared" si="38"/>
        <v>LOW</v>
      </c>
    </row>
    <row r="826" spans="1:24">
      <c r="A826" s="7" t="s">
        <v>956</v>
      </c>
      <c r="B826" s="1" t="s">
        <v>33</v>
      </c>
      <c r="C826" s="1">
        <v>356</v>
      </c>
      <c r="D826" s="1">
        <v>43</v>
      </c>
      <c r="E826" s="1">
        <v>7</v>
      </c>
      <c r="F826" s="1">
        <v>9</v>
      </c>
      <c r="G826" s="1">
        <v>48.5</v>
      </c>
      <c r="H826" s="1" t="s">
        <v>143</v>
      </c>
      <c r="I826" s="1" t="s">
        <v>27</v>
      </c>
      <c r="J826" s="1">
        <v>44</v>
      </c>
      <c r="K826" s="1">
        <v>4.88</v>
      </c>
      <c r="L826" s="4">
        <v>180.07</v>
      </c>
      <c r="M826" s="1">
        <v>1.71</v>
      </c>
      <c r="N826" s="1">
        <v>1</v>
      </c>
      <c r="O826" s="1">
        <v>0.71</v>
      </c>
      <c r="P826" s="1">
        <v>283</v>
      </c>
      <c r="Q826" s="1">
        <v>12.11</v>
      </c>
      <c r="R826" s="1">
        <v>0.35</v>
      </c>
      <c r="S826" s="2">
        <v>45363</v>
      </c>
      <c r="T826" s="1">
        <v>161.83000000000001</v>
      </c>
      <c r="U826" s="1">
        <v>0.58199999999999996</v>
      </c>
      <c r="V826" s="6">
        <f t="shared" si="36"/>
        <v>64104.92</v>
      </c>
      <c r="W826" s="6" t="str">
        <f t="shared" si="37"/>
        <v>Sufficient</v>
      </c>
      <c r="X826" s="8" t="str">
        <f t="shared" si="38"/>
        <v>High</v>
      </c>
    </row>
    <row r="827" spans="1:24">
      <c r="A827" s="7" t="s">
        <v>957</v>
      </c>
      <c r="B827" s="1" t="s">
        <v>66</v>
      </c>
      <c r="C827" s="1">
        <v>82</v>
      </c>
      <c r="D827" s="1">
        <v>55</v>
      </c>
      <c r="E827" s="1">
        <v>12</v>
      </c>
      <c r="F827" s="1">
        <v>5</v>
      </c>
      <c r="G827" s="1">
        <v>16.62</v>
      </c>
      <c r="H827" s="1" t="s">
        <v>106</v>
      </c>
      <c r="I827" s="1" t="s">
        <v>45</v>
      </c>
      <c r="J827" s="1">
        <v>105</v>
      </c>
      <c r="K827" s="1">
        <v>3.25</v>
      </c>
      <c r="L827" s="4">
        <v>178.96</v>
      </c>
      <c r="M827" s="1">
        <v>0.15</v>
      </c>
      <c r="N827" s="1">
        <v>9</v>
      </c>
      <c r="O827" s="1">
        <v>0.86</v>
      </c>
      <c r="P827" s="1">
        <v>407</v>
      </c>
      <c r="Q827" s="1">
        <v>10.67</v>
      </c>
      <c r="R827" s="1">
        <v>0.65</v>
      </c>
      <c r="S827" s="2">
        <v>45418</v>
      </c>
      <c r="T827" s="1">
        <v>211.26</v>
      </c>
      <c r="U827" s="1">
        <v>0.64900000000000002</v>
      </c>
      <c r="V827" s="6">
        <f t="shared" si="36"/>
        <v>14674.720000000001</v>
      </c>
      <c r="W827" s="6" t="str">
        <f t="shared" si="37"/>
        <v>Sufficient</v>
      </c>
      <c r="X827" s="8" t="str">
        <f t="shared" si="38"/>
        <v>LOW</v>
      </c>
    </row>
    <row r="828" spans="1:24">
      <c r="A828" s="7" t="s">
        <v>958</v>
      </c>
      <c r="B828" s="1" t="s">
        <v>29</v>
      </c>
      <c r="C828" s="1">
        <v>68</v>
      </c>
      <c r="D828" s="1">
        <v>77</v>
      </c>
      <c r="E828" s="1">
        <v>3</v>
      </c>
      <c r="F828" s="1">
        <v>3</v>
      </c>
      <c r="G828" s="1">
        <v>21.08</v>
      </c>
      <c r="H828" s="1" t="s">
        <v>333</v>
      </c>
      <c r="I828" s="1" t="s">
        <v>31</v>
      </c>
      <c r="J828" s="1">
        <v>59</v>
      </c>
      <c r="K828" s="1">
        <v>2.2599999999999998</v>
      </c>
      <c r="L828" s="4">
        <v>111.07</v>
      </c>
      <c r="M828" s="1">
        <v>1.53</v>
      </c>
      <c r="N828" s="1">
        <v>5</v>
      </c>
      <c r="O828" s="1">
        <v>0.8</v>
      </c>
      <c r="P828" s="1">
        <v>375</v>
      </c>
      <c r="Q828" s="1">
        <v>5.56</v>
      </c>
      <c r="R828" s="1">
        <v>0.78</v>
      </c>
      <c r="S828" s="2">
        <v>45433</v>
      </c>
      <c r="T828" s="1">
        <v>269.72000000000003</v>
      </c>
      <c r="U828" s="1">
        <v>0.53700000000000003</v>
      </c>
      <c r="V828" s="6">
        <f t="shared" si="36"/>
        <v>7552.7599999999993</v>
      </c>
      <c r="W828" s="6" t="str">
        <f t="shared" si="37"/>
        <v>Reorder Required</v>
      </c>
      <c r="X828" s="8" t="str">
        <f t="shared" si="38"/>
        <v>LOW</v>
      </c>
    </row>
    <row r="829" spans="1:24">
      <c r="A829" s="7" t="s">
        <v>959</v>
      </c>
      <c r="B829" s="1" t="s">
        <v>41</v>
      </c>
      <c r="C829" s="1">
        <v>95</v>
      </c>
      <c r="D829" s="1">
        <v>87</v>
      </c>
      <c r="E829" s="1">
        <v>6</v>
      </c>
      <c r="F829" s="1">
        <v>6</v>
      </c>
      <c r="G829" s="1">
        <v>32.07</v>
      </c>
      <c r="H829" s="1" t="s">
        <v>346</v>
      </c>
      <c r="I829" s="1" t="s">
        <v>45</v>
      </c>
      <c r="J829" s="1">
        <v>154</v>
      </c>
      <c r="K829" s="1">
        <v>2.8</v>
      </c>
      <c r="L829" s="4">
        <v>57.23</v>
      </c>
      <c r="M829" s="1">
        <v>1.19</v>
      </c>
      <c r="N829" s="1">
        <v>5</v>
      </c>
      <c r="O829" s="1">
        <v>0.71</v>
      </c>
      <c r="P829" s="1">
        <v>114</v>
      </c>
      <c r="Q829" s="1">
        <v>7.5</v>
      </c>
      <c r="R829" s="1">
        <v>0.66</v>
      </c>
      <c r="S829" s="2">
        <v>45622</v>
      </c>
      <c r="T829" s="1">
        <v>91.13</v>
      </c>
      <c r="U829" s="1">
        <v>0.55500000000000005</v>
      </c>
      <c r="V829" s="6">
        <f t="shared" si="36"/>
        <v>5436.8499999999995</v>
      </c>
      <c r="W829" s="6" t="str">
        <f t="shared" si="37"/>
        <v>Sufficient</v>
      </c>
      <c r="X829" s="8" t="str">
        <f t="shared" si="38"/>
        <v>LOW</v>
      </c>
    </row>
    <row r="830" spans="1:24">
      <c r="A830" s="7" t="s">
        <v>960</v>
      </c>
      <c r="B830" s="1" t="s">
        <v>25</v>
      </c>
      <c r="C830" s="1">
        <v>387</v>
      </c>
      <c r="D830" s="1">
        <v>87</v>
      </c>
      <c r="E830" s="1">
        <v>3</v>
      </c>
      <c r="F830" s="1">
        <v>7</v>
      </c>
      <c r="G830" s="1">
        <v>2.1800000000000002</v>
      </c>
      <c r="H830" s="1" t="s">
        <v>350</v>
      </c>
      <c r="I830" s="1" t="s">
        <v>39</v>
      </c>
      <c r="J830" s="1">
        <v>11</v>
      </c>
      <c r="K830" s="1">
        <v>3.93</v>
      </c>
      <c r="L830" s="4">
        <v>122.51</v>
      </c>
      <c r="M830" s="1">
        <v>1.42</v>
      </c>
      <c r="N830" s="1">
        <v>2</v>
      </c>
      <c r="O830" s="1">
        <v>0.99</v>
      </c>
      <c r="P830" s="1">
        <v>342</v>
      </c>
      <c r="Q830" s="1">
        <v>7.3</v>
      </c>
      <c r="R830" s="1">
        <v>0.26</v>
      </c>
      <c r="S830" s="2">
        <v>45335</v>
      </c>
      <c r="T830" s="1">
        <v>182.6</v>
      </c>
      <c r="U830" s="1">
        <v>0.56499999999999995</v>
      </c>
      <c r="V830" s="6">
        <f t="shared" si="36"/>
        <v>47411.37</v>
      </c>
      <c r="W830" s="6" t="str">
        <f t="shared" si="37"/>
        <v>Sufficient</v>
      </c>
      <c r="X830" s="8" t="str">
        <f t="shared" si="38"/>
        <v>High</v>
      </c>
    </row>
    <row r="831" spans="1:24">
      <c r="A831" s="7" t="s">
        <v>961</v>
      </c>
      <c r="B831" s="1" t="s">
        <v>41</v>
      </c>
      <c r="C831" s="1">
        <v>194</v>
      </c>
      <c r="D831" s="1">
        <v>25</v>
      </c>
      <c r="E831" s="1">
        <v>3</v>
      </c>
      <c r="F831" s="1">
        <v>3</v>
      </c>
      <c r="G831" s="1">
        <v>44.99</v>
      </c>
      <c r="H831" s="1" t="s">
        <v>176</v>
      </c>
      <c r="I831" s="1" t="s">
        <v>45</v>
      </c>
      <c r="J831" s="1">
        <v>53</v>
      </c>
      <c r="K831" s="1">
        <v>1.5</v>
      </c>
      <c r="L831" s="4">
        <v>116</v>
      </c>
      <c r="M831" s="1">
        <v>0.88</v>
      </c>
      <c r="N831" s="1">
        <v>0</v>
      </c>
      <c r="O831" s="1">
        <v>0.9</v>
      </c>
      <c r="P831" s="1">
        <v>373</v>
      </c>
      <c r="Q831" s="1">
        <v>4.8499999999999996</v>
      </c>
      <c r="R831" s="1">
        <v>0.94</v>
      </c>
      <c r="S831" s="2">
        <v>45419</v>
      </c>
      <c r="T831" s="1">
        <v>176.39</v>
      </c>
      <c r="U831" s="1">
        <v>0.745</v>
      </c>
      <c r="V831" s="6">
        <f t="shared" si="36"/>
        <v>22504</v>
      </c>
      <c r="W831" s="6" t="str">
        <f t="shared" si="37"/>
        <v>Sufficient</v>
      </c>
      <c r="X831" s="8" t="str">
        <f t="shared" si="38"/>
        <v>Medium</v>
      </c>
    </row>
    <row r="832" spans="1:24">
      <c r="A832" s="7" t="s">
        <v>962</v>
      </c>
      <c r="B832" s="1" t="s">
        <v>66</v>
      </c>
      <c r="C832" s="1">
        <v>128</v>
      </c>
      <c r="D832" s="1">
        <v>80</v>
      </c>
      <c r="E832" s="1">
        <v>12</v>
      </c>
      <c r="F832" s="1">
        <v>9</v>
      </c>
      <c r="G832" s="1">
        <v>26.45</v>
      </c>
      <c r="H832" s="1" t="s">
        <v>30</v>
      </c>
      <c r="I832" s="1" t="s">
        <v>27</v>
      </c>
      <c r="J832" s="1">
        <v>111</v>
      </c>
      <c r="K832" s="1">
        <v>2.4900000000000002</v>
      </c>
      <c r="L832" s="4">
        <v>52.36</v>
      </c>
      <c r="M832" s="1">
        <v>1.74</v>
      </c>
      <c r="N832" s="1">
        <v>9</v>
      </c>
      <c r="O832" s="1">
        <v>0.97</v>
      </c>
      <c r="P832" s="1">
        <v>380</v>
      </c>
      <c r="Q832" s="1">
        <v>14.73</v>
      </c>
      <c r="R832" s="1">
        <v>0.2</v>
      </c>
      <c r="S832" s="2">
        <v>45575</v>
      </c>
      <c r="T832" s="1">
        <v>101.39</v>
      </c>
      <c r="U832" s="1">
        <v>0.47599999999999998</v>
      </c>
      <c r="V832" s="6">
        <f t="shared" si="36"/>
        <v>6702.08</v>
      </c>
      <c r="W832" s="6" t="str">
        <f t="shared" si="37"/>
        <v>Sufficient</v>
      </c>
      <c r="X832" s="8" t="str">
        <f t="shared" si="38"/>
        <v>Medium</v>
      </c>
    </row>
    <row r="833" spans="1:24">
      <c r="A833" s="7" t="s">
        <v>963</v>
      </c>
      <c r="B833" s="1" t="s">
        <v>25</v>
      </c>
      <c r="C833" s="1">
        <v>202</v>
      </c>
      <c r="D833" s="1">
        <v>28</v>
      </c>
      <c r="E833" s="1">
        <v>3</v>
      </c>
      <c r="F833" s="1">
        <v>9</v>
      </c>
      <c r="G833" s="1">
        <v>23.87</v>
      </c>
      <c r="H833" s="1" t="s">
        <v>221</v>
      </c>
      <c r="I833" s="1" t="s">
        <v>39</v>
      </c>
      <c r="J833" s="1">
        <v>139</v>
      </c>
      <c r="K833" s="1">
        <v>3.82</v>
      </c>
      <c r="L833" s="4">
        <v>124.59</v>
      </c>
      <c r="M833" s="1">
        <v>0.69</v>
      </c>
      <c r="N833" s="1">
        <v>8</v>
      </c>
      <c r="O833" s="1">
        <v>1</v>
      </c>
      <c r="P833" s="1">
        <v>578</v>
      </c>
      <c r="Q833" s="1">
        <v>8.61</v>
      </c>
      <c r="R833" s="1">
        <v>0.91</v>
      </c>
      <c r="S833" s="2">
        <v>45599</v>
      </c>
      <c r="T833" s="1">
        <v>154.88</v>
      </c>
      <c r="U833" s="1">
        <v>0.66800000000000004</v>
      </c>
      <c r="V833" s="6">
        <f t="shared" si="36"/>
        <v>25167.18</v>
      </c>
      <c r="W833" s="6" t="str">
        <f t="shared" si="37"/>
        <v>Sufficient</v>
      </c>
      <c r="X833" s="8" t="str">
        <f t="shared" si="38"/>
        <v>Medium</v>
      </c>
    </row>
    <row r="834" spans="1:24">
      <c r="A834" s="7" t="s">
        <v>964</v>
      </c>
      <c r="B834" s="1" t="s">
        <v>33</v>
      </c>
      <c r="C834" s="1">
        <v>211</v>
      </c>
      <c r="D834" s="1">
        <v>11</v>
      </c>
      <c r="E834" s="1">
        <v>9</v>
      </c>
      <c r="F834" s="1">
        <v>8</v>
      </c>
      <c r="G834" s="1">
        <v>43.18</v>
      </c>
      <c r="H834" s="1" t="s">
        <v>68</v>
      </c>
      <c r="I834" s="1" t="s">
        <v>45</v>
      </c>
      <c r="J834" s="1">
        <v>81</v>
      </c>
      <c r="K834" s="1">
        <v>2.2799999999999998</v>
      </c>
      <c r="L834" s="4">
        <v>161.49</v>
      </c>
      <c r="M834" s="1">
        <v>0.62</v>
      </c>
      <c r="N834" s="1">
        <v>3</v>
      </c>
      <c r="O834" s="1">
        <v>0.82</v>
      </c>
      <c r="P834" s="1">
        <v>184</v>
      </c>
      <c r="Q834" s="1">
        <v>13.56</v>
      </c>
      <c r="R834" s="1">
        <v>0.81</v>
      </c>
      <c r="S834" s="2">
        <v>45599</v>
      </c>
      <c r="T834" s="1">
        <v>21.73</v>
      </c>
      <c r="U834" s="1">
        <v>0.78500000000000003</v>
      </c>
      <c r="V834" s="6">
        <f t="shared" si="36"/>
        <v>34074.39</v>
      </c>
      <c r="W834" s="6" t="str">
        <f t="shared" si="37"/>
        <v>Sufficient</v>
      </c>
      <c r="X834" s="8" t="str">
        <f t="shared" si="38"/>
        <v>Medium</v>
      </c>
    </row>
    <row r="835" spans="1:24">
      <c r="A835" s="7" t="s">
        <v>965</v>
      </c>
      <c r="B835" s="1" t="s">
        <v>41</v>
      </c>
      <c r="C835" s="1">
        <v>84</v>
      </c>
      <c r="D835" s="1">
        <v>19</v>
      </c>
      <c r="E835" s="1">
        <v>9</v>
      </c>
      <c r="F835" s="1">
        <v>6</v>
      </c>
      <c r="G835" s="1">
        <v>47.7</v>
      </c>
      <c r="H835" s="1" t="s">
        <v>195</v>
      </c>
      <c r="I835" s="1" t="s">
        <v>31</v>
      </c>
      <c r="J835" s="1">
        <v>119</v>
      </c>
      <c r="K835" s="1">
        <v>0.64</v>
      </c>
      <c r="L835" s="4">
        <v>163.16</v>
      </c>
      <c r="M835" s="1">
        <v>0.67</v>
      </c>
      <c r="N835" s="1">
        <v>8</v>
      </c>
      <c r="O835" s="1">
        <v>0.78</v>
      </c>
      <c r="P835" s="1">
        <v>869</v>
      </c>
      <c r="Q835" s="1">
        <v>9.19</v>
      </c>
      <c r="R835" s="1">
        <v>0.28000000000000003</v>
      </c>
      <c r="S835" s="2">
        <v>45603</v>
      </c>
      <c r="T835" s="1">
        <v>133.81</v>
      </c>
      <c r="U835" s="1">
        <v>0.50800000000000001</v>
      </c>
      <c r="V835" s="6">
        <f t="shared" si="36"/>
        <v>13705.44</v>
      </c>
      <c r="W835" s="6" t="str">
        <f t="shared" si="37"/>
        <v>Sufficient</v>
      </c>
      <c r="X835" s="8" t="str">
        <f t="shared" si="38"/>
        <v>LOW</v>
      </c>
    </row>
    <row r="836" spans="1:24">
      <c r="A836" s="7" t="s">
        <v>966</v>
      </c>
      <c r="B836" s="1" t="s">
        <v>66</v>
      </c>
      <c r="C836" s="1">
        <v>356</v>
      </c>
      <c r="D836" s="1">
        <v>59</v>
      </c>
      <c r="E836" s="1">
        <v>6</v>
      </c>
      <c r="F836" s="1">
        <v>2</v>
      </c>
      <c r="G836" s="1">
        <v>21.75</v>
      </c>
      <c r="H836" s="1" t="s">
        <v>85</v>
      </c>
      <c r="I836" s="1" t="s">
        <v>39</v>
      </c>
      <c r="J836" s="1">
        <v>146</v>
      </c>
      <c r="K836" s="1">
        <v>2.78</v>
      </c>
      <c r="L836" s="4">
        <v>21.34</v>
      </c>
      <c r="M836" s="1">
        <v>1.57</v>
      </c>
      <c r="N836" s="1">
        <v>4</v>
      </c>
      <c r="O836" s="1">
        <v>0.76</v>
      </c>
      <c r="P836" s="1">
        <v>468</v>
      </c>
      <c r="Q836" s="1">
        <v>10.66</v>
      </c>
      <c r="R836" s="1">
        <v>0.39</v>
      </c>
      <c r="S836" s="2">
        <v>45437</v>
      </c>
      <c r="T836" s="1">
        <v>88.45</v>
      </c>
      <c r="U836" s="1">
        <v>0.53500000000000003</v>
      </c>
      <c r="V836" s="6">
        <f t="shared" ref="V836:V899" si="39">C836*L836</f>
        <v>7597.04</v>
      </c>
      <c r="W836" s="6" t="str">
        <f t="shared" ref="W836:W899" si="40">IF(C836&lt;=D836,"Reorder Required","Sufficient")</f>
        <v>Sufficient</v>
      </c>
      <c r="X836" s="8" t="str">
        <f t="shared" ref="X836:X899" si="41">IF(C836&lt;100,"LOW",IF(C836&lt;250,"Medium","High"))</f>
        <v>High</v>
      </c>
    </row>
    <row r="837" spans="1:24">
      <c r="A837" s="7" t="s">
        <v>967</v>
      </c>
      <c r="B837" s="1" t="s">
        <v>29</v>
      </c>
      <c r="C837" s="1">
        <v>470</v>
      </c>
      <c r="D837" s="1">
        <v>90</v>
      </c>
      <c r="E837" s="1">
        <v>14</v>
      </c>
      <c r="F837" s="1">
        <v>5</v>
      </c>
      <c r="G837" s="1">
        <v>9.4499999999999993</v>
      </c>
      <c r="H837" s="1" t="s">
        <v>276</v>
      </c>
      <c r="I837" s="1" t="s">
        <v>39</v>
      </c>
      <c r="J837" s="1">
        <v>138</v>
      </c>
      <c r="K837" s="1">
        <v>3.82</v>
      </c>
      <c r="L837" s="4">
        <v>47.46</v>
      </c>
      <c r="M837" s="1">
        <v>1.04</v>
      </c>
      <c r="N837" s="1">
        <v>6</v>
      </c>
      <c r="O837" s="1">
        <v>0.85</v>
      </c>
      <c r="P837" s="1">
        <v>179</v>
      </c>
      <c r="Q837" s="1">
        <v>1.41</v>
      </c>
      <c r="R837" s="1">
        <v>0.48</v>
      </c>
      <c r="S837" s="2">
        <v>45645</v>
      </c>
      <c r="T837" s="1">
        <v>260.55</v>
      </c>
      <c r="U837" s="1">
        <v>0.46100000000000002</v>
      </c>
      <c r="V837" s="6">
        <f t="shared" si="39"/>
        <v>22306.2</v>
      </c>
      <c r="W837" s="6" t="str">
        <f t="shared" si="40"/>
        <v>Sufficient</v>
      </c>
      <c r="X837" s="8" t="str">
        <f t="shared" si="41"/>
        <v>High</v>
      </c>
    </row>
    <row r="838" spans="1:24">
      <c r="A838" s="7" t="s">
        <v>968</v>
      </c>
      <c r="B838" s="1" t="s">
        <v>25</v>
      </c>
      <c r="C838" s="1">
        <v>493</v>
      </c>
      <c r="D838" s="1">
        <v>21</v>
      </c>
      <c r="E838" s="1">
        <v>4</v>
      </c>
      <c r="F838" s="1">
        <v>5</v>
      </c>
      <c r="G838" s="1">
        <v>40.97</v>
      </c>
      <c r="H838" s="1" t="s">
        <v>159</v>
      </c>
      <c r="I838" s="1" t="s">
        <v>27</v>
      </c>
      <c r="J838" s="1">
        <v>112</v>
      </c>
      <c r="K838" s="1">
        <v>4.9000000000000004</v>
      </c>
      <c r="L838" s="4">
        <v>136.96</v>
      </c>
      <c r="M838" s="1">
        <v>1.1200000000000001</v>
      </c>
      <c r="N838" s="1">
        <v>2</v>
      </c>
      <c r="O838" s="1">
        <v>0.88</v>
      </c>
      <c r="P838" s="1">
        <v>985</v>
      </c>
      <c r="Q838" s="1">
        <v>8.17</v>
      </c>
      <c r="R838" s="1">
        <v>0.93</v>
      </c>
      <c r="S838" s="2">
        <v>45305</v>
      </c>
      <c r="T838" s="1">
        <v>113.76</v>
      </c>
      <c r="U838" s="1">
        <v>0.71899999999999997</v>
      </c>
      <c r="V838" s="6">
        <f t="shared" si="39"/>
        <v>67521.279999999999</v>
      </c>
      <c r="W838" s="6" t="str">
        <f t="shared" si="40"/>
        <v>Sufficient</v>
      </c>
      <c r="X838" s="8" t="str">
        <f t="shared" si="41"/>
        <v>High</v>
      </c>
    </row>
    <row r="839" spans="1:24">
      <c r="A839" s="7" t="s">
        <v>969</v>
      </c>
      <c r="B839" s="1" t="s">
        <v>41</v>
      </c>
      <c r="C839" s="1">
        <v>290</v>
      </c>
      <c r="D839" s="1">
        <v>79</v>
      </c>
      <c r="E839" s="1">
        <v>14</v>
      </c>
      <c r="F839" s="1">
        <v>2</v>
      </c>
      <c r="G839" s="1">
        <v>20.76</v>
      </c>
      <c r="H839" s="1" t="s">
        <v>171</v>
      </c>
      <c r="I839" s="1" t="s">
        <v>27</v>
      </c>
      <c r="J839" s="1">
        <v>146</v>
      </c>
      <c r="K839" s="1">
        <v>0.67</v>
      </c>
      <c r="L839" s="4">
        <v>173.37</v>
      </c>
      <c r="M839" s="1">
        <v>1.68</v>
      </c>
      <c r="N839" s="1">
        <v>2</v>
      </c>
      <c r="O839" s="1">
        <v>0.84</v>
      </c>
      <c r="P839" s="1">
        <v>598</v>
      </c>
      <c r="Q839" s="1">
        <v>11.1</v>
      </c>
      <c r="R839" s="1">
        <v>0.98</v>
      </c>
      <c r="S839" s="2">
        <v>45629</v>
      </c>
      <c r="T839" s="1">
        <v>65.739999999999995</v>
      </c>
      <c r="U839" s="1">
        <v>0.70399999999999996</v>
      </c>
      <c r="V839" s="6">
        <f t="shared" si="39"/>
        <v>50277.3</v>
      </c>
      <c r="W839" s="6" t="str">
        <f t="shared" si="40"/>
        <v>Sufficient</v>
      </c>
      <c r="X839" s="8" t="str">
        <f t="shared" si="41"/>
        <v>High</v>
      </c>
    </row>
    <row r="840" spans="1:24">
      <c r="A840" s="7" t="s">
        <v>970</v>
      </c>
      <c r="B840" s="1" t="s">
        <v>41</v>
      </c>
      <c r="C840" s="1">
        <v>119</v>
      </c>
      <c r="D840" s="1">
        <v>31</v>
      </c>
      <c r="E840" s="1">
        <v>5</v>
      </c>
      <c r="F840" s="1">
        <v>4</v>
      </c>
      <c r="G840" s="1">
        <v>46.84</v>
      </c>
      <c r="H840" s="1" t="s">
        <v>189</v>
      </c>
      <c r="I840" s="1" t="s">
        <v>31</v>
      </c>
      <c r="J840" s="1">
        <v>151</v>
      </c>
      <c r="K840" s="1">
        <v>2.93</v>
      </c>
      <c r="L840" s="4">
        <v>109.03</v>
      </c>
      <c r="M840" s="1">
        <v>1.68</v>
      </c>
      <c r="N840" s="1">
        <v>7</v>
      </c>
      <c r="O840" s="1">
        <v>0.82</v>
      </c>
      <c r="P840" s="1">
        <v>811</v>
      </c>
      <c r="Q840" s="1">
        <v>2.71</v>
      </c>
      <c r="R840" s="1">
        <v>0.27</v>
      </c>
      <c r="S840" s="2">
        <v>45446</v>
      </c>
      <c r="T840" s="1">
        <v>163.6</v>
      </c>
      <c r="U840" s="1">
        <v>0.34599999999999997</v>
      </c>
      <c r="V840" s="6">
        <f t="shared" si="39"/>
        <v>12974.57</v>
      </c>
      <c r="W840" s="6" t="str">
        <f t="shared" si="40"/>
        <v>Sufficient</v>
      </c>
      <c r="X840" s="8" t="str">
        <f t="shared" si="41"/>
        <v>Medium</v>
      </c>
    </row>
    <row r="841" spans="1:24">
      <c r="A841" s="7" t="s">
        <v>971</v>
      </c>
      <c r="B841" s="1" t="s">
        <v>33</v>
      </c>
      <c r="C841" s="1">
        <v>51</v>
      </c>
      <c r="D841" s="1">
        <v>41</v>
      </c>
      <c r="E841" s="1">
        <v>10</v>
      </c>
      <c r="F841" s="1">
        <v>9</v>
      </c>
      <c r="G841" s="1">
        <v>47.55</v>
      </c>
      <c r="H841" s="1" t="s">
        <v>74</v>
      </c>
      <c r="I841" s="1" t="s">
        <v>45</v>
      </c>
      <c r="J841" s="1">
        <v>36</v>
      </c>
      <c r="K841" s="1">
        <v>2.52</v>
      </c>
      <c r="L841" s="4">
        <v>144.43</v>
      </c>
      <c r="M841" s="1">
        <v>0.41</v>
      </c>
      <c r="N841" s="1">
        <v>0</v>
      </c>
      <c r="O841" s="1">
        <v>0.75</v>
      </c>
      <c r="P841" s="1">
        <v>618</v>
      </c>
      <c r="Q841" s="1">
        <v>10.5</v>
      </c>
      <c r="R841" s="1">
        <v>0.52</v>
      </c>
      <c r="S841" s="2">
        <v>45397</v>
      </c>
      <c r="T841" s="1">
        <v>245.18</v>
      </c>
      <c r="U841" s="1">
        <v>0.753</v>
      </c>
      <c r="V841" s="6">
        <f t="shared" si="39"/>
        <v>7365.93</v>
      </c>
      <c r="W841" s="6" t="str">
        <f t="shared" si="40"/>
        <v>Sufficient</v>
      </c>
      <c r="X841" s="8" t="str">
        <f t="shared" si="41"/>
        <v>LOW</v>
      </c>
    </row>
    <row r="842" spans="1:24">
      <c r="A842" s="7" t="s">
        <v>972</v>
      </c>
      <c r="B842" s="1" t="s">
        <v>33</v>
      </c>
      <c r="C842" s="1">
        <v>371</v>
      </c>
      <c r="D842" s="1">
        <v>93</v>
      </c>
      <c r="E842" s="1">
        <v>10</v>
      </c>
      <c r="F842" s="1">
        <v>8</v>
      </c>
      <c r="G842" s="1">
        <v>6.63</v>
      </c>
      <c r="H842" s="1" t="s">
        <v>74</v>
      </c>
      <c r="I842" s="1" t="s">
        <v>45</v>
      </c>
      <c r="J842" s="1">
        <v>146</v>
      </c>
      <c r="K842" s="1">
        <v>1.59</v>
      </c>
      <c r="L842" s="4">
        <v>14</v>
      </c>
      <c r="M842" s="1">
        <v>1.1399999999999999</v>
      </c>
      <c r="N842" s="1">
        <v>7</v>
      </c>
      <c r="O842" s="1">
        <v>0.83</v>
      </c>
      <c r="P842" s="1">
        <v>406</v>
      </c>
      <c r="Q842" s="1">
        <v>2.1800000000000002</v>
      </c>
      <c r="R842" s="1">
        <v>0.32</v>
      </c>
      <c r="S842" s="2">
        <v>45557</v>
      </c>
      <c r="T842" s="1">
        <v>112.67</v>
      </c>
      <c r="U842" s="1">
        <v>0.40500000000000003</v>
      </c>
      <c r="V842" s="6">
        <f t="shared" si="39"/>
        <v>5194</v>
      </c>
      <c r="W842" s="6" t="str">
        <f t="shared" si="40"/>
        <v>Sufficient</v>
      </c>
      <c r="X842" s="8" t="str">
        <f t="shared" si="41"/>
        <v>High</v>
      </c>
    </row>
    <row r="843" spans="1:24">
      <c r="A843" s="7" t="s">
        <v>973</v>
      </c>
      <c r="B843" s="1" t="s">
        <v>29</v>
      </c>
      <c r="C843" s="1">
        <v>147</v>
      </c>
      <c r="D843" s="1">
        <v>10</v>
      </c>
      <c r="E843" s="1">
        <v>13</v>
      </c>
      <c r="F843" s="1">
        <v>7</v>
      </c>
      <c r="G843" s="1">
        <v>47.87</v>
      </c>
      <c r="H843" s="1" t="s">
        <v>238</v>
      </c>
      <c r="I843" s="1" t="s">
        <v>39</v>
      </c>
      <c r="J843" s="1">
        <v>173</v>
      </c>
      <c r="K843" s="1">
        <v>3.37</v>
      </c>
      <c r="L843" s="4">
        <v>125.6</v>
      </c>
      <c r="M843" s="1">
        <v>0.34</v>
      </c>
      <c r="N843" s="1">
        <v>7</v>
      </c>
      <c r="O843" s="1">
        <v>0.73</v>
      </c>
      <c r="P843" s="1">
        <v>571</v>
      </c>
      <c r="Q843" s="1">
        <v>12.3</v>
      </c>
      <c r="R843" s="1">
        <v>0.42</v>
      </c>
      <c r="S843" s="2">
        <v>45602</v>
      </c>
      <c r="T843" s="1">
        <v>255.58</v>
      </c>
      <c r="U843" s="1">
        <v>0.62</v>
      </c>
      <c r="V843" s="6">
        <f t="shared" si="39"/>
        <v>18463.2</v>
      </c>
      <c r="W843" s="6" t="str">
        <f t="shared" si="40"/>
        <v>Sufficient</v>
      </c>
      <c r="X843" s="8" t="str">
        <f t="shared" si="41"/>
        <v>Medium</v>
      </c>
    </row>
    <row r="844" spans="1:24">
      <c r="A844" s="7" t="s">
        <v>974</v>
      </c>
      <c r="B844" s="1" t="s">
        <v>29</v>
      </c>
      <c r="C844" s="1">
        <v>471</v>
      </c>
      <c r="D844" s="1">
        <v>63</v>
      </c>
      <c r="E844" s="1">
        <v>13</v>
      </c>
      <c r="F844" s="1">
        <v>5</v>
      </c>
      <c r="G844" s="1">
        <v>19.05</v>
      </c>
      <c r="H844" s="1" t="s">
        <v>81</v>
      </c>
      <c r="I844" s="1" t="s">
        <v>39</v>
      </c>
      <c r="J844" s="1">
        <v>102</v>
      </c>
      <c r="K844" s="1">
        <v>1.24</v>
      </c>
      <c r="L844" s="4">
        <v>192.76</v>
      </c>
      <c r="M844" s="1">
        <v>1.75</v>
      </c>
      <c r="N844" s="1">
        <v>2</v>
      </c>
      <c r="O844" s="1">
        <v>0.96</v>
      </c>
      <c r="P844" s="1">
        <v>509</v>
      </c>
      <c r="Q844" s="1">
        <v>14.69</v>
      </c>
      <c r="R844" s="1">
        <v>0.98</v>
      </c>
      <c r="S844" s="2">
        <v>45552</v>
      </c>
      <c r="T844" s="1">
        <v>104.58</v>
      </c>
      <c r="U844" s="1">
        <v>0.76900000000000002</v>
      </c>
      <c r="V844" s="6">
        <f t="shared" si="39"/>
        <v>90789.959999999992</v>
      </c>
      <c r="W844" s="6" t="str">
        <f t="shared" si="40"/>
        <v>Sufficient</v>
      </c>
      <c r="X844" s="8" t="str">
        <f t="shared" si="41"/>
        <v>High</v>
      </c>
    </row>
    <row r="845" spans="1:24">
      <c r="A845" s="7" t="s">
        <v>975</v>
      </c>
      <c r="B845" s="1" t="s">
        <v>66</v>
      </c>
      <c r="C845" s="1">
        <v>421</v>
      </c>
      <c r="D845" s="1">
        <v>67</v>
      </c>
      <c r="E845" s="1">
        <v>8</v>
      </c>
      <c r="F845" s="1">
        <v>3</v>
      </c>
      <c r="G845" s="1">
        <v>32.67</v>
      </c>
      <c r="H845" s="1" t="s">
        <v>30</v>
      </c>
      <c r="I845" s="1" t="s">
        <v>45</v>
      </c>
      <c r="J845" s="1">
        <v>109</v>
      </c>
      <c r="K845" s="1">
        <v>1.78</v>
      </c>
      <c r="L845" s="4">
        <v>135.59</v>
      </c>
      <c r="M845" s="1">
        <v>1.69</v>
      </c>
      <c r="N845" s="1">
        <v>0</v>
      </c>
      <c r="O845" s="1">
        <v>0.71</v>
      </c>
      <c r="P845" s="1">
        <v>642</v>
      </c>
      <c r="Q845" s="1">
        <v>9.77</v>
      </c>
      <c r="R845" s="1">
        <v>0.99</v>
      </c>
      <c r="S845" s="2">
        <v>45388</v>
      </c>
      <c r="T845" s="1">
        <v>223.32</v>
      </c>
      <c r="U845" s="1">
        <v>0.70099999999999996</v>
      </c>
      <c r="V845" s="6">
        <f t="shared" si="39"/>
        <v>57083.39</v>
      </c>
      <c r="W845" s="6" t="str">
        <f t="shared" si="40"/>
        <v>Sufficient</v>
      </c>
      <c r="X845" s="8" t="str">
        <f t="shared" si="41"/>
        <v>High</v>
      </c>
    </row>
    <row r="846" spans="1:24">
      <c r="A846" s="7" t="s">
        <v>976</v>
      </c>
      <c r="B846" s="1" t="s">
        <v>66</v>
      </c>
      <c r="C846" s="1">
        <v>388</v>
      </c>
      <c r="D846" s="1">
        <v>79</v>
      </c>
      <c r="E846" s="1">
        <v>12</v>
      </c>
      <c r="F846" s="1">
        <v>9</v>
      </c>
      <c r="G846" s="1">
        <v>2.7</v>
      </c>
      <c r="H846" s="1" t="s">
        <v>208</v>
      </c>
      <c r="I846" s="1" t="s">
        <v>45</v>
      </c>
      <c r="J846" s="1">
        <v>140</v>
      </c>
      <c r="K846" s="1">
        <v>4.0199999999999996</v>
      </c>
      <c r="L846" s="4">
        <v>185.23</v>
      </c>
      <c r="M846" s="1">
        <v>1.71</v>
      </c>
      <c r="N846" s="1">
        <v>8</v>
      </c>
      <c r="O846" s="1">
        <v>0.81</v>
      </c>
      <c r="P846" s="1">
        <v>991</v>
      </c>
      <c r="Q846" s="1">
        <v>2.08</v>
      </c>
      <c r="R846" s="1">
        <v>0.57999999999999996</v>
      </c>
      <c r="S846" s="2">
        <v>45492</v>
      </c>
      <c r="T846" s="1">
        <v>43.42</v>
      </c>
      <c r="U846" s="1">
        <v>0.375</v>
      </c>
      <c r="V846" s="6">
        <f t="shared" si="39"/>
        <v>71869.239999999991</v>
      </c>
      <c r="W846" s="6" t="str">
        <f t="shared" si="40"/>
        <v>Sufficient</v>
      </c>
      <c r="X846" s="8" t="str">
        <f t="shared" si="41"/>
        <v>High</v>
      </c>
    </row>
    <row r="847" spans="1:24">
      <c r="A847" s="7" t="s">
        <v>977</v>
      </c>
      <c r="B847" s="1" t="s">
        <v>29</v>
      </c>
      <c r="C847" s="1">
        <v>358</v>
      </c>
      <c r="D847" s="1">
        <v>92</v>
      </c>
      <c r="E847" s="1">
        <v>11</v>
      </c>
      <c r="F847" s="1">
        <v>7</v>
      </c>
      <c r="G847" s="1">
        <v>44.56</v>
      </c>
      <c r="H847" s="1" t="s">
        <v>99</v>
      </c>
      <c r="I847" s="1" t="s">
        <v>45</v>
      </c>
      <c r="J847" s="1">
        <v>126</v>
      </c>
      <c r="K847" s="1">
        <v>2.57</v>
      </c>
      <c r="L847" s="4">
        <v>117.54</v>
      </c>
      <c r="M847" s="1">
        <v>1.44</v>
      </c>
      <c r="N847" s="1">
        <v>3</v>
      </c>
      <c r="O847" s="1">
        <v>0.73</v>
      </c>
      <c r="P847" s="1">
        <v>651</v>
      </c>
      <c r="Q847" s="1">
        <v>9.2100000000000009</v>
      </c>
      <c r="R847" s="1">
        <v>0.35</v>
      </c>
      <c r="S847" s="2">
        <v>45443</v>
      </c>
      <c r="T847" s="1">
        <v>28.04</v>
      </c>
      <c r="U847" s="1">
        <v>0.53500000000000003</v>
      </c>
      <c r="V847" s="6">
        <f t="shared" si="39"/>
        <v>42079.32</v>
      </c>
      <c r="W847" s="6" t="str">
        <f t="shared" si="40"/>
        <v>Sufficient</v>
      </c>
      <c r="X847" s="8" t="str">
        <f t="shared" si="41"/>
        <v>High</v>
      </c>
    </row>
    <row r="848" spans="1:24">
      <c r="A848" s="7" t="s">
        <v>978</v>
      </c>
      <c r="B848" s="1" t="s">
        <v>29</v>
      </c>
      <c r="C848" s="1">
        <v>62</v>
      </c>
      <c r="D848" s="1">
        <v>27</v>
      </c>
      <c r="E848" s="1">
        <v>13</v>
      </c>
      <c r="F848" s="1">
        <v>5</v>
      </c>
      <c r="G848" s="1">
        <v>32.44</v>
      </c>
      <c r="H848" s="1" t="s">
        <v>331</v>
      </c>
      <c r="I848" s="1" t="s">
        <v>39</v>
      </c>
      <c r="J848" s="1">
        <v>160</v>
      </c>
      <c r="K848" s="1">
        <v>4.97</v>
      </c>
      <c r="L848" s="4">
        <v>170.24</v>
      </c>
      <c r="M848" s="1">
        <v>0.99</v>
      </c>
      <c r="N848" s="1">
        <v>6</v>
      </c>
      <c r="O848" s="1">
        <v>0.93</v>
      </c>
      <c r="P848" s="1">
        <v>950</v>
      </c>
      <c r="Q848" s="1">
        <v>11.37</v>
      </c>
      <c r="R848" s="1">
        <v>0.64</v>
      </c>
      <c r="S848" s="2">
        <v>45622</v>
      </c>
      <c r="T848" s="1">
        <v>223.9</v>
      </c>
      <c r="U848" s="1">
        <v>0.64700000000000002</v>
      </c>
      <c r="V848" s="6">
        <f t="shared" si="39"/>
        <v>10554.880000000001</v>
      </c>
      <c r="W848" s="6" t="str">
        <f t="shared" si="40"/>
        <v>Sufficient</v>
      </c>
      <c r="X848" s="8" t="str">
        <f t="shared" si="41"/>
        <v>LOW</v>
      </c>
    </row>
    <row r="849" spans="1:24">
      <c r="A849" s="7" t="s">
        <v>979</v>
      </c>
      <c r="B849" s="1" t="s">
        <v>25</v>
      </c>
      <c r="C849" s="1">
        <v>391</v>
      </c>
      <c r="D849" s="1">
        <v>15</v>
      </c>
      <c r="E849" s="1">
        <v>14</v>
      </c>
      <c r="F849" s="1">
        <v>8</v>
      </c>
      <c r="G849" s="1">
        <v>32.53</v>
      </c>
      <c r="H849" s="1" t="s">
        <v>50</v>
      </c>
      <c r="I849" s="1" t="s">
        <v>27</v>
      </c>
      <c r="J849" s="1">
        <v>131</v>
      </c>
      <c r="K849" s="1">
        <v>2.2400000000000002</v>
      </c>
      <c r="L849" s="4">
        <v>33.590000000000003</v>
      </c>
      <c r="M849" s="1">
        <v>0.87</v>
      </c>
      <c r="N849" s="1">
        <v>8</v>
      </c>
      <c r="O849" s="1">
        <v>0.79</v>
      </c>
      <c r="P849" s="1">
        <v>950</v>
      </c>
      <c r="Q849" s="1">
        <v>14.06</v>
      </c>
      <c r="R849" s="1">
        <v>0.46</v>
      </c>
      <c r="S849" s="2">
        <v>45319</v>
      </c>
      <c r="T849" s="1">
        <v>116.84</v>
      </c>
      <c r="U849" s="1">
        <v>0.59</v>
      </c>
      <c r="V849" s="6">
        <f t="shared" si="39"/>
        <v>13133.69</v>
      </c>
      <c r="W849" s="6" t="str">
        <f t="shared" si="40"/>
        <v>Sufficient</v>
      </c>
      <c r="X849" s="8" t="str">
        <f t="shared" si="41"/>
        <v>High</v>
      </c>
    </row>
    <row r="850" spans="1:24">
      <c r="A850" s="7" t="s">
        <v>980</v>
      </c>
      <c r="B850" s="1" t="s">
        <v>33</v>
      </c>
      <c r="C850" s="1">
        <v>438</v>
      </c>
      <c r="D850" s="1">
        <v>54</v>
      </c>
      <c r="E850" s="1">
        <v>11</v>
      </c>
      <c r="F850" s="1">
        <v>4</v>
      </c>
      <c r="G850" s="1">
        <v>45.21</v>
      </c>
      <c r="H850" s="1" t="s">
        <v>244</v>
      </c>
      <c r="I850" s="1" t="s">
        <v>27</v>
      </c>
      <c r="J850" s="1">
        <v>119</v>
      </c>
      <c r="K850" s="1">
        <v>2.58</v>
      </c>
      <c r="L850" s="4">
        <v>33.47</v>
      </c>
      <c r="M850" s="1">
        <v>0.85</v>
      </c>
      <c r="N850" s="1">
        <v>2</v>
      </c>
      <c r="O850" s="1">
        <v>0.73</v>
      </c>
      <c r="P850" s="1">
        <v>681</v>
      </c>
      <c r="Q850" s="1">
        <v>1.64</v>
      </c>
      <c r="R850" s="1">
        <v>0.94</v>
      </c>
      <c r="S850" s="2">
        <v>45414</v>
      </c>
      <c r="T850" s="1">
        <v>123.97</v>
      </c>
      <c r="U850" s="1">
        <v>0.63100000000000001</v>
      </c>
      <c r="V850" s="6">
        <f t="shared" si="39"/>
        <v>14659.859999999999</v>
      </c>
      <c r="W850" s="6" t="str">
        <f t="shared" si="40"/>
        <v>Sufficient</v>
      </c>
      <c r="X850" s="8" t="str">
        <f t="shared" si="41"/>
        <v>High</v>
      </c>
    </row>
    <row r="851" spans="1:24">
      <c r="A851" s="7" t="s">
        <v>981</v>
      </c>
      <c r="B851" s="1" t="s">
        <v>66</v>
      </c>
      <c r="C851" s="1">
        <v>97</v>
      </c>
      <c r="D851" s="1">
        <v>32</v>
      </c>
      <c r="E851" s="1">
        <v>6</v>
      </c>
      <c r="F851" s="1">
        <v>8</v>
      </c>
      <c r="G851" s="1">
        <v>25.91</v>
      </c>
      <c r="H851" s="1" t="s">
        <v>34</v>
      </c>
      <c r="I851" s="1" t="s">
        <v>31</v>
      </c>
      <c r="J851" s="1">
        <v>82</v>
      </c>
      <c r="K851" s="1">
        <v>1.85</v>
      </c>
      <c r="L851" s="4">
        <v>32.83</v>
      </c>
      <c r="M851" s="1">
        <v>0.23</v>
      </c>
      <c r="N851" s="1">
        <v>4</v>
      </c>
      <c r="O851" s="1">
        <v>0.86</v>
      </c>
      <c r="P851" s="1">
        <v>663</v>
      </c>
      <c r="Q851" s="1">
        <v>11.85</v>
      </c>
      <c r="R851" s="1">
        <v>0.85</v>
      </c>
      <c r="S851" s="2">
        <v>45545</v>
      </c>
      <c r="T851" s="1">
        <v>176.5</v>
      </c>
      <c r="U851" s="1">
        <v>0.79700000000000004</v>
      </c>
      <c r="V851" s="6">
        <f t="shared" si="39"/>
        <v>3184.5099999999998</v>
      </c>
      <c r="W851" s="6" t="str">
        <f t="shared" si="40"/>
        <v>Sufficient</v>
      </c>
      <c r="X851" s="8" t="str">
        <f t="shared" si="41"/>
        <v>LOW</v>
      </c>
    </row>
    <row r="852" spans="1:24">
      <c r="A852" s="7" t="s">
        <v>982</v>
      </c>
      <c r="B852" s="1" t="s">
        <v>33</v>
      </c>
      <c r="C852" s="1">
        <v>333</v>
      </c>
      <c r="D852" s="1">
        <v>32</v>
      </c>
      <c r="E852" s="1">
        <v>14</v>
      </c>
      <c r="F852" s="1">
        <v>3</v>
      </c>
      <c r="G852" s="1">
        <v>21.12</v>
      </c>
      <c r="H852" s="1" t="s">
        <v>331</v>
      </c>
      <c r="I852" s="1" t="s">
        <v>45</v>
      </c>
      <c r="J852" s="1">
        <v>39</v>
      </c>
      <c r="K852" s="1">
        <v>1.56</v>
      </c>
      <c r="L852" s="4">
        <v>102.88</v>
      </c>
      <c r="M852" s="1">
        <v>1.9</v>
      </c>
      <c r="N852" s="1">
        <v>9</v>
      </c>
      <c r="O852" s="1">
        <v>0.97</v>
      </c>
      <c r="P852" s="1">
        <v>544</v>
      </c>
      <c r="Q852" s="1">
        <v>2.86</v>
      </c>
      <c r="R852" s="1">
        <v>0.45</v>
      </c>
      <c r="S852" s="2">
        <v>45489</v>
      </c>
      <c r="T852" s="1">
        <v>296.19</v>
      </c>
      <c r="U852" s="1">
        <v>0.35199999999999998</v>
      </c>
      <c r="V852" s="6">
        <f t="shared" si="39"/>
        <v>34259.040000000001</v>
      </c>
      <c r="W852" s="6" t="str">
        <f t="shared" si="40"/>
        <v>Sufficient</v>
      </c>
      <c r="X852" s="8" t="str">
        <f t="shared" si="41"/>
        <v>High</v>
      </c>
    </row>
    <row r="853" spans="1:24">
      <c r="A853" s="7" t="s">
        <v>983</v>
      </c>
      <c r="B853" s="1" t="s">
        <v>33</v>
      </c>
      <c r="C853" s="1">
        <v>308</v>
      </c>
      <c r="D853" s="1">
        <v>35</v>
      </c>
      <c r="E853" s="1">
        <v>3</v>
      </c>
      <c r="F853" s="1">
        <v>8</v>
      </c>
      <c r="G853" s="1">
        <v>43.44</v>
      </c>
      <c r="H853" s="1" t="s">
        <v>147</v>
      </c>
      <c r="I853" s="1" t="s">
        <v>45</v>
      </c>
      <c r="J853" s="1">
        <v>28</v>
      </c>
      <c r="K853" s="1">
        <v>4.6500000000000004</v>
      </c>
      <c r="L853" s="4">
        <v>72.75</v>
      </c>
      <c r="M853" s="1">
        <v>0.96</v>
      </c>
      <c r="N853" s="1">
        <v>2</v>
      </c>
      <c r="O853" s="1">
        <v>0.97</v>
      </c>
      <c r="P853" s="1">
        <v>588</v>
      </c>
      <c r="Q853" s="1">
        <v>12.07</v>
      </c>
      <c r="R853" s="1">
        <v>0.21</v>
      </c>
      <c r="S853" s="2">
        <v>45349</v>
      </c>
      <c r="T853" s="1">
        <v>59.74</v>
      </c>
      <c r="U853" s="1">
        <v>0.66100000000000003</v>
      </c>
      <c r="V853" s="6">
        <f t="shared" si="39"/>
        <v>22407</v>
      </c>
      <c r="W853" s="6" t="str">
        <f t="shared" si="40"/>
        <v>Sufficient</v>
      </c>
      <c r="X853" s="8" t="str">
        <f t="shared" si="41"/>
        <v>High</v>
      </c>
    </row>
    <row r="854" spans="1:24">
      <c r="A854" s="7" t="s">
        <v>984</v>
      </c>
      <c r="B854" s="1" t="s">
        <v>29</v>
      </c>
      <c r="C854" s="1">
        <v>289</v>
      </c>
      <c r="D854" s="1">
        <v>86</v>
      </c>
      <c r="E854" s="1">
        <v>3</v>
      </c>
      <c r="F854" s="1">
        <v>7</v>
      </c>
      <c r="G854" s="1">
        <v>37.380000000000003</v>
      </c>
      <c r="H854" s="1" t="s">
        <v>52</v>
      </c>
      <c r="I854" s="1" t="s">
        <v>45</v>
      </c>
      <c r="J854" s="1">
        <v>111</v>
      </c>
      <c r="K854" s="1">
        <v>3.87</v>
      </c>
      <c r="L854" s="4">
        <v>146.65</v>
      </c>
      <c r="M854" s="1">
        <v>1.87</v>
      </c>
      <c r="N854" s="1">
        <v>4</v>
      </c>
      <c r="O854" s="1">
        <v>0.77</v>
      </c>
      <c r="P854" s="1">
        <v>310</v>
      </c>
      <c r="Q854" s="1">
        <v>13.44</v>
      </c>
      <c r="R854" s="1">
        <v>1</v>
      </c>
      <c r="S854" s="2">
        <v>45415</v>
      </c>
      <c r="T854" s="1">
        <v>96.96</v>
      </c>
      <c r="U854" s="1">
        <v>0.66600000000000004</v>
      </c>
      <c r="V854" s="6">
        <f t="shared" si="39"/>
        <v>42381.85</v>
      </c>
      <c r="W854" s="6" t="str">
        <f t="shared" si="40"/>
        <v>Sufficient</v>
      </c>
      <c r="X854" s="8" t="str">
        <f t="shared" si="41"/>
        <v>High</v>
      </c>
    </row>
    <row r="855" spans="1:24">
      <c r="A855" s="7" t="s">
        <v>985</v>
      </c>
      <c r="B855" s="1" t="s">
        <v>25</v>
      </c>
      <c r="C855" s="1">
        <v>181</v>
      </c>
      <c r="D855" s="1">
        <v>16</v>
      </c>
      <c r="E855" s="1">
        <v>14</v>
      </c>
      <c r="F855" s="1">
        <v>9</v>
      </c>
      <c r="G855" s="1">
        <v>47.5</v>
      </c>
      <c r="H855" s="1" t="s">
        <v>113</v>
      </c>
      <c r="I855" s="1" t="s">
        <v>31</v>
      </c>
      <c r="J855" s="1">
        <v>76</v>
      </c>
      <c r="K855" s="1">
        <v>2</v>
      </c>
      <c r="L855" s="4">
        <v>181.5</v>
      </c>
      <c r="M855" s="1">
        <v>1.77</v>
      </c>
      <c r="N855" s="1">
        <v>1</v>
      </c>
      <c r="O855" s="1">
        <v>0.92</v>
      </c>
      <c r="P855" s="1">
        <v>622</v>
      </c>
      <c r="Q855" s="1">
        <v>13.06</v>
      </c>
      <c r="R855" s="1">
        <v>0.75</v>
      </c>
      <c r="S855" s="2">
        <v>45547</v>
      </c>
      <c r="T855" s="1">
        <v>198.12</v>
      </c>
      <c r="U855" s="1">
        <v>0.71099999999999997</v>
      </c>
      <c r="V855" s="6">
        <f t="shared" si="39"/>
        <v>32851.5</v>
      </c>
      <c r="W855" s="6" t="str">
        <f t="shared" si="40"/>
        <v>Sufficient</v>
      </c>
      <c r="X855" s="8" t="str">
        <f t="shared" si="41"/>
        <v>Medium</v>
      </c>
    </row>
    <row r="856" spans="1:24">
      <c r="A856" s="7" t="s">
        <v>986</v>
      </c>
      <c r="B856" s="1" t="s">
        <v>41</v>
      </c>
      <c r="C856" s="1">
        <v>208</v>
      </c>
      <c r="D856" s="1">
        <v>88</v>
      </c>
      <c r="E856" s="1">
        <v>12</v>
      </c>
      <c r="F856" s="1">
        <v>3</v>
      </c>
      <c r="G856" s="1">
        <v>47.07</v>
      </c>
      <c r="H856" s="1" t="s">
        <v>229</v>
      </c>
      <c r="I856" s="1" t="s">
        <v>45</v>
      </c>
      <c r="J856" s="1">
        <v>59</v>
      </c>
      <c r="K856" s="1">
        <v>3.65</v>
      </c>
      <c r="L856" s="4">
        <v>127.68</v>
      </c>
      <c r="M856" s="1">
        <v>1.67</v>
      </c>
      <c r="N856" s="1">
        <v>3</v>
      </c>
      <c r="O856" s="1">
        <v>0.71</v>
      </c>
      <c r="P856" s="1">
        <v>185</v>
      </c>
      <c r="Q856" s="1">
        <v>10.14</v>
      </c>
      <c r="R856" s="1">
        <v>0.54</v>
      </c>
      <c r="S856" s="2">
        <v>45618</v>
      </c>
      <c r="T856" s="1">
        <v>213.28</v>
      </c>
      <c r="U856" s="1">
        <v>0.55800000000000005</v>
      </c>
      <c r="V856" s="6">
        <f t="shared" si="39"/>
        <v>26557.440000000002</v>
      </c>
      <c r="W856" s="6" t="str">
        <f t="shared" si="40"/>
        <v>Sufficient</v>
      </c>
      <c r="X856" s="8" t="str">
        <f t="shared" si="41"/>
        <v>Medium</v>
      </c>
    </row>
    <row r="857" spans="1:24">
      <c r="A857" s="7" t="s">
        <v>987</v>
      </c>
      <c r="B857" s="1" t="s">
        <v>25</v>
      </c>
      <c r="C857" s="1">
        <v>266</v>
      </c>
      <c r="D857" s="1">
        <v>53</v>
      </c>
      <c r="E857" s="1">
        <v>7</v>
      </c>
      <c r="F857" s="1">
        <v>9</v>
      </c>
      <c r="G857" s="1">
        <v>19.73</v>
      </c>
      <c r="H857" s="1" t="s">
        <v>81</v>
      </c>
      <c r="I857" s="1" t="s">
        <v>27</v>
      </c>
      <c r="J857" s="1">
        <v>57</v>
      </c>
      <c r="K857" s="1">
        <v>4.8499999999999996</v>
      </c>
      <c r="L857" s="4">
        <v>50.51</v>
      </c>
      <c r="M857" s="1">
        <v>1.22</v>
      </c>
      <c r="N857" s="1">
        <v>1</v>
      </c>
      <c r="O857" s="1">
        <v>0.74</v>
      </c>
      <c r="P857" s="1">
        <v>976</v>
      </c>
      <c r="Q857" s="1">
        <v>8.01</v>
      </c>
      <c r="R857" s="1">
        <v>0.43</v>
      </c>
      <c r="S857" s="2">
        <v>45596</v>
      </c>
      <c r="T857" s="1">
        <v>214.78</v>
      </c>
      <c r="U857" s="1">
        <v>0.59899999999999998</v>
      </c>
      <c r="V857" s="6">
        <f t="shared" si="39"/>
        <v>13435.66</v>
      </c>
      <c r="W857" s="6" t="str">
        <f t="shared" si="40"/>
        <v>Sufficient</v>
      </c>
      <c r="X857" s="8" t="str">
        <f t="shared" si="41"/>
        <v>High</v>
      </c>
    </row>
    <row r="858" spans="1:24">
      <c r="A858" s="7" t="s">
        <v>988</v>
      </c>
      <c r="B858" s="1" t="s">
        <v>25</v>
      </c>
      <c r="C858" s="1">
        <v>407</v>
      </c>
      <c r="D858" s="1">
        <v>36</v>
      </c>
      <c r="E858" s="1">
        <v>4</v>
      </c>
      <c r="F858" s="1">
        <v>2</v>
      </c>
      <c r="G858" s="1">
        <v>22.9</v>
      </c>
      <c r="H858" s="1" t="s">
        <v>79</v>
      </c>
      <c r="I858" s="1" t="s">
        <v>45</v>
      </c>
      <c r="J858" s="1">
        <v>12</v>
      </c>
      <c r="K858" s="1">
        <v>0.83</v>
      </c>
      <c r="L858" s="4">
        <v>186.87</v>
      </c>
      <c r="M858" s="1">
        <v>0.28999999999999998</v>
      </c>
      <c r="N858" s="1">
        <v>2</v>
      </c>
      <c r="O858" s="1">
        <v>0.85</v>
      </c>
      <c r="P858" s="1">
        <v>658</v>
      </c>
      <c r="Q858" s="1">
        <v>13.24</v>
      </c>
      <c r="R858" s="1">
        <v>0.2</v>
      </c>
      <c r="S858" s="2">
        <v>45328</v>
      </c>
      <c r="T858" s="1">
        <v>182.67</v>
      </c>
      <c r="U858" s="1">
        <v>0.71799999999999997</v>
      </c>
      <c r="V858" s="6">
        <f t="shared" si="39"/>
        <v>76056.09</v>
      </c>
      <c r="W858" s="6" t="str">
        <f t="shared" si="40"/>
        <v>Sufficient</v>
      </c>
      <c r="X858" s="8" t="str">
        <f t="shared" si="41"/>
        <v>High</v>
      </c>
    </row>
    <row r="859" spans="1:24">
      <c r="A859" s="7" t="s">
        <v>989</v>
      </c>
      <c r="B859" s="1" t="s">
        <v>33</v>
      </c>
      <c r="C859" s="1">
        <v>235</v>
      </c>
      <c r="D859" s="1">
        <v>35</v>
      </c>
      <c r="E859" s="1">
        <v>8</v>
      </c>
      <c r="F859" s="1">
        <v>6</v>
      </c>
      <c r="G859" s="1">
        <v>13.54</v>
      </c>
      <c r="H859" s="1" t="s">
        <v>185</v>
      </c>
      <c r="I859" s="1" t="s">
        <v>31</v>
      </c>
      <c r="J859" s="1">
        <v>75</v>
      </c>
      <c r="K859" s="1">
        <v>1.69</v>
      </c>
      <c r="L859" s="4">
        <v>110.29</v>
      </c>
      <c r="M859" s="1">
        <v>0.72</v>
      </c>
      <c r="N859" s="1">
        <v>4</v>
      </c>
      <c r="O859" s="1">
        <v>0.77</v>
      </c>
      <c r="P859" s="1">
        <v>710</v>
      </c>
      <c r="Q859" s="1">
        <v>8.27</v>
      </c>
      <c r="R859" s="1">
        <v>0.32</v>
      </c>
      <c r="S859" s="2">
        <v>45562</v>
      </c>
      <c r="T859" s="1">
        <v>180.6</v>
      </c>
      <c r="U859" s="1">
        <v>0.57599999999999996</v>
      </c>
      <c r="V859" s="6">
        <f t="shared" si="39"/>
        <v>25918.15</v>
      </c>
      <c r="W859" s="6" t="str">
        <f t="shared" si="40"/>
        <v>Sufficient</v>
      </c>
      <c r="X859" s="8" t="str">
        <f t="shared" si="41"/>
        <v>Medium</v>
      </c>
    </row>
    <row r="860" spans="1:24">
      <c r="A860" s="7" t="s">
        <v>990</v>
      </c>
      <c r="B860" s="1" t="s">
        <v>25</v>
      </c>
      <c r="C860" s="1">
        <v>334</v>
      </c>
      <c r="D860" s="1">
        <v>88</v>
      </c>
      <c r="E860" s="1">
        <v>9</v>
      </c>
      <c r="F860" s="1">
        <v>2</v>
      </c>
      <c r="G860" s="1">
        <v>33.369999999999997</v>
      </c>
      <c r="H860" s="1" t="s">
        <v>59</v>
      </c>
      <c r="I860" s="1" t="s">
        <v>39</v>
      </c>
      <c r="J860" s="1">
        <v>164</v>
      </c>
      <c r="K860" s="1">
        <v>1.4</v>
      </c>
      <c r="L860" s="4">
        <v>146.79</v>
      </c>
      <c r="M860" s="1">
        <v>1.25</v>
      </c>
      <c r="N860" s="1">
        <v>8</v>
      </c>
      <c r="O860" s="1">
        <v>0.94</v>
      </c>
      <c r="P860" s="1">
        <v>276</v>
      </c>
      <c r="Q860" s="1">
        <v>3.66</v>
      </c>
      <c r="R860" s="1">
        <v>0.2</v>
      </c>
      <c r="S860" s="2">
        <v>45298</v>
      </c>
      <c r="T860" s="1">
        <v>52.95</v>
      </c>
      <c r="U860" s="1">
        <v>0.39200000000000002</v>
      </c>
      <c r="V860" s="6">
        <f t="shared" si="39"/>
        <v>49027.86</v>
      </c>
      <c r="W860" s="6" t="str">
        <f t="shared" si="40"/>
        <v>Sufficient</v>
      </c>
      <c r="X860" s="8" t="str">
        <f t="shared" si="41"/>
        <v>High</v>
      </c>
    </row>
    <row r="861" spans="1:24">
      <c r="A861" s="7" t="s">
        <v>991</v>
      </c>
      <c r="B861" s="1" t="s">
        <v>66</v>
      </c>
      <c r="C861" s="1">
        <v>432</v>
      </c>
      <c r="D861" s="1">
        <v>45</v>
      </c>
      <c r="E861" s="1">
        <v>3</v>
      </c>
      <c r="F861" s="1">
        <v>7</v>
      </c>
      <c r="G861" s="1">
        <v>18.86</v>
      </c>
      <c r="H861" s="1" t="s">
        <v>200</v>
      </c>
      <c r="I861" s="1" t="s">
        <v>39</v>
      </c>
      <c r="J861" s="1">
        <v>115</v>
      </c>
      <c r="K861" s="1">
        <v>4.41</v>
      </c>
      <c r="L861" s="4">
        <v>179.2</v>
      </c>
      <c r="M861" s="1">
        <v>0.13</v>
      </c>
      <c r="N861" s="1">
        <v>2</v>
      </c>
      <c r="O861" s="1">
        <v>0.98</v>
      </c>
      <c r="P861" s="1">
        <v>838</v>
      </c>
      <c r="Q861" s="1">
        <v>14.2</v>
      </c>
      <c r="R861" s="1">
        <v>0.68</v>
      </c>
      <c r="S861" s="2">
        <v>45476</v>
      </c>
      <c r="T861" s="1">
        <v>252.04</v>
      </c>
      <c r="U861" s="1">
        <v>0.86799999999999999</v>
      </c>
      <c r="V861" s="6">
        <f t="shared" si="39"/>
        <v>77414.399999999994</v>
      </c>
      <c r="W861" s="6" t="str">
        <f t="shared" si="40"/>
        <v>Sufficient</v>
      </c>
      <c r="X861" s="8" t="str">
        <f t="shared" si="41"/>
        <v>High</v>
      </c>
    </row>
    <row r="862" spans="1:24">
      <c r="A862" s="7" t="s">
        <v>992</v>
      </c>
      <c r="B862" s="1" t="s">
        <v>33</v>
      </c>
      <c r="C862" s="1">
        <v>358</v>
      </c>
      <c r="D862" s="1">
        <v>64</v>
      </c>
      <c r="E862" s="1">
        <v>8</v>
      </c>
      <c r="F862" s="1">
        <v>6</v>
      </c>
      <c r="G862" s="1">
        <v>39.520000000000003</v>
      </c>
      <c r="H862" s="1" t="s">
        <v>141</v>
      </c>
      <c r="I862" s="1" t="s">
        <v>27</v>
      </c>
      <c r="J862" s="1">
        <v>120</v>
      </c>
      <c r="K862" s="1">
        <v>1.31</v>
      </c>
      <c r="L862" s="4">
        <v>198.07</v>
      </c>
      <c r="M862" s="1">
        <v>0.18</v>
      </c>
      <c r="N862" s="1">
        <v>9</v>
      </c>
      <c r="O862" s="1">
        <v>0.7</v>
      </c>
      <c r="P862" s="1">
        <v>868</v>
      </c>
      <c r="Q862" s="1">
        <v>6.23</v>
      </c>
      <c r="R862" s="1">
        <v>0.73</v>
      </c>
      <c r="S862" s="2">
        <v>45454</v>
      </c>
      <c r="T862" s="1">
        <v>12.58</v>
      </c>
      <c r="U862" s="1">
        <v>0.57099999999999995</v>
      </c>
      <c r="V862" s="6">
        <f t="shared" si="39"/>
        <v>70909.06</v>
      </c>
      <c r="W862" s="6" t="str">
        <f t="shared" si="40"/>
        <v>Sufficient</v>
      </c>
      <c r="X862" s="8" t="str">
        <f t="shared" si="41"/>
        <v>High</v>
      </c>
    </row>
    <row r="863" spans="1:24">
      <c r="A863" s="7" t="s">
        <v>993</v>
      </c>
      <c r="B863" s="1" t="s">
        <v>66</v>
      </c>
      <c r="C863" s="1">
        <v>409</v>
      </c>
      <c r="D863" s="1">
        <v>73</v>
      </c>
      <c r="E863" s="1">
        <v>10</v>
      </c>
      <c r="F863" s="1">
        <v>2</v>
      </c>
      <c r="G863" s="1">
        <v>6.96</v>
      </c>
      <c r="H863" s="1" t="s">
        <v>42</v>
      </c>
      <c r="I863" s="1" t="s">
        <v>27</v>
      </c>
      <c r="J863" s="1">
        <v>49</v>
      </c>
      <c r="K863" s="1">
        <v>1.89</v>
      </c>
      <c r="L863" s="4">
        <v>106.15</v>
      </c>
      <c r="M863" s="1">
        <v>1.39</v>
      </c>
      <c r="N863" s="1">
        <v>5</v>
      </c>
      <c r="O863" s="1">
        <v>0.77</v>
      </c>
      <c r="P863" s="1">
        <v>896</v>
      </c>
      <c r="Q863" s="1">
        <v>9.74</v>
      </c>
      <c r="R863" s="1">
        <v>0.81</v>
      </c>
      <c r="S863" s="2">
        <v>45359</v>
      </c>
      <c r="T863" s="1">
        <v>131.1</v>
      </c>
      <c r="U863" s="1">
        <v>0.60699999999999998</v>
      </c>
      <c r="V863" s="6">
        <f t="shared" si="39"/>
        <v>43415.350000000006</v>
      </c>
      <c r="W863" s="6" t="str">
        <f t="shared" si="40"/>
        <v>Sufficient</v>
      </c>
      <c r="X863" s="8" t="str">
        <f t="shared" si="41"/>
        <v>High</v>
      </c>
    </row>
    <row r="864" spans="1:24">
      <c r="A864" s="7" t="s">
        <v>994</v>
      </c>
      <c r="B864" s="1" t="s">
        <v>41</v>
      </c>
      <c r="C864" s="1">
        <v>396</v>
      </c>
      <c r="D864" s="1">
        <v>66</v>
      </c>
      <c r="E864" s="1">
        <v>14</v>
      </c>
      <c r="F864" s="1">
        <v>6</v>
      </c>
      <c r="G864" s="1">
        <v>6.7</v>
      </c>
      <c r="H864" s="1" t="s">
        <v>50</v>
      </c>
      <c r="I864" s="1" t="s">
        <v>27</v>
      </c>
      <c r="J864" s="1">
        <v>134</v>
      </c>
      <c r="K864" s="1">
        <v>2.95</v>
      </c>
      <c r="L864" s="4">
        <v>163.53</v>
      </c>
      <c r="M864" s="1">
        <v>1.79</v>
      </c>
      <c r="N864" s="1">
        <v>3</v>
      </c>
      <c r="O864" s="1">
        <v>0.83</v>
      </c>
      <c r="P864" s="1">
        <v>277</v>
      </c>
      <c r="Q864" s="1">
        <v>3.79</v>
      </c>
      <c r="R864" s="1">
        <v>0.35</v>
      </c>
      <c r="S864" s="2">
        <v>45490</v>
      </c>
      <c r="T864" s="1">
        <v>72.47</v>
      </c>
      <c r="U864" s="1">
        <v>0.44800000000000001</v>
      </c>
      <c r="V864" s="6">
        <f t="shared" si="39"/>
        <v>64757.88</v>
      </c>
      <c r="W864" s="6" t="str">
        <f t="shared" si="40"/>
        <v>Sufficient</v>
      </c>
      <c r="X864" s="8" t="str">
        <f t="shared" si="41"/>
        <v>High</v>
      </c>
    </row>
    <row r="865" spans="1:24">
      <c r="A865" s="7" t="s">
        <v>995</v>
      </c>
      <c r="B865" s="1" t="s">
        <v>33</v>
      </c>
      <c r="C865" s="1">
        <v>452</v>
      </c>
      <c r="D865" s="1">
        <v>78</v>
      </c>
      <c r="E865" s="1">
        <v>7</v>
      </c>
      <c r="F865" s="1">
        <v>5</v>
      </c>
      <c r="G865" s="1">
        <v>11.02</v>
      </c>
      <c r="H865" s="1" t="s">
        <v>85</v>
      </c>
      <c r="I865" s="1" t="s">
        <v>39</v>
      </c>
      <c r="J865" s="1">
        <v>27</v>
      </c>
      <c r="K865" s="1">
        <v>3.29</v>
      </c>
      <c r="L865" s="4">
        <v>117.7</v>
      </c>
      <c r="M865" s="1">
        <v>1.72</v>
      </c>
      <c r="N865" s="1">
        <v>3</v>
      </c>
      <c r="O865" s="1">
        <v>0.87</v>
      </c>
      <c r="P865" s="1">
        <v>876</v>
      </c>
      <c r="Q865" s="1">
        <v>2.5499999999999998</v>
      </c>
      <c r="R865" s="1">
        <v>0.28000000000000003</v>
      </c>
      <c r="S865" s="2">
        <v>45583</v>
      </c>
      <c r="T865" s="1">
        <v>40.26</v>
      </c>
      <c r="U865" s="1">
        <v>0.432</v>
      </c>
      <c r="V865" s="6">
        <f t="shared" si="39"/>
        <v>53200.4</v>
      </c>
      <c r="W865" s="6" t="str">
        <f t="shared" si="40"/>
        <v>Sufficient</v>
      </c>
      <c r="X865" s="8" t="str">
        <f t="shared" si="41"/>
        <v>High</v>
      </c>
    </row>
    <row r="866" spans="1:24">
      <c r="A866" s="7" t="s">
        <v>996</v>
      </c>
      <c r="B866" s="1" t="s">
        <v>41</v>
      </c>
      <c r="C866" s="1">
        <v>187</v>
      </c>
      <c r="D866" s="1">
        <v>70</v>
      </c>
      <c r="E866" s="1">
        <v>14</v>
      </c>
      <c r="F866" s="1">
        <v>8</v>
      </c>
      <c r="G866" s="1">
        <v>5.13</v>
      </c>
      <c r="H866" s="1" t="s">
        <v>159</v>
      </c>
      <c r="I866" s="1" t="s">
        <v>45</v>
      </c>
      <c r="J866" s="1">
        <v>164</v>
      </c>
      <c r="K866" s="1">
        <v>4.1399999999999997</v>
      </c>
      <c r="L866" s="4">
        <v>102.43</v>
      </c>
      <c r="M866" s="1">
        <v>0.42</v>
      </c>
      <c r="N866" s="1">
        <v>9</v>
      </c>
      <c r="O866" s="1">
        <v>0.97</v>
      </c>
      <c r="P866" s="1">
        <v>810</v>
      </c>
      <c r="Q866" s="1">
        <v>8.7100000000000009</v>
      </c>
      <c r="R866" s="1">
        <v>0.72</v>
      </c>
      <c r="S866" s="2">
        <v>45507</v>
      </c>
      <c r="T866" s="1">
        <v>102.65</v>
      </c>
      <c r="U866" s="1">
        <v>0.63200000000000001</v>
      </c>
      <c r="V866" s="6">
        <f t="shared" si="39"/>
        <v>19154.41</v>
      </c>
      <c r="W866" s="6" t="str">
        <f t="shared" si="40"/>
        <v>Sufficient</v>
      </c>
      <c r="X866" s="8" t="str">
        <f t="shared" si="41"/>
        <v>Medium</v>
      </c>
    </row>
    <row r="867" spans="1:24">
      <c r="A867" s="7" t="s">
        <v>997</v>
      </c>
      <c r="B867" s="1" t="s">
        <v>33</v>
      </c>
      <c r="C867" s="1">
        <v>358</v>
      </c>
      <c r="D867" s="1">
        <v>11</v>
      </c>
      <c r="E867" s="1">
        <v>9</v>
      </c>
      <c r="F867" s="1">
        <v>3</v>
      </c>
      <c r="G867" s="1">
        <v>31.38</v>
      </c>
      <c r="H867" s="1" t="s">
        <v>309</v>
      </c>
      <c r="I867" s="1" t="s">
        <v>31</v>
      </c>
      <c r="J867" s="1">
        <v>148</v>
      </c>
      <c r="K867" s="1">
        <v>2.33</v>
      </c>
      <c r="L867" s="4">
        <v>112.17</v>
      </c>
      <c r="M867" s="1">
        <v>1.83</v>
      </c>
      <c r="N867" s="1">
        <v>9</v>
      </c>
      <c r="O867" s="1">
        <v>0.97</v>
      </c>
      <c r="P867" s="1">
        <v>307</v>
      </c>
      <c r="Q867" s="1">
        <v>8.76</v>
      </c>
      <c r="R867" s="1">
        <v>0.6</v>
      </c>
      <c r="S867" s="2">
        <v>45479</v>
      </c>
      <c r="T867" s="1">
        <v>200.58</v>
      </c>
      <c r="U867" s="1">
        <v>0.46800000000000003</v>
      </c>
      <c r="V867" s="6">
        <f t="shared" si="39"/>
        <v>40156.86</v>
      </c>
      <c r="W867" s="6" t="str">
        <f t="shared" si="40"/>
        <v>Sufficient</v>
      </c>
      <c r="X867" s="8" t="str">
        <f t="shared" si="41"/>
        <v>High</v>
      </c>
    </row>
    <row r="868" spans="1:24">
      <c r="A868" s="7" t="s">
        <v>998</v>
      </c>
      <c r="B868" s="1" t="s">
        <v>29</v>
      </c>
      <c r="C868" s="1">
        <v>212</v>
      </c>
      <c r="D868" s="1">
        <v>64</v>
      </c>
      <c r="E868" s="1">
        <v>12</v>
      </c>
      <c r="F868" s="1">
        <v>6</v>
      </c>
      <c r="G868" s="1">
        <v>8.2200000000000006</v>
      </c>
      <c r="H868" s="1" t="s">
        <v>181</v>
      </c>
      <c r="I868" s="1" t="s">
        <v>31</v>
      </c>
      <c r="J868" s="1">
        <v>176</v>
      </c>
      <c r="K868" s="1">
        <v>2.9</v>
      </c>
      <c r="L868" s="4">
        <v>102.01</v>
      </c>
      <c r="M868" s="1">
        <v>1.42</v>
      </c>
      <c r="N868" s="1">
        <v>4</v>
      </c>
      <c r="O868" s="1">
        <v>0.89</v>
      </c>
      <c r="P868" s="1">
        <v>463</v>
      </c>
      <c r="Q868" s="1">
        <v>6.18</v>
      </c>
      <c r="R868" s="1">
        <v>0.9</v>
      </c>
      <c r="S868" s="2">
        <v>45571</v>
      </c>
      <c r="T868" s="1">
        <v>154.15</v>
      </c>
      <c r="U868" s="1">
        <v>0.61799999999999999</v>
      </c>
      <c r="V868" s="6">
        <f t="shared" si="39"/>
        <v>21626.120000000003</v>
      </c>
      <c r="W868" s="6" t="str">
        <f t="shared" si="40"/>
        <v>Sufficient</v>
      </c>
      <c r="X868" s="8" t="str">
        <f t="shared" si="41"/>
        <v>Medium</v>
      </c>
    </row>
    <row r="869" spans="1:24">
      <c r="A869" s="7" t="s">
        <v>999</v>
      </c>
      <c r="B869" s="1" t="s">
        <v>25</v>
      </c>
      <c r="C869" s="1">
        <v>472</v>
      </c>
      <c r="D869" s="1">
        <v>89</v>
      </c>
      <c r="E869" s="1">
        <v>8</v>
      </c>
      <c r="F869" s="1">
        <v>5</v>
      </c>
      <c r="G869" s="1">
        <v>8.84</v>
      </c>
      <c r="H869" s="1" t="s">
        <v>266</v>
      </c>
      <c r="I869" s="1" t="s">
        <v>45</v>
      </c>
      <c r="J869" s="1">
        <v>28</v>
      </c>
      <c r="K869" s="1">
        <v>4.84</v>
      </c>
      <c r="L869" s="4">
        <v>90</v>
      </c>
      <c r="M869" s="1">
        <v>1.46</v>
      </c>
      <c r="N869" s="1">
        <v>6</v>
      </c>
      <c r="O869" s="1">
        <v>0.78</v>
      </c>
      <c r="P869" s="1">
        <v>875</v>
      </c>
      <c r="Q869" s="1">
        <v>5.36</v>
      </c>
      <c r="R869" s="1">
        <v>0.63</v>
      </c>
      <c r="S869" s="2">
        <v>45641</v>
      </c>
      <c r="T869" s="1">
        <v>263.32</v>
      </c>
      <c r="U869" s="1">
        <v>0.48699999999999999</v>
      </c>
      <c r="V869" s="6">
        <f t="shared" si="39"/>
        <v>42480</v>
      </c>
      <c r="W869" s="6" t="str">
        <f t="shared" si="40"/>
        <v>Sufficient</v>
      </c>
      <c r="X869" s="8" t="str">
        <f t="shared" si="41"/>
        <v>High</v>
      </c>
    </row>
    <row r="870" spans="1:24">
      <c r="A870" s="7" t="s">
        <v>1000</v>
      </c>
      <c r="B870" s="1" t="s">
        <v>29</v>
      </c>
      <c r="C870" s="1">
        <v>302</v>
      </c>
      <c r="D870" s="1">
        <v>96</v>
      </c>
      <c r="E870" s="1">
        <v>6</v>
      </c>
      <c r="F870" s="1">
        <v>8</v>
      </c>
      <c r="G870" s="1">
        <v>1.7</v>
      </c>
      <c r="H870" s="1" t="s">
        <v>132</v>
      </c>
      <c r="I870" s="1" t="s">
        <v>39</v>
      </c>
      <c r="J870" s="1">
        <v>98</v>
      </c>
      <c r="K870" s="1">
        <v>1.84</v>
      </c>
      <c r="L870" s="4">
        <v>147.51</v>
      </c>
      <c r="M870" s="1">
        <v>0.68</v>
      </c>
      <c r="N870" s="1">
        <v>3</v>
      </c>
      <c r="O870" s="1">
        <v>0.93</v>
      </c>
      <c r="P870" s="1">
        <v>269</v>
      </c>
      <c r="Q870" s="1">
        <v>6.24</v>
      </c>
      <c r="R870" s="1">
        <v>0.56000000000000005</v>
      </c>
      <c r="S870" s="2">
        <v>45380</v>
      </c>
      <c r="T870" s="1">
        <v>183.91</v>
      </c>
      <c r="U870" s="1">
        <v>0.65300000000000002</v>
      </c>
      <c r="V870" s="6">
        <f t="shared" si="39"/>
        <v>44548.02</v>
      </c>
      <c r="W870" s="6" t="str">
        <f t="shared" si="40"/>
        <v>Sufficient</v>
      </c>
      <c r="X870" s="8" t="str">
        <f t="shared" si="41"/>
        <v>High</v>
      </c>
    </row>
    <row r="871" spans="1:24">
      <c r="A871" s="7" t="s">
        <v>1001</v>
      </c>
      <c r="B871" s="1" t="s">
        <v>41</v>
      </c>
      <c r="C871" s="1">
        <v>355</v>
      </c>
      <c r="D871" s="1">
        <v>47</v>
      </c>
      <c r="E871" s="1">
        <v>9</v>
      </c>
      <c r="F871" s="1">
        <v>8</v>
      </c>
      <c r="G871" s="1">
        <v>39.32</v>
      </c>
      <c r="H871" s="1" t="s">
        <v>221</v>
      </c>
      <c r="I871" s="1" t="s">
        <v>39</v>
      </c>
      <c r="J871" s="1">
        <v>144</v>
      </c>
      <c r="K871" s="1">
        <v>1.62</v>
      </c>
      <c r="L871" s="4">
        <v>57.44</v>
      </c>
      <c r="M871" s="1">
        <v>1.46</v>
      </c>
      <c r="N871" s="1">
        <v>7</v>
      </c>
      <c r="O871" s="1">
        <v>0.76</v>
      </c>
      <c r="P871" s="1">
        <v>285</v>
      </c>
      <c r="Q871" s="1">
        <v>12.13</v>
      </c>
      <c r="R871" s="1">
        <v>0.59</v>
      </c>
      <c r="S871" s="2">
        <v>45533</v>
      </c>
      <c r="T871" s="1">
        <v>83.41</v>
      </c>
      <c r="U871" s="1">
        <v>0.54600000000000004</v>
      </c>
      <c r="V871" s="6">
        <f t="shared" si="39"/>
        <v>20391.2</v>
      </c>
      <c r="W871" s="6" t="str">
        <f t="shared" si="40"/>
        <v>Sufficient</v>
      </c>
      <c r="X871" s="8" t="str">
        <f t="shared" si="41"/>
        <v>High</v>
      </c>
    </row>
    <row r="872" spans="1:24">
      <c r="A872" s="7" t="s">
        <v>1002</v>
      </c>
      <c r="B872" s="1" t="s">
        <v>25</v>
      </c>
      <c r="C872" s="1">
        <v>409</v>
      </c>
      <c r="D872" s="1">
        <v>89</v>
      </c>
      <c r="E872" s="1">
        <v>12</v>
      </c>
      <c r="F872" s="1">
        <v>4</v>
      </c>
      <c r="G872" s="1">
        <v>40.799999999999997</v>
      </c>
      <c r="H872" s="1" t="s">
        <v>124</v>
      </c>
      <c r="I872" s="1" t="s">
        <v>31</v>
      </c>
      <c r="J872" s="1">
        <v>66</v>
      </c>
      <c r="K872" s="1">
        <v>3.7</v>
      </c>
      <c r="L872" s="4">
        <v>127.11</v>
      </c>
      <c r="M872" s="1">
        <v>1.45</v>
      </c>
      <c r="N872" s="1">
        <v>8</v>
      </c>
      <c r="O872" s="1">
        <v>0.99</v>
      </c>
      <c r="P872" s="1">
        <v>69</v>
      </c>
      <c r="Q872" s="1">
        <v>6.01</v>
      </c>
      <c r="R872" s="1">
        <v>0.83</v>
      </c>
      <c r="S872" s="2">
        <v>45329</v>
      </c>
      <c r="T872" s="1">
        <v>159.41</v>
      </c>
      <c r="U872" s="1">
        <v>0.53900000000000003</v>
      </c>
      <c r="V872" s="6">
        <f t="shared" si="39"/>
        <v>51987.99</v>
      </c>
      <c r="W872" s="6" t="str">
        <f t="shared" si="40"/>
        <v>Sufficient</v>
      </c>
      <c r="X872" s="8" t="str">
        <f t="shared" si="41"/>
        <v>High</v>
      </c>
    </row>
    <row r="873" spans="1:24">
      <c r="A873" s="7" t="s">
        <v>1003</v>
      </c>
      <c r="B873" s="1" t="s">
        <v>33</v>
      </c>
      <c r="C873" s="1">
        <v>32</v>
      </c>
      <c r="D873" s="1">
        <v>87</v>
      </c>
      <c r="E873" s="1">
        <v>11</v>
      </c>
      <c r="F873" s="1">
        <v>9</v>
      </c>
      <c r="G873" s="1">
        <v>8.94</v>
      </c>
      <c r="H873" s="1" t="s">
        <v>119</v>
      </c>
      <c r="I873" s="1" t="s">
        <v>27</v>
      </c>
      <c r="J873" s="1">
        <v>139</v>
      </c>
      <c r="K873" s="1">
        <v>3.97</v>
      </c>
      <c r="L873" s="4">
        <v>145.46</v>
      </c>
      <c r="M873" s="1">
        <v>1.23</v>
      </c>
      <c r="N873" s="1">
        <v>8</v>
      </c>
      <c r="O873" s="1">
        <v>0.7</v>
      </c>
      <c r="P873" s="1">
        <v>473</v>
      </c>
      <c r="Q873" s="1">
        <v>13.9</v>
      </c>
      <c r="R873" s="1">
        <v>0.21</v>
      </c>
      <c r="S873" s="2">
        <v>45300</v>
      </c>
      <c r="T873" s="1">
        <v>75.94</v>
      </c>
      <c r="U873" s="1">
        <v>0.48399999999999999</v>
      </c>
      <c r="V873" s="6">
        <f t="shared" si="39"/>
        <v>4654.72</v>
      </c>
      <c r="W873" s="6" t="str">
        <f t="shared" si="40"/>
        <v>Reorder Required</v>
      </c>
      <c r="X873" s="8" t="str">
        <f t="shared" si="41"/>
        <v>LOW</v>
      </c>
    </row>
    <row r="874" spans="1:24">
      <c r="A874" s="7" t="s">
        <v>1004</v>
      </c>
      <c r="B874" s="1" t="s">
        <v>25</v>
      </c>
      <c r="C874" s="1">
        <v>259</v>
      </c>
      <c r="D874" s="1">
        <v>38</v>
      </c>
      <c r="E874" s="1">
        <v>12</v>
      </c>
      <c r="F874" s="1">
        <v>2</v>
      </c>
      <c r="G874" s="1">
        <v>37.24</v>
      </c>
      <c r="H874" s="1" t="s">
        <v>130</v>
      </c>
      <c r="I874" s="1" t="s">
        <v>27</v>
      </c>
      <c r="J874" s="1">
        <v>47</v>
      </c>
      <c r="K874" s="1">
        <v>2.37</v>
      </c>
      <c r="L874" s="4">
        <v>179.5</v>
      </c>
      <c r="M874" s="1">
        <v>0.78</v>
      </c>
      <c r="N874" s="1">
        <v>8</v>
      </c>
      <c r="O874" s="1">
        <v>0.87</v>
      </c>
      <c r="P874" s="1">
        <v>462</v>
      </c>
      <c r="Q874" s="1">
        <v>2.58</v>
      </c>
      <c r="R874" s="1">
        <v>0.93</v>
      </c>
      <c r="S874" s="2">
        <v>45592</v>
      </c>
      <c r="T874" s="1">
        <v>61.81</v>
      </c>
      <c r="U874" s="1">
        <v>0.55600000000000005</v>
      </c>
      <c r="V874" s="6">
        <f t="shared" si="39"/>
        <v>46490.5</v>
      </c>
      <c r="W874" s="6" t="str">
        <f t="shared" si="40"/>
        <v>Sufficient</v>
      </c>
      <c r="X874" s="8" t="str">
        <f t="shared" si="41"/>
        <v>High</v>
      </c>
    </row>
    <row r="875" spans="1:24">
      <c r="A875" s="7" t="s">
        <v>1005</v>
      </c>
      <c r="B875" s="1" t="s">
        <v>66</v>
      </c>
      <c r="C875" s="1">
        <v>339</v>
      </c>
      <c r="D875" s="1">
        <v>35</v>
      </c>
      <c r="E875" s="1">
        <v>12</v>
      </c>
      <c r="F875" s="1">
        <v>4</v>
      </c>
      <c r="G875" s="1">
        <v>22.24</v>
      </c>
      <c r="H875" s="1" t="s">
        <v>61</v>
      </c>
      <c r="I875" s="1" t="s">
        <v>31</v>
      </c>
      <c r="J875" s="1">
        <v>142</v>
      </c>
      <c r="K875" s="1">
        <v>1.46</v>
      </c>
      <c r="L875" s="4">
        <v>73.06</v>
      </c>
      <c r="M875" s="1">
        <v>1.64</v>
      </c>
      <c r="N875" s="1">
        <v>1</v>
      </c>
      <c r="O875" s="1">
        <v>0.73</v>
      </c>
      <c r="P875" s="1">
        <v>438</v>
      </c>
      <c r="Q875" s="1">
        <v>14.04</v>
      </c>
      <c r="R875" s="1">
        <v>0.77</v>
      </c>
      <c r="S875" s="2">
        <v>45326</v>
      </c>
      <c r="T875" s="1">
        <v>286.95999999999998</v>
      </c>
      <c r="U875" s="1">
        <v>0.70299999999999996</v>
      </c>
      <c r="V875" s="6">
        <f t="shared" si="39"/>
        <v>24767.34</v>
      </c>
      <c r="W875" s="6" t="str">
        <f t="shared" si="40"/>
        <v>Sufficient</v>
      </c>
      <c r="X875" s="8" t="str">
        <f t="shared" si="41"/>
        <v>High</v>
      </c>
    </row>
    <row r="876" spans="1:24">
      <c r="A876" s="7" t="s">
        <v>1006</v>
      </c>
      <c r="B876" s="1" t="s">
        <v>25</v>
      </c>
      <c r="C876" s="1">
        <v>465</v>
      </c>
      <c r="D876" s="1">
        <v>44</v>
      </c>
      <c r="E876" s="1">
        <v>9</v>
      </c>
      <c r="F876" s="1">
        <v>9</v>
      </c>
      <c r="G876" s="1">
        <v>12.74</v>
      </c>
      <c r="H876" s="1" t="s">
        <v>156</v>
      </c>
      <c r="I876" s="1" t="s">
        <v>31</v>
      </c>
      <c r="J876" s="1">
        <v>91</v>
      </c>
      <c r="K876" s="1">
        <v>4.01</v>
      </c>
      <c r="L876" s="4">
        <v>173.51</v>
      </c>
      <c r="M876" s="1">
        <v>1.88</v>
      </c>
      <c r="N876" s="1">
        <v>2</v>
      </c>
      <c r="O876" s="1">
        <v>0.82</v>
      </c>
      <c r="P876" s="1">
        <v>394</v>
      </c>
      <c r="Q876" s="1">
        <v>10.65</v>
      </c>
      <c r="R876" s="1">
        <v>0.91</v>
      </c>
      <c r="S876" s="2">
        <v>45299</v>
      </c>
      <c r="T876" s="1">
        <v>145.72999999999999</v>
      </c>
      <c r="U876" s="1">
        <v>0.66</v>
      </c>
      <c r="V876" s="6">
        <f t="shared" si="39"/>
        <v>80682.149999999994</v>
      </c>
      <c r="W876" s="6" t="str">
        <f t="shared" si="40"/>
        <v>Sufficient</v>
      </c>
      <c r="X876" s="8" t="str">
        <f t="shared" si="41"/>
        <v>High</v>
      </c>
    </row>
    <row r="877" spans="1:24">
      <c r="A877" s="7" t="s">
        <v>1007</v>
      </c>
      <c r="B877" s="1" t="s">
        <v>66</v>
      </c>
      <c r="C877" s="1">
        <v>166</v>
      </c>
      <c r="D877" s="1">
        <v>88</v>
      </c>
      <c r="E877" s="1">
        <v>14</v>
      </c>
      <c r="F877" s="1">
        <v>9</v>
      </c>
      <c r="G877" s="1">
        <v>31.45</v>
      </c>
      <c r="H877" s="1" t="s">
        <v>171</v>
      </c>
      <c r="I877" s="1" t="s">
        <v>45</v>
      </c>
      <c r="J877" s="1">
        <v>45</v>
      </c>
      <c r="K877" s="1">
        <v>3.52</v>
      </c>
      <c r="L877" s="4">
        <v>189.61</v>
      </c>
      <c r="M877" s="1">
        <v>1.75</v>
      </c>
      <c r="N877" s="1">
        <v>4</v>
      </c>
      <c r="O877" s="1">
        <v>0.89</v>
      </c>
      <c r="P877" s="1">
        <v>699</v>
      </c>
      <c r="Q877" s="1">
        <v>5.82</v>
      </c>
      <c r="R877" s="1">
        <v>0.97</v>
      </c>
      <c r="S877" s="2">
        <v>45426</v>
      </c>
      <c r="T877" s="1">
        <v>198.85</v>
      </c>
      <c r="U877" s="1">
        <v>0.59499999999999997</v>
      </c>
      <c r="V877" s="6">
        <f t="shared" si="39"/>
        <v>31475.260000000002</v>
      </c>
      <c r="W877" s="6" t="str">
        <f t="shared" si="40"/>
        <v>Sufficient</v>
      </c>
      <c r="X877" s="8" t="str">
        <f t="shared" si="41"/>
        <v>Medium</v>
      </c>
    </row>
    <row r="878" spans="1:24">
      <c r="A878" s="7" t="s">
        <v>1008</v>
      </c>
      <c r="B878" s="1" t="s">
        <v>25</v>
      </c>
      <c r="C878" s="1">
        <v>223</v>
      </c>
      <c r="D878" s="1">
        <v>76</v>
      </c>
      <c r="E878" s="1">
        <v>7</v>
      </c>
      <c r="F878" s="1">
        <v>7</v>
      </c>
      <c r="G878" s="1">
        <v>9.75</v>
      </c>
      <c r="H878" s="1" t="s">
        <v>153</v>
      </c>
      <c r="I878" s="1" t="s">
        <v>45</v>
      </c>
      <c r="J878" s="1">
        <v>97</v>
      </c>
      <c r="K878" s="1">
        <v>4.4400000000000004</v>
      </c>
      <c r="L878" s="4">
        <v>133.25</v>
      </c>
      <c r="M878" s="1">
        <v>0.56000000000000005</v>
      </c>
      <c r="N878" s="1">
        <v>0</v>
      </c>
      <c r="O878" s="1">
        <v>0.91</v>
      </c>
      <c r="P878" s="1">
        <v>516</v>
      </c>
      <c r="Q878" s="1">
        <v>1.1000000000000001</v>
      </c>
      <c r="R878" s="1">
        <v>0.38</v>
      </c>
      <c r="S878" s="2">
        <v>45402</v>
      </c>
      <c r="T878" s="1">
        <v>263.3</v>
      </c>
      <c r="U878" s="1">
        <v>0.61699999999999999</v>
      </c>
      <c r="V878" s="6">
        <f t="shared" si="39"/>
        <v>29714.75</v>
      </c>
      <c r="W878" s="6" t="str">
        <f t="shared" si="40"/>
        <v>Sufficient</v>
      </c>
      <c r="X878" s="8" t="str">
        <f t="shared" si="41"/>
        <v>Medium</v>
      </c>
    </row>
    <row r="879" spans="1:24">
      <c r="A879" s="7" t="s">
        <v>1009</v>
      </c>
      <c r="B879" s="1" t="s">
        <v>66</v>
      </c>
      <c r="C879" s="1">
        <v>99</v>
      </c>
      <c r="D879" s="1">
        <v>96</v>
      </c>
      <c r="E879" s="1">
        <v>9</v>
      </c>
      <c r="F879" s="1">
        <v>5</v>
      </c>
      <c r="G879" s="1">
        <v>38.090000000000003</v>
      </c>
      <c r="H879" s="1" t="s">
        <v>72</v>
      </c>
      <c r="I879" s="1" t="s">
        <v>45</v>
      </c>
      <c r="J879" s="1">
        <v>128</v>
      </c>
      <c r="K879" s="1">
        <v>4.3</v>
      </c>
      <c r="L879" s="4">
        <v>156.57</v>
      </c>
      <c r="M879" s="1">
        <v>0.95</v>
      </c>
      <c r="N879" s="1">
        <v>3</v>
      </c>
      <c r="O879" s="1">
        <v>0.94</v>
      </c>
      <c r="P879" s="1">
        <v>238</v>
      </c>
      <c r="Q879" s="1">
        <v>12.23</v>
      </c>
      <c r="R879" s="1">
        <v>0.66</v>
      </c>
      <c r="S879" s="2">
        <v>45312</v>
      </c>
      <c r="T879" s="1">
        <v>103.43</v>
      </c>
      <c r="U879" s="1">
        <v>0.72799999999999998</v>
      </c>
      <c r="V879" s="6">
        <f t="shared" si="39"/>
        <v>15500.429999999998</v>
      </c>
      <c r="W879" s="6" t="str">
        <f t="shared" si="40"/>
        <v>Sufficient</v>
      </c>
      <c r="X879" s="8" t="str">
        <f t="shared" si="41"/>
        <v>LOW</v>
      </c>
    </row>
    <row r="880" spans="1:24">
      <c r="A880" s="7" t="s">
        <v>1010</v>
      </c>
      <c r="B880" s="1" t="s">
        <v>41</v>
      </c>
      <c r="C880" s="1">
        <v>398</v>
      </c>
      <c r="D880" s="1">
        <v>38</v>
      </c>
      <c r="E880" s="1">
        <v>5</v>
      </c>
      <c r="F880" s="1">
        <v>4</v>
      </c>
      <c r="G880" s="1">
        <v>3.33</v>
      </c>
      <c r="H880" s="1" t="s">
        <v>183</v>
      </c>
      <c r="I880" s="1" t="s">
        <v>45</v>
      </c>
      <c r="J880" s="1">
        <v>94</v>
      </c>
      <c r="K880" s="1">
        <v>1.42</v>
      </c>
      <c r="L880" s="4">
        <v>87.08</v>
      </c>
      <c r="M880" s="1">
        <v>0.75</v>
      </c>
      <c r="N880" s="1">
        <v>4</v>
      </c>
      <c r="O880" s="1">
        <v>0.88</v>
      </c>
      <c r="P880" s="1">
        <v>666</v>
      </c>
      <c r="Q880" s="1">
        <v>14.57</v>
      </c>
      <c r="R880" s="1">
        <v>0.59</v>
      </c>
      <c r="S880" s="2">
        <v>45322</v>
      </c>
      <c r="T880" s="1">
        <v>238.82</v>
      </c>
      <c r="U880" s="1">
        <v>0.73299999999999998</v>
      </c>
      <c r="V880" s="6">
        <f t="shared" si="39"/>
        <v>34657.839999999997</v>
      </c>
      <c r="W880" s="6" t="str">
        <f t="shared" si="40"/>
        <v>Sufficient</v>
      </c>
      <c r="X880" s="8" t="str">
        <f t="shared" si="41"/>
        <v>High</v>
      </c>
    </row>
    <row r="881" spans="1:24">
      <c r="A881" s="7" t="s">
        <v>1011</v>
      </c>
      <c r="B881" s="1" t="s">
        <v>29</v>
      </c>
      <c r="C881" s="1">
        <v>62</v>
      </c>
      <c r="D881" s="1">
        <v>43</v>
      </c>
      <c r="E881" s="1">
        <v>4</v>
      </c>
      <c r="F881" s="1">
        <v>4</v>
      </c>
      <c r="G881" s="1">
        <v>48</v>
      </c>
      <c r="H881" s="1" t="s">
        <v>103</v>
      </c>
      <c r="I881" s="1" t="s">
        <v>45</v>
      </c>
      <c r="J881" s="1">
        <v>157</v>
      </c>
      <c r="K881" s="1">
        <v>4.25</v>
      </c>
      <c r="L881" s="4">
        <v>190.91</v>
      </c>
      <c r="M881" s="1">
        <v>1.44</v>
      </c>
      <c r="N881" s="1">
        <v>8</v>
      </c>
      <c r="O881" s="1">
        <v>0.78</v>
      </c>
      <c r="P881" s="1">
        <v>417</v>
      </c>
      <c r="Q881" s="1">
        <v>14.75</v>
      </c>
      <c r="R881" s="1">
        <v>0.63</v>
      </c>
      <c r="S881" s="2">
        <v>45495</v>
      </c>
      <c r="T881" s="1">
        <v>238.76</v>
      </c>
      <c r="U881" s="1">
        <v>0.57499999999999996</v>
      </c>
      <c r="V881" s="6">
        <f t="shared" si="39"/>
        <v>11836.42</v>
      </c>
      <c r="W881" s="6" t="str">
        <f t="shared" si="40"/>
        <v>Sufficient</v>
      </c>
      <c r="X881" s="8" t="str">
        <f t="shared" si="41"/>
        <v>LOW</v>
      </c>
    </row>
    <row r="882" spans="1:24">
      <c r="A882" s="7" t="s">
        <v>1012</v>
      </c>
      <c r="B882" s="1" t="s">
        <v>33</v>
      </c>
      <c r="C882" s="1">
        <v>477</v>
      </c>
      <c r="D882" s="1">
        <v>50</v>
      </c>
      <c r="E882" s="1">
        <v>13</v>
      </c>
      <c r="F882" s="1">
        <v>9</v>
      </c>
      <c r="G882" s="1">
        <v>4.5199999999999996</v>
      </c>
      <c r="H882" s="1" t="s">
        <v>279</v>
      </c>
      <c r="I882" s="1" t="s">
        <v>45</v>
      </c>
      <c r="J882" s="1">
        <v>142</v>
      </c>
      <c r="K882" s="1">
        <v>1.29</v>
      </c>
      <c r="L882" s="4">
        <v>137.46</v>
      </c>
      <c r="M882" s="1">
        <v>1.68</v>
      </c>
      <c r="N882" s="1">
        <v>7</v>
      </c>
      <c r="O882" s="1">
        <v>0.97</v>
      </c>
      <c r="P882" s="1">
        <v>434</v>
      </c>
      <c r="Q882" s="1">
        <v>6.93</v>
      </c>
      <c r="R882" s="1">
        <v>0.24</v>
      </c>
      <c r="S882" s="2">
        <v>45551</v>
      </c>
      <c r="T882" s="1">
        <v>248.96</v>
      </c>
      <c r="U882" s="1">
        <v>0.42599999999999999</v>
      </c>
      <c r="V882" s="6">
        <f t="shared" si="39"/>
        <v>65568.42</v>
      </c>
      <c r="W882" s="6" t="str">
        <f t="shared" si="40"/>
        <v>Sufficient</v>
      </c>
      <c r="X882" s="8" t="str">
        <f t="shared" si="41"/>
        <v>High</v>
      </c>
    </row>
    <row r="883" spans="1:24">
      <c r="A883" s="7" t="s">
        <v>1013</v>
      </c>
      <c r="B883" s="1" t="s">
        <v>25</v>
      </c>
      <c r="C883" s="1">
        <v>108</v>
      </c>
      <c r="D883" s="1">
        <v>50</v>
      </c>
      <c r="E883" s="1">
        <v>7</v>
      </c>
      <c r="F883" s="1">
        <v>8</v>
      </c>
      <c r="G883" s="1">
        <v>29.39</v>
      </c>
      <c r="H883" s="1" t="s">
        <v>88</v>
      </c>
      <c r="I883" s="1" t="s">
        <v>27</v>
      </c>
      <c r="J883" s="1">
        <v>33</v>
      </c>
      <c r="K883" s="1">
        <v>4.3899999999999997</v>
      </c>
      <c r="L883" s="4">
        <v>68.930000000000007</v>
      </c>
      <c r="M883" s="1">
        <v>0.51</v>
      </c>
      <c r="N883" s="1">
        <v>0</v>
      </c>
      <c r="O883" s="1">
        <v>0.94</v>
      </c>
      <c r="P883" s="1">
        <v>992</v>
      </c>
      <c r="Q883" s="1">
        <v>1.99</v>
      </c>
      <c r="R883" s="1">
        <v>0.93</v>
      </c>
      <c r="S883" s="2">
        <v>45438</v>
      </c>
      <c r="T883" s="1">
        <v>64.94</v>
      </c>
      <c r="U883" s="1">
        <v>0.75</v>
      </c>
      <c r="V883" s="6">
        <f t="shared" si="39"/>
        <v>7444.4400000000005</v>
      </c>
      <c r="W883" s="6" t="str">
        <f t="shared" si="40"/>
        <v>Sufficient</v>
      </c>
      <c r="X883" s="8" t="str">
        <f t="shared" si="41"/>
        <v>Medium</v>
      </c>
    </row>
    <row r="884" spans="1:24">
      <c r="A884" s="7" t="s">
        <v>1014</v>
      </c>
      <c r="B884" s="1" t="s">
        <v>29</v>
      </c>
      <c r="C884" s="1">
        <v>167</v>
      </c>
      <c r="D884" s="1">
        <v>32</v>
      </c>
      <c r="E884" s="1">
        <v>6</v>
      </c>
      <c r="F884" s="1">
        <v>5</v>
      </c>
      <c r="G884" s="1">
        <v>45.21</v>
      </c>
      <c r="H884" s="1" t="s">
        <v>325</v>
      </c>
      <c r="I884" s="1" t="s">
        <v>31</v>
      </c>
      <c r="J884" s="1">
        <v>39</v>
      </c>
      <c r="K884" s="1">
        <v>3.97</v>
      </c>
      <c r="L884" s="4">
        <v>86.81</v>
      </c>
      <c r="M884" s="1">
        <v>1.9</v>
      </c>
      <c r="N884" s="1">
        <v>2</v>
      </c>
      <c r="O884" s="1">
        <v>0.75</v>
      </c>
      <c r="P884" s="1">
        <v>147</v>
      </c>
      <c r="Q884" s="1">
        <v>5.39</v>
      </c>
      <c r="R884" s="1">
        <v>0.96</v>
      </c>
      <c r="S884" s="2">
        <v>45613</v>
      </c>
      <c r="T884" s="1">
        <v>289.22000000000003</v>
      </c>
      <c r="U884" s="1">
        <v>0.58399999999999996</v>
      </c>
      <c r="V884" s="6">
        <f t="shared" si="39"/>
        <v>14497.27</v>
      </c>
      <c r="W884" s="6" t="str">
        <f t="shared" si="40"/>
        <v>Sufficient</v>
      </c>
      <c r="X884" s="8" t="str">
        <f t="shared" si="41"/>
        <v>Medium</v>
      </c>
    </row>
    <row r="885" spans="1:24">
      <c r="A885" s="7" t="s">
        <v>1015</v>
      </c>
      <c r="B885" s="1" t="s">
        <v>33</v>
      </c>
      <c r="C885" s="1">
        <v>114</v>
      </c>
      <c r="D885" s="1">
        <v>80</v>
      </c>
      <c r="E885" s="1">
        <v>7</v>
      </c>
      <c r="F885" s="1">
        <v>8</v>
      </c>
      <c r="G885" s="1">
        <v>1.58</v>
      </c>
      <c r="H885" s="1" t="s">
        <v>50</v>
      </c>
      <c r="I885" s="1" t="s">
        <v>39</v>
      </c>
      <c r="J885" s="1">
        <v>37</v>
      </c>
      <c r="K885" s="1">
        <v>3.06</v>
      </c>
      <c r="L885" s="4">
        <v>127.37</v>
      </c>
      <c r="M885" s="1">
        <v>1.39</v>
      </c>
      <c r="N885" s="1">
        <v>2</v>
      </c>
      <c r="O885" s="1">
        <v>0.95</v>
      </c>
      <c r="P885" s="1">
        <v>319</v>
      </c>
      <c r="Q885" s="1">
        <v>5.34</v>
      </c>
      <c r="R885" s="1">
        <v>0.75</v>
      </c>
      <c r="S885" s="2">
        <v>45656</v>
      </c>
      <c r="T885" s="1">
        <v>89.69</v>
      </c>
      <c r="U885" s="1">
        <v>0.63200000000000001</v>
      </c>
      <c r="V885" s="6">
        <f t="shared" si="39"/>
        <v>14520.18</v>
      </c>
      <c r="W885" s="6" t="str">
        <f t="shared" si="40"/>
        <v>Sufficient</v>
      </c>
      <c r="X885" s="8" t="str">
        <f t="shared" si="41"/>
        <v>Medium</v>
      </c>
    </row>
    <row r="886" spans="1:24">
      <c r="A886" s="7" t="s">
        <v>1016</v>
      </c>
      <c r="B886" s="1" t="s">
        <v>33</v>
      </c>
      <c r="C886" s="1">
        <v>471</v>
      </c>
      <c r="D886" s="1">
        <v>12</v>
      </c>
      <c r="E886" s="1">
        <v>10</v>
      </c>
      <c r="F886" s="1">
        <v>3</v>
      </c>
      <c r="G886" s="1">
        <v>25.43</v>
      </c>
      <c r="H886" s="1" t="s">
        <v>294</v>
      </c>
      <c r="I886" s="1" t="s">
        <v>45</v>
      </c>
      <c r="J886" s="1">
        <v>118</v>
      </c>
      <c r="K886" s="1">
        <v>3.39</v>
      </c>
      <c r="L886" s="4">
        <v>54.49</v>
      </c>
      <c r="M886" s="1">
        <v>0.52</v>
      </c>
      <c r="N886" s="1">
        <v>5</v>
      </c>
      <c r="O886" s="1">
        <v>0.99</v>
      </c>
      <c r="P886" s="1">
        <v>714</v>
      </c>
      <c r="Q886" s="1">
        <v>2.4300000000000002</v>
      </c>
      <c r="R886" s="1">
        <v>0.41</v>
      </c>
      <c r="S886" s="2">
        <v>45548</v>
      </c>
      <c r="T886" s="1">
        <v>235.28</v>
      </c>
      <c r="U886" s="1">
        <v>0.56000000000000005</v>
      </c>
      <c r="V886" s="6">
        <f t="shared" si="39"/>
        <v>25664.79</v>
      </c>
      <c r="W886" s="6" t="str">
        <f t="shared" si="40"/>
        <v>Sufficient</v>
      </c>
      <c r="X886" s="8" t="str">
        <f t="shared" si="41"/>
        <v>High</v>
      </c>
    </row>
    <row r="887" spans="1:24">
      <c r="A887" s="7" t="s">
        <v>1017</v>
      </c>
      <c r="B887" s="1" t="s">
        <v>66</v>
      </c>
      <c r="C887" s="1">
        <v>447</v>
      </c>
      <c r="D887" s="1">
        <v>67</v>
      </c>
      <c r="E887" s="1">
        <v>14</v>
      </c>
      <c r="F887" s="1">
        <v>6</v>
      </c>
      <c r="G887" s="1">
        <v>18.149999999999999</v>
      </c>
      <c r="H887" s="1" t="s">
        <v>145</v>
      </c>
      <c r="I887" s="1" t="s">
        <v>27</v>
      </c>
      <c r="J887" s="1">
        <v>144</v>
      </c>
      <c r="K887" s="1">
        <v>0.97</v>
      </c>
      <c r="L887" s="4">
        <v>153.24</v>
      </c>
      <c r="M887" s="1">
        <v>0.81</v>
      </c>
      <c r="N887" s="1">
        <v>3</v>
      </c>
      <c r="O887" s="1">
        <v>0.89</v>
      </c>
      <c r="P887" s="1">
        <v>267</v>
      </c>
      <c r="Q887" s="1">
        <v>8.35</v>
      </c>
      <c r="R887" s="1">
        <v>0.83</v>
      </c>
      <c r="S887" s="2">
        <v>45504</v>
      </c>
      <c r="T887" s="1">
        <v>57.07</v>
      </c>
      <c r="U887" s="1">
        <v>0.71399999999999997</v>
      </c>
      <c r="V887" s="6">
        <f t="shared" si="39"/>
        <v>68498.28</v>
      </c>
      <c r="W887" s="6" t="str">
        <f t="shared" si="40"/>
        <v>Sufficient</v>
      </c>
      <c r="X887" s="8" t="str">
        <f t="shared" si="41"/>
        <v>High</v>
      </c>
    </row>
    <row r="888" spans="1:24">
      <c r="A888" s="7" t="s">
        <v>1018</v>
      </c>
      <c r="B888" s="1" t="s">
        <v>41</v>
      </c>
      <c r="C888" s="1">
        <v>170</v>
      </c>
      <c r="D888" s="1">
        <v>41</v>
      </c>
      <c r="E888" s="1">
        <v>6</v>
      </c>
      <c r="F888" s="1">
        <v>7</v>
      </c>
      <c r="G888" s="1">
        <v>29.44</v>
      </c>
      <c r="H888" s="1" t="s">
        <v>26</v>
      </c>
      <c r="I888" s="1" t="s">
        <v>31</v>
      </c>
      <c r="J888" s="1">
        <v>179</v>
      </c>
      <c r="K888" s="1">
        <v>0.68</v>
      </c>
      <c r="L888" s="4">
        <v>52.69</v>
      </c>
      <c r="M888" s="1">
        <v>0.3</v>
      </c>
      <c r="N888" s="1">
        <v>3</v>
      </c>
      <c r="O888" s="1">
        <v>0.78</v>
      </c>
      <c r="P888" s="1">
        <v>70</v>
      </c>
      <c r="Q888" s="1">
        <v>9.4600000000000009</v>
      </c>
      <c r="R888" s="1">
        <v>0.78</v>
      </c>
      <c r="S888" s="2">
        <v>45508</v>
      </c>
      <c r="T888" s="1">
        <v>278.02999999999997</v>
      </c>
      <c r="U888" s="1">
        <v>0.748</v>
      </c>
      <c r="V888" s="6">
        <f t="shared" si="39"/>
        <v>8957.2999999999993</v>
      </c>
      <c r="W888" s="6" t="str">
        <f t="shared" si="40"/>
        <v>Sufficient</v>
      </c>
      <c r="X888" s="8" t="str">
        <f t="shared" si="41"/>
        <v>Medium</v>
      </c>
    </row>
    <row r="889" spans="1:24">
      <c r="A889" s="7" t="s">
        <v>1019</v>
      </c>
      <c r="B889" s="1" t="s">
        <v>41</v>
      </c>
      <c r="C889" s="1">
        <v>21</v>
      </c>
      <c r="D889" s="1">
        <v>40</v>
      </c>
      <c r="E889" s="1">
        <v>11</v>
      </c>
      <c r="F889" s="1">
        <v>7</v>
      </c>
      <c r="G889" s="1">
        <v>12.05</v>
      </c>
      <c r="H889" s="1" t="s">
        <v>128</v>
      </c>
      <c r="I889" s="1" t="s">
        <v>31</v>
      </c>
      <c r="J889" s="1">
        <v>44</v>
      </c>
      <c r="K889" s="1">
        <v>1.99</v>
      </c>
      <c r="L889" s="4">
        <v>122.44</v>
      </c>
      <c r="M889" s="1">
        <v>1.23</v>
      </c>
      <c r="N889" s="1">
        <v>0</v>
      </c>
      <c r="O889" s="1">
        <v>0.88</v>
      </c>
      <c r="P889" s="1">
        <v>321</v>
      </c>
      <c r="Q889" s="1">
        <v>11.2</v>
      </c>
      <c r="R889" s="1">
        <v>0.66</v>
      </c>
      <c r="S889" s="2">
        <v>45651</v>
      </c>
      <c r="T889" s="1">
        <v>134.08000000000001</v>
      </c>
      <c r="U889" s="1">
        <v>0.73399999999999999</v>
      </c>
      <c r="V889" s="6">
        <f t="shared" si="39"/>
        <v>2571.2399999999998</v>
      </c>
      <c r="W889" s="6" t="str">
        <f t="shared" si="40"/>
        <v>Reorder Required</v>
      </c>
      <c r="X889" s="8" t="str">
        <f t="shared" si="41"/>
        <v>LOW</v>
      </c>
    </row>
    <row r="890" spans="1:24">
      <c r="A890" s="7" t="s">
        <v>1020</v>
      </c>
      <c r="B890" s="1" t="s">
        <v>29</v>
      </c>
      <c r="C890" s="1">
        <v>395</v>
      </c>
      <c r="D890" s="1">
        <v>91</v>
      </c>
      <c r="E890" s="1">
        <v>9</v>
      </c>
      <c r="F890" s="1">
        <v>2</v>
      </c>
      <c r="G890" s="1">
        <v>4.18</v>
      </c>
      <c r="H890" s="1" t="s">
        <v>151</v>
      </c>
      <c r="I890" s="1" t="s">
        <v>31</v>
      </c>
      <c r="J890" s="1">
        <v>128</v>
      </c>
      <c r="K890" s="1">
        <v>4.2</v>
      </c>
      <c r="L890" s="4">
        <v>142.43</v>
      </c>
      <c r="M890" s="1">
        <v>0.42</v>
      </c>
      <c r="N890" s="1">
        <v>9</v>
      </c>
      <c r="O890" s="1">
        <v>0.8</v>
      </c>
      <c r="P890" s="1">
        <v>763</v>
      </c>
      <c r="Q890" s="1">
        <v>1.71</v>
      </c>
      <c r="R890" s="1">
        <v>0.34</v>
      </c>
      <c r="S890" s="2">
        <v>45497</v>
      </c>
      <c r="T890" s="1">
        <v>203.91</v>
      </c>
      <c r="U890" s="1">
        <v>0.42899999999999999</v>
      </c>
      <c r="V890" s="6">
        <f t="shared" si="39"/>
        <v>56259.850000000006</v>
      </c>
      <c r="W890" s="6" t="str">
        <f t="shared" si="40"/>
        <v>Sufficient</v>
      </c>
      <c r="X890" s="8" t="str">
        <f t="shared" si="41"/>
        <v>High</v>
      </c>
    </row>
    <row r="891" spans="1:24">
      <c r="A891" s="7" t="s">
        <v>1021</v>
      </c>
      <c r="B891" s="1" t="s">
        <v>41</v>
      </c>
      <c r="C891" s="1">
        <v>41</v>
      </c>
      <c r="D891" s="1">
        <v>52</v>
      </c>
      <c r="E891" s="1">
        <v>12</v>
      </c>
      <c r="F891" s="1">
        <v>8</v>
      </c>
      <c r="G891" s="1">
        <v>31.67</v>
      </c>
      <c r="H891" s="1" t="s">
        <v>106</v>
      </c>
      <c r="I891" s="1" t="s">
        <v>45</v>
      </c>
      <c r="J891" s="1">
        <v>43</v>
      </c>
      <c r="K891" s="1">
        <v>2.6</v>
      </c>
      <c r="L891" s="4">
        <v>173.35</v>
      </c>
      <c r="M891" s="1">
        <v>1.42</v>
      </c>
      <c r="N891" s="1">
        <v>3</v>
      </c>
      <c r="O891" s="1">
        <v>0.9</v>
      </c>
      <c r="P891" s="1">
        <v>209</v>
      </c>
      <c r="Q891" s="1">
        <v>4.8600000000000003</v>
      </c>
      <c r="R891" s="1">
        <v>0.36</v>
      </c>
      <c r="S891" s="2">
        <v>45334</v>
      </c>
      <c r="T891" s="1">
        <v>256.56</v>
      </c>
      <c r="U891" s="1">
        <v>0.51500000000000001</v>
      </c>
      <c r="V891" s="6">
        <f t="shared" si="39"/>
        <v>7107.3499999999995</v>
      </c>
      <c r="W891" s="6" t="str">
        <f t="shared" si="40"/>
        <v>Reorder Required</v>
      </c>
      <c r="X891" s="8" t="str">
        <f t="shared" si="41"/>
        <v>LOW</v>
      </c>
    </row>
    <row r="892" spans="1:24">
      <c r="A892" s="7" t="s">
        <v>1022</v>
      </c>
      <c r="B892" s="1" t="s">
        <v>25</v>
      </c>
      <c r="C892" s="1">
        <v>390</v>
      </c>
      <c r="D892" s="1">
        <v>16</v>
      </c>
      <c r="E892" s="1">
        <v>14</v>
      </c>
      <c r="F892" s="1">
        <v>6</v>
      </c>
      <c r="G892" s="1">
        <v>21.43</v>
      </c>
      <c r="H892" s="1" t="s">
        <v>294</v>
      </c>
      <c r="I892" s="1" t="s">
        <v>45</v>
      </c>
      <c r="J892" s="1">
        <v>112</v>
      </c>
      <c r="K892" s="1">
        <v>1.51</v>
      </c>
      <c r="L892" s="4">
        <v>149.44</v>
      </c>
      <c r="M892" s="1">
        <v>1.5</v>
      </c>
      <c r="N892" s="1">
        <v>0</v>
      </c>
      <c r="O892" s="1">
        <v>0.86</v>
      </c>
      <c r="P892" s="1">
        <v>541</v>
      </c>
      <c r="Q892" s="1">
        <v>5.97</v>
      </c>
      <c r="R892" s="1">
        <v>0.67</v>
      </c>
      <c r="S892" s="2">
        <v>45619</v>
      </c>
      <c r="T892" s="1">
        <v>91.89</v>
      </c>
      <c r="U892" s="1">
        <v>0.63600000000000001</v>
      </c>
      <c r="V892" s="6">
        <f t="shared" si="39"/>
        <v>58281.599999999999</v>
      </c>
      <c r="W892" s="6" t="str">
        <f t="shared" si="40"/>
        <v>Sufficient</v>
      </c>
      <c r="X892" s="8" t="str">
        <f t="shared" si="41"/>
        <v>High</v>
      </c>
    </row>
    <row r="893" spans="1:24">
      <c r="A893" s="7" t="s">
        <v>1023</v>
      </c>
      <c r="B893" s="1" t="s">
        <v>41</v>
      </c>
      <c r="C893" s="1">
        <v>332</v>
      </c>
      <c r="D893" s="1">
        <v>10</v>
      </c>
      <c r="E893" s="1">
        <v>9</v>
      </c>
      <c r="F893" s="1">
        <v>9</v>
      </c>
      <c r="G893" s="1">
        <v>31.5</v>
      </c>
      <c r="H893" s="1" t="s">
        <v>304</v>
      </c>
      <c r="I893" s="1" t="s">
        <v>39</v>
      </c>
      <c r="J893" s="1">
        <v>126</v>
      </c>
      <c r="K893" s="1">
        <v>4.26</v>
      </c>
      <c r="L893" s="4">
        <v>161.78</v>
      </c>
      <c r="M893" s="1">
        <v>1.01</v>
      </c>
      <c r="N893" s="1">
        <v>4</v>
      </c>
      <c r="O893" s="1">
        <v>0.98</v>
      </c>
      <c r="P893" s="1">
        <v>478</v>
      </c>
      <c r="Q893" s="1">
        <v>13.49</v>
      </c>
      <c r="R893" s="1">
        <v>0.3</v>
      </c>
      <c r="S893" s="2">
        <v>45566</v>
      </c>
      <c r="T893" s="1">
        <v>122.81</v>
      </c>
      <c r="U893" s="1">
        <v>0.65500000000000003</v>
      </c>
      <c r="V893" s="6">
        <f t="shared" si="39"/>
        <v>53710.96</v>
      </c>
      <c r="W893" s="6" t="str">
        <f t="shared" si="40"/>
        <v>Sufficient</v>
      </c>
      <c r="X893" s="8" t="str">
        <f t="shared" si="41"/>
        <v>High</v>
      </c>
    </row>
    <row r="894" spans="1:24">
      <c r="A894" s="7" t="s">
        <v>1024</v>
      </c>
      <c r="B894" s="1" t="s">
        <v>29</v>
      </c>
      <c r="C894" s="1">
        <v>347</v>
      </c>
      <c r="D894" s="1">
        <v>70</v>
      </c>
      <c r="E894" s="1">
        <v>10</v>
      </c>
      <c r="F894" s="1">
        <v>2</v>
      </c>
      <c r="G894" s="1">
        <v>11.32</v>
      </c>
      <c r="H894" s="1" t="s">
        <v>126</v>
      </c>
      <c r="I894" s="1" t="s">
        <v>45</v>
      </c>
      <c r="J894" s="1">
        <v>85</v>
      </c>
      <c r="K894" s="1">
        <v>1.53</v>
      </c>
      <c r="L894" s="4">
        <v>183.46</v>
      </c>
      <c r="M894" s="1">
        <v>0.28000000000000003</v>
      </c>
      <c r="N894" s="1">
        <v>2</v>
      </c>
      <c r="O894" s="1">
        <v>0.89</v>
      </c>
      <c r="P894" s="1">
        <v>625</v>
      </c>
      <c r="Q894" s="1">
        <v>13.62</v>
      </c>
      <c r="R894" s="1">
        <v>0.78</v>
      </c>
      <c r="S894" s="2">
        <v>45567</v>
      </c>
      <c r="T894" s="1">
        <v>100.88</v>
      </c>
      <c r="U894" s="1">
        <v>0.84799999999999998</v>
      </c>
      <c r="V894" s="6">
        <f t="shared" si="39"/>
        <v>63660.62</v>
      </c>
      <c r="W894" s="6" t="str">
        <f t="shared" si="40"/>
        <v>Sufficient</v>
      </c>
      <c r="X894" s="8" t="str">
        <f t="shared" si="41"/>
        <v>High</v>
      </c>
    </row>
    <row r="895" spans="1:24">
      <c r="A895" s="7" t="s">
        <v>1025</v>
      </c>
      <c r="B895" s="1" t="s">
        <v>41</v>
      </c>
      <c r="C895" s="1">
        <v>26</v>
      </c>
      <c r="D895" s="1">
        <v>23</v>
      </c>
      <c r="E895" s="1">
        <v>14</v>
      </c>
      <c r="F895" s="1">
        <v>7</v>
      </c>
      <c r="G895" s="1">
        <v>17.600000000000001</v>
      </c>
      <c r="H895" s="1" t="s">
        <v>372</v>
      </c>
      <c r="I895" s="1" t="s">
        <v>31</v>
      </c>
      <c r="J895" s="1">
        <v>63</v>
      </c>
      <c r="K895" s="1">
        <v>4.17</v>
      </c>
      <c r="L895" s="4">
        <v>123.58</v>
      </c>
      <c r="M895" s="1">
        <v>1.26</v>
      </c>
      <c r="N895" s="1">
        <v>9</v>
      </c>
      <c r="O895" s="1">
        <v>0.76</v>
      </c>
      <c r="P895" s="1">
        <v>645</v>
      </c>
      <c r="Q895" s="1">
        <v>4.6399999999999997</v>
      </c>
      <c r="R895" s="1">
        <v>0.37</v>
      </c>
      <c r="S895" s="2">
        <v>45607</v>
      </c>
      <c r="T895" s="1">
        <v>92.03</v>
      </c>
      <c r="U895" s="1">
        <v>0.38200000000000001</v>
      </c>
      <c r="V895" s="6">
        <f t="shared" si="39"/>
        <v>3213.08</v>
      </c>
      <c r="W895" s="6" t="str">
        <f t="shared" si="40"/>
        <v>Sufficient</v>
      </c>
      <c r="X895" s="8" t="str">
        <f t="shared" si="41"/>
        <v>LOW</v>
      </c>
    </row>
    <row r="896" spans="1:24">
      <c r="A896" s="7" t="s">
        <v>1026</v>
      </c>
      <c r="B896" s="1" t="s">
        <v>25</v>
      </c>
      <c r="C896" s="1">
        <v>225</v>
      </c>
      <c r="D896" s="1">
        <v>61</v>
      </c>
      <c r="E896" s="1">
        <v>8</v>
      </c>
      <c r="F896" s="1">
        <v>6</v>
      </c>
      <c r="G896" s="1">
        <v>28.52</v>
      </c>
      <c r="H896" s="1" t="s">
        <v>83</v>
      </c>
      <c r="I896" s="1" t="s">
        <v>31</v>
      </c>
      <c r="J896" s="1">
        <v>38</v>
      </c>
      <c r="K896" s="1">
        <v>2.54</v>
      </c>
      <c r="L896" s="4">
        <v>170.79</v>
      </c>
      <c r="M896" s="1">
        <v>0.81</v>
      </c>
      <c r="N896" s="1">
        <v>4</v>
      </c>
      <c r="O896" s="1">
        <v>0.92</v>
      </c>
      <c r="P896" s="1">
        <v>634</v>
      </c>
      <c r="Q896" s="1">
        <v>7.82</v>
      </c>
      <c r="R896" s="1">
        <v>0.93</v>
      </c>
      <c r="S896" s="2">
        <v>45370</v>
      </c>
      <c r="T896" s="1">
        <v>157.99</v>
      </c>
      <c r="U896" s="1">
        <v>0.71299999999999997</v>
      </c>
      <c r="V896" s="6">
        <f t="shared" si="39"/>
        <v>38427.75</v>
      </c>
      <c r="W896" s="6" t="str">
        <f t="shared" si="40"/>
        <v>Sufficient</v>
      </c>
      <c r="X896" s="8" t="str">
        <f t="shared" si="41"/>
        <v>Medium</v>
      </c>
    </row>
    <row r="897" spans="1:24">
      <c r="A897" s="7" t="s">
        <v>1027</v>
      </c>
      <c r="B897" s="1" t="s">
        <v>66</v>
      </c>
      <c r="C897" s="1">
        <v>459</v>
      </c>
      <c r="D897" s="1">
        <v>15</v>
      </c>
      <c r="E897" s="1">
        <v>10</v>
      </c>
      <c r="F897" s="1">
        <v>4</v>
      </c>
      <c r="G897" s="1">
        <v>30.06</v>
      </c>
      <c r="H897" s="1" t="s">
        <v>178</v>
      </c>
      <c r="I897" s="1" t="s">
        <v>27</v>
      </c>
      <c r="J897" s="1">
        <v>147</v>
      </c>
      <c r="K897" s="1">
        <v>2.59</v>
      </c>
      <c r="L897" s="4">
        <v>54.06</v>
      </c>
      <c r="M897" s="1">
        <v>1.9</v>
      </c>
      <c r="N897" s="1">
        <v>2</v>
      </c>
      <c r="O897" s="1">
        <v>0.79</v>
      </c>
      <c r="P897" s="1">
        <v>621</v>
      </c>
      <c r="Q897" s="1">
        <v>6.95</v>
      </c>
      <c r="R897" s="1">
        <v>0.92</v>
      </c>
      <c r="S897" s="2">
        <v>45434</v>
      </c>
      <c r="T897" s="1">
        <v>168.56</v>
      </c>
      <c r="U897" s="1">
        <v>0.60499999999999998</v>
      </c>
      <c r="V897" s="6">
        <f t="shared" si="39"/>
        <v>24813.54</v>
      </c>
      <c r="W897" s="6" t="str">
        <f t="shared" si="40"/>
        <v>Sufficient</v>
      </c>
      <c r="X897" s="8" t="str">
        <f t="shared" si="41"/>
        <v>High</v>
      </c>
    </row>
    <row r="898" spans="1:24">
      <c r="A898" s="7" t="s">
        <v>1028</v>
      </c>
      <c r="B898" s="1" t="s">
        <v>29</v>
      </c>
      <c r="C898" s="1">
        <v>394</v>
      </c>
      <c r="D898" s="1">
        <v>19</v>
      </c>
      <c r="E898" s="1">
        <v>5</v>
      </c>
      <c r="F898" s="1">
        <v>3</v>
      </c>
      <c r="G898" s="1">
        <v>19.239999999999998</v>
      </c>
      <c r="H898" s="1" t="s">
        <v>558</v>
      </c>
      <c r="I898" s="1" t="s">
        <v>27</v>
      </c>
      <c r="J898" s="1">
        <v>36</v>
      </c>
      <c r="K898" s="1">
        <v>1.73</v>
      </c>
      <c r="L898" s="4">
        <v>164.8</v>
      </c>
      <c r="M898" s="1">
        <v>1.08</v>
      </c>
      <c r="N898" s="1">
        <v>4</v>
      </c>
      <c r="O898" s="1">
        <v>0.78</v>
      </c>
      <c r="P898" s="1">
        <v>915</v>
      </c>
      <c r="Q898" s="1">
        <v>8.3699999999999992</v>
      </c>
      <c r="R898" s="1">
        <v>0.43</v>
      </c>
      <c r="S898" s="2">
        <v>45334</v>
      </c>
      <c r="T898" s="1">
        <v>32.28</v>
      </c>
      <c r="U898" s="1">
        <v>0.56599999999999995</v>
      </c>
      <c r="V898" s="6">
        <f t="shared" si="39"/>
        <v>64931.200000000004</v>
      </c>
      <c r="W898" s="6" t="str">
        <f t="shared" si="40"/>
        <v>Sufficient</v>
      </c>
      <c r="X898" s="8" t="str">
        <f t="shared" si="41"/>
        <v>High</v>
      </c>
    </row>
    <row r="899" spans="1:24">
      <c r="A899" s="7" t="s">
        <v>1029</v>
      </c>
      <c r="B899" s="1" t="s">
        <v>66</v>
      </c>
      <c r="C899" s="1">
        <v>470</v>
      </c>
      <c r="D899" s="1">
        <v>80</v>
      </c>
      <c r="E899" s="1">
        <v>12</v>
      </c>
      <c r="F899" s="1">
        <v>9</v>
      </c>
      <c r="G899" s="1">
        <v>14.72</v>
      </c>
      <c r="H899" s="1" t="s">
        <v>130</v>
      </c>
      <c r="I899" s="1" t="s">
        <v>39</v>
      </c>
      <c r="J899" s="1">
        <v>22</v>
      </c>
      <c r="K899" s="1">
        <v>4.55</v>
      </c>
      <c r="L899" s="4">
        <v>52.12</v>
      </c>
      <c r="M899" s="1">
        <v>0.24</v>
      </c>
      <c r="N899" s="1">
        <v>3</v>
      </c>
      <c r="O899" s="1">
        <v>0.82</v>
      </c>
      <c r="P899" s="1">
        <v>708</v>
      </c>
      <c r="Q899" s="1">
        <v>5.01</v>
      </c>
      <c r="R899" s="1">
        <v>0.27</v>
      </c>
      <c r="S899" s="2">
        <v>45450</v>
      </c>
      <c r="T899" s="1">
        <v>205.25</v>
      </c>
      <c r="U899" s="1">
        <v>0.60099999999999998</v>
      </c>
      <c r="V899" s="6">
        <f t="shared" si="39"/>
        <v>24496.399999999998</v>
      </c>
      <c r="W899" s="6" t="str">
        <f t="shared" si="40"/>
        <v>Sufficient</v>
      </c>
      <c r="X899" s="8" t="str">
        <f t="shared" si="41"/>
        <v>High</v>
      </c>
    </row>
    <row r="900" spans="1:24">
      <c r="A900" s="7" t="s">
        <v>1030</v>
      </c>
      <c r="B900" s="1" t="s">
        <v>66</v>
      </c>
      <c r="C900" s="1">
        <v>133</v>
      </c>
      <c r="D900" s="1">
        <v>99</v>
      </c>
      <c r="E900" s="1">
        <v>12</v>
      </c>
      <c r="F900" s="1">
        <v>4</v>
      </c>
      <c r="G900" s="1">
        <v>14.41</v>
      </c>
      <c r="H900" s="1" t="s">
        <v>208</v>
      </c>
      <c r="I900" s="1" t="s">
        <v>27</v>
      </c>
      <c r="J900" s="1">
        <v>51</v>
      </c>
      <c r="K900" s="1">
        <v>0.9</v>
      </c>
      <c r="L900" s="4">
        <v>187.58</v>
      </c>
      <c r="M900" s="1">
        <v>1.31</v>
      </c>
      <c r="N900" s="1">
        <v>8</v>
      </c>
      <c r="O900" s="1">
        <v>0.7</v>
      </c>
      <c r="P900" s="1">
        <v>96</v>
      </c>
      <c r="Q900" s="1">
        <v>7.48</v>
      </c>
      <c r="R900" s="1">
        <v>0.69</v>
      </c>
      <c r="S900" s="2">
        <v>45332</v>
      </c>
      <c r="T900" s="1">
        <v>131.80000000000001</v>
      </c>
      <c r="U900" s="1">
        <v>0.48699999999999999</v>
      </c>
      <c r="V900" s="6">
        <f t="shared" ref="V900:V963" si="42">C900*L900</f>
        <v>24948.140000000003</v>
      </c>
      <c r="W900" s="6" t="str">
        <f t="shared" ref="W900:W963" si="43">IF(C900&lt;=D900,"Reorder Required","Sufficient")</f>
        <v>Sufficient</v>
      </c>
      <c r="X900" s="8" t="str">
        <f t="shared" ref="X900:X963" si="44">IF(C900&lt;100,"LOW",IF(C900&lt;250,"Medium","High"))</f>
        <v>Medium</v>
      </c>
    </row>
    <row r="901" spans="1:24">
      <c r="A901" s="7" t="s">
        <v>1031</v>
      </c>
      <c r="B901" s="1" t="s">
        <v>66</v>
      </c>
      <c r="C901" s="1">
        <v>291</v>
      </c>
      <c r="D901" s="1">
        <v>39</v>
      </c>
      <c r="E901" s="1">
        <v>3</v>
      </c>
      <c r="F901" s="1">
        <v>3</v>
      </c>
      <c r="G901" s="1">
        <v>9.56</v>
      </c>
      <c r="H901" s="1" t="s">
        <v>459</v>
      </c>
      <c r="I901" s="1" t="s">
        <v>39</v>
      </c>
      <c r="J901" s="1">
        <v>174</v>
      </c>
      <c r="K901" s="1">
        <v>1.1499999999999999</v>
      </c>
      <c r="L901" s="4">
        <v>72.69</v>
      </c>
      <c r="M901" s="1">
        <v>1.58</v>
      </c>
      <c r="N901" s="1">
        <v>5</v>
      </c>
      <c r="O901" s="1">
        <v>0.99</v>
      </c>
      <c r="P901" s="1">
        <v>272</v>
      </c>
      <c r="Q901" s="1">
        <v>3.04</v>
      </c>
      <c r="R901" s="1">
        <v>0.56000000000000005</v>
      </c>
      <c r="S901" s="2">
        <v>45553</v>
      </c>
      <c r="T901" s="1">
        <v>267.95999999999998</v>
      </c>
      <c r="U901" s="1">
        <v>0.49299999999999999</v>
      </c>
      <c r="V901" s="6">
        <f t="shared" si="42"/>
        <v>21152.79</v>
      </c>
      <c r="W901" s="6" t="str">
        <f t="shared" si="43"/>
        <v>Sufficient</v>
      </c>
      <c r="X901" s="8" t="str">
        <f t="shared" si="44"/>
        <v>High</v>
      </c>
    </row>
    <row r="902" spans="1:24">
      <c r="A902" s="7" t="s">
        <v>1032</v>
      </c>
      <c r="B902" s="1" t="s">
        <v>33</v>
      </c>
      <c r="C902" s="1">
        <v>102</v>
      </c>
      <c r="D902" s="1">
        <v>30</v>
      </c>
      <c r="E902" s="1">
        <v>8</v>
      </c>
      <c r="F902" s="1">
        <v>9</v>
      </c>
      <c r="G902" s="1">
        <v>16.940000000000001</v>
      </c>
      <c r="H902" s="1" t="s">
        <v>195</v>
      </c>
      <c r="I902" s="1" t="s">
        <v>27</v>
      </c>
      <c r="J902" s="1">
        <v>30</v>
      </c>
      <c r="K902" s="1">
        <v>3.36</v>
      </c>
      <c r="L902" s="4">
        <v>42.65</v>
      </c>
      <c r="M902" s="1">
        <v>0.4</v>
      </c>
      <c r="N902" s="1">
        <v>9</v>
      </c>
      <c r="O902" s="1">
        <v>0.86</v>
      </c>
      <c r="P902" s="1">
        <v>207</v>
      </c>
      <c r="Q902" s="1">
        <v>10.93</v>
      </c>
      <c r="R902" s="1">
        <v>0.31</v>
      </c>
      <c r="S902" s="2">
        <v>45396</v>
      </c>
      <c r="T902" s="1">
        <v>266.8</v>
      </c>
      <c r="U902" s="1">
        <v>0.56000000000000005</v>
      </c>
      <c r="V902" s="6">
        <f t="shared" si="42"/>
        <v>4350.3</v>
      </c>
      <c r="W902" s="6" t="str">
        <f t="shared" si="43"/>
        <v>Sufficient</v>
      </c>
      <c r="X902" s="8" t="str">
        <f t="shared" si="44"/>
        <v>Medium</v>
      </c>
    </row>
    <row r="903" spans="1:24">
      <c r="A903" s="7" t="s">
        <v>1033</v>
      </c>
      <c r="B903" s="1" t="s">
        <v>33</v>
      </c>
      <c r="C903" s="1">
        <v>198</v>
      </c>
      <c r="D903" s="1">
        <v>69</v>
      </c>
      <c r="E903" s="1">
        <v>3</v>
      </c>
      <c r="F903" s="1">
        <v>8</v>
      </c>
      <c r="G903" s="1">
        <v>10.77</v>
      </c>
      <c r="H903" s="1" t="s">
        <v>294</v>
      </c>
      <c r="I903" s="1" t="s">
        <v>31</v>
      </c>
      <c r="J903" s="1">
        <v>140</v>
      </c>
      <c r="K903" s="1">
        <v>4.33</v>
      </c>
      <c r="L903" s="4">
        <v>38.15</v>
      </c>
      <c r="M903" s="1">
        <v>0.95</v>
      </c>
      <c r="N903" s="1">
        <v>1</v>
      </c>
      <c r="O903" s="1">
        <v>0.93</v>
      </c>
      <c r="P903" s="1">
        <v>96</v>
      </c>
      <c r="Q903" s="1">
        <v>6.18</v>
      </c>
      <c r="R903" s="1">
        <v>0.63</v>
      </c>
      <c r="S903" s="2">
        <v>45371</v>
      </c>
      <c r="T903" s="1">
        <v>218.83</v>
      </c>
      <c r="U903" s="1">
        <v>0.67900000000000005</v>
      </c>
      <c r="V903" s="6">
        <f t="shared" si="42"/>
        <v>7553.7</v>
      </c>
      <c r="W903" s="6" t="str">
        <f t="shared" si="43"/>
        <v>Sufficient</v>
      </c>
      <c r="X903" s="8" t="str">
        <f t="shared" si="44"/>
        <v>Medium</v>
      </c>
    </row>
    <row r="904" spans="1:24">
      <c r="A904" s="7" t="s">
        <v>1034</v>
      </c>
      <c r="B904" s="1" t="s">
        <v>66</v>
      </c>
      <c r="C904" s="1">
        <v>229</v>
      </c>
      <c r="D904" s="1">
        <v>90</v>
      </c>
      <c r="E904" s="1">
        <v>11</v>
      </c>
      <c r="F904" s="1">
        <v>5</v>
      </c>
      <c r="G904" s="1">
        <v>32.06</v>
      </c>
      <c r="H904" s="1" t="s">
        <v>126</v>
      </c>
      <c r="I904" s="1" t="s">
        <v>45</v>
      </c>
      <c r="J904" s="1">
        <v>145</v>
      </c>
      <c r="K904" s="1">
        <v>0.93</v>
      </c>
      <c r="L904" s="4">
        <v>45.58</v>
      </c>
      <c r="M904" s="1">
        <v>1.51</v>
      </c>
      <c r="N904" s="1">
        <v>0</v>
      </c>
      <c r="O904" s="1">
        <v>0.78</v>
      </c>
      <c r="P904" s="1">
        <v>850</v>
      </c>
      <c r="Q904" s="1">
        <v>8.59</v>
      </c>
      <c r="R904" s="1">
        <v>0.99</v>
      </c>
      <c r="S904" s="2">
        <v>45566</v>
      </c>
      <c r="T904" s="1">
        <v>257.60000000000002</v>
      </c>
      <c r="U904" s="1">
        <v>0.71799999999999997</v>
      </c>
      <c r="V904" s="6">
        <f t="shared" si="42"/>
        <v>10437.82</v>
      </c>
      <c r="W904" s="6" t="str">
        <f t="shared" si="43"/>
        <v>Sufficient</v>
      </c>
      <c r="X904" s="8" t="str">
        <f t="shared" si="44"/>
        <v>Medium</v>
      </c>
    </row>
    <row r="905" spans="1:24">
      <c r="A905" s="7" t="s">
        <v>1035</v>
      </c>
      <c r="B905" s="1" t="s">
        <v>29</v>
      </c>
      <c r="C905" s="1">
        <v>483</v>
      </c>
      <c r="D905" s="1">
        <v>83</v>
      </c>
      <c r="E905" s="1">
        <v>4</v>
      </c>
      <c r="F905" s="1">
        <v>2</v>
      </c>
      <c r="G905" s="1">
        <v>28.88</v>
      </c>
      <c r="H905" s="1" t="s">
        <v>59</v>
      </c>
      <c r="I905" s="1" t="s">
        <v>45</v>
      </c>
      <c r="J905" s="1">
        <v>79</v>
      </c>
      <c r="K905" s="1">
        <v>3.8</v>
      </c>
      <c r="L905" s="4">
        <v>95.03</v>
      </c>
      <c r="M905" s="1">
        <v>0.14000000000000001</v>
      </c>
      <c r="N905" s="1">
        <v>0</v>
      </c>
      <c r="O905" s="1">
        <v>0.92</v>
      </c>
      <c r="P905" s="1">
        <v>771</v>
      </c>
      <c r="Q905" s="1">
        <v>9.4600000000000009</v>
      </c>
      <c r="R905" s="1">
        <v>0.26</v>
      </c>
      <c r="S905" s="2">
        <v>45459</v>
      </c>
      <c r="T905" s="1">
        <v>277.52999999999997</v>
      </c>
      <c r="U905" s="1">
        <v>0.748</v>
      </c>
      <c r="V905" s="6">
        <f t="shared" si="42"/>
        <v>45899.49</v>
      </c>
      <c r="W905" s="6" t="str">
        <f t="shared" si="43"/>
        <v>Sufficient</v>
      </c>
      <c r="X905" s="8" t="str">
        <f t="shared" si="44"/>
        <v>High</v>
      </c>
    </row>
    <row r="906" spans="1:24">
      <c r="A906" s="7" t="s">
        <v>1036</v>
      </c>
      <c r="B906" s="1" t="s">
        <v>25</v>
      </c>
      <c r="C906" s="1">
        <v>347</v>
      </c>
      <c r="D906" s="1">
        <v>72</v>
      </c>
      <c r="E906" s="1">
        <v>13</v>
      </c>
      <c r="F906" s="1">
        <v>2</v>
      </c>
      <c r="G906" s="1">
        <v>19.75</v>
      </c>
      <c r="H906" s="1" t="s">
        <v>178</v>
      </c>
      <c r="I906" s="1" t="s">
        <v>39</v>
      </c>
      <c r="J906" s="1">
        <v>154</v>
      </c>
      <c r="K906" s="1">
        <v>3.84</v>
      </c>
      <c r="L906" s="4">
        <v>109.21</v>
      </c>
      <c r="M906" s="1">
        <v>0.16</v>
      </c>
      <c r="N906" s="1">
        <v>0</v>
      </c>
      <c r="O906" s="1">
        <v>0.87</v>
      </c>
      <c r="P906" s="1">
        <v>582</v>
      </c>
      <c r="Q906" s="1">
        <v>12.71</v>
      </c>
      <c r="R906" s="1">
        <v>0.41</v>
      </c>
      <c r="S906" s="2">
        <v>45492</v>
      </c>
      <c r="T906" s="1">
        <v>177.43</v>
      </c>
      <c r="U906" s="1">
        <v>0.80900000000000005</v>
      </c>
      <c r="V906" s="6">
        <f t="shared" si="42"/>
        <v>37895.869999999995</v>
      </c>
      <c r="W906" s="6" t="str">
        <f t="shared" si="43"/>
        <v>Sufficient</v>
      </c>
      <c r="X906" s="8" t="str">
        <f t="shared" si="44"/>
        <v>High</v>
      </c>
    </row>
    <row r="907" spans="1:24">
      <c r="A907" s="7" t="s">
        <v>1037</v>
      </c>
      <c r="B907" s="1" t="s">
        <v>25</v>
      </c>
      <c r="C907" s="1">
        <v>143</v>
      </c>
      <c r="D907" s="1">
        <v>51</v>
      </c>
      <c r="E907" s="1">
        <v>4</v>
      </c>
      <c r="F907" s="1">
        <v>5</v>
      </c>
      <c r="G907" s="1">
        <v>16.97</v>
      </c>
      <c r="H907" s="1" t="s">
        <v>205</v>
      </c>
      <c r="I907" s="1" t="s">
        <v>45</v>
      </c>
      <c r="J907" s="1">
        <v>19</v>
      </c>
      <c r="K907" s="1">
        <v>3.12</v>
      </c>
      <c r="L907" s="4">
        <v>183.62</v>
      </c>
      <c r="M907" s="1">
        <v>1.39</v>
      </c>
      <c r="N907" s="1">
        <v>8</v>
      </c>
      <c r="O907" s="1">
        <v>0.83</v>
      </c>
      <c r="P907" s="1">
        <v>400</v>
      </c>
      <c r="Q907" s="1">
        <v>2.14</v>
      </c>
      <c r="R907" s="1">
        <v>0.63</v>
      </c>
      <c r="S907" s="2">
        <v>45592</v>
      </c>
      <c r="T907" s="1">
        <v>291.85000000000002</v>
      </c>
      <c r="U907" s="1">
        <v>0.42199999999999999</v>
      </c>
      <c r="V907" s="6">
        <f t="shared" si="42"/>
        <v>26257.66</v>
      </c>
      <c r="W907" s="6" t="str">
        <f t="shared" si="43"/>
        <v>Sufficient</v>
      </c>
      <c r="X907" s="8" t="str">
        <f t="shared" si="44"/>
        <v>Medium</v>
      </c>
    </row>
    <row r="908" spans="1:24">
      <c r="A908" s="7" t="s">
        <v>1038</v>
      </c>
      <c r="B908" s="1" t="s">
        <v>41</v>
      </c>
      <c r="C908" s="1">
        <v>132</v>
      </c>
      <c r="D908" s="1">
        <v>60</v>
      </c>
      <c r="E908" s="1">
        <v>9</v>
      </c>
      <c r="F908" s="1">
        <v>6</v>
      </c>
      <c r="G908" s="1">
        <v>12.64</v>
      </c>
      <c r="H908" s="1" t="s">
        <v>42</v>
      </c>
      <c r="I908" s="1" t="s">
        <v>45</v>
      </c>
      <c r="J908" s="1">
        <v>150</v>
      </c>
      <c r="K908" s="1">
        <v>2.69</v>
      </c>
      <c r="L908" s="4">
        <v>82.39</v>
      </c>
      <c r="M908" s="1">
        <v>1.48</v>
      </c>
      <c r="N908" s="1">
        <v>4</v>
      </c>
      <c r="O908" s="1">
        <v>0.99</v>
      </c>
      <c r="P908" s="1">
        <v>368</v>
      </c>
      <c r="Q908" s="1">
        <v>7.76</v>
      </c>
      <c r="R908" s="1">
        <v>0.83</v>
      </c>
      <c r="S908" s="2">
        <v>45616</v>
      </c>
      <c r="T908" s="1">
        <v>287.07</v>
      </c>
      <c r="U908" s="1">
        <v>0.63900000000000001</v>
      </c>
      <c r="V908" s="6">
        <f t="shared" si="42"/>
        <v>10875.48</v>
      </c>
      <c r="W908" s="6" t="str">
        <f t="shared" si="43"/>
        <v>Sufficient</v>
      </c>
      <c r="X908" s="8" t="str">
        <f t="shared" si="44"/>
        <v>Medium</v>
      </c>
    </row>
    <row r="909" spans="1:24">
      <c r="A909" s="7" t="s">
        <v>1039</v>
      </c>
      <c r="B909" s="1" t="s">
        <v>29</v>
      </c>
      <c r="C909" s="1">
        <v>31</v>
      </c>
      <c r="D909" s="1">
        <v>73</v>
      </c>
      <c r="E909" s="1">
        <v>4</v>
      </c>
      <c r="F909" s="1">
        <v>5</v>
      </c>
      <c r="G909" s="1">
        <v>27.24</v>
      </c>
      <c r="H909" s="1" t="s">
        <v>57</v>
      </c>
      <c r="I909" s="1" t="s">
        <v>27</v>
      </c>
      <c r="J909" s="1">
        <v>115</v>
      </c>
      <c r="K909" s="1">
        <v>1.94</v>
      </c>
      <c r="L909" s="4">
        <v>51.32</v>
      </c>
      <c r="M909" s="1">
        <v>1.71</v>
      </c>
      <c r="N909" s="1">
        <v>3</v>
      </c>
      <c r="O909" s="1">
        <v>0.85</v>
      </c>
      <c r="P909" s="1">
        <v>280</v>
      </c>
      <c r="Q909" s="1">
        <v>13.52</v>
      </c>
      <c r="R909" s="1">
        <v>0.22</v>
      </c>
      <c r="S909" s="2">
        <v>45624</v>
      </c>
      <c r="T909" s="1">
        <v>41.87</v>
      </c>
      <c r="U909" s="1">
        <v>0.56299999999999994</v>
      </c>
      <c r="V909" s="6">
        <f t="shared" si="42"/>
        <v>1590.92</v>
      </c>
      <c r="W909" s="6" t="str">
        <f t="shared" si="43"/>
        <v>Reorder Required</v>
      </c>
      <c r="X909" s="8" t="str">
        <f t="shared" si="44"/>
        <v>LOW</v>
      </c>
    </row>
    <row r="910" spans="1:24">
      <c r="A910" s="7" t="s">
        <v>1040</v>
      </c>
      <c r="B910" s="1" t="s">
        <v>33</v>
      </c>
      <c r="C910" s="1">
        <v>145</v>
      </c>
      <c r="D910" s="1">
        <v>85</v>
      </c>
      <c r="E910" s="1">
        <v>12</v>
      </c>
      <c r="F910" s="1">
        <v>8</v>
      </c>
      <c r="G910" s="1">
        <v>46.03</v>
      </c>
      <c r="H910" s="1" t="s">
        <v>38</v>
      </c>
      <c r="I910" s="1" t="s">
        <v>31</v>
      </c>
      <c r="J910" s="1">
        <v>21</v>
      </c>
      <c r="K910" s="1">
        <v>2.08</v>
      </c>
      <c r="L910" s="4">
        <v>151.33000000000001</v>
      </c>
      <c r="M910" s="1">
        <v>0.86</v>
      </c>
      <c r="N910" s="1">
        <v>9</v>
      </c>
      <c r="O910" s="1">
        <v>0.9</v>
      </c>
      <c r="P910" s="1">
        <v>347</v>
      </c>
      <c r="Q910" s="1">
        <v>5.62</v>
      </c>
      <c r="R910" s="1">
        <v>0.79</v>
      </c>
      <c r="S910" s="2">
        <v>45640</v>
      </c>
      <c r="T910" s="1">
        <v>161.6</v>
      </c>
      <c r="U910" s="1">
        <v>0.54700000000000004</v>
      </c>
      <c r="V910" s="6">
        <f t="shared" si="42"/>
        <v>21942.850000000002</v>
      </c>
      <c r="W910" s="6" t="str">
        <f t="shared" si="43"/>
        <v>Sufficient</v>
      </c>
      <c r="X910" s="8" t="str">
        <f t="shared" si="44"/>
        <v>Medium</v>
      </c>
    </row>
    <row r="911" spans="1:24">
      <c r="A911" s="7" t="s">
        <v>1041</v>
      </c>
      <c r="B911" s="1" t="s">
        <v>66</v>
      </c>
      <c r="C911" s="1">
        <v>72</v>
      </c>
      <c r="D911" s="1">
        <v>65</v>
      </c>
      <c r="E911" s="1">
        <v>10</v>
      </c>
      <c r="F911" s="1">
        <v>7</v>
      </c>
      <c r="G911" s="1">
        <v>34.6</v>
      </c>
      <c r="H911" s="1" t="s">
        <v>91</v>
      </c>
      <c r="I911" s="1" t="s">
        <v>45</v>
      </c>
      <c r="J911" s="1">
        <v>137</v>
      </c>
      <c r="K911" s="1">
        <v>3.53</v>
      </c>
      <c r="L911" s="4">
        <v>35.58</v>
      </c>
      <c r="M911" s="1">
        <v>0.84</v>
      </c>
      <c r="N911" s="1">
        <v>4</v>
      </c>
      <c r="O911" s="1">
        <v>0.7</v>
      </c>
      <c r="P911" s="1">
        <v>494</v>
      </c>
      <c r="Q911" s="1">
        <v>7.22</v>
      </c>
      <c r="R911" s="1">
        <v>0.31</v>
      </c>
      <c r="S911" s="2">
        <v>45621</v>
      </c>
      <c r="T911" s="1">
        <v>43.2</v>
      </c>
      <c r="U911" s="1">
        <v>0.53400000000000003</v>
      </c>
      <c r="V911" s="6">
        <f t="shared" si="42"/>
        <v>2561.7599999999998</v>
      </c>
      <c r="W911" s="6" t="str">
        <f t="shared" si="43"/>
        <v>Sufficient</v>
      </c>
      <c r="X911" s="8" t="str">
        <f t="shared" si="44"/>
        <v>LOW</v>
      </c>
    </row>
    <row r="912" spans="1:24">
      <c r="A912" s="7" t="s">
        <v>1042</v>
      </c>
      <c r="B912" s="1" t="s">
        <v>41</v>
      </c>
      <c r="C912" s="1">
        <v>350</v>
      </c>
      <c r="D912" s="1">
        <v>89</v>
      </c>
      <c r="E912" s="1">
        <v>8</v>
      </c>
      <c r="F912" s="1">
        <v>5</v>
      </c>
      <c r="G912" s="1">
        <v>37.479999999999997</v>
      </c>
      <c r="H912" s="1" t="s">
        <v>42</v>
      </c>
      <c r="I912" s="1" t="s">
        <v>31</v>
      </c>
      <c r="J912" s="1">
        <v>160</v>
      </c>
      <c r="K912" s="1">
        <v>0.79</v>
      </c>
      <c r="L912" s="4">
        <v>179.53</v>
      </c>
      <c r="M912" s="1">
        <v>1.1499999999999999</v>
      </c>
      <c r="N912" s="1">
        <v>8</v>
      </c>
      <c r="O912" s="1">
        <v>0.79</v>
      </c>
      <c r="P912" s="1">
        <v>154</v>
      </c>
      <c r="Q912" s="1">
        <v>2.19</v>
      </c>
      <c r="R912" s="1">
        <v>0.86</v>
      </c>
      <c r="S912" s="2">
        <v>45325</v>
      </c>
      <c r="T912" s="1">
        <v>208.4</v>
      </c>
      <c r="U912" s="1">
        <v>0.48399999999999999</v>
      </c>
      <c r="V912" s="6">
        <f t="shared" si="42"/>
        <v>62835.5</v>
      </c>
      <c r="W912" s="6" t="str">
        <f t="shared" si="43"/>
        <v>Sufficient</v>
      </c>
      <c r="X912" s="8" t="str">
        <f t="shared" si="44"/>
        <v>High</v>
      </c>
    </row>
    <row r="913" spans="1:24">
      <c r="A913" s="7" t="s">
        <v>1043</v>
      </c>
      <c r="B913" s="1" t="s">
        <v>25</v>
      </c>
      <c r="C913" s="1">
        <v>408</v>
      </c>
      <c r="D913" s="1">
        <v>50</v>
      </c>
      <c r="E913" s="1">
        <v>9</v>
      </c>
      <c r="F913" s="1">
        <v>3</v>
      </c>
      <c r="G913" s="1">
        <v>41.88</v>
      </c>
      <c r="H913" s="1" t="s">
        <v>256</v>
      </c>
      <c r="I913" s="1" t="s">
        <v>27</v>
      </c>
      <c r="J913" s="1">
        <v>137</v>
      </c>
      <c r="K913" s="1">
        <v>3.13</v>
      </c>
      <c r="L913" s="4">
        <v>87.79</v>
      </c>
      <c r="M913" s="1">
        <v>1.54</v>
      </c>
      <c r="N913" s="1">
        <v>2</v>
      </c>
      <c r="O913" s="1">
        <v>0.97</v>
      </c>
      <c r="P913" s="1">
        <v>687</v>
      </c>
      <c r="Q913" s="1">
        <v>11.51</v>
      </c>
      <c r="R913" s="1">
        <v>0.75</v>
      </c>
      <c r="S913" s="2">
        <v>45450</v>
      </c>
      <c r="T913" s="1">
        <v>231.93</v>
      </c>
      <c r="U913" s="1">
        <v>0.70299999999999996</v>
      </c>
      <c r="V913" s="6">
        <f t="shared" si="42"/>
        <v>35818.32</v>
      </c>
      <c r="W913" s="6" t="str">
        <f t="shared" si="43"/>
        <v>Sufficient</v>
      </c>
      <c r="X913" s="8" t="str">
        <f t="shared" si="44"/>
        <v>High</v>
      </c>
    </row>
    <row r="914" spans="1:24">
      <c r="A914" s="7" t="s">
        <v>1044</v>
      </c>
      <c r="B914" s="1" t="s">
        <v>33</v>
      </c>
      <c r="C914" s="1">
        <v>302</v>
      </c>
      <c r="D914" s="1">
        <v>41</v>
      </c>
      <c r="E914" s="1">
        <v>9</v>
      </c>
      <c r="F914" s="1">
        <v>7</v>
      </c>
      <c r="G914" s="1">
        <v>18.23</v>
      </c>
      <c r="H914" s="1" t="s">
        <v>195</v>
      </c>
      <c r="I914" s="1" t="s">
        <v>27</v>
      </c>
      <c r="J914" s="1">
        <v>70</v>
      </c>
      <c r="K914" s="1">
        <v>1.75</v>
      </c>
      <c r="L914" s="4">
        <v>126.63</v>
      </c>
      <c r="M914" s="1">
        <v>1.32</v>
      </c>
      <c r="N914" s="1">
        <v>2</v>
      </c>
      <c r="O914" s="1">
        <v>0.93</v>
      </c>
      <c r="P914" s="1">
        <v>932</v>
      </c>
      <c r="Q914" s="1">
        <v>2.19</v>
      </c>
      <c r="R914" s="1">
        <v>0.56999999999999995</v>
      </c>
      <c r="S914" s="2">
        <v>45649</v>
      </c>
      <c r="T914" s="1">
        <v>266.56</v>
      </c>
      <c r="U914" s="1">
        <v>0.55700000000000005</v>
      </c>
      <c r="V914" s="6">
        <f t="shared" si="42"/>
        <v>38242.26</v>
      </c>
      <c r="W914" s="6" t="str">
        <f t="shared" si="43"/>
        <v>Sufficient</v>
      </c>
      <c r="X914" s="8" t="str">
        <f t="shared" si="44"/>
        <v>High</v>
      </c>
    </row>
    <row r="915" spans="1:24">
      <c r="A915" s="7" t="s">
        <v>1045</v>
      </c>
      <c r="B915" s="1" t="s">
        <v>33</v>
      </c>
      <c r="C915" s="1">
        <v>159</v>
      </c>
      <c r="D915" s="1">
        <v>24</v>
      </c>
      <c r="E915" s="1">
        <v>8</v>
      </c>
      <c r="F915" s="1">
        <v>5</v>
      </c>
      <c r="G915" s="1">
        <v>4.08</v>
      </c>
      <c r="H915" s="1" t="s">
        <v>221</v>
      </c>
      <c r="I915" s="1" t="s">
        <v>45</v>
      </c>
      <c r="J915" s="1">
        <v>35</v>
      </c>
      <c r="K915" s="1">
        <v>2.6</v>
      </c>
      <c r="L915" s="4">
        <v>45.38</v>
      </c>
      <c r="M915" s="1">
        <v>0.72</v>
      </c>
      <c r="N915" s="1">
        <v>1</v>
      </c>
      <c r="O915" s="1">
        <v>0.86</v>
      </c>
      <c r="P915" s="1">
        <v>348</v>
      </c>
      <c r="Q915" s="1">
        <v>9.83</v>
      </c>
      <c r="R915" s="1">
        <v>0.86</v>
      </c>
      <c r="S915" s="2">
        <v>45515</v>
      </c>
      <c r="T915" s="1">
        <v>198.5</v>
      </c>
      <c r="U915" s="1">
        <v>0.78300000000000003</v>
      </c>
      <c r="V915" s="6">
        <f t="shared" si="42"/>
        <v>7215.42</v>
      </c>
      <c r="W915" s="6" t="str">
        <f t="shared" si="43"/>
        <v>Sufficient</v>
      </c>
      <c r="X915" s="8" t="str">
        <f t="shared" si="44"/>
        <v>Medium</v>
      </c>
    </row>
    <row r="916" spans="1:24">
      <c r="A916" s="7" t="s">
        <v>1046</v>
      </c>
      <c r="B916" s="1" t="s">
        <v>66</v>
      </c>
      <c r="C916" s="1">
        <v>420</v>
      </c>
      <c r="D916" s="1">
        <v>71</v>
      </c>
      <c r="E916" s="1">
        <v>12</v>
      </c>
      <c r="F916" s="1">
        <v>2</v>
      </c>
      <c r="G916" s="1">
        <v>31.51</v>
      </c>
      <c r="H916" s="1" t="s">
        <v>558</v>
      </c>
      <c r="I916" s="1" t="s">
        <v>45</v>
      </c>
      <c r="J916" s="1">
        <v>24</v>
      </c>
      <c r="K916" s="1">
        <v>3.02</v>
      </c>
      <c r="L916" s="4">
        <v>37.65</v>
      </c>
      <c r="M916" s="1">
        <v>0.76</v>
      </c>
      <c r="N916" s="1">
        <v>7</v>
      </c>
      <c r="O916" s="1">
        <v>0.97</v>
      </c>
      <c r="P916" s="1">
        <v>117</v>
      </c>
      <c r="Q916" s="1">
        <v>6.24</v>
      </c>
      <c r="R916" s="1">
        <v>0.79</v>
      </c>
      <c r="S916" s="2">
        <v>45414</v>
      </c>
      <c r="T916" s="1">
        <v>141.66</v>
      </c>
      <c r="U916" s="1">
        <v>0.61899999999999999</v>
      </c>
      <c r="V916" s="6">
        <f t="shared" si="42"/>
        <v>15813</v>
      </c>
      <c r="W916" s="6" t="str">
        <f t="shared" si="43"/>
        <v>Sufficient</v>
      </c>
      <c r="X916" s="8" t="str">
        <f t="shared" si="44"/>
        <v>High</v>
      </c>
    </row>
    <row r="917" spans="1:24">
      <c r="A917" s="7" t="s">
        <v>1047</v>
      </c>
      <c r="B917" s="1" t="s">
        <v>25</v>
      </c>
      <c r="C917" s="1">
        <v>409</v>
      </c>
      <c r="D917" s="1">
        <v>36</v>
      </c>
      <c r="E917" s="1">
        <v>13</v>
      </c>
      <c r="F917" s="1">
        <v>4</v>
      </c>
      <c r="G917" s="1">
        <v>10.24</v>
      </c>
      <c r="H917" s="1" t="s">
        <v>176</v>
      </c>
      <c r="I917" s="1" t="s">
        <v>27</v>
      </c>
      <c r="J917" s="1">
        <v>31</v>
      </c>
      <c r="K917" s="1">
        <v>4.49</v>
      </c>
      <c r="L917" s="4">
        <v>161.78</v>
      </c>
      <c r="M917" s="1">
        <v>1.55</v>
      </c>
      <c r="N917" s="1">
        <v>6</v>
      </c>
      <c r="O917" s="1">
        <v>0.85</v>
      </c>
      <c r="P917" s="1">
        <v>587</v>
      </c>
      <c r="Q917" s="1">
        <v>5.73</v>
      </c>
      <c r="R917" s="1">
        <v>0.81</v>
      </c>
      <c r="S917" s="2">
        <v>45321</v>
      </c>
      <c r="T917" s="1">
        <v>55.22</v>
      </c>
      <c r="U917" s="1">
        <v>0.53300000000000003</v>
      </c>
      <c r="V917" s="6">
        <f t="shared" si="42"/>
        <v>66168.02</v>
      </c>
      <c r="W917" s="6" t="str">
        <f t="shared" si="43"/>
        <v>Sufficient</v>
      </c>
      <c r="X917" s="8" t="str">
        <f t="shared" si="44"/>
        <v>High</v>
      </c>
    </row>
    <row r="918" spans="1:24">
      <c r="A918" s="7" t="s">
        <v>1048</v>
      </c>
      <c r="B918" s="1" t="s">
        <v>29</v>
      </c>
      <c r="C918" s="1">
        <v>116</v>
      </c>
      <c r="D918" s="1">
        <v>37</v>
      </c>
      <c r="E918" s="1">
        <v>11</v>
      </c>
      <c r="F918" s="1">
        <v>3</v>
      </c>
      <c r="G918" s="1">
        <v>28.88</v>
      </c>
      <c r="H918" s="1" t="s">
        <v>113</v>
      </c>
      <c r="I918" s="1" t="s">
        <v>27</v>
      </c>
      <c r="J918" s="1">
        <v>98</v>
      </c>
      <c r="K918" s="1">
        <v>3.11</v>
      </c>
      <c r="L918" s="4">
        <v>91.64</v>
      </c>
      <c r="M918" s="1">
        <v>1.1200000000000001</v>
      </c>
      <c r="N918" s="1">
        <v>1</v>
      </c>
      <c r="O918" s="1">
        <v>0.87</v>
      </c>
      <c r="P918" s="1">
        <v>722</v>
      </c>
      <c r="Q918" s="1">
        <v>9.1999999999999993</v>
      </c>
      <c r="R918" s="1">
        <v>0.43</v>
      </c>
      <c r="S918" s="2">
        <v>45417</v>
      </c>
      <c r="T918" s="1">
        <v>46.28</v>
      </c>
      <c r="U918" s="1">
        <v>0.65100000000000002</v>
      </c>
      <c r="V918" s="6">
        <f t="shared" si="42"/>
        <v>10630.24</v>
      </c>
      <c r="W918" s="6" t="str">
        <f t="shared" si="43"/>
        <v>Sufficient</v>
      </c>
      <c r="X918" s="8" t="str">
        <f t="shared" si="44"/>
        <v>Medium</v>
      </c>
    </row>
    <row r="919" spans="1:24">
      <c r="A919" s="7" t="s">
        <v>1049</v>
      </c>
      <c r="B919" s="1" t="s">
        <v>33</v>
      </c>
      <c r="C919" s="1">
        <v>24</v>
      </c>
      <c r="D919" s="1">
        <v>90</v>
      </c>
      <c r="E919" s="1">
        <v>11</v>
      </c>
      <c r="F919" s="1">
        <v>8</v>
      </c>
      <c r="G919" s="1">
        <v>37.24</v>
      </c>
      <c r="H919" s="1" t="s">
        <v>103</v>
      </c>
      <c r="I919" s="1" t="s">
        <v>39</v>
      </c>
      <c r="J919" s="1">
        <v>74</v>
      </c>
      <c r="K919" s="1">
        <v>1.52</v>
      </c>
      <c r="L919" s="4">
        <v>197.48</v>
      </c>
      <c r="M919" s="1">
        <v>0.28999999999999998</v>
      </c>
      <c r="N919" s="1">
        <v>3</v>
      </c>
      <c r="O919" s="1">
        <v>0.81</v>
      </c>
      <c r="P919" s="1">
        <v>669</v>
      </c>
      <c r="Q919" s="1">
        <v>8.9499999999999993</v>
      </c>
      <c r="R919" s="1">
        <v>0.7</v>
      </c>
      <c r="S919" s="2">
        <v>45336</v>
      </c>
      <c r="T919" s="1">
        <v>150.84</v>
      </c>
      <c r="U919" s="1">
        <v>0.73199999999999998</v>
      </c>
      <c r="V919" s="6">
        <f t="shared" si="42"/>
        <v>4739.5199999999995</v>
      </c>
      <c r="W919" s="6" t="str">
        <f t="shared" si="43"/>
        <v>Reorder Required</v>
      </c>
      <c r="X919" s="8" t="str">
        <f t="shared" si="44"/>
        <v>LOW</v>
      </c>
    </row>
    <row r="920" spans="1:24">
      <c r="A920" s="7" t="s">
        <v>1050</v>
      </c>
      <c r="B920" s="1" t="s">
        <v>66</v>
      </c>
      <c r="C920" s="1">
        <v>76</v>
      </c>
      <c r="D920" s="1">
        <v>73</v>
      </c>
      <c r="E920" s="1">
        <v>9</v>
      </c>
      <c r="F920" s="1">
        <v>3</v>
      </c>
      <c r="G920" s="1">
        <v>39.4</v>
      </c>
      <c r="H920" s="1" t="s">
        <v>34</v>
      </c>
      <c r="I920" s="1" t="s">
        <v>39</v>
      </c>
      <c r="J920" s="1">
        <v>163</v>
      </c>
      <c r="K920" s="1">
        <v>0.86</v>
      </c>
      <c r="L920" s="4">
        <v>109.62</v>
      </c>
      <c r="M920" s="1">
        <v>0.39</v>
      </c>
      <c r="N920" s="1">
        <v>6</v>
      </c>
      <c r="O920" s="1">
        <v>0.89</v>
      </c>
      <c r="P920" s="1">
        <v>850</v>
      </c>
      <c r="Q920" s="1">
        <v>6.68</v>
      </c>
      <c r="R920" s="1">
        <v>0.31</v>
      </c>
      <c r="S920" s="2">
        <v>45514</v>
      </c>
      <c r="T920" s="1">
        <v>251.44</v>
      </c>
      <c r="U920" s="1">
        <v>0.56999999999999995</v>
      </c>
      <c r="V920" s="6">
        <f t="shared" si="42"/>
        <v>8331.1200000000008</v>
      </c>
      <c r="W920" s="6" t="str">
        <f t="shared" si="43"/>
        <v>Sufficient</v>
      </c>
      <c r="X920" s="8" t="str">
        <f t="shared" si="44"/>
        <v>LOW</v>
      </c>
    </row>
    <row r="921" spans="1:24">
      <c r="A921" s="7" t="s">
        <v>1051</v>
      </c>
      <c r="B921" s="1" t="s">
        <v>29</v>
      </c>
      <c r="C921" s="1">
        <v>431</v>
      </c>
      <c r="D921" s="1">
        <v>68</v>
      </c>
      <c r="E921" s="1">
        <v>11</v>
      </c>
      <c r="F921" s="1">
        <v>9</v>
      </c>
      <c r="G921" s="1">
        <v>15.79</v>
      </c>
      <c r="H921" s="1" t="s">
        <v>227</v>
      </c>
      <c r="I921" s="1" t="s">
        <v>31</v>
      </c>
      <c r="J921" s="1">
        <v>30</v>
      </c>
      <c r="K921" s="1">
        <v>3.32</v>
      </c>
      <c r="L921" s="4">
        <v>170.67</v>
      </c>
      <c r="M921" s="1">
        <v>1.72</v>
      </c>
      <c r="N921" s="1">
        <v>0</v>
      </c>
      <c r="O921" s="1">
        <v>0.8</v>
      </c>
      <c r="P921" s="1">
        <v>866</v>
      </c>
      <c r="Q921" s="1">
        <v>4.9000000000000004</v>
      </c>
      <c r="R921" s="1">
        <v>0.86</v>
      </c>
      <c r="S921" s="2">
        <v>45351</v>
      </c>
      <c r="T921" s="1">
        <v>227.71</v>
      </c>
      <c r="U921" s="1">
        <v>0.625</v>
      </c>
      <c r="V921" s="6">
        <f t="shared" si="42"/>
        <v>73558.76999999999</v>
      </c>
      <c r="W921" s="6" t="str">
        <f t="shared" si="43"/>
        <v>Sufficient</v>
      </c>
      <c r="X921" s="8" t="str">
        <f t="shared" si="44"/>
        <v>High</v>
      </c>
    </row>
    <row r="922" spans="1:24">
      <c r="A922" s="7" t="s">
        <v>1052</v>
      </c>
      <c r="B922" s="1" t="s">
        <v>25</v>
      </c>
      <c r="C922" s="1">
        <v>353</v>
      </c>
      <c r="D922" s="1">
        <v>67</v>
      </c>
      <c r="E922" s="1">
        <v>12</v>
      </c>
      <c r="F922" s="1">
        <v>6</v>
      </c>
      <c r="G922" s="1">
        <v>26.11</v>
      </c>
      <c r="H922" s="1" t="s">
        <v>205</v>
      </c>
      <c r="I922" s="1" t="s">
        <v>27</v>
      </c>
      <c r="J922" s="1">
        <v>161</v>
      </c>
      <c r="K922" s="1">
        <v>2.95</v>
      </c>
      <c r="L922" s="4">
        <v>196.19</v>
      </c>
      <c r="M922" s="1">
        <v>2</v>
      </c>
      <c r="N922" s="1">
        <v>0</v>
      </c>
      <c r="O922" s="1">
        <v>0.82</v>
      </c>
      <c r="P922" s="1">
        <v>645</v>
      </c>
      <c r="Q922" s="1">
        <v>8.11</v>
      </c>
      <c r="R922" s="1">
        <v>0.62</v>
      </c>
      <c r="S922" s="2">
        <v>45524</v>
      </c>
      <c r="T922" s="1">
        <v>265.43</v>
      </c>
      <c r="U922" s="1">
        <v>0.59599999999999997</v>
      </c>
      <c r="V922" s="6">
        <f t="shared" si="42"/>
        <v>69255.069999999992</v>
      </c>
      <c r="W922" s="6" t="str">
        <f t="shared" si="43"/>
        <v>Sufficient</v>
      </c>
      <c r="X922" s="8" t="str">
        <f t="shared" si="44"/>
        <v>High</v>
      </c>
    </row>
    <row r="923" spans="1:24">
      <c r="A923" s="7" t="s">
        <v>1053</v>
      </c>
      <c r="B923" s="1" t="s">
        <v>33</v>
      </c>
      <c r="C923" s="1">
        <v>88</v>
      </c>
      <c r="D923" s="1">
        <v>11</v>
      </c>
      <c r="E923" s="1">
        <v>5</v>
      </c>
      <c r="F923" s="1">
        <v>4</v>
      </c>
      <c r="G923" s="1">
        <v>31.43</v>
      </c>
      <c r="H923" s="1" t="s">
        <v>440</v>
      </c>
      <c r="I923" s="1" t="s">
        <v>31</v>
      </c>
      <c r="J923" s="1">
        <v>25</v>
      </c>
      <c r="K923" s="1">
        <v>3.52</v>
      </c>
      <c r="L923" s="4">
        <v>63.42</v>
      </c>
      <c r="M923" s="1">
        <v>0.74</v>
      </c>
      <c r="N923" s="1">
        <v>7</v>
      </c>
      <c r="O923" s="1">
        <v>0.99</v>
      </c>
      <c r="P923" s="1">
        <v>90</v>
      </c>
      <c r="Q923" s="1">
        <v>4.74</v>
      </c>
      <c r="R923" s="1">
        <v>0.86</v>
      </c>
      <c r="S923" s="2">
        <v>45605</v>
      </c>
      <c r="T923" s="1">
        <v>245.19</v>
      </c>
      <c r="U923" s="1">
        <v>0.61899999999999999</v>
      </c>
      <c r="V923" s="6">
        <f t="shared" si="42"/>
        <v>5580.96</v>
      </c>
      <c r="W923" s="6" t="str">
        <f t="shared" si="43"/>
        <v>Sufficient</v>
      </c>
      <c r="X923" s="8" t="str">
        <f t="shared" si="44"/>
        <v>LOW</v>
      </c>
    </row>
    <row r="924" spans="1:24">
      <c r="A924" s="7" t="s">
        <v>1054</v>
      </c>
      <c r="B924" s="1" t="s">
        <v>29</v>
      </c>
      <c r="C924" s="1">
        <v>137</v>
      </c>
      <c r="D924" s="1">
        <v>45</v>
      </c>
      <c r="E924" s="1">
        <v>5</v>
      </c>
      <c r="F924" s="1">
        <v>3</v>
      </c>
      <c r="G924" s="1">
        <v>41.15</v>
      </c>
      <c r="H924" s="1" t="s">
        <v>325</v>
      </c>
      <c r="I924" s="1" t="s">
        <v>27</v>
      </c>
      <c r="J924" s="1">
        <v>169</v>
      </c>
      <c r="K924" s="1">
        <v>2.57</v>
      </c>
      <c r="L924" s="4">
        <v>162.16999999999999</v>
      </c>
      <c r="M924" s="1">
        <v>0.83</v>
      </c>
      <c r="N924" s="1">
        <v>5</v>
      </c>
      <c r="O924" s="1">
        <v>0.73</v>
      </c>
      <c r="P924" s="1">
        <v>249</v>
      </c>
      <c r="Q924" s="1">
        <v>2.44</v>
      </c>
      <c r="R924" s="1">
        <v>0.37</v>
      </c>
      <c r="S924" s="2">
        <v>45603</v>
      </c>
      <c r="T924" s="1">
        <v>69.59</v>
      </c>
      <c r="U924" s="1">
        <v>0.47</v>
      </c>
      <c r="V924" s="6">
        <f t="shared" si="42"/>
        <v>22217.289999999997</v>
      </c>
      <c r="W924" s="6" t="str">
        <f t="shared" si="43"/>
        <v>Sufficient</v>
      </c>
      <c r="X924" s="8" t="str">
        <f t="shared" si="44"/>
        <v>Medium</v>
      </c>
    </row>
    <row r="925" spans="1:24">
      <c r="A925" s="7" t="s">
        <v>1055</v>
      </c>
      <c r="B925" s="1" t="s">
        <v>29</v>
      </c>
      <c r="C925" s="1">
        <v>395</v>
      </c>
      <c r="D925" s="1">
        <v>80</v>
      </c>
      <c r="E925" s="1">
        <v>3</v>
      </c>
      <c r="F925" s="1">
        <v>9</v>
      </c>
      <c r="G925" s="1">
        <v>38.31</v>
      </c>
      <c r="H925" s="1" t="s">
        <v>68</v>
      </c>
      <c r="I925" s="1" t="s">
        <v>31</v>
      </c>
      <c r="J925" s="1">
        <v>25</v>
      </c>
      <c r="K925" s="1">
        <v>4.21</v>
      </c>
      <c r="L925" s="4">
        <v>14.18</v>
      </c>
      <c r="M925" s="1">
        <v>0.39</v>
      </c>
      <c r="N925" s="1">
        <v>1</v>
      </c>
      <c r="O925" s="1">
        <v>0.73</v>
      </c>
      <c r="P925" s="1">
        <v>597</v>
      </c>
      <c r="Q925" s="1">
        <v>12.19</v>
      </c>
      <c r="R925" s="1">
        <v>0.3</v>
      </c>
      <c r="S925" s="2">
        <v>45320</v>
      </c>
      <c r="T925" s="1">
        <v>68.09</v>
      </c>
      <c r="U925" s="1">
        <v>0.71</v>
      </c>
      <c r="V925" s="6">
        <f t="shared" si="42"/>
        <v>5601.0999999999995</v>
      </c>
      <c r="W925" s="6" t="str">
        <f t="shared" si="43"/>
        <v>Sufficient</v>
      </c>
      <c r="X925" s="8" t="str">
        <f t="shared" si="44"/>
        <v>High</v>
      </c>
    </row>
    <row r="926" spans="1:24">
      <c r="A926" s="7" t="s">
        <v>1056</v>
      </c>
      <c r="B926" s="1" t="s">
        <v>29</v>
      </c>
      <c r="C926" s="1">
        <v>78</v>
      </c>
      <c r="D926" s="1">
        <v>22</v>
      </c>
      <c r="E926" s="1">
        <v>7</v>
      </c>
      <c r="F926" s="1">
        <v>5</v>
      </c>
      <c r="G926" s="1">
        <v>49.41</v>
      </c>
      <c r="H926" s="1" t="s">
        <v>117</v>
      </c>
      <c r="I926" s="1" t="s">
        <v>39</v>
      </c>
      <c r="J926" s="1">
        <v>51</v>
      </c>
      <c r="K926" s="1">
        <v>4.6399999999999997</v>
      </c>
      <c r="L926" s="4">
        <v>139.15</v>
      </c>
      <c r="M926" s="1">
        <v>0.55000000000000004</v>
      </c>
      <c r="N926" s="1">
        <v>9</v>
      </c>
      <c r="O926" s="1">
        <v>0.71</v>
      </c>
      <c r="P926" s="1">
        <v>912</v>
      </c>
      <c r="Q926" s="1">
        <v>10.83</v>
      </c>
      <c r="R926" s="1">
        <v>0.75</v>
      </c>
      <c r="S926" s="2">
        <v>45450</v>
      </c>
      <c r="T926" s="1">
        <v>142.82</v>
      </c>
      <c r="U926" s="1">
        <v>0.60099999999999998</v>
      </c>
      <c r="V926" s="6">
        <f t="shared" si="42"/>
        <v>10853.7</v>
      </c>
      <c r="W926" s="6" t="str">
        <f t="shared" si="43"/>
        <v>Sufficient</v>
      </c>
      <c r="X926" s="8" t="str">
        <f t="shared" si="44"/>
        <v>LOW</v>
      </c>
    </row>
    <row r="927" spans="1:24">
      <c r="A927" s="7" t="s">
        <v>1057</v>
      </c>
      <c r="B927" s="1" t="s">
        <v>33</v>
      </c>
      <c r="C927" s="1">
        <v>52</v>
      </c>
      <c r="D927" s="1">
        <v>24</v>
      </c>
      <c r="E927" s="1">
        <v>6</v>
      </c>
      <c r="F927" s="1">
        <v>3</v>
      </c>
      <c r="G927" s="1">
        <v>1.4</v>
      </c>
      <c r="H927" s="1" t="s">
        <v>122</v>
      </c>
      <c r="I927" s="1" t="s">
        <v>27</v>
      </c>
      <c r="J927" s="1">
        <v>169</v>
      </c>
      <c r="K927" s="1">
        <v>0.68</v>
      </c>
      <c r="L927" s="4">
        <v>151.59</v>
      </c>
      <c r="M927" s="1">
        <v>0.91</v>
      </c>
      <c r="N927" s="1">
        <v>9</v>
      </c>
      <c r="O927" s="1">
        <v>0.8</v>
      </c>
      <c r="P927" s="1">
        <v>424</v>
      </c>
      <c r="Q927" s="1">
        <v>2.1800000000000002</v>
      </c>
      <c r="R927" s="1">
        <v>0.25</v>
      </c>
      <c r="S927" s="2">
        <v>45633</v>
      </c>
      <c r="T927" s="1">
        <v>65.44</v>
      </c>
      <c r="U927" s="1">
        <v>0.36799999999999999</v>
      </c>
      <c r="V927" s="6">
        <f t="shared" si="42"/>
        <v>7882.68</v>
      </c>
      <c r="W927" s="6" t="str">
        <f t="shared" si="43"/>
        <v>Sufficient</v>
      </c>
      <c r="X927" s="8" t="str">
        <f t="shared" si="44"/>
        <v>LOW</v>
      </c>
    </row>
    <row r="928" spans="1:24">
      <c r="A928" s="7" t="s">
        <v>1058</v>
      </c>
      <c r="B928" s="1" t="s">
        <v>33</v>
      </c>
      <c r="C928" s="1">
        <v>337</v>
      </c>
      <c r="D928" s="1">
        <v>98</v>
      </c>
      <c r="E928" s="1">
        <v>4</v>
      </c>
      <c r="F928" s="1">
        <v>3</v>
      </c>
      <c r="G928" s="1">
        <v>22.44</v>
      </c>
      <c r="H928" s="1" t="s">
        <v>103</v>
      </c>
      <c r="I928" s="1" t="s">
        <v>27</v>
      </c>
      <c r="J928" s="1">
        <v>50</v>
      </c>
      <c r="K928" s="1">
        <v>3.85</v>
      </c>
      <c r="L928" s="4">
        <v>100.7</v>
      </c>
      <c r="M928" s="1">
        <v>0.64</v>
      </c>
      <c r="N928" s="1">
        <v>0</v>
      </c>
      <c r="O928" s="1">
        <v>0.82</v>
      </c>
      <c r="P928" s="1">
        <v>455</v>
      </c>
      <c r="Q928" s="1">
        <v>3.28</v>
      </c>
      <c r="R928" s="1">
        <v>0.4</v>
      </c>
      <c r="S928" s="2">
        <v>45628</v>
      </c>
      <c r="T928" s="1">
        <v>64.37</v>
      </c>
      <c r="U928" s="1">
        <v>0.624</v>
      </c>
      <c r="V928" s="6">
        <f t="shared" si="42"/>
        <v>33935.9</v>
      </c>
      <c r="W928" s="6" t="str">
        <f t="shared" si="43"/>
        <v>Sufficient</v>
      </c>
      <c r="X928" s="8" t="str">
        <f t="shared" si="44"/>
        <v>High</v>
      </c>
    </row>
    <row r="929" spans="1:24">
      <c r="A929" s="7" t="s">
        <v>1059</v>
      </c>
      <c r="B929" s="1" t="s">
        <v>41</v>
      </c>
      <c r="C929" s="1">
        <v>69</v>
      </c>
      <c r="D929" s="1">
        <v>96</v>
      </c>
      <c r="E929" s="1">
        <v>11</v>
      </c>
      <c r="F929" s="1">
        <v>3</v>
      </c>
      <c r="G929" s="1">
        <v>13.55</v>
      </c>
      <c r="H929" s="1" t="s">
        <v>38</v>
      </c>
      <c r="I929" s="1" t="s">
        <v>31</v>
      </c>
      <c r="J929" s="1">
        <v>117</v>
      </c>
      <c r="K929" s="1">
        <v>0.66</v>
      </c>
      <c r="L929" s="4">
        <v>40.799999999999997</v>
      </c>
      <c r="M929" s="1">
        <v>1.43</v>
      </c>
      <c r="N929" s="1">
        <v>2</v>
      </c>
      <c r="O929" s="1">
        <v>0.73</v>
      </c>
      <c r="P929" s="1">
        <v>283</v>
      </c>
      <c r="Q929" s="1">
        <v>2.4</v>
      </c>
      <c r="R929" s="1">
        <v>0.93</v>
      </c>
      <c r="S929" s="2">
        <v>45381</v>
      </c>
      <c r="T929" s="1">
        <v>87.66</v>
      </c>
      <c r="U929" s="1">
        <v>0.58099999999999996</v>
      </c>
      <c r="V929" s="6">
        <f t="shared" si="42"/>
        <v>2815.2</v>
      </c>
      <c r="W929" s="6" t="str">
        <f t="shared" si="43"/>
        <v>Reorder Required</v>
      </c>
      <c r="X929" s="8" t="str">
        <f t="shared" si="44"/>
        <v>LOW</v>
      </c>
    </row>
    <row r="930" spans="1:24">
      <c r="A930" s="7" t="s">
        <v>1060</v>
      </c>
      <c r="B930" s="1" t="s">
        <v>25</v>
      </c>
      <c r="C930" s="1">
        <v>387</v>
      </c>
      <c r="D930" s="1">
        <v>69</v>
      </c>
      <c r="E930" s="1">
        <v>5</v>
      </c>
      <c r="F930" s="1">
        <v>6</v>
      </c>
      <c r="G930" s="1">
        <v>6.87</v>
      </c>
      <c r="H930" s="1" t="s">
        <v>266</v>
      </c>
      <c r="I930" s="1" t="s">
        <v>31</v>
      </c>
      <c r="J930" s="1">
        <v>134</v>
      </c>
      <c r="K930" s="1">
        <v>2.5</v>
      </c>
      <c r="L930" s="4">
        <v>127.18</v>
      </c>
      <c r="M930" s="1">
        <v>1.1200000000000001</v>
      </c>
      <c r="N930" s="1">
        <v>3</v>
      </c>
      <c r="O930" s="1">
        <v>0.86</v>
      </c>
      <c r="P930" s="1">
        <v>557</v>
      </c>
      <c r="Q930" s="1">
        <v>12.07</v>
      </c>
      <c r="R930" s="1">
        <v>0.31</v>
      </c>
      <c r="S930" s="2">
        <v>45353</v>
      </c>
      <c r="T930" s="1">
        <v>16.54</v>
      </c>
      <c r="U930" s="1">
        <v>0.623</v>
      </c>
      <c r="V930" s="6">
        <f t="shared" si="42"/>
        <v>49218.66</v>
      </c>
      <c r="W930" s="6" t="str">
        <f t="shared" si="43"/>
        <v>Sufficient</v>
      </c>
      <c r="X930" s="8" t="str">
        <f t="shared" si="44"/>
        <v>High</v>
      </c>
    </row>
    <row r="931" spans="1:24">
      <c r="A931" s="7" t="s">
        <v>1061</v>
      </c>
      <c r="B931" s="1" t="s">
        <v>66</v>
      </c>
      <c r="C931" s="1">
        <v>38</v>
      </c>
      <c r="D931" s="1">
        <v>31</v>
      </c>
      <c r="E931" s="1">
        <v>10</v>
      </c>
      <c r="F931" s="1">
        <v>3</v>
      </c>
      <c r="G931" s="1">
        <v>45.66</v>
      </c>
      <c r="H931" s="1" t="s">
        <v>85</v>
      </c>
      <c r="I931" s="1" t="s">
        <v>45</v>
      </c>
      <c r="J931" s="1">
        <v>161</v>
      </c>
      <c r="K931" s="1">
        <v>2.58</v>
      </c>
      <c r="L931" s="4">
        <v>180.53</v>
      </c>
      <c r="M931" s="1">
        <v>1.66</v>
      </c>
      <c r="N931" s="1">
        <v>4</v>
      </c>
      <c r="O931" s="1">
        <v>0.87</v>
      </c>
      <c r="P931" s="1">
        <v>291</v>
      </c>
      <c r="Q931" s="1">
        <v>11.82</v>
      </c>
      <c r="R931" s="1">
        <v>0.5</v>
      </c>
      <c r="S931" s="2">
        <v>45298</v>
      </c>
      <c r="T931" s="1">
        <v>175.69</v>
      </c>
      <c r="U931" s="1">
        <v>0.58599999999999997</v>
      </c>
      <c r="V931" s="6">
        <f t="shared" si="42"/>
        <v>6860.14</v>
      </c>
      <c r="W931" s="6" t="str">
        <f t="shared" si="43"/>
        <v>Sufficient</v>
      </c>
      <c r="X931" s="8" t="str">
        <f t="shared" si="44"/>
        <v>LOW</v>
      </c>
    </row>
    <row r="932" spans="1:24">
      <c r="A932" s="7" t="s">
        <v>1062</v>
      </c>
      <c r="B932" s="1" t="s">
        <v>29</v>
      </c>
      <c r="C932" s="1">
        <v>233</v>
      </c>
      <c r="D932" s="1">
        <v>72</v>
      </c>
      <c r="E932" s="1">
        <v>8</v>
      </c>
      <c r="F932" s="1">
        <v>3</v>
      </c>
      <c r="G932" s="1">
        <v>49.9</v>
      </c>
      <c r="H932" s="1" t="s">
        <v>38</v>
      </c>
      <c r="I932" s="1" t="s">
        <v>45</v>
      </c>
      <c r="J932" s="1">
        <v>22</v>
      </c>
      <c r="K932" s="1">
        <v>3.63</v>
      </c>
      <c r="L932" s="4">
        <v>186.95</v>
      </c>
      <c r="M932" s="1">
        <v>1.48</v>
      </c>
      <c r="N932" s="1">
        <v>9</v>
      </c>
      <c r="O932" s="1">
        <v>0.93</v>
      </c>
      <c r="P932" s="1">
        <v>992</v>
      </c>
      <c r="Q932" s="1">
        <v>6.71</v>
      </c>
      <c r="R932" s="1">
        <v>0.96</v>
      </c>
      <c r="S932" s="2">
        <v>45654</v>
      </c>
      <c r="T932" s="1">
        <v>125.02</v>
      </c>
      <c r="U932" s="1">
        <v>0.53900000000000003</v>
      </c>
      <c r="V932" s="6">
        <f t="shared" si="42"/>
        <v>43559.35</v>
      </c>
      <c r="W932" s="6" t="str">
        <f t="shared" si="43"/>
        <v>Sufficient</v>
      </c>
      <c r="X932" s="8" t="str">
        <f t="shared" si="44"/>
        <v>Medium</v>
      </c>
    </row>
    <row r="933" spans="1:24">
      <c r="A933" s="7" t="s">
        <v>1063</v>
      </c>
      <c r="B933" s="1" t="s">
        <v>41</v>
      </c>
      <c r="C933" s="1">
        <v>216</v>
      </c>
      <c r="D933" s="1">
        <v>99</v>
      </c>
      <c r="E933" s="1">
        <v>7</v>
      </c>
      <c r="F933" s="1">
        <v>6</v>
      </c>
      <c r="G933" s="1">
        <v>9.85</v>
      </c>
      <c r="H933" s="1" t="s">
        <v>77</v>
      </c>
      <c r="I933" s="1" t="s">
        <v>39</v>
      </c>
      <c r="J933" s="1">
        <v>88</v>
      </c>
      <c r="K933" s="1">
        <v>2.09</v>
      </c>
      <c r="L933" s="4">
        <v>151.76</v>
      </c>
      <c r="M933" s="1">
        <v>0.34</v>
      </c>
      <c r="N933" s="1">
        <v>2</v>
      </c>
      <c r="O933" s="1">
        <v>0.99</v>
      </c>
      <c r="P933" s="1">
        <v>388</v>
      </c>
      <c r="Q933" s="1">
        <v>12.5</v>
      </c>
      <c r="R933" s="1">
        <v>0.22</v>
      </c>
      <c r="S933" s="2">
        <v>45362</v>
      </c>
      <c r="T933" s="1">
        <v>78.84</v>
      </c>
      <c r="U933" s="1">
        <v>0.73499999999999999</v>
      </c>
      <c r="V933" s="6">
        <f t="shared" si="42"/>
        <v>32780.159999999996</v>
      </c>
      <c r="W933" s="6" t="str">
        <f t="shared" si="43"/>
        <v>Sufficient</v>
      </c>
      <c r="X933" s="8" t="str">
        <f t="shared" si="44"/>
        <v>Medium</v>
      </c>
    </row>
    <row r="934" spans="1:24">
      <c r="A934" s="7" t="s">
        <v>1064</v>
      </c>
      <c r="B934" s="1" t="s">
        <v>66</v>
      </c>
      <c r="C934" s="1">
        <v>398</v>
      </c>
      <c r="D934" s="1">
        <v>84</v>
      </c>
      <c r="E934" s="1">
        <v>3</v>
      </c>
      <c r="F934" s="1">
        <v>9</v>
      </c>
      <c r="G934" s="1">
        <v>2.88</v>
      </c>
      <c r="H934" s="1" t="s">
        <v>279</v>
      </c>
      <c r="I934" s="1" t="s">
        <v>27</v>
      </c>
      <c r="J934" s="1">
        <v>147</v>
      </c>
      <c r="K934" s="1">
        <v>4.1900000000000004</v>
      </c>
      <c r="L934" s="4">
        <v>60.11</v>
      </c>
      <c r="M934" s="1">
        <v>0.33</v>
      </c>
      <c r="N934" s="1">
        <v>4</v>
      </c>
      <c r="O934" s="1">
        <v>0.89</v>
      </c>
      <c r="P934" s="1">
        <v>69</v>
      </c>
      <c r="Q934" s="1">
        <v>14.64</v>
      </c>
      <c r="R934" s="1">
        <v>0.56000000000000005</v>
      </c>
      <c r="S934" s="2">
        <v>45651</v>
      </c>
      <c r="T934" s="1">
        <v>48.92</v>
      </c>
      <c r="U934" s="1">
        <v>0.77200000000000002</v>
      </c>
      <c r="V934" s="6">
        <f t="shared" si="42"/>
        <v>23923.78</v>
      </c>
      <c r="W934" s="6" t="str">
        <f t="shared" si="43"/>
        <v>Sufficient</v>
      </c>
      <c r="X934" s="8" t="str">
        <f t="shared" si="44"/>
        <v>High</v>
      </c>
    </row>
    <row r="935" spans="1:24">
      <c r="A935" s="7" t="s">
        <v>1065</v>
      </c>
      <c r="B935" s="1" t="s">
        <v>41</v>
      </c>
      <c r="C935" s="1">
        <v>469</v>
      </c>
      <c r="D935" s="1">
        <v>83</v>
      </c>
      <c r="E935" s="1">
        <v>6</v>
      </c>
      <c r="F935" s="1">
        <v>7</v>
      </c>
      <c r="G935" s="1">
        <v>14.48</v>
      </c>
      <c r="H935" s="1" t="s">
        <v>372</v>
      </c>
      <c r="I935" s="1" t="s">
        <v>27</v>
      </c>
      <c r="J935" s="1">
        <v>51</v>
      </c>
      <c r="K935" s="1">
        <v>2.04</v>
      </c>
      <c r="L935" s="4">
        <v>175.36</v>
      </c>
      <c r="M935" s="1">
        <v>1.8</v>
      </c>
      <c r="N935" s="1">
        <v>6</v>
      </c>
      <c r="O935" s="1">
        <v>0.73</v>
      </c>
      <c r="P935" s="1">
        <v>904</v>
      </c>
      <c r="Q935" s="1">
        <v>14.59</v>
      </c>
      <c r="R935" s="1">
        <v>0.83</v>
      </c>
      <c r="S935" s="2">
        <v>45297</v>
      </c>
      <c r="T935" s="1">
        <v>142.19999999999999</v>
      </c>
      <c r="U935" s="1">
        <v>0.60699999999999998</v>
      </c>
      <c r="V935" s="6">
        <f t="shared" si="42"/>
        <v>82243.840000000011</v>
      </c>
      <c r="W935" s="6" t="str">
        <f t="shared" si="43"/>
        <v>Sufficient</v>
      </c>
      <c r="X935" s="8" t="str">
        <f t="shared" si="44"/>
        <v>High</v>
      </c>
    </row>
    <row r="936" spans="1:24">
      <c r="A936" s="7" t="s">
        <v>1066</v>
      </c>
      <c r="B936" s="1" t="s">
        <v>33</v>
      </c>
      <c r="C936" s="1">
        <v>497</v>
      </c>
      <c r="D936" s="1">
        <v>34</v>
      </c>
      <c r="E936" s="1">
        <v>5</v>
      </c>
      <c r="F936" s="1">
        <v>4</v>
      </c>
      <c r="G936" s="1">
        <v>41.91</v>
      </c>
      <c r="H936" s="1" t="s">
        <v>149</v>
      </c>
      <c r="I936" s="1" t="s">
        <v>31</v>
      </c>
      <c r="J936" s="1">
        <v>178</v>
      </c>
      <c r="K936" s="1">
        <v>2.04</v>
      </c>
      <c r="L936" s="4">
        <v>178.88</v>
      </c>
      <c r="M936" s="1">
        <v>1.66</v>
      </c>
      <c r="N936" s="1">
        <v>8</v>
      </c>
      <c r="O936" s="1">
        <v>0.73</v>
      </c>
      <c r="P936" s="1">
        <v>713</v>
      </c>
      <c r="Q936" s="1">
        <v>14.73</v>
      </c>
      <c r="R936" s="1">
        <v>0.93</v>
      </c>
      <c r="S936" s="2">
        <v>45375</v>
      </c>
      <c r="T936" s="1">
        <v>184.57</v>
      </c>
      <c r="U936" s="1">
        <v>0.60199999999999998</v>
      </c>
      <c r="V936" s="6">
        <f t="shared" si="42"/>
        <v>88903.360000000001</v>
      </c>
      <c r="W936" s="6" t="str">
        <f t="shared" si="43"/>
        <v>Sufficient</v>
      </c>
      <c r="X936" s="8" t="str">
        <f t="shared" si="44"/>
        <v>High</v>
      </c>
    </row>
    <row r="937" spans="1:24">
      <c r="A937" s="7" t="s">
        <v>1067</v>
      </c>
      <c r="B937" s="1" t="s">
        <v>29</v>
      </c>
      <c r="C937" s="1">
        <v>66</v>
      </c>
      <c r="D937" s="1">
        <v>57</v>
      </c>
      <c r="E937" s="1">
        <v>3</v>
      </c>
      <c r="F937" s="1">
        <v>9</v>
      </c>
      <c r="G937" s="1">
        <v>15.4</v>
      </c>
      <c r="H937" s="1" t="s">
        <v>135</v>
      </c>
      <c r="I937" s="1" t="s">
        <v>39</v>
      </c>
      <c r="J937" s="1">
        <v>130</v>
      </c>
      <c r="K937" s="1">
        <v>1.5</v>
      </c>
      <c r="L937" s="4">
        <v>79.78</v>
      </c>
      <c r="M937" s="1">
        <v>0.99</v>
      </c>
      <c r="N937" s="1">
        <v>4</v>
      </c>
      <c r="O937" s="1">
        <v>0.93</v>
      </c>
      <c r="P937" s="1">
        <v>943</v>
      </c>
      <c r="Q937" s="1">
        <v>12.85</v>
      </c>
      <c r="R937" s="1">
        <v>0.79</v>
      </c>
      <c r="S937" s="2">
        <v>45546</v>
      </c>
      <c r="T937" s="1">
        <v>292.25</v>
      </c>
      <c r="U937" s="1">
        <v>0.73599999999999999</v>
      </c>
      <c r="V937" s="6">
        <f t="shared" si="42"/>
        <v>5265.4800000000005</v>
      </c>
      <c r="W937" s="6" t="str">
        <f t="shared" si="43"/>
        <v>Sufficient</v>
      </c>
      <c r="X937" s="8" t="str">
        <f t="shared" si="44"/>
        <v>LOW</v>
      </c>
    </row>
    <row r="938" spans="1:24">
      <c r="A938" s="7" t="s">
        <v>1068</v>
      </c>
      <c r="B938" s="1" t="s">
        <v>66</v>
      </c>
      <c r="C938" s="1">
        <v>186</v>
      </c>
      <c r="D938" s="1">
        <v>52</v>
      </c>
      <c r="E938" s="1">
        <v>14</v>
      </c>
      <c r="F938" s="1">
        <v>8</v>
      </c>
      <c r="G938" s="1">
        <v>3.79</v>
      </c>
      <c r="H938" s="1" t="s">
        <v>333</v>
      </c>
      <c r="I938" s="1" t="s">
        <v>27</v>
      </c>
      <c r="J938" s="1">
        <v>140</v>
      </c>
      <c r="K938" s="1">
        <v>3.58</v>
      </c>
      <c r="L938" s="4">
        <v>44.77</v>
      </c>
      <c r="M938" s="1">
        <v>0.35</v>
      </c>
      <c r="N938" s="1">
        <v>3</v>
      </c>
      <c r="O938" s="1">
        <v>0.9</v>
      </c>
      <c r="P938" s="1">
        <v>220</v>
      </c>
      <c r="Q938" s="1">
        <v>4.04</v>
      </c>
      <c r="R938" s="1">
        <v>0.91</v>
      </c>
      <c r="S938" s="2">
        <v>45469</v>
      </c>
      <c r="T938" s="1">
        <v>83.61</v>
      </c>
      <c r="U938" s="1">
        <v>0.72099999999999997</v>
      </c>
      <c r="V938" s="6">
        <f t="shared" si="42"/>
        <v>8327.2200000000012</v>
      </c>
      <c r="W938" s="6" t="str">
        <f t="shared" si="43"/>
        <v>Sufficient</v>
      </c>
      <c r="X938" s="8" t="str">
        <f t="shared" si="44"/>
        <v>Medium</v>
      </c>
    </row>
    <row r="939" spans="1:24">
      <c r="A939" s="7" t="s">
        <v>1069</v>
      </c>
      <c r="B939" s="1" t="s">
        <v>66</v>
      </c>
      <c r="C939" s="1">
        <v>471</v>
      </c>
      <c r="D939" s="1">
        <v>47</v>
      </c>
      <c r="E939" s="1">
        <v>7</v>
      </c>
      <c r="F939" s="1">
        <v>7</v>
      </c>
      <c r="G939" s="1">
        <v>3.57</v>
      </c>
      <c r="H939" s="1" t="s">
        <v>282</v>
      </c>
      <c r="I939" s="1" t="s">
        <v>39</v>
      </c>
      <c r="J939" s="1">
        <v>25</v>
      </c>
      <c r="K939" s="1">
        <v>0.84</v>
      </c>
      <c r="L939" s="4">
        <v>176.19</v>
      </c>
      <c r="M939" s="1">
        <v>1.81</v>
      </c>
      <c r="N939" s="1">
        <v>9</v>
      </c>
      <c r="O939" s="1">
        <v>0.75</v>
      </c>
      <c r="P939" s="1">
        <v>265</v>
      </c>
      <c r="Q939" s="1">
        <v>1.8</v>
      </c>
      <c r="R939" s="1">
        <v>0.23</v>
      </c>
      <c r="S939" s="2">
        <v>45559</v>
      </c>
      <c r="T939" s="1">
        <v>17.64</v>
      </c>
      <c r="U939" s="1">
        <v>0.25900000000000001</v>
      </c>
      <c r="V939" s="6">
        <f t="shared" si="42"/>
        <v>82985.490000000005</v>
      </c>
      <c r="W939" s="6" t="str">
        <f t="shared" si="43"/>
        <v>Sufficient</v>
      </c>
      <c r="X939" s="8" t="str">
        <f t="shared" si="44"/>
        <v>High</v>
      </c>
    </row>
    <row r="940" spans="1:24">
      <c r="A940" s="7" t="s">
        <v>1070</v>
      </c>
      <c r="B940" s="1" t="s">
        <v>66</v>
      </c>
      <c r="C940" s="1">
        <v>308</v>
      </c>
      <c r="D940" s="1">
        <v>50</v>
      </c>
      <c r="E940" s="1">
        <v>8</v>
      </c>
      <c r="F940" s="1">
        <v>2</v>
      </c>
      <c r="G940" s="1">
        <v>21.94</v>
      </c>
      <c r="H940" s="1" t="s">
        <v>411</v>
      </c>
      <c r="I940" s="1" t="s">
        <v>45</v>
      </c>
      <c r="J940" s="1">
        <v>53</v>
      </c>
      <c r="K940" s="1">
        <v>2.13</v>
      </c>
      <c r="L940" s="4">
        <v>178.17</v>
      </c>
      <c r="M940" s="1">
        <v>0.54</v>
      </c>
      <c r="N940" s="1">
        <v>8</v>
      </c>
      <c r="O940" s="1">
        <v>0.78</v>
      </c>
      <c r="P940" s="1">
        <v>917</v>
      </c>
      <c r="Q940" s="1">
        <v>12.36</v>
      </c>
      <c r="R940" s="1">
        <v>0.28000000000000003</v>
      </c>
      <c r="S940" s="2">
        <v>45556</v>
      </c>
      <c r="T940" s="1">
        <v>223.44</v>
      </c>
      <c r="U940" s="1">
        <v>0.56299999999999994</v>
      </c>
      <c r="V940" s="6">
        <f t="shared" si="42"/>
        <v>54876.359999999993</v>
      </c>
      <c r="W940" s="6" t="str">
        <f t="shared" si="43"/>
        <v>Sufficient</v>
      </c>
      <c r="X940" s="8" t="str">
        <f t="shared" si="44"/>
        <v>High</v>
      </c>
    </row>
    <row r="941" spans="1:24">
      <c r="A941" s="7" t="s">
        <v>1071</v>
      </c>
      <c r="B941" s="1" t="s">
        <v>66</v>
      </c>
      <c r="C941" s="1">
        <v>160</v>
      </c>
      <c r="D941" s="1">
        <v>54</v>
      </c>
      <c r="E941" s="1">
        <v>4</v>
      </c>
      <c r="F941" s="1">
        <v>6</v>
      </c>
      <c r="G941" s="1">
        <v>46.66</v>
      </c>
      <c r="H941" s="1" t="s">
        <v>325</v>
      </c>
      <c r="I941" s="1" t="s">
        <v>31</v>
      </c>
      <c r="J941" s="1">
        <v>167</v>
      </c>
      <c r="K941" s="1">
        <v>1.7</v>
      </c>
      <c r="L941" s="4">
        <v>29.17</v>
      </c>
      <c r="M941" s="1">
        <v>0.17</v>
      </c>
      <c r="N941" s="1">
        <v>7</v>
      </c>
      <c r="O941" s="1">
        <v>0.93</v>
      </c>
      <c r="P941" s="1">
        <v>890</v>
      </c>
      <c r="Q941" s="1">
        <v>5.32</v>
      </c>
      <c r="R941" s="1">
        <v>0.79</v>
      </c>
      <c r="S941" s="2">
        <v>45424</v>
      </c>
      <c r="T941" s="1">
        <v>78.2</v>
      </c>
      <c r="U941" s="1">
        <v>0.65800000000000003</v>
      </c>
      <c r="V941" s="6">
        <f t="shared" si="42"/>
        <v>4667.2000000000007</v>
      </c>
      <c r="W941" s="6" t="str">
        <f t="shared" si="43"/>
        <v>Sufficient</v>
      </c>
      <c r="X941" s="8" t="str">
        <f t="shared" si="44"/>
        <v>Medium</v>
      </c>
    </row>
    <row r="942" spans="1:24">
      <c r="A942" s="7" t="s">
        <v>1072</v>
      </c>
      <c r="B942" s="1" t="s">
        <v>66</v>
      </c>
      <c r="C942" s="1">
        <v>103</v>
      </c>
      <c r="D942" s="1">
        <v>97</v>
      </c>
      <c r="E942" s="1">
        <v>5</v>
      </c>
      <c r="F942" s="1">
        <v>6</v>
      </c>
      <c r="G942" s="1">
        <v>15.01</v>
      </c>
      <c r="H942" s="1" t="s">
        <v>77</v>
      </c>
      <c r="I942" s="1" t="s">
        <v>27</v>
      </c>
      <c r="J942" s="1">
        <v>130</v>
      </c>
      <c r="K942" s="1">
        <v>1.53</v>
      </c>
      <c r="L942" s="4">
        <v>193.73</v>
      </c>
      <c r="M942" s="1">
        <v>1.86</v>
      </c>
      <c r="N942" s="1">
        <v>4</v>
      </c>
      <c r="O942" s="1">
        <v>0.87</v>
      </c>
      <c r="P942" s="1">
        <v>793</v>
      </c>
      <c r="Q942" s="1">
        <v>5.73</v>
      </c>
      <c r="R942" s="1">
        <v>0.8</v>
      </c>
      <c r="S942" s="2">
        <v>45377</v>
      </c>
      <c r="T942" s="1">
        <v>150.44</v>
      </c>
      <c r="U942" s="1">
        <v>0.54400000000000004</v>
      </c>
      <c r="V942" s="6">
        <f t="shared" si="42"/>
        <v>19954.189999999999</v>
      </c>
      <c r="W942" s="6" t="str">
        <f t="shared" si="43"/>
        <v>Sufficient</v>
      </c>
      <c r="X942" s="8" t="str">
        <f t="shared" si="44"/>
        <v>Medium</v>
      </c>
    </row>
    <row r="943" spans="1:24">
      <c r="A943" s="7" t="s">
        <v>1073</v>
      </c>
      <c r="B943" s="1" t="s">
        <v>41</v>
      </c>
      <c r="C943" s="1">
        <v>201</v>
      </c>
      <c r="D943" s="1">
        <v>49</v>
      </c>
      <c r="E943" s="1">
        <v>13</v>
      </c>
      <c r="F943" s="1">
        <v>3</v>
      </c>
      <c r="G943" s="1">
        <v>21.93</v>
      </c>
      <c r="H943" s="1" t="s">
        <v>97</v>
      </c>
      <c r="I943" s="1" t="s">
        <v>31</v>
      </c>
      <c r="J943" s="1">
        <v>174</v>
      </c>
      <c r="K943" s="1">
        <v>0.77</v>
      </c>
      <c r="L943" s="4">
        <v>111.29</v>
      </c>
      <c r="M943" s="1">
        <v>1.64</v>
      </c>
      <c r="N943" s="1">
        <v>8</v>
      </c>
      <c r="O943" s="1">
        <v>0.88</v>
      </c>
      <c r="P943" s="1">
        <v>65</v>
      </c>
      <c r="Q943" s="1">
        <v>2.02</v>
      </c>
      <c r="R943" s="1">
        <v>0.68</v>
      </c>
      <c r="S943" s="2">
        <v>45482</v>
      </c>
      <c r="T943" s="1">
        <v>244.39</v>
      </c>
      <c r="U943" s="1">
        <v>0.41499999999999998</v>
      </c>
      <c r="V943" s="6">
        <f t="shared" si="42"/>
        <v>22369.29</v>
      </c>
      <c r="W943" s="6" t="str">
        <f t="shared" si="43"/>
        <v>Sufficient</v>
      </c>
      <c r="X943" s="8" t="str">
        <f t="shared" si="44"/>
        <v>Medium</v>
      </c>
    </row>
    <row r="944" spans="1:24">
      <c r="A944" s="7" t="s">
        <v>1074</v>
      </c>
      <c r="B944" s="1" t="s">
        <v>29</v>
      </c>
      <c r="C944" s="1">
        <v>410</v>
      </c>
      <c r="D944" s="1">
        <v>26</v>
      </c>
      <c r="E944" s="1">
        <v>8</v>
      </c>
      <c r="F944" s="1">
        <v>3</v>
      </c>
      <c r="G944" s="1">
        <v>5.99</v>
      </c>
      <c r="H944" s="1" t="s">
        <v>333</v>
      </c>
      <c r="I944" s="1" t="s">
        <v>45</v>
      </c>
      <c r="J944" s="1">
        <v>33</v>
      </c>
      <c r="K944" s="1">
        <v>1.36</v>
      </c>
      <c r="L944" s="4">
        <v>198.81</v>
      </c>
      <c r="M944" s="1">
        <v>1.42</v>
      </c>
      <c r="N944" s="1">
        <v>8</v>
      </c>
      <c r="O944" s="1">
        <v>0.76</v>
      </c>
      <c r="P944" s="1">
        <v>332</v>
      </c>
      <c r="Q944" s="1">
        <v>11.01</v>
      </c>
      <c r="R944" s="1">
        <v>0.78</v>
      </c>
      <c r="S944" s="2">
        <v>45356</v>
      </c>
      <c r="T944" s="1">
        <v>20.72</v>
      </c>
      <c r="U944" s="1">
        <v>0.55300000000000005</v>
      </c>
      <c r="V944" s="6">
        <f t="shared" si="42"/>
        <v>81512.100000000006</v>
      </c>
      <c r="W944" s="6" t="str">
        <f t="shared" si="43"/>
        <v>Sufficient</v>
      </c>
      <c r="X944" s="8" t="str">
        <f t="shared" si="44"/>
        <v>High</v>
      </c>
    </row>
    <row r="945" spans="1:24">
      <c r="A945" s="7" t="s">
        <v>1075</v>
      </c>
      <c r="B945" s="1" t="s">
        <v>33</v>
      </c>
      <c r="C945" s="1">
        <v>98</v>
      </c>
      <c r="D945" s="1">
        <v>97</v>
      </c>
      <c r="E945" s="1">
        <v>6</v>
      </c>
      <c r="F945" s="1">
        <v>8</v>
      </c>
      <c r="G945" s="1">
        <v>25.19</v>
      </c>
      <c r="H945" s="1" t="s">
        <v>200</v>
      </c>
      <c r="I945" s="1" t="s">
        <v>39</v>
      </c>
      <c r="J945" s="1">
        <v>35</v>
      </c>
      <c r="K945" s="1">
        <v>2.5099999999999998</v>
      </c>
      <c r="L945" s="4">
        <v>94.55</v>
      </c>
      <c r="M945" s="1">
        <v>0.16</v>
      </c>
      <c r="N945" s="1">
        <v>0</v>
      </c>
      <c r="O945" s="1">
        <v>0.89</v>
      </c>
      <c r="P945" s="1">
        <v>350</v>
      </c>
      <c r="Q945" s="1">
        <v>7.03</v>
      </c>
      <c r="R945" s="1">
        <v>0.89</v>
      </c>
      <c r="S945" s="2">
        <v>45429</v>
      </c>
      <c r="T945" s="1">
        <v>51.04</v>
      </c>
      <c r="U945" s="1">
        <v>0.83399999999999996</v>
      </c>
      <c r="V945" s="6">
        <f t="shared" si="42"/>
        <v>9265.9</v>
      </c>
      <c r="W945" s="6" t="str">
        <f t="shared" si="43"/>
        <v>Sufficient</v>
      </c>
      <c r="X945" s="8" t="str">
        <f t="shared" si="44"/>
        <v>LOW</v>
      </c>
    </row>
    <row r="946" spans="1:24">
      <c r="A946" s="7" t="s">
        <v>1076</v>
      </c>
      <c r="B946" s="1" t="s">
        <v>33</v>
      </c>
      <c r="C946" s="1">
        <v>234</v>
      </c>
      <c r="D946" s="1">
        <v>66</v>
      </c>
      <c r="E946" s="1">
        <v>11</v>
      </c>
      <c r="F946" s="1">
        <v>2</v>
      </c>
      <c r="G946" s="1">
        <v>35.130000000000003</v>
      </c>
      <c r="H946" s="1" t="s">
        <v>350</v>
      </c>
      <c r="I946" s="1" t="s">
        <v>39</v>
      </c>
      <c r="J946" s="1">
        <v>67</v>
      </c>
      <c r="K946" s="1">
        <v>2.77</v>
      </c>
      <c r="L946" s="4">
        <v>111.32</v>
      </c>
      <c r="M946" s="1">
        <v>1.1000000000000001</v>
      </c>
      <c r="N946" s="1">
        <v>5</v>
      </c>
      <c r="O946" s="1">
        <v>0.93</v>
      </c>
      <c r="P946" s="1">
        <v>214</v>
      </c>
      <c r="Q946" s="1">
        <v>3.86</v>
      </c>
      <c r="R946" s="1">
        <v>0.64</v>
      </c>
      <c r="S946" s="2">
        <v>45352</v>
      </c>
      <c r="T946" s="1">
        <v>38.47</v>
      </c>
      <c r="U946" s="1">
        <v>0.55500000000000005</v>
      </c>
      <c r="V946" s="6">
        <f t="shared" si="42"/>
        <v>26048.879999999997</v>
      </c>
      <c r="W946" s="6" t="str">
        <f t="shared" si="43"/>
        <v>Sufficient</v>
      </c>
      <c r="X946" s="8" t="str">
        <f t="shared" si="44"/>
        <v>Medium</v>
      </c>
    </row>
    <row r="947" spans="1:24">
      <c r="A947" s="7" t="s">
        <v>1077</v>
      </c>
      <c r="B947" s="1" t="s">
        <v>33</v>
      </c>
      <c r="C947" s="1">
        <v>33</v>
      </c>
      <c r="D947" s="1">
        <v>11</v>
      </c>
      <c r="E947" s="1">
        <v>7</v>
      </c>
      <c r="F947" s="1">
        <v>3</v>
      </c>
      <c r="G947" s="1">
        <v>14.29</v>
      </c>
      <c r="H947" s="1" t="s">
        <v>183</v>
      </c>
      <c r="I947" s="1" t="s">
        <v>45</v>
      </c>
      <c r="J947" s="1">
        <v>18</v>
      </c>
      <c r="K947" s="1">
        <v>1.71</v>
      </c>
      <c r="L947" s="4">
        <v>60.56</v>
      </c>
      <c r="M947" s="1">
        <v>1.34</v>
      </c>
      <c r="N947" s="1">
        <v>4</v>
      </c>
      <c r="O947" s="1">
        <v>0.97</v>
      </c>
      <c r="P947" s="1">
        <v>830</v>
      </c>
      <c r="Q947" s="1">
        <v>10.130000000000001</v>
      </c>
      <c r="R947" s="1">
        <v>0.96</v>
      </c>
      <c r="S947" s="2">
        <v>45307</v>
      </c>
      <c r="T947" s="1">
        <v>77.78</v>
      </c>
      <c r="U947" s="1">
        <v>0.70699999999999996</v>
      </c>
      <c r="V947" s="6">
        <f t="shared" si="42"/>
        <v>1998.48</v>
      </c>
      <c r="W947" s="6" t="str">
        <f t="shared" si="43"/>
        <v>Sufficient</v>
      </c>
      <c r="X947" s="8" t="str">
        <f t="shared" si="44"/>
        <v>LOW</v>
      </c>
    </row>
    <row r="948" spans="1:24">
      <c r="A948" s="7" t="s">
        <v>1078</v>
      </c>
      <c r="B948" s="1" t="s">
        <v>33</v>
      </c>
      <c r="C948" s="1">
        <v>234</v>
      </c>
      <c r="D948" s="1">
        <v>71</v>
      </c>
      <c r="E948" s="1">
        <v>6</v>
      </c>
      <c r="F948" s="1">
        <v>5</v>
      </c>
      <c r="G948" s="1">
        <v>15.54</v>
      </c>
      <c r="H948" s="1" t="s">
        <v>81</v>
      </c>
      <c r="I948" s="1" t="s">
        <v>45</v>
      </c>
      <c r="J948" s="1">
        <v>135</v>
      </c>
      <c r="K948" s="1">
        <v>3.43</v>
      </c>
      <c r="L948" s="4">
        <v>180.8</v>
      </c>
      <c r="M948" s="1">
        <v>1.54</v>
      </c>
      <c r="N948" s="1">
        <v>5</v>
      </c>
      <c r="O948" s="1">
        <v>0.92</v>
      </c>
      <c r="P948" s="1">
        <v>740</v>
      </c>
      <c r="Q948" s="1">
        <v>14.72</v>
      </c>
      <c r="R948" s="1">
        <v>0.76</v>
      </c>
      <c r="S948" s="2">
        <v>45463</v>
      </c>
      <c r="T948" s="1">
        <v>60.18</v>
      </c>
      <c r="U948" s="1">
        <v>0.67800000000000005</v>
      </c>
      <c r="V948" s="6">
        <f t="shared" si="42"/>
        <v>42307.200000000004</v>
      </c>
      <c r="W948" s="6" t="str">
        <f t="shared" si="43"/>
        <v>Sufficient</v>
      </c>
      <c r="X948" s="8" t="str">
        <f t="shared" si="44"/>
        <v>Medium</v>
      </c>
    </row>
    <row r="949" spans="1:24">
      <c r="A949" s="7" t="s">
        <v>1079</v>
      </c>
      <c r="B949" s="1" t="s">
        <v>41</v>
      </c>
      <c r="C949" s="1">
        <v>422</v>
      </c>
      <c r="D949" s="1">
        <v>97</v>
      </c>
      <c r="E949" s="1">
        <v>4</v>
      </c>
      <c r="F949" s="1">
        <v>3</v>
      </c>
      <c r="G949" s="1">
        <v>42.26</v>
      </c>
      <c r="H949" s="1" t="s">
        <v>325</v>
      </c>
      <c r="I949" s="1" t="s">
        <v>27</v>
      </c>
      <c r="J949" s="1">
        <v>28</v>
      </c>
      <c r="K949" s="1">
        <v>2.0099999999999998</v>
      </c>
      <c r="L949" s="4">
        <v>94.31</v>
      </c>
      <c r="M949" s="1">
        <v>1</v>
      </c>
      <c r="N949" s="1">
        <v>9</v>
      </c>
      <c r="O949" s="1">
        <v>0.87</v>
      </c>
      <c r="P949" s="1">
        <v>307</v>
      </c>
      <c r="Q949" s="1">
        <v>7.98</v>
      </c>
      <c r="R949" s="1">
        <v>0.57999999999999996</v>
      </c>
      <c r="S949" s="2">
        <v>45511</v>
      </c>
      <c r="T949" s="1">
        <v>101.81</v>
      </c>
      <c r="U949" s="1">
        <v>0.51600000000000001</v>
      </c>
      <c r="V949" s="6">
        <f t="shared" si="42"/>
        <v>39798.82</v>
      </c>
      <c r="W949" s="6" t="str">
        <f t="shared" si="43"/>
        <v>Sufficient</v>
      </c>
      <c r="X949" s="8" t="str">
        <f t="shared" si="44"/>
        <v>High</v>
      </c>
    </row>
    <row r="950" spans="1:24">
      <c r="A950" s="7" t="s">
        <v>1080</v>
      </c>
      <c r="B950" s="1" t="s">
        <v>25</v>
      </c>
      <c r="C950" s="1">
        <v>147</v>
      </c>
      <c r="D950" s="1">
        <v>18</v>
      </c>
      <c r="E950" s="1">
        <v>8</v>
      </c>
      <c r="F950" s="1">
        <v>3</v>
      </c>
      <c r="G950" s="1">
        <v>1.51</v>
      </c>
      <c r="H950" s="1" t="s">
        <v>91</v>
      </c>
      <c r="I950" s="1" t="s">
        <v>27</v>
      </c>
      <c r="J950" s="1">
        <v>37</v>
      </c>
      <c r="K950" s="1">
        <v>2.15</v>
      </c>
      <c r="L950" s="4">
        <v>164.78</v>
      </c>
      <c r="M950" s="1">
        <v>1.91</v>
      </c>
      <c r="N950" s="1">
        <v>2</v>
      </c>
      <c r="O950" s="1">
        <v>0.9</v>
      </c>
      <c r="P950" s="1">
        <v>637</v>
      </c>
      <c r="Q950" s="1">
        <v>9.49</v>
      </c>
      <c r="R950" s="1">
        <v>0.54</v>
      </c>
      <c r="S950" s="2">
        <v>45431</v>
      </c>
      <c r="T950" s="1">
        <v>226.43</v>
      </c>
      <c r="U950" s="1">
        <v>0.58399999999999996</v>
      </c>
      <c r="V950" s="6">
        <f t="shared" si="42"/>
        <v>24222.66</v>
      </c>
      <c r="W950" s="6" t="str">
        <f t="shared" si="43"/>
        <v>Sufficient</v>
      </c>
      <c r="X950" s="8" t="str">
        <f t="shared" si="44"/>
        <v>Medium</v>
      </c>
    </row>
    <row r="951" spans="1:24">
      <c r="A951" s="7" t="s">
        <v>1081</v>
      </c>
      <c r="B951" s="1" t="s">
        <v>29</v>
      </c>
      <c r="C951" s="1">
        <v>329</v>
      </c>
      <c r="D951" s="1">
        <v>77</v>
      </c>
      <c r="E951" s="1">
        <v>12</v>
      </c>
      <c r="F951" s="1">
        <v>5</v>
      </c>
      <c r="G951" s="1">
        <v>32.19</v>
      </c>
      <c r="H951" s="1" t="s">
        <v>327</v>
      </c>
      <c r="I951" s="1" t="s">
        <v>27</v>
      </c>
      <c r="J951" s="1">
        <v>144</v>
      </c>
      <c r="K951" s="1">
        <v>4.0199999999999996</v>
      </c>
      <c r="L951" s="4">
        <v>25.15</v>
      </c>
      <c r="M951" s="1">
        <v>0.56999999999999995</v>
      </c>
      <c r="N951" s="1">
        <v>2</v>
      </c>
      <c r="O951" s="1">
        <v>0.85</v>
      </c>
      <c r="P951" s="1">
        <v>666</v>
      </c>
      <c r="Q951" s="1">
        <v>3.28</v>
      </c>
      <c r="R951" s="1">
        <v>0.8</v>
      </c>
      <c r="S951" s="2">
        <v>45560</v>
      </c>
      <c r="T951" s="1">
        <v>22.28</v>
      </c>
      <c r="U951" s="1">
        <v>0.67700000000000005</v>
      </c>
      <c r="V951" s="6">
        <f t="shared" si="42"/>
        <v>8274.35</v>
      </c>
      <c r="W951" s="6" t="str">
        <f t="shared" si="43"/>
        <v>Sufficient</v>
      </c>
      <c r="X951" s="8" t="str">
        <f t="shared" si="44"/>
        <v>High</v>
      </c>
    </row>
    <row r="952" spans="1:24">
      <c r="A952" s="7" t="s">
        <v>1082</v>
      </c>
      <c r="B952" s="1" t="s">
        <v>66</v>
      </c>
      <c r="C952" s="1">
        <v>496</v>
      </c>
      <c r="D952" s="1">
        <v>90</v>
      </c>
      <c r="E952" s="1">
        <v>4</v>
      </c>
      <c r="F952" s="1">
        <v>2</v>
      </c>
      <c r="G952" s="1">
        <v>20.3</v>
      </c>
      <c r="H952" s="1" t="s">
        <v>57</v>
      </c>
      <c r="I952" s="1" t="s">
        <v>27</v>
      </c>
      <c r="J952" s="1">
        <v>54</v>
      </c>
      <c r="K952" s="1">
        <v>2.98</v>
      </c>
      <c r="L952" s="4">
        <v>159.77000000000001</v>
      </c>
      <c r="M952" s="1">
        <v>0.23</v>
      </c>
      <c r="N952" s="1">
        <v>9</v>
      </c>
      <c r="O952" s="1">
        <v>0.77</v>
      </c>
      <c r="P952" s="1">
        <v>402</v>
      </c>
      <c r="Q952" s="1">
        <v>3.25</v>
      </c>
      <c r="R952" s="1">
        <v>0.7</v>
      </c>
      <c r="S952" s="2">
        <v>45324</v>
      </c>
      <c r="T952" s="1">
        <v>31.39</v>
      </c>
      <c r="U952" s="1">
        <v>0.53400000000000003</v>
      </c>
      <c r="V952" s="6">
        <f t="shared" si="42"/>
        <v>79245.919999999998</v>
      </c>
      <c r="W952" s="6" t="str">
        <f t="shared" si="43"/>
        <v>Sufficient</v>
      </c>
      <c r="X952" s="8" t="str">
        <f t="shared" si="44"/>
        <v>High</v>
      </c>
    </row>
    <row r="953" spans="1:24">
      <c r="A953" s="7" t="s">
        <v>1083</v>
      </c>
      <c r="B953" s="1" t="s">
        <v>25</v>
      </c>
      <c r="C953" s="1">
        <v>267</v>
      </c>
      <c r="D953" s="1">
        <v>26</v>
      </c>
      <c r="E953" s="1">
        <v>14</v>
      </c>
      <c r="F953" s="1">
        <v>5</v>
      </c>
      <c r="G953" s="1">
        <v>15.62</v>
      </c>
      <c r="H953" s="1" t="s">
        <v>139</v>
      </c>
      <c r="I953" s="1" t="s">
        <v>27</v>
      </c>
      <c r="J953" s="1">
        <v>137</v>
      </c>
      <c r="K953" s="1">
        <v>4.79</v>
      </c>
      <c r="L953" s="4">
        <v>103.15</v>
      </c>
      <c r="M953" s="1">
        <v>0.73</v>
      </c>
      <c r="N953" s="1">
        <v>4</v>
      </c>
      <c r="O953" s="1">
        <v>0.96</v>
      </c>
      <c r="P953" s="1">
        <v>136</v>
      </c>
      <c r="Q953" s="1">
        <v>7.42</v>
      </c>
      <c r="R953" s="1">
        <v>0.85</v>
      </c>
      <c r="S953" s="2">
        <v>45426</v>
      </c>
      <c r="T953" s="1">
        <v>173.65</v>
      </c>
      <c r="U953" s="1">
        <v>0.70799999999999996</v>
      </c>
      <c r="V953" s="6">
        <f t="shared" si="42"/>
        <v>27541.050000000003</v>
      </c>
      <c r="W953" s="6" t="str">
        <f t="shared" si="43"/>
        <v>Sufficient</v>
      </c>
      <c r="X953" s="8" t="str">
        <f t="shared" si="44"/>
        <v>High</v>
      </c>
    </row>
    <row r="954" spans="1:24">
      <c r="A954" s="7" t="s">
        <v>1084</v>
      </c>
      <c r="B954" s="1" t="s">
        <v>33</v>
      </c>
      <c r="C954" s="1">
        <v>423</v>
      </c>
      <c r="D954" s="1">
        <v>59</v>
      </c>
      <c r="E954" s="1">
        <v>9</v>
      </c>
      <c r="F954" s="1">
        <v>6</v>
      </c>
      <c r="G954" s="1">
        <v>33.22</v>
      </c>
      <c r="H954" s="1" t="s">
        <v>44</v>
      </c>
      <c r="I954" s="1" t="s">
        <v>39</v>
      </c>
      <c r="J954" s="1">
        <v>103</v>
      </c>
      <c r="K954" s="1">
        <v>2.12</v>
      </c>
      <c r="L954" s="4">
        <v>11.03</v>
      </c>
      <c r="M954" s="1">
        <v>1.36</v>
      </c>
      <c r="N954" s="1">
        <v>6</v>
      </c>
      <c r="O954" s="1">
        <v>0.86</v>
      </c>
      <c r="P954" s="1">
        <v>876</v>
      </c>
      <c r="Q954" s="1">
        <v>12.83</v>
      </c>
      <c r="R954" s="1">
        <v>0.82</v>
      </c>
      <c r="S954" s="2">
        <v>45656</v>
      </c>
      <c r="T954" s="1">
        <v>160.88</v>
      </c>
      <c r="U954" s="1">
        <v>0.65100000000000002</v>
      </c>
      <c r="V954" s="6">
        <f t="shared" si="42"/>
        <v>4665.6899999999996</v>
      </c>
      <c r="W954" s="6" t="str">
        <f t="shared" si="43"/>
        <v>Sufficient</v>
      </c>
      <c r="X954" s="8" t="str">
        <f t="shared" si="44"/>
        <v>High</v>
      </c>
    </row>
    <row r="955" spans="1:24">
      <c r="A955" s="7" t="s">
        <v>1085</v>
      </c>
      <c r="B955" s="1" t="s">
        <v>25</v>
      </c>
      <c r="C955" s="1">
        <v>48</v>
      </c>
      <c r="D955" s="1">
        <v>49</v>
      </c>
      <c r="E955" s="1">
        <v>5</v>
      </c>
      <c r="F955" s="1">
        <v>5</v>
      </c>
      <c r="G955" s="1">
        <v>41.9</v>
      </c>
      <c r="H955" s="1" t="s">
        <v>216</v>
      </c>
      <c r="I955" s="1" t="s">
        <v>27</v>
      </c>
      <c r="J955" s="1">
        <v>174</v>
      </c>
      <c r="K955" s="1">
        <v>4.2300000000000004</v>
      </c>
      <c r="L955" s="4">
        <v>52.99</v>
      </c>
      <c r="M955" s="1">
        <v>1.5</v>
      </c>
      <c r="N955" s="1">
        <v>3</v>
      </c>
      <c r="O955" s="1">
        <v>0.88</v>
      </c>
      <c r="P955" s="1">
        <v>575</v>
      </c>
      <c r="Q955" s="1">
        <v>13.73</v>
      </c>
      <c r="R955" s="1">
        <v>0.62</v>
      </c>
      <c r="S955" s="2">
        <v>45587</v>
      </c>
      <c r="T955" s="1">
        <v>147.47999999999999</v>
      </c>
      <c r="U955" s="1">
        <v>0.67300000000000004</v>
      </c>
      <c r="V955" s="6">
        <f t="shared" si="42"/>
        <v>2543.52</v>
      </c>
      <c r="W955" s="6" t="str">
        <f t="shared" si="43"/>
        <v>Reorder Required</v>
      </c>
      <c r="X955" s="8" t="str">
        <f t="shared" si="44"/>
        <v>LOW</v>
      </c>
    </row>
    <row r="956" spans="1:24">
      <c r="A956" s="7" t="s">
        <v>1086</v>
      </c>
      <c r="B956" s="1" t="s">
        <v>29</v>
      </c>
      <c r="C956" s="1">
        <v>299</v>
      </c>
      <c r="D956" s="1">
        <v>67</v>
      </c>
      <c r="E956" s="1">
        <v>11</v>
      </c>
      <c r="F956" s="1">
        <v>4</v>
      </c>
      <c r="G956" s="1">
        <v>28.36</v>
      </c>
      <c r="H956" s="1" t="s">
        <v>200</v>
      </c>
      <c r="I956" s="1" t="s">
        <v>45</v>
      </c>
      <c r="J956" s="1">
        <v>25</v>
      </c>
      <c r="K956" s="1">
        <v>3.82</v>
      </c>
      <c r="L956" s="4">
        <v>46.81</v>
      </c>
      <c r="M956" s="1">
        <v>1.5</v>
      </c>
      <c r="N956" s="1">
        <v>5</v>
      </c>
      <c r="O956" s="1">
        <v>1</v>
      </c>
      <c r="P956" s="1">
        <v>920</v>
      </c>
      <c r="Q956" s="1">
        <v>9.98</v>
      </c>
      <c r="R956" s="1">
        <v>0.96</v>
      </c>
      <c r="S956" s="2">
        <v>45613</v>
      </c>
      <c r="T956" s="1">
        <v>159.61000000000001</v>
      </c>
      <c r="U956" s="1">
        <v>0.67500000000000004</v>
      </c>
      <c r="V956" s="6">
        <f t="shared" si="42"/>
        <v>13996.19</v>
      </c>
      <c r="W956" s="6" t="str">
        <f t="shared" si="43"/>
        <v>Sufficient</v>
      </c>
      <c r="X956" s="8" t="str">
        <f t="shared" si="44"/>
        <v>High</v>
      </c>
    </row>
    <row r="957" spans="1:24">
      <c r="A957" s="7" t="s">
        <v>1087</v>
      </c>
      <c r="B957" s="1" t="s">
        <v>66</v>
      </c>
      <c r="C957" s="1">
        <v>357</v>
      </c>
      <c r="D957" s="1">
        <v>84</v>
      </c>
      <c r="E957" s="1">
        <v>13</v>
      </c>
      <c r="F957" s="1">
        <v>6</v>
      </c>
      <c r="G957" s="1">
        <v>2.52</v>
      </c>
      <c r="H957" s="1" t="s">
        <v>42</v>
      </c>
      <c r="I957" s="1" t="s">
        <v>45</v>
      </c>
      <c r="J957" s="1">
        <v>14</v>
      </c>
      <c r="K957" s="1">
        <v>4.51</v>
      </c>
      <c r="L957" s="4">
        <v>152.84</v>
      </c>
      <c r="M957" s="1">
        <v>0.31</v>
      </c>
      <c r="N957" s="1">
        <v>4</v>
      </c>
      <c r="O957" s="1">
        <v>1</v>
      </c>
      <c r="P957" s="1">
        <v>994</v>
      </c>
      <c r="Q957" s="1">
        <v>6.05</v>
      </c>
      <c r="R957" s="1">
        <v>0.76</v>
      </c>
      <c r="S957" s="2">
        <v>45331</v>
      </c>
      <c r="T957" s="1">
        <v>225.19</v>
      </c>
      <c r="U957" s="1">
        <v>0.72199999999999998</v>
      </c>
      <c r="V957" s="6">
        <f t="shared" si="42"/>
        <v>54563.880000000005</v>
      </c>
      <c r="W957" s="6" t="str">
        <f t="shared" si="43"/>
        <v>Sufficient</v>
      </c>
      <c r="X957" s="8" t="str">
        <f t="shared" si="44"/>
        <v>High</v>
      </c>
    </row>
    <row r="958" spans="1:24">
      <c r="A958" s="7" t="s">
        <v>1088</v>
      </c>
      <c r="B958" s="1" t="s">
        <v>66</v>
      </c>
      <c r="C958" s="1">
        <v>338</v>
      </c>
      <c r="D958" s="1">
        <v>94</v>
      </c>
      <c r="E958" s="1">
        <v>7</v>
      </c>
      <c r="F958" s="1">
        <v>3</v>
      </c>
      <c r="G958" s="1">
        <v>23.61</v>
      </c>
      <c r="H958" s="1" t="s">
        <v>331</v>
      </c>
      <c r="I958" s="1" t="s">
        <v>27</v>
      </c>
      <c r="J958" s="1">
        <v>166</v>
      </c>
      <c r="K958" s="1">
        <v>4.8099999999999996</v>
      </c>
      <c r="L958" s="4">
        <v>100.67</v>
      </c>
      <c r="M958" s="1">
        <v>1.78</v>
      </c>
      <c r="N958" s="1">
        <v>1</v>
      </c>
      <c r="O958" s="1">
        <v>0.88</v>
      </c>
      <c r="P958" s="1">
        <v>847</v>
      </c>
      <c r="Q958" s="1">
        <v>11.5</v>
      </c>
      <c r="R958" s="1">
        <v>0.36</v>
      </c>
      <c r="S958" s="2">
        <v>45546</v>
      </c>
      <c r="T958" s="1">
        <v>177.07</v>
      </c>
      <c r="U958" s="1">
        <v>0.60299999999999998</v>
      </c>
      <c r="V958" s="6">
        <f t="shared" si="42"/>
        <v>34026.46</v>
      </c>
      <c r="W958" s="6" t="str">
        <f t="shared" si="43"/>
        <v>Sufficient</v>
      </c>
      <c r="X958" s="8" t="str">
        <f t="shared" si="44"/>
        <v>High</v>
      </c>
    </row>
    <row r="959" spans="1:24">
      <c r="A959" s="7" t="s">
        <v>1089</v>
      </c>
      <c r="B959" s="1" t="s">
        <v>29</v>
      </c>
      <c r="C959" s="1">
        <v>221</v>
      </c>
      <c r="D959" s="1">
        <v>30</v>
      </c>
      <c r="E959" s="1">
        <v>10</v>
      </c>
      <c r="F959" s="1">
        <v>8</v>
      </c>
      <c r="G959" s="1">
        <v>23.68</v>
      </c>
      <c r="H959" s="1" t="s">
        <v>156</v>
      </c>
      <c r="I959" s="1" t="s">
        <v>45</v>
      </c>
      <c r="J959" s="1">
        <v>61</v>
      </c>
      <c r="K959" s="1">
        <v>0.53</v>
      </c>
      <c r="L959" s="4">
        <v>40.35</v>
      </c>
      <c r="M959" s="1">
        <v>0.63</v>
      </c>
      <c r="N959" s="1">
        <v>0</v>
      </c>
      <c r="O959" s="1">
        <v>0.71</v>
      </c>
      <c r="P959" s="1">
        <v>808</v>
      </c>
      <c r="Q959" s="1">
        <v>5.09</v>
      </c>
      <c r="R959" s="1">
        <v>0.69</v>
      </c>
      <c r="S959" s="2">
        <v>45525</v>
      </c>
      <c r="T959" s="1">
        <v>142.52000000000001</v>
      </c>
      <c r="U959" s="1">
        <v>0.68500000000000005</v>
      </c>
      <c r="V959" s="6">
        <f t="shared" si="42"/>
        <v>8917.35</v>
      </c>
      <c r="W959" s="6" t="str">
        <f t="shared" si="43"/>
        <v>Sufficient</v>
      </c>
      <c r="X959" s="8" t="str">
        <f t="shared" si="44"/>
        <v>Medium</v>
      </c>
    </row>
    <row r="960" spans="1:24">
      <c r="A960" s="7" t="s">
        <v>1090</v>
      </c>
      <c r="B960" s="1" t="s">
        <v>29</v>
      </c>
      <c r="C960" s="1">
        <v>380</v>
      </c>
      <c r="D960" s="1">
        <v>27</v>
      </c>
      <c r="E960" s="1">
        <v>13</v>
      </c>
      <c r="F960" s="1">
        <v>6</v>
      </c>
      <c r="G960" s="1">
        <v>27.65</v>
      </c>
      <c r="H960" s="1" t="s">
        <v>244</v>
      </c>
      <c r="I960" s="1" t="s">
        <v>31</v>
      </c>
      <c r="J960" s="1">
        <v>160</v>
      </c>
      <c r="K960" s="1">
        <v>0.9</v>
      </c>
      <c r="L960" s="4">
        <v>58.79</v>
      </c>
      <c r="M960" s="1">
        <v>0.5</v>
      </c>
      <c r="N960" s="1">
        <v>5</v>
      </c>
      <c r="O960" s="1">
        <v>0.82</v>
      </c>
      <c r="P960" s="1">
        <v>927</v>
      </c>
      <c r="Q960" s="1">
        <v>4.07</v>
      </c>
      <c r="R960" s="1">
        <v>0.36</v>
      </c>
      <c r="S960" s="2">
        <v>45553</v>
      </c>
      <c r="T960" s="1">
        <v>33.71</v>
      </c>
      <c r="U960" s="1">
        <v>0.54</v>
      </c>
      <c r="V960" s="6">
        <f t="shared" si="42"/>
        <v>22340.2</v>
      </c>
      <c r="W960" s="6" t="str">
        <f t="shared" si="43"/>
        <v>Sufficient</v>
      </c>
      <c r="X960" s="8" t="str">
        <f t="shared" si="44"/>
        <v>High</v>
      </c>
    </row>
    <row r="961" spans="1:24">
      <c r="A961" s="7" t="s">
        <v>1091</v>
      </c>
      <c r="B961" s="1" t="s">
        <v>33</v>
      </c>
      <c r="C961" s="1">
        <v>76</v>
      </c>
      <c r="D961" s="1">
        <v>64</v>
      </c>
      <c r="E961" s="1">
        <v>8</v>
      </c>
      <c r="F961" s="1">
        <v>2</v>
      </c>
      <c r="G961" s="1">
        <v>33.880000000000003</v>
      </c>
      <c r="H961" s="1" t="s">
        <v>171</v>
      </c>
      <c r="I961" s="1" t="s">
        <v>39</v>
      </c>
      <c r="J961" s="1">
        <v>15</v>
      </c>
      <c r="K961" s="1">
        <v>3.53</v>
      </c>
      <c r="L961" s="4">
        <v>105.77</v>
      </c>
      <c r="M961" s="1">
        <v>1.27</v>
      </c>
      <c r="N961" s="1">
        <v>4</v>
      </c>
      <c r="O961" s="1">
        <v>0.98</v>
      </c>
      <c r="P961" s="1">
        <v>802</v>
      </c>
      <c r="Q961" s="1">
        <v>12.14</v>
      </c>
      <c r="R961" s="1">
        <v>0.65</v>
      </c>
      <c r="S961" s="2">
        <v>45476</v>
      </c>
      <c r="T961" s="1">
        <v>292.68</v>
      </c>
      <c r="U961" s="1">
        <v>0.68100000000000005</v>
      </c>
      <c r="V961" s="6">
        <f t="shared" si="42"/>
        <v>8038.5199999999995</v>
      </c>
      <c r="W961" s="6" t="str">
        <f t="shared" si="43"/>
        <v>Sufficient</v>
      </c>
      <c r="X961" s="8" t="str">
        <f t="shared" si="44"/>
        <v>LOW</v>
      </c>
    </row>
    <row r="962" spans="1:24">
      <c r="A962" s="7" t="s">
        <v>1092</v>
      </c>
      <c r="B962" s="1" t="s">
        <v>66</v>
      </c>
      <c r="C962" s="1">
        <v>411</v>
      </c>
      <c r="D962" s="1">
        <v>38</v>
      </c>
      <c r="E962" s="1">
        <v>14</v>
      </c>
      <c r="F962" s="1">
        <v>2</v>
      </c>
      <c r="G962" s="1">
        <v>1.95</v>
      </c>
      <c r="H962" s="1" t="s">
        <v>350</v>
      </c>
      <c r="I962" s="1" t="s">
        <v>39</v>
      </c>
      <c r="J962" s="1">
        <v>173</v>
      </c>
      <c r="K962" s="1">
        <v>2.2599999999999998</v>
      </c>
      <c r="L962" s="4">
        <v>13.73</v>
      </c>
      <c r="M962" s="1">
        <v>0.5</v>
      </c>
      <c r="N962" s="1">
        <v>8</v>
      </c>
      <c r="O962" s="1">
        <v>0.79</v>
      </c>
      <c r="P962" s="1">
        <v>915</v>
      </c>
      <c r="Q962" s="1">
        <v>11.52</v>
      </c>
      <c r="R962" s="1">
        <v>0.83</v>
      </c>
      <c r="S962" s="2">
        <v>45320</v>
      </c>
      <c r="T962" s="1">
        <v>79.41</v>
      </c>
      <c r="U962" s="1">
        <v>0.66800000000000004</v>
      </c>
      <c r="V962" s="6">
        <f t="shared" si="42"/>
        <v>5643.03</v>
      </c>
      <c r="W962" s="6" t="str">
        <f t="shared" si="43"/>
        <v>Sufficient</v>
      </c>
      <c r="X962" s="8" t="str">
        <f t="shared" si="44"/>
        <v>High</v>
      </c>
    </row>
    <row r="963" spans="1:24">
      <c r="A963" s="7" t="s">
        <v>1093</v>
      </c>
      <c r="B963" s="1" t="s">
        <v>25</v>
      </c>
      <c r="C963" s="1">
        <v>237</v>
      </c>
      <c r="D963" s="1">
        <v>33</v>
      </c>
      <c r="E963" s="1">
        <v>12</v>
      </c>
      <c r="F963" s="1">
        <v>5</v>
      </c>
      <c r="G963" s="1">
        <v>25.6</v>
      </c>
      <c r="H963" s="1" t="s">
        <v>137</v>
      </c>
      <c r="I963" s="1" t="s">
        <v>27</v>
      </c>
      <c r="J963" s="1">
        <v>170</v>
      </c>
      <c r="K963" s="1">
        <v>4.1900000000000004</v>
      </c>
      <c r="L963" s="4">
        <v>90.58</v>
      </c>
      <c r="M963" s="1">
        <v>1.07</v>
      </c>
      <c r="N963" s="1">
        <v>6</v>
      </c>
      <c r="O963" s="1">
        <v>1</v>
      </c>
      <c r="P963" s="1">
        <v>58</v>
      </c>
      <c r="Q963" s="1">
        <v>13.35</v>
      </c>
      <c r="R963" s="1">
        <v>0.85</v>
      </c>
      <c r="S963" s="2">
        <v>45547</v>
      </c>
      <c r="T963" s="1">
        <v>262.06</v>
      </c>
      <c r="U963" s="1">
        <v>0.72099999999999997</v>
      </c>
      <c r="V963" s="6">
        <f t="shared" si="42"/>
        <v>21467.46</v>
      </c>
      <c r="W963" s="6" t="str">
        <f t="shared" si="43"/>
        <v>Sufficient</v>
      </c>
      <c r="X963" s="8" t="str">
        <f t="shared" si="44"/>
        <v>Medium</v>
      </c>
    </row>
    <row r="964" spans="1:24">
      <c r="A964" s="7" t="s">
        <v>1094</v>
      </c>
      <c r="B964" s="1" t="s">
        <v>41</v>
      </c>
      <c r="C964" s="1">
        <v>81</v>
      </c>
      <c r="D964" s="1">
        <v>83</v>
      </c>
      <c r="E964" s="1">
        <v>10</v>
      </c>
      <c r="F964" s="1">
        <v>6</v>
      </c>
      <c r="G964" s="1">
        <v>29.83</v>
      </c>
      <c r="H964" s="1" t="s">
        <v>274</v>
      </c>
      <c r="I964" s="1" t="s">
        <v>31</v>
      </c>
      <c r="J964" s="1">
        <v>58</v>
      </c>
      <c r="K964" s="1">
        <v>0.55000000000000004</v>
      </c>
      <c r="L964" s="4">
        <v>138.83000000000001</v>
      </c>
      <c r="M964" s="1">
        <v>0.87</v>
      </c>
      <c r="N964" s="1">
        <v>0</v>
      </c>
      <c r="O964" s="1">
        <v>0.73</v>
      </c>
      <c r="P964" s="1">
        <v>512</v>
      </c>
      <c r="Q964" s="1">
        <v>9.07</v>
      </c>
      <c r="R964" s="1">
        <v>0.72</v>
      </c>
      <c r="S964" s="2">
        <v>45582</v>
      </c>
      <c r="T964" s="1">
        <v>119.9</v>
      </c>
      <c r="U964" s="1">
        <v>0.72399999999999998</v>
      </c>
      <c r="V964" s="6">
        <f t="shared" ref="V964:V1027" si="45">C964*L964</f>
        <v>11245.230000000001</v>
      </c>
      <c r="W964" s="6" t="str">
        <f t="shared" ref="W964:W1027" si="46">IF(C964&lt;=D964,"Reorder Required","Sufficient")</f>
        <v>Reorder Required</v>
      </c>
      <c r="X964" s="8" t="str">
        <f t="shared" ref="X964:X1027" si="47">IF(C964&lt;100,"LOW",IF(C964&lt;250,"Medium","High"))</f>
        <v>LOW</v>
      </c>
    </row>
    <row r="965" spans="1:24">
      <c r="A965" s="7" t="s">
        <v>1095</v>
      </c>
      <c r="B965" s="1" t="s">
        <v>41</v>
      </c>
      <c r="C965" s="1">
        <v>176</v>
      </c>
      <c r="D965" s="1">
        <v>26</v>
      </c>
      <c r="E965" s="1">
        <v>13</v>
      </c>
      <c r="F965" s="1">
        <v>3</v>
      </c>
      <c r="G965" s="1">
        <v>17.82</v>
      </c>
      <c r="H965" s="1" t="s">
        <v>119</v>
      </c>
      <c r="I965" s="1" t="s">
        <v>27</v>
      </c>
      <c r="J965" s="1">
        <v>178</v>
      </c>
      <c r="K965" s="1">
        <v>4.13</v>
      </c>
      <c r="L965" s="4">
        <v>108.37</v>
      </c>
      <c r="M965" s="1">
        <v>0.54</v>
      </c>
      <c r="N965" s="1">
        <v>9</v>
      </c>
      <c r="O965" s="1">
        <v>0.87</v>
      </c>
      <c r="P965" s="1">
        <v>585</v>
      </c>
      <c r="Q965" s="1">
        <v>13.55</v>
      </c>
      <c r="R965" s="1">
        <v>0.83</v>
      </c>
      <c r="S965" s="2">
        <v>45377</v>
      </c>
      <c r="T965" s="1">
        <v>208.34</v>
      </c>
      <c r="U965" s="1">
        <v>0.68700000000000006</v>
      </c>
      <c r="V965" s="6">
        <f t="shared" si="45"/>
        <v>19073.120000000003</v>
      </c>
      <c r="W965" s="6" t="str">
        <f t="shared" si="46"/>
        <v>Sufficient</v>
      </c>
      <c r="X965" s="8" t="str">
        <f t="shared" si="47"/>
        <v>Medium</v>
      </c>
    </row>
    <row r="966" spans="1:24">
      <c r="A966" s="7" t="s">
        <v>1096</v>
      </c>
      <c r="B966" s="1" t="s">
        <v>29</v>
      </c>
      <c r="C966" s="1">
        <v>221</v>
      </c>
      <c r="D966" s="1">
        <v>27</v>
      </c>
      <c r="E966" s="1">
        <v>14</v>
      </c>
      <c r="F966" s="1">
        <v>2</v>
      </c>
      <c r="G966" s="1">
        <v>33.75</v>
      </c>
      <c r="H966" s="1" t="s">
        <v>61</v>
      </c>
      <c r="I966" s="1" t="s">
        <v>27</v>
      </c>
      <c r="J966" s="1">
        <v>89</v>
      </c>
      <c r="K966" s="1">
        <v>1.1100000000000001</v>
      </c>
      <c r="L966" s="4">
        <v>123.64</v>
      </c>
      <c r="M966" s="1">
        <v>0.65</v>
      </c>
      <c r="N966" s="1">
        <v>5</v>
      </c>
      <c r="O966" s="1">
        <v>0.85</v>
      </c>
      <c r="P966" s="1">
        <v>673</v>
      </c>
      <c r="Q966" s="1">
        <v>1.37</v>
      </c>
      <c r="R966" s="1">
        <v>0.57999999999999996</v>
      </c>
      <c r="S966" s="2">
        <v>45480</v>
      </c>
      <c r="T966" s="1">
        <v>141.69999999999999</v>
      </c>
      <c r="U966" s="1">
        <v>0.53900000000000003</v>
      </c>
      <c r="V966" s="6">
        <f t="shared" si="45"/>
        <v>27324.44</v>
      </c>
      <c r="W966" s="6" t="str">
        <f t="shared" si="46"/>
        <v>Sufficient</v>
      </c>
      <c r="X966" s="8" t="str">
        <f t="shared" si="47"/>
        <v>Medium</v>
      </c>
    </row>
    <row r="967" spans="1:24">
      <c r="A967" s="7" t="s">
        <v>1097</v>
      </c>
      <c r="B967" s="1" t="s">
        <v>33</v>
      </c>
      <c r="C967" s="1">
        <v>36</v>
      </c>
      <c r="D967" s="1">
        <v>51</v>
      </c>
      <c r="E967" s="1">
        <v>5</v>
      </c>
      <c r="F967" s="1">
        <v>7</v>
      </c>
      <c r="G967" s="1">
        <v>12.18</v>
      </c>
      <c r="H967" s="1" t="s">
        <v>238</v>
      </c>
      <c r="I967" s="1" t="s">
        <v>45</v>
      </c>
      <c r="J967" s="1">
        <v>107</v>
      </c>
      <c r="K967" s="1">
        <v>1.81</v>
      </c>
      <c r="L967" s="4">
        <v>72.06</v>
      </c>
      <c r="M967" s="1">
        <v>0.91</v>
      </c>
      <c r="N967" s="1">
        <v>6</v>
      </c>
      <c r="O967" s="1">
        <v>0.78</v>
      </c>
      <c r="P967" s="1">
        <v>346</v>
      </c>
      <c r="Q967" s="1">
        <v>4.55</v>
      </c>
      <c r="R967" s="1">
        <v>0.64</v>
      </c>
      <c r="S967" s="2">
        <v>45372</v>
      </c>
      <c r="T967" s="1">
        <v>112.71</v>
      </c>
      <c r="U967" s="1">
        <v>0.53400000000000003</v>
      </c>
      <c r="V967" s="6">
        <f t="shared" si="45"/>
        <v>2594.16</v>
      </c>
      <c r="W967" s="6" t="str">
        <f t="shared" si="46"/>
        <v>Reorder Required</v>
      </c>
      <c r="X967" s="8" t="str">
        <f t="shared" si="47"/>
        <v>LOW</v>
      </c>
    </row>
    <row r="968" spans="1:24">
      <c r="A968" s="7" t="s">
        <v>1098</v>
      </c>
      <c r="B968" s="1" t="s">
        <v>41</v>
      </c>
      <c r="C968" s="1">
        <v>341</v>
      </c>
      <c r="D968" s="1">
        <v>93</v>
      </c>
      <c r="E968" s="1">
        <v>5</v>
      </c>
      <c r="F968" s="1">
        <v>3</v>
      </c>
      <c r="G968" s="1">
        <v>16.55</v>
      </c>
      <c r="H968" s="1" t="s">
        <v>137</v>
      </c>
      <c r="I968" s="1" t="s">
        <v>39</v>
      </c>
      <c r="J968" s="1">
        <v>116</v>
      </c>
      <c r="K968" s="1">
        <v>4.8600000000000003</v>
      </c>
      <c r="L968" s="4">
        <v>44.78</v>
      </c>
      <c r="M968" s="1">
        <v>0.76</v>
      </c>
      <c r="N968" s="1">
        <v>2</v>
      </c>
      <c r="O968" s="1">
        <v>0.98</v>
      </c>
      <c r="P968" s="1">
        <v>266</v>
      </c>
      <c r="Q968" s="1">
        <v>12.26</v>
      </c>
      <c r="R968" s="1">
        <v>0.9</v>
      </c>
      <c r="S968" s="2">
        <v>45422</v>
      </c>
      <c r="T968" s="1">
        <v>188.15</v>
      </c>
      <c r="U968" s="1">
        <v>0.82299999999999995</v>
      </c>
      <c r="V968" s="6">
        <f t="shared" si="45"/>
        <v>15269.98</v>
      </c>
      <c r="W968" s="6" t="str">
        <f t="shared" si="46"/>
        <v>Sufficient</v>
      </c>
      <c r="X968" s="8" t="str">
        <f t="shared" si="47"/>
        <v>High</v>
      </c>
    </row>
    <row r="969" spans="1:24">
      <c r="A969" s="7" t="s">
        <v>1099</v>
      </c>
      <c r="B969" s="1" t="s">
        <v>66</v>
      </c>
      <c r="C969" s="1">
        <v>25</v>
      </c>
      <c r="D969" s="1">
        <v>54</v>
      </c>
      <c r="E969" s="1">
        <v>7</v>
      </c>
      <c r="F969" s="1">
        <v>7</v>
      </c>
      <c r="G969" s="1">
        <v>48.18</v>
      </c>
      <c r="H969" s="1" t="s">
        <v>394</v>
      </c>
      <c r="I969" s="1" t="s">
        <v>31</v>
      </c>
      <c r="J969" s="1">
        <v>163</v>
      </c>
      <c r="K969" s="1">
        <v>0.73</v>
      </c>
      <c r="L969" s="4">
        <v>163.85</v>
      </c>
      <c r="M969" s="1">
        <v>0.82</v>
      </c>
      <c r="N969" s="1">
        <v>8</v>
      </c>
      <c r="O969" s="1">
        <v>0.89</v>
      </c>
      <c r="P969" s="1">
        <v>277</v>
      </c>
      <c r="Q969" s="1">
        <v>6.93</v>
      </c>
      <c r="R969" s="1">
        <v>0.59</v>
      </c>
      <c r="S969" s="2">
        <v>45344</v>
      </c>
      <c r="T969" s="1">
        <v>165.47</v>
      </c>
      <c r="U969" s="1">
        <v>0.54600000000000004</v>
      </c>
      <c r="V969" s="6">
        <f t="shared" si="45"/>
        <v>4096.25</v>
      </c>
      <c r="W969" s="6" t="str">
        <f t="shared" si="46"/>
        <v>Reorder Required</v>
      </c>
      <c r="X969" s="8" t="str">
        <f t="shared" si="47"/>
        <v>LOW</v>
      </c>
    </row>
    <row r="970" spans="1:24">
      <c r="A970" s="7" t="s">
        <v>1100</v>
      </c>
      <c r="B970" s="1" t="s">
        <v>29</v>
      </c>
      <c r="C970" s="1">
        <v>77</v>
      </c>
      <c r="D970" s="1">
        <v>91</v>
      </c>
      <c r="E970" s="1">
        <v>13</v>
      </c>
      <c r="F970" s="1">
        <v>4</v>
      </c>
      <c r="G970" s="1">
        <v>18.059999999999999</v>
      </c>
      <c r="H970" s="1" t="s">
        <v>117</v>
      </c>
      <c r="I970" s="1" t="s">
        <v>45</v>
      </c>
      <c r="J970" s="1">
        <v>46</v>
      </c>
      <c r="K970" s="1">
        <v>2.0699999999999998</v>
      </c>
      <c r="L970" s="4">
        <v>182.07</v>
      </c>
      <c r="M970" s="1">
        <v>1.5</v>
      </c>
      <c r="N970" s="1">
        <v>1</v>
      </c>
      <c r="O970" s="1">
        <v>0.77</v>
      </c>
      <c r="P970" s="1">
        <v>81</v>
      </c>
      <c r="Q970" s="1">
        <v>4.3499999999999996</v>
      </c>
      <c r="R970" s="1">
        <v>0.48</v>
      </c>
      <c r="S970" s="2">
        <v>45585</v>
      </c>
      <c r="T970" s="1">
        <v>77.41</v>
      </c>
      <c r="U970" s="1">
        <v>0.53800000000000003</v>
      </c>
      <c r="V970" s="6">
        <f t="shared" si="45"/>
        <v>14019.39</v>
      </c>
      <c r="W970" s="6" t="str">
        <f t="shared" si="46"/>
        <v>Reorder Required</v>
      </c>
      <c r="X970" s="8" t="str">
        <f t="shared" si="47"/>
        <v>LOW</v>
      </c>
    </row>
    <row r="971" spans="1:24">
      <c r="A971" s="7" t="s">
        <v>1101</v>
      </c>
      <c r="B971" s="1" t="s">
        <v>25</v>
      </c>
      <c r="C971" s="1">
        <v>344</v>
      </c>
      <c r="D971" s="1">
        <v>26</v>
      </c>
      <c r="E971" s="1">
        <v>12</v>
      </c>
      <c r="F971" s="1">
        <v>7</v>
      </c>
      <c r="G971" s="1">
        <v>17.98</v>
      </c>
      <c r="H971" s="1" t="s">
        <v>85</v>
      </c>
      <c r="I971" s="1" t="s">
        <v>39</v>
      </c>
      <c r="J971" s="1">
        <v>125</v>
      </c>
      <c r="K971" s="1">
        <v>0.88</v>
      </c>
      <c r="L971" s="4">
        <v>107.04</v>
      </c>
      <c r="M971" s="1">
        <v>0.42</v>
      </c>
      <c r="N971" s="1">
        <v>0</v>
      </c>
      <c r="O971" s="1">
        <v>0.82</v>
      </c>
      <c r="P971" s="1">
        <v>480</v>
      </c>
      <c r="Q971" s="1">
        <v>12.15</v>
      </c>
      <c r="R971" s="1">
        <v>0.84</v>
      </c>
      <c r="S971" s="2">
        <v>45637</v>
      </c>
      <c r="T971" s="1">
        <v>107.51</v>
      </c>
      <c r="U971" s="1">
        <v>0.85199999999999998</v>
      </c>
      <c r="V971" s="6">
        <f t="shared" si="45"/>
        <v>36821.760000000002</v>
      </c>
      <c r="W971" s="6" t="str">
        <f t="shared" si="46"/>
        <v>Sufficient</v>
      </c>
      <c r="X971" s="8" t="str">
        <f t="shared" si="47"/>
        <v>High</v>
      </c>
    </row>
    <row r="972" spans="1:24">
      <c r="A972" s="7" t="s">
        <v>1102</v>
      </c>
      <c r="B972" s="1" t="s">
        <v>29</v>
      </c>
      <c r="C972" s="1">
        <v>431</v>
      </c>
      <c r="D972" s="1">
        <v>82</v>
      </c>
      <c r="E972" s="1">
        <v>5</v>
      </c>
      <c r="F972" s="1">
        <v>9</v>
      </c>
      <c r="G972" s="1">
        <v>30.19</v>
      </c>
      <c r="H972" s="1" t="s">
        <v>128</v>
      </c>
      <c r="I972" s="1" t="s">
        <v>39</v>
      </c>
      <c r="J972" s="1">
        <v>26</v>
      </c>
      <c r="K972" s="1">
        <v>4.34</v>
      </c>
      <c r="L972" s="4">
        <v>67.959999999999994</v>
      </c>
      <c r="M972" s="1">
        <v>1.29</v>
      </c>
      <c r="N972" s="1">
        <v>9</v>
      </c>
      <c r="O972" s="1">
        <v>0.92</v>
      </c>
      <c r="P972" s="1">
        <v>838</v>
      </c>
      <c r="Q972" s="1">
        <v>12.51</v>
      </c>
      <c r="R972" s="1">
        <v>0.24</v>
      </c>
      <c r="S972" s="2">
        <v>45351</v>
      </c>
      <c r="T972" s="1">
        <v>19.97</v>
      </c>
      <c r="U972" s="1">
        <v>0.49</v>
      </c>
      <c r="V972" s="6">
        <f t="shared" si="45"/>
        <v>29290.76</v>
      </c>
      <c r="W972" s="6" t="str">
        <f t="shared" si="46"/>
        <v>Sufficient</v>
      </c>
      <c r="X972" s="8" t="str">
        <f t="shared" si="47"/>
        <v>High</v>
      </c>
    </row>
    <row r="973" spans="1:24">
      <c r="A973" s="7" t="s">
        <v>1103</v>
      </c>
      <c r="B973" s="1" t="s">
        <v>25</v>
      </c>
      <c r="C973" s="1">
        <v>337</v>
      </c>
      <c r="D973" s="1">
        <v>23</v>
      </c>
      <c r="E973" s="1">
        <v>10</v>
      </c>
      <c r="F973" s="1">
        <v>2</v>
      </c>
      <c r="G973" s="1">
        <v>48.58</v>
      </c>
      <c r="H973" s="1" t="s">
        <v>178</v>
      </c>
      <c r="I973" s="1" t="s">
        <v>27</v>
      </c>
      <c r="J973" s="1">
        <v>41</v>
      </c>
      <c r="K973" s="1">
        <v>3.66</v>
      </c>
      <c r="L973" s="4">
        <v>107.13</v>
      </c>
      <c r="M973" s="1">
        <v>1.39</v>
      </c>
      <c r="N973" s="1">
        <v>9</v>
      </c>
      <c r="O973" s="1">
        <v>0.79</v>
      </c>
      <c r="P973" s="1">
        <v>219</v>
      </c>
      <c r="Q973" s="1">
        <v>7.39</v>
      </c>
      <c r="R973" s="1">
        <v>0.97</v>
      </c>
      <c r="S973" s="2">
        <v>45408</v>
      </c>
      <c r="T973" s="1">
        <v>66.14</v>
      </c>
      <c r="U973" s="1">
        <v>0.53200000000000003</v>
      </c>
      <c r="V973" s="6">
        <f t="shared" si="45"/>
        <v>36102.81</v>
      </c>
      <c r="W973" s="6" t="str">
        <f t="shared" si="46"/>
        <v>Sufficient</v>
      </c>
      <c r="X973" s="8" t="str">
        <f t="shared" si="47"/>
        <v>High</v>
      </c>
    </row>
    <row r="974" spans="1:24">
      <c r="A974" s="7" t="s">
        <v>1104</v>
      </c>
      <c r="B974" s="1" t="s">
        <v>29</v>
      </c>
      <c r="C974" s="1">
        <v>188</v>
      </c>
      <c r="D974" s="1">
        <v>58</v>
      </c>
      <c r="E974" s="1">
        <v>12</v>
      </c>
      <c r="F974" s="1">
        <v>5</v>
      </c>
      <c r="G974" s="1">
        <v>49.17</v>
      </c>
      <c r="H974" s="1" t="s">
        <v>331</v>
      </c>
      <c r="I974" s="1" t="s">
        <v>31</v>
      </c>
      <c r="J974" s="1">
        <v>165</v>
      </c>
      <c r="K974" s="1">
        <v>4.0999999999999996</v>
      </c>
      <c r="L974" s="4">
        <v>177.01</v>
      </c>
      <c r="M974" s="1">
        <v>1.62</v>
      </c>
      <c r="N974" s="1">
        <v>8</v>
      </c>
      <c r="O974" s="1">
        <v>0.96</v>
      </c>
      <c r="P974" s="1">
        <v>280</v>
      </c>
      <c r="Q974" s="1">
        <v>7.53</v>
      </c>
      <c r="R974" s="1">
        <v>0.47</v>
      </c>
      <c r="S974" s="2">
        <v>45552</v>
      </c>
      <c r="T974" s="1">
        <v>107.39</v>
      </c>
      <c r="U974" s="1">
        <v>0.46400000000000002</v>
      </c>
      <c r="V974" s="6">
        <f t="shared" si="45"/>
        <v>33277.879999999997</v>
      </c>
      <c r="W974" s="6" t="str">
        <f t="shared" si="46"/>
        <v>Sufficient</v>
      </c>
      <c r="X974" s="8" t="str">
        <f t="shared" si="47"/>
        <v>Medium</v>
      </c>
    </row>
    <row r="975" spans="1:24">
      <c r="A975" s="7" t="s">
        <v>1105</v>
      </c>
      <c r="B975" s="1" t="s">
        <v>29</v>
      </c>
      <c r="C975" s="1">
        <v>472</v>
      </c>
      <c r="D975" s="1">
        <v>38</v>
      </c>
      <c r="E975" s="1">
        <v>14</v>
      </c>
      <c r="F975" s="1">
        <v>4</v>
      </c>
      <c r="G975" s="1">
        <v>29.4</v>
      </c>
      <c r="H975" s="1" t="s">
        <v>276</v>
      </c>
      <c r="I975" s="1" t="s">
        <v>27</v>
      </c>
      <c r="J975" s="1">
        <v>34</v>
      </c>
      <c r="K975" s="1">
        <v>2.87</v>
      </c>
      <c r="L975" s="4">
        <v>141.37</v>
      </c>
      <c r="M975" s="1">
        <v>1.71</v>
      </c>
      <c r="N975" s="1">
        <v>6</v>
      </c>
      <c r="O975" s="1">
        <v>0.75</v>
      </c>
      <c r="P975" s="1">
        <v>119</v>
      </c>
      <c r="Q975" s="1">
        <v>11.93</v>
      </c>
      <c r="R975" s="1">
        <v>0.7</v>
      </c>
      <c r="S975" s="2">
        <v>45293</v>
      </c>
      <c r="T975" s="1">
        <v>291.92</v>
      </c>
      <c r="U975" s="1">
        <v>0.55800000000000005</v>
      </c>
      <c r="V975" s="6">
        <f t="shared" si="45"/>
        <v>66726.64</v>
      </c>
      <c r="W975" s="6" t="str">
        <f t="shared" si="46"/>
        <v>Sufficient</v>
      </c>
      <c r="X975" s="8" t="str">
        <f t="shared" si="47"/>
        <v>High</v>
      </c>
    </row>
    <row r="976" spans="1:24">
      <c r="A976" s="7" t="s">
        <v>1106</v>
      </c>
      <c r="B976" s="1" t="s">
        <v>29</v>
      </c>
      <c r="C976" s="1">
        <v>101</v>
      </c>
      <c r="D976" s="1">
        <v>13</v>
      </c>
      <c r="E976" s="1">
        <v>10</v>
      </c>
      <c r="F976" s="1">
        <v>6</v>
      </c>
      <c r="G976" s="1">
        <v>1.05</v>
      </c>
      <c r="H976" s="1" t="s">
        <v>70</v>
      </c>
      <c r="I976" s="1" t="s">
        <v>45</v>
      </c>
      <c r="J976" s="1">
        <v>31</v>
      </c>
      <c r="K976" s="1">
        <v>2.11</v>
      </c>
      <c r="L976" s="4">
        <v>173.14</v>
      </c>
      <c r="M976" s="1">
        <v>0.4</v>
      </c>
      <c r="N976" s="1">
        <v>9</v>
      </c>
      <c r="O976" s="1">
        <v>0.78</v>
      </c>
      <c r="P976" s="1">
        <v>160</v>
      </c>
      <c r="Q976" s="1">
        <v>11.8</v>
      </c>
      <c r="R976" s="1">
        <v>0.75</v>
      </c>
      <c r="S976" s="2">
        <v>45314</v>
      </c>
      <c r="T976" s="1">
        <v>162.86000000000001</v>
      </c>
      <c r="U976" s="1">
        <v>0.64300000000000002</v>
      </c>
      <c r="V976" s="6">
        <f t="shared" si="45"/>
        <v>17487.14</v>
      </c>
      <c r="W976" s="6" t="str">
        <f t="shared" si="46"/>
        <v>Sufficient</v>
      </c>
      <c r="X976" s="8" t="str">
        <f t="shared" si="47"/>
        <v>Medium</v>
      </c>
    </row>
    <row r="977" spans="1:24">
      <c r="A977" s="7" t="s">
        <v>1107</v>
      </c>
      <c r="B977" s="1" t="s">
        <v>25</v>
      </c>
      <c r="C977" s="1">
        <v>493</v>
      </c>
      <c r="D977" s="1">
        <v>91</v>
      </c>
      <c r="E977" s="1">
        <v>4</v>
      </c>
      <c r="F977" s="1">
        <v>3</v>
      </c>
      <c r="G977" s="1">
        <v>45.13</v>
      </c>
      <c r="H977" s="1" t="s">
        <v>132</v>
      </c>
      <c r="I977" s="1" t="s">
        <v>27</v>
      </c>
      <c r="J977" s="1">
        <v>70</v>
      </c>
      <c r="K977" s="1">
        <v>0.51</v>
      </c>
      <c r="L977" s="4">
        <v>72.39</v>
      </c>
      <c r="M977" s="1">
        <v>0.36</v>
      </c>
      <c r="N977" s="1">
        <v>0</v>
      </c>
      <c r="O977" s="1">
        <v>0.74</v>
      </c>
      <c r="P977" s="1">
        <v>138</v>
      </c>
      <c r="Q977" s="1">
        <v>13.13</v>
      </c>
      <c r="R977" s="1">
        <v>0.31</v>
      </c>
      <c r="S977" s="2">
        <v>45298</v>
      </c>
      <c r="T977" s="1">
        <v>213.23</v>
      </c>
      <c r="U977" s="1">
        <v>0.749</v>
      </c>
      <c r="V977" s="6">
        <f t="shared" si="45"/>
        <v>35688.269999999997</v>
      </c>
      <c r="W977" s="6" t="str">
        <f t="shared" si="46"/>
        <v>Sufficient</v>
      </c>
      <c r="X977" s="8" t="str">
        <f t="shared" si="47"/>
        <v>High</v>
      </c>
    </row>
    <row r="978" spans="1:24">
      <c r="A978" s="7" t="s">
        <v>1108</v>
      </c>
      <c r="B978" s="1" t="s">
        <v>25</v>
      </c>
      <c r="C978" s="1">
        <v>487</v>
      </c>
      <c r="D978" s="1">
        <v>29</v>
      </c>
      <c r="E978" s="1">
        <v>14</v>
      </c>
      <c r="F978" s="1">
        <v>2</v>
      </c>
      <c r="G978" s="1">
        <v>28.94</v>
      </c>
      <c r="H978" s="1" t="s">
        <v>282</v>
      </c>
      <c r="I978" s="1" t="s">
        <v>27</v>
      </c>
      <c r="J978" s="1">
        <v>135</v>
      </c>
      <c r="K978" s="1">
        <v>1.75</v>
      </c>
      <c r="L978" s="4">
        <v>145.28</v>
      </c>
      <c r="M978" s="1">
        <v>1.27</v>
      </c>
      <c r="N978" s="1">
        <v>3</v>
      </c>
      <c r="O978" s="1">
        <v>0.73</v>
      </c>
      <c r="P978" s="1">
        <v>51</v>
      </c>
      <c r="Q978" s="1">
        <v>10.039999999999999</v>
      </c>
      <c r="R978" s="1">
        <v>0.86</v>
      </c>
      <c r="S978" s="2">
        <v>45417</v>
      </c>
      <c r="T978" s="1">
        <v>205.34</v>
      </c>
      <c r="U978" s="1">
        <v>0.66500000000000004</v>
      </c>
      <c r="V978" s="6">
        <f t="shared" si="45"/>
        <v>70751.360000000001</v>
      </c>
      <c r="W978" s="6" t="str">
        <f t="shared" si="46"/>
        <v>Sufficient</v>
      </c>
      <c r="X978" s="8" t="str">
        <f t="shared" si="47"/>
        <v>High</v>
      </c>
    </row>
    <row r="979" spans="1:24">
      <c r="A979" s="7" t="s">
        <v>1109</v>
      </c>
      <c r="B979" s="1" t="s">
        <v>29</v>
      </c>
      <c r="C979" s="1">
        <v>444</v>
      </c>
      <c r="D979" s="1">
        <v>56</v>
      </c>
      <c r="E979" s="1">
        <v>6</v>
      </c>
      <c r="F979" s="1">
        <v>4</v>
      </c>
      <c r="G979" s="1">
        <v>18.93</v>
      </c>
      <c r="H979" s="1" t="s">
        <v>149</v>
      </c>
      <c r="I979" s="1" t="s">
        <v>39</v>
      </c>
      <c r="J979" s="1">
        <v>53</v>
      </c>
      <c r="K979" s="1">
        <v>2.82</v>
      </c>
      <c r="L979" s="4">
        <v>134.08000000000001</v>
      </c>
      <c r="M979" s="1">
        <v>1.54</v>
      </c>
      <c r="N979" s="1">
        <v>9</v>
      </c>
      <c r="O979" s="1">
        <v>0.79</v>
      </c>
      <c r="P979" s="1">
        <v>976</v>
      </c>
      <c r="Q979" s="1">
        <v>3.6</v>
      </c>
      <c r="R979" s="1">
        <v>0.66</v>
      </c>
      <c r="S979" s="2">
        <v>45315</v>
      </c>
      <c r="T979" s="1">
        <v>294.45999999999998</v>
      </c>
      <c r="U979" s="1">
        <v>0.40400000000000003</v>
      </c>
      <c r="V979" s="6">
        <f t="shared" si="45"/>
        <v>59531.520000000004</v>
      </c>
      <c r="W979" s="6" t="str">
        <f t="shared" si="46"/>
        <v>Sufficient</v>
      </c>
      <c r="X979" s="8" t="str">
        <f t="shared" si="47"/>
        <v>High</v>
      </c>
    </row>
    <row r="980" spans="1:24">
      <c r="A980" s="7" t="s">
        <v>1110</v>
      </c>
      <c r="B980" s="1" t="s">
        <v>41</v>
      </c>
      <c r="C980" s="1">
        <v>452</v>
      </c>
      <c r="D980" s="1">
        <v>18</v>
      </c>
      <c r="E980" s="1">
        <v>12</v>
      </c>
      <c r="F980" s="1">
        <v>4</v>
      </c>
      <c r="G980" s="1">
        <v>41.63</v>
      </c>
      <c r="H980" s="1" t="s">
        <v>214</v>
      </c>
      <c r="I980" s="1" t="s">
        <v>39</v>
      </c>
      <c r="J980" s="1">
        <v>111</v>
      </c>
      <c r="K980" s="1">
        <v>3.49</v>
      </c>
      <c r="L980" s="4">
        <v>118.61</v>
      </c>
      <c r="M980" s="1">
        <v>0.62</v>
      </c>
      <c r="N980" s="1">
        <v>2</v>
      </c>
      <c r="O980" s="1">
        <v>1</v>
      </c>
      <c r="P980" s="1">
        <v>105</v>
      </c>
      <c r="Q980" s="1">
        <v>8.6999999999999993</v>
      </c>
      <c r="R980" s="1">
        <v>0.46</v>
      </c>
      <c r="S980" s="2">
        <v>45533</v>
      </c>
      <c r="T980" s="1">
        <v>171.14</v>
      </c>
      <c r="U980" s="1">
        <v>0.70599999999999996</v>
      </c>
      <c r="V980" s="6">
        <f t="shared" si="45"/>
        <v>53611.72</v>
      </c>
      <c r="W980" s="6" t="str">
        <f t="shared" si="46"/>
        <v>Sufficient</v>
      </c>
      <c r="X980" s="8" t="str">
        <f t="shared" si="47"/>
        <v>High</v>
      </c>
    </row>
    <row r="981" spans="1:24">
      <c r="A981" s="7" t="s">
        <v>1111</v>
      </c>
      <c r="B981" s="1" t="s">
        <v>33</v>
      </c>
      <c r="C981" s="1">
        <v>238</v>
      </c>
      <c r="D981" s="1">
        <v>86</v>
      </c>
      <c r="E981" s="1">
        <v>3</v>
      </c>
      <c r="F981" s="1">
        <v>9</v>
      </c>
      <c r="G981" s="1">
        <v>20.59</v>
      </c>
      <c r="H981" s="1" t="s">
        <v>132</v>
      </c>
      <c r="I981" s="1" t="s">
        <v>45</v>
      </c>
      <c r="J981" s="1">
        <v>29</v>
      </c>
      <c r="K981" s="1">
        <v>1.53</v>
      </c>
      <c r="L981" s="4">
        <v>110.36</v>
      </c>
      <c r="M981" s="1">
        <v>1.1000000000000001</v>
      </c>
      <c r="N981" s="1">
        <v>6</v>
      </c>
      <c r="O981" s="1">
        <v>0.73</v>
      </c>
      <c r="P981" s="1">
        <v>719</v>
      </c>
      <c r="Q981" s="1">
        <v>6.35</v>
      </c>
      <c r="R981" s="1">
        <v>0.88</v>
      </c>
      <c r="S981" s="2">
        <v>45478</v>
      </c>
      <c r="T981" s="1">
        <v>179.79</v>
      </c>
      <c r="U981" s="1">
        <v>0.57699999999999996</v>
      </c>
      <c r="V981" s="6">
        <f t="shared" si="45"/>
        <v>26265.68</v>
      </c>
      <c r="W981" s="6" t="str">
        <f t="shared" si="46"/>
        <v>Sufficient</v>
      </c>
      <c r="X981" s="8" t="str">
        <f t="shared" si="47"/>
        <v>Medium</v>
      </c>
    </row>
    <row r="982" spans="1:24">
      <c r="A982" s="7" t="s">
        <v>1112</v>
      </c>
      <c r="B982" s="1" t="s">
        <v>33</v>
      </c>
      <c r="C982" s="1">
        <v>196</v>
      </c>
      <c r="D982" s="1">
        <v>88</v>
      </c>
      <c r="E982" s="1">
        <v>6</v>
      </c>
      <c r="F982" s="1">
        <v>2</v>
      </c>
      <c r="G982" s="1">
        <v>2.67</v>
      </c>
      <c r="H982" s="1" t="s">
        <v>238</v>
      </c>
      <c r="I982" s="1" t="s">
        <v>39</v>
      </c>
      <c r="J982" s="1">
        <v>118</v>
      </c>
      <c r="K982" s="1">
        <v>1.1299999999999999</v>
      </c>
      <c r="L982" s="4">
        <v>114.69</v>
      </c>
      <c r="M982" s="1">
        <v>1.57</v>
      </c>
      <c r="N982" s="1">
        <v>4</v>
      </c>
      <c r="O982" s="1">
        <v>0.76</v>
      </c>
      <c r="P982" s="1">
        <v>320</v>
      </c>
      <c r="Q982" s="1">
        <v>1.38</v>
      </c>
      <c r="R982" s="1">
        <v>0.7</v>
      </c>
      <c r="S982" s="2">
        <v>45488</v>
      </c>
      <c r="T982" s="1">
        <v>97.02</v>
      </c>
      <c r="U982" s="1">
        <v>0.47299999999999998</v>
      </c>
      <c r="V982" s="6">
        <f t="shared" si="45"/>
        <v>22479.239999999998</v>
      </c>
      <c r="W982" s="6" t="str">
        <f t="shared" si="46"/>
        <v>Sufficient</v>
      </c>
      <c r="X982" s="8" t="str">
        <f t="shared" si="47"/>
        <v>Medium</v>
      </c>
    </row>
    <row r="983" spans="1:24">
      <c r="A983" s="7" t="s">
        <v>1113</v>
      </c>
      <c r="B983" s="1" t="s">
        <v>33</v>
      </c>
      <c r="C983" s="1">
        <v>223</v>
      </c>
      <c r="D983" s="1">
        <v>36</v>
      </c>
      <c r="E983" s="1">
        <v>14</v>
      </c>
      <c r="F983" s="1">
        <v>6</v>
      </c>
      <c r="G983" s="1">
        <v>41.23</v>
      </c>
      <c r="H983" s="1" t="s">
        <v>130</v>
      </c>
      <c r="I983" s="1" t="s">
        <v>39</v>
      </c>
      <c r="J983" s="1">
        <v>97</v>
      </c>
      <c r="K983" s="1">
        <v>1.41</v>
      </c>
      <c r="L983" s="4">
        <v>171.44</v>
      </c>
      <c r="M983" s="1">
        <v>1.56</v>
      </c>
      <c r="N983" s="1">
        <v>8</v>
      </c>
      <c r="O983" s="1">
        <v>0.78</v>
      </c>
      <c r="P983" s="1">
        <v>323</v>
      </c>
      <c r="Q983" s="1">
        <v>3.75</v>
      </c>
      <c r="R983" s="1">
        <v>0.83</v>
      </c>
      <c r="S983" s="2">
        <v>45368</v>
      </c>
      <c r="T983" s="1">
        <v>191.57</v>
      </c>
      <c r="U983" s="1">
        <v>0.45600000000000002</v>
      </c>
      <c r="V983" s="6">
        <f t="shared" si="45"/>
        <v>38231.120000000003</v>
      </c>
      <c r="W983" s="6" t="str">
        <f t="shared" si="46"/>
        <v>Sufficient</v>
      </c>
      <c r="X983" s="8" t="str">
        <f t="shared" si="47"/>
        <v>Medium</v>
      </c>
    </row>
    <row r="984" spans="1:24">
      <c r="A984" s="7" t="s">
        <v>1114</v>
      </c>
      <c r="B984" s="1" t="s">
        <v>25</v>
      </c>
      <c r="C984" s="1">
        <v>90</v>
      </c>
      <c r="D984" s="1">
        <v>24</v>
      </c>
      <c r="E984" s="1">
        <v>13</v>
      </c>
      <c r="F984" s="1">
        <v>6</v>
      </c>
      <c r="G984" s="1">
        <v>27.75</v>
      </c>
      <c r="H984" s="1" t="s">
        <v>97</v>
      </c>
      <c r="I984" s="1" t="s">
        <v>39</v>
      </c>
      <c r="J984" s="1">
        <v>56</v>
      </c>
      <c r="K984" s="1">
        <v>2.09</v>
      </c>
      <c r="L984" s="4">
        <v>184.04</v>
      </c>
      <c r="M984" s="1">
        <v>1.34</v>
      </c>
      <c r="N984" s="1">
        <v>2</v>
      </c>
      <c r="O984" s="1">
        <v>0.89</v>
      </c>
      <c r="P984" s="1">
        <v>593</v>
      </c>
      <c r="Q984" s="1">
        <v>3.88</v>
      </c>
      <c r="R984" s="1">
        <v>0.99</v>
      </c>
      <c r="S984" s="2">
        <v>45383</v>
      </c>
      <c r="T984" s="1">
        <v>229.74</v>
      </c>
      <c r="U984" s="1">
        <v>0.65400000000000003</v>
      </c>
      <c r="V984" s="6">
        <f t="shared" si="45"/>
        <v>16563.599999999999</v>
      </c>
      <c r="W984" s="6" t="str">
        <f t="shared" si="46"/>
        <v>Sufficient</v>
      </c>
      <c r="X984" s="8" t="str">
        <f t="shared" si="47"/>
        <v>LOW</v>
      </c>
    </row>
    <row r="985" spans="1:24">
      <c r="A985" s="7" t="s">
        <v>1115</v>
      </c>
      <c r="B985" s="1" t="s">
        <v>25</v>
      </c>
      <c r="C985" s="1">
        <v>406</v>
      </c>
      <c r="D985" s="1">
        <v>28</v>
      </c>
      <c r="E985" s="1">
        <v>6</v>
      </c>
      <c r="F985" s="1">
        <v>5</v>
      </c>
      <c r="G985" s="1">
        <v>17.57</v>
      </c>
      <c r="H985" s="1" t="s">
        <v>200</v>
      </c>
      <c r="I985" s="1" t="s">
        <v>27</v>
      </c>
      <c r="J985" s="1">
        <v>60</v>
      </c>
      <c r="K985" s="1">
        <v>1.17</v>
      </c>
      <c r="L985" s="4">
        <v>31.44</v>
      </c>
      <c r="M985" s="1">
        <v>0.25</v>
      </c>
      <c r="N985" s="1">
        <v>5</v>
      </c>
      <c r="O985" s="1">
        <v>0.92</v>
      </c>
      <c r="P985" s="1">
        <v>319</v>
      </c>
      <c r="Q985" s="1">
        <v>2.15</v>
      </c>
      <c r="R985" s="1">
        <v>0.3</v>
      </c>
      <c r="S985" s="2">
        <v>45310</v>
      </c>
      <c r="T985" s="1">
        <v>39.94</v>
      </c>
      <c r="U985" s="1">
        <v>0.54800000000000004</v>
      </c>
      <c r="V985" s="6">
        <f t="shared" si="45"/>
        <v>12764.640000000001</v>
      </c>
      <c r="W985" s="6" t="str">
        <f t="shared" si="46"/>
        <v>Sufficient</v>
      </c>
      <c r="X985" s="8" t="str">
        <f t="shared" si="47"/>
        <v>High</v>
      </c>
    </row>
    <row r="986" spans="1:24">
      <c r="A986" s="7" t="s">
        <v>1116</v>
      </c>
      <c r="B986" s="1" t="s">
        <v>41</v>
      </c>
      <c r="C986" s="1">
        <v>285</v>
      </c>
      <c r="D986" s="1">
        <v>99</v>
      </c>
      <c r="E986" s="1">
        <v>12</v>
      </c>
      <c r="F986" s="1">
        <v>8</v>
      </c>
      <c r="G986" s="1">
        <v>13.29</v>
      </c>
      <c r="H986" s="1" t="s">
        <v>440</v>
      </c>
      <c r="I986" s="1" t="s">
        <v>31</v>
      </c>
      <c r="J986" s="1">
        <v>48</v>
      </c>
      <c r="K986" s="1">
        <v>1.21</v>
      </c>
      <c r="L986" s="4">
        <v>118.07</v>
      </c>
      <c r="M986" s="1">
        <v>0.2</v>
      </c>
      <c r="N986" s="1">
        <v>9</v>
      </c>
      <c r="O986" s="1">
        <v>0.93</v>
      </c>
      <c r="P986" s="1">
        <v>239</v>
      </c>
      <c r="Q986" s="1">
        <v>7.35</v>
      </c>
      <c r="R986" s="1">
        <v>0.8</v>
      </c>
      <c r="S986" s="2">
        <v>45575</v>
      </c>
      <c r="T986" s="1">
        <v>149.24</v>
      </c>
      <c r="U986" s="1">
        <v>0.64400000000000002</v>
      </c>
      <c r="V986" s="6">
        <f t="shared" si="45"/>
        <v>33649.949999999997</v>
      </c>
      <c r="W986" s="6" t="str">
        <f t="shared" si="46"/>
        <v>Sufficient</v>
      </c>
      <c r="X986" s="8" t="str">
        <f t="shared" si="47"/>
        <v>High</v>
      </c>
    </row>
    <row r="987" spans="1:24">
      <c r="A987" s="7" t="s">
        <v>1117</v>
      </c>
      <c r="B987" s="1" t="s">
        <v>33</v>
      </c>
      <c r="C987" s="1">
        <v>117</v>
      </c>
      <c r="D987" s="1">
        <v>61</v>
      </c>
      <c r="E987" s="1">
        <v>11</v>
      </c>
      <c r="F987" s="1">
        <v>7</v>
      </c>
      <c r="G987" s="1">
        <v>30.1</v>
      </c>
      <c r="H987" s="1" t="s">
        <v>149</v>
      </c>
      <c r="I987" s="1" t="s">
        <v>45</v>
      </c>
      <c r="J987" s="1">
        <v>23</v>
      </c>
      <c r="K987" s="1">
        <v>0.7</v>
      </c>
      <c r="L987" s="4">
        <v>184.5</v>
      </c>
      <c r="M987" s="1">
        <v>0.84</v>
      </c>
      <c r="N987" s="1">
        <v>1</v>
      </c>
      <c r="O987" s="1">
        <v>0.7</v>
      </c>
      <c r="P987" s="1">
        <v>771</v>
      </c>
      <c r="Q987" s="1">
        <v>8.11</v>
      </c>
      <c r="R987" s="1">
        <v>0.81</v>
      </c>
      <c r="S987" s="2">
        <v>45627</v>
      </c>
      <c r="T987" s="1">
        <v>132.35</v>
      </c>
      <c r="U987" s="1">
        <v>0.70599999999999996</v>
      </c>
      <c r="V987" s="6">
        <f t="shared" si="45"/>
        <v>21586.5</v>
      </c>
      <c r="W987" s="6" t="str">
        <f t="shared" si="46"/>
        <v>Sufficient</v>
      </c>
      <c r="X987" s="8" t="str">
        <f t="shared" si="47"/>
        <v>Medium</v>
      </c>
    </row>
    <row r="988" spans="1:24">
      <c r="A988" s="7" t="s">
        <v>1118</v>
      </c>
      <c r="B988" s="1" t="s">
        <v>33</v>
      </c>
      <c r="C988" s="1">
        <v>364</v>
      </c>
      <c r="D988" s="1">
        <v>35</v>
      </c>
      <c r="E988" s="1">
        <v>5</v>
      </c>
      <c r="F988" s="1">
        <v>6</v>
      </c>
      <c r="G988" s="1">
        <v>11.19</v>
      </c>
      <c r="H988" s="1" t="s">
        <v>68</v>
      </c>
      <c r="I988" s="1" t="s">
        <v>27</v>
      </c>
      <c r="J988" s="1">
        <v>30</v>
      </c>
      <c r="K988" s="1">
        <v>4.3600000000000003</v>
      </c>
      <c r="L988" s="4">
        <v>35.6</v>
      </c>
      <c r="M988" s="1">
        <v>0.15</v>
      </c>
      <c r="N988" s="1">
        <v>2</v>
      </c>
      <c r="O988" s="1">
        <v>0.9</v>
      </c>
      <c r="P988" s="1">
        <v>532</v>
      </c>
      <c r="Q988" s="1">
        <v>5.76</v>
      </c>
      <c r="R988" s="1">
        <v>0.9</v>
      </c>
      <c r="S988" s="2">
        <v>45506</v>
      </c>
      <c r="T988" s="1">
        <v>42.94</v>
      </c>
      <c r="U988" s="1">
        <v>0.78200000000000003</v>
      </c>
      <c r="V988" s="6">
        <f t="shared" si="45"/>
        <v>12958.4</v>
      </c>
      <c r="W988" s="6" t="str">
        <f t="shared" si="46"/>
        <v>Sufficient</v>
      </c>
      <c r="X988" s="8" t="str">
        <f t="shared" si="47"/>
        <v>High</v>
      </c>
    </row>
    <row r="989" spans="1:24">
      <c r="A989" s="7" t="s">
        <v>1119</v>
      </c>
      <c r="B989" s="1" t="s">
        <v>29</v>
      </c>
      <c r="C989" s="1">
        <v>310</v>
      </c>
      <c r="D989" s="1">
        <v>98</v>
      </c>
      <c r="E989" s="1">
        <v>4</v>
      </c>
      <c r="F989" s="1">
        <v>9</v>
      </c>
      <c r="G989" s="1">
        <v>16.87</v>
      </c>
      <c r="H989" s="1" t="s">
        <v>36</v>
      </c>
      <c r="I989" s="1" t="s">
        <v>45</v>
      </c>
      <c r="J989" s="1">
        <v>152</v>
      </c>
      <c r="K989" s="1">
        <v>1.49</v>
      </c>
      <c r="L989" s="4">
        <v>88.44</v>
      </c>
      <c r="M989" s="1">
        <v>1.82</v>
      </c>
      <c r="N989" s="1">
        <v>3</v>
      </c>
      <c r="O989" s="1">
        <v>0.89</v>
      </c>
      <c r="P989" s="1">
        <v>357</v>
      </c>
      <c r="Q989" s="1">
        <v>6.77</v>
      </c>
      <c r="R989" s="1">
        <v>0.53</v>
      </c>
      <c r="S989" s="2">
        <v>45406</v>
      </c>
      <c r="T989" s="1">
        <v>108.97</v>
      </c>
      <c r="U989" s="1">
        <v>0.53200000000000003</v>
      </c>
      <c r="V989" s="6">
        <f t="shared" si="45"/>
        <v>27416.399999999998</v>
      </c>
      <c r="W989" s="6" t="str">
        <f t="shared" si="46"/>
        <v>Sufficient</v>
      </c>
      <c r="X989" s="8" t="str">
        <f t="shared" si="47"/>
        <v>High</v>
      </c>
    </row>
    <row r="990" spans="1:24">
      <c r="A990" s="7" t="s">
        <v>1120</v>
      </c>
      <c r="B990" s="1" t="s">
        <v>25</v>
      </c>
      <c r="C990" s="1">
        <v>227</v>
      </c>
      <c r="D990" s="1">
        <v>35</v>
      </c>
      <c r="E990" s="1">
        <v>11</v>
      </c>
      <c r="F990" s="1">
        <v>5</v>
      </c>
      <c r="G990" s="1">
        <v>32.19</v>
      </c>
      <c r="H990" s="1" t="s">
        <v>459</v>
      </c>
      <c r="I990" s="1" t="s">
        <v>27</v>
      </c>
      <c r="J990" s="1">
        <v>109</v>
      </c>
      <c r="K990" s="1">
        <v>4.2</v>
      </c>
      <c r="L990" s="4">
        <v>26.93</v>
      </c>
      <c r="M990" s="1">
        <v>0.14000000000000001</v>
      </c>
      <c r="N990" s="1">
        <v>5</v>
      </c>
      <c r="O990" s="1">
        <v>0.86</v>
      </c>
      <c r="P990" s="1">
        <v>71</v>
      </c>
      <c r="Q990" s="1">
        <v>8.69</v>
      </c>
      <c r="R990" s="1">
        <v>0.9</v>
      </c>
      <c r="S990" s="2">
        <v>45456</v>
      </c>
      <c r="T990" s="1">
        <v>165.2</v>
      </c>
      <c r="U990" s="1">
        <v>0.754</v>
      </c>
      <c r="V990" s="6">
        <f t="shared" si="45"/>
        <v>6113.11</v>
      </c>
      <c r="W990" s="6" t="str">
        <f t="shared" si="46"/>
        <v>Sufficient</v>
      </c>
      <c r="X990" s="8" t="str">
        <f t="shared" si="47"/>
        <v>Medium</v>
      </c>
    </row>
    <row r="991" spans="1:24">
      <c r="A991" s="7" t="s">
        <v>1121</v>
      </c>
      <c r="B991" s="1" t="s">
        <v>33</v>
      </c>
      <c r="C991" s="1">
        <v>21</v>
      </c>
      <c r="D991" s="1">
        <v>35</v>
      </c>
      <c r="E991" s="1">
        <v>11</v>
      </c>
      <c r="F991" s="1">
        <v>7</v>
      </c>
      <c r="G991" s="1">
        <v>44.2</v>
      </c>
      <c r="H991" s="1" t="s">
        <v>38</v>
      </c>
      <c r="I991" s="1" t="s">
        <v>45</v>
      </c>
      <c r="J991" s="1">
        <v>106</v>
      </c>
      <c r="K991" s="1">
        <v>2.4700000000000002</v>
      </c>
      <c r="L991" s="4">
        <v>31.56</v>
      </c>
      <c r="M991" s="1">
        <v>0.16</v>
      </c>
      <c r="N991" s="1">
        <v>0</v>
      </c>
      <c r="O991" s="1">
        <v>0.81</v>
      </c>
      <c r="P991" s="1">
        <v>63</v>
      </c>
      <c r="Q991" s="1">
        <v>2.69</v>
      </c>
      <c r="R991" s="1">
        <v>0.71</v>
      </c>
      <c r="S991" s="2">
        <v>45419</v>
      </c>
      <c r="T991" s="1">
        <v>198.46</v>
      </c>
      <c r="U991" s="1">
        <v>0.72399999999999998</v>
      </c>
      <c r="V991" s="6">
        <f t="shared" si="45"/>
        <v>662.76</v>
      </c>
      <c r="W991" s="6" t="str">
        <f t="shared" si="46"/>
        <v>Reorder Required</v>
      </c>
      <c r="X991" s="8" t="str">
        <f t="shared" si="47"/>
        <v>LOW</v>
      </c>
    </row>
    <row r="992" spans="1:24">
      <c r="A992" s="7" t="s">
        <v>1122</v>
      </c>
      <c r="B992" s="1" t="s">
        <v>41</v>
      </c>
      <c r="C992" s="1">
        <v>143</v>
      </c>
      <c r="D992" s="1">
        <v>55</v>
      </c>
      <c r="E992" s="1">
        <v>3</v>
      </c>
      <c r="F992" s="1">
        <v>4</v>
      </c>
      <c r="G992" s="1">
        <v>27.11</v>
      </c>
      <c r="H992" s="1" t="s">
        <v>282</v>
      </c>
      <c r="I992" s="1" t="s">
        <v>39</v>
      </c>
      <c r="J992" s="1">
        <v>10</v>
      </c>
      <c r="K992" s="1">
        <v>3.35</v>
      </c>
      <c r="L992" s="4">
        <v>181.78</v>
      </c>
      <c r="M992" s="1">
        <v>0.41</v>
      </c>
      <c r="N992" s="1">
        <v>5</v>
      </c>
      <c r="O992" s="1">
        <v>0.94</v>
      </c>
      <c r="P992" s="1">
        <v>535</v>
      </c>
      <c r="Q992" s="1">
        <v>8.8699999999999992</v>
      </c>
      <c r="R992" s="1">
        <v>0.26</v>
      </c>
      <c r="S992" s="2">
        <v>45505</v>
      </c>
      <c r="T992" s="1">
        <v>93.78</v>
      </c>
      <c r="U992" s="1">
        <v>0.61699999999999999</v>
      </c>
      <c r="V992" s="6">
        <f t="shared" si="45"/>
        <v>25994.54</v>
      </c>
      <c r="W992" s="6" t="str">
        <f t="shared" si="46"/>
        <v>Sufficient</v>
      </c>
      <c r="X992" s="8" t="str">
        <f t="shared" si="47"/>
        <v>Medium</v>
      </c>
    </row>
    <row r="993" spans="1:24">
      <c r="A993" s="7" t="s">
        <v>1123</v>
      </c>
      <c r="B993" s="1" t="s">
        <v>41</v>
      </c>
      <c r="C993" s="1">
        <v>299</v>
      </c>
      <c r="D993" s="1">
        <v>58</v>
      </c>
      <c r="E993" s="1">
        <v>8</v>
      </c>
      <c r="F993" s="1">
        <v>2</v>
      </c>
      <c r="G993" s="1">
        <v>38.200000000000003</v>
      </c>
      <c r="H993" s="1" t="s">
        <v>59</v>
      </c>
      <c r="I993" s="1" t="s">
        <v>45</v>
      </c>
      <c r="J993" s="1">
        <v>118</v>
      </c>
      <c r="K993" s="1">
        <v>0.84</v>
      </c>
      <c r="L993" s="4">
        <v>94.77</v>
      </c>
      <c r="M993" s="1">
        <v>1.29</v>
      </c>
      <c r="N993" s="1">
        <v>3</v>
      </c>
      <c r="O993" s="1">
        <v>0.8</v>
      </c>
      <c r="P993" s="1">
        <v>767</v>
      </c>
      <c r="Q993" s="1">
        <v>10.94</v>
      </c>
      <c r="R993" s="1">
        <v>0.23</v>
      </c>
      <c r="S993" s="2">
        <v>45455</v>
      </c>
      <c r="T993" s="1">
        <v>148.13</v>
      </c>
      <c r="U993" s="1">
        <v>0.56299999999999994</v>
      </c>
      <c r="V993" s="6">
        <f t="shared" si="45"/>
        <v>28336.23</v>
      </c>
      <c r="W993" s="6" t="str">
        <f t="shared" si="46"/>
        <v>Sufficient</v>
      </c>
      <c r="X993" s="8" t="str">
        <f t="shared" si="47"/>
        <v>High</v>
      </c>
    </row>
    <row r="994" spans="1:24">
      <c r="A994" s="7" t="s">
        <v>1124</v>
      </c>
      <c r="B994" s="1" t="s">
        <v>33</v>
      </c>
      <c r="C994" s="1">
        <v>93</v>
      </c>
      <c r="D994" s="1">
        <v>91</v>
      </c>
      <c r="E994" s="1">
        <v>12</v>
      </c>
      <c r="F994" s="1">
        <v>6</v>
      </c>
      <c r="G994" s="1">
        <v>38.39</v>
      </c>
      <c r="H994" s="1" t="s">
        <v>97</v>
      </c>
      <c r="I994" s="1" t="s">
        <v>31</v>
      </c>
      <c r="J994" s="1">
        <v>91</v>
      </c>
      <c r="K994" s="1">
        <v>3.13</v>
      </c>
      <c r="L994" s="4">
        <v>140.86000000000001</v>
      </c>
      <c r="M994" s="1">
        <v>1.1299999999999999</v>
      </c>
      <c r="N994" s="1">
        <v>7</v>
      </c>
      <c r="O994" s="1">
        <v>0.77</v>
      </c>
      <c r="P994" s="1">
        <v>595</v>
      </c>
      <c r="Q994" s="1">
        <v>13.25</v>
      </c>
      <c r="R994" s="1">
        <v>0.59</v>
      </c>
      <c r="S994" s="2">
        <v>45430</v>
      </c>
      <c r="T994" s="1">
        <v>222.88</v>
      </c>
      <c r="U994" s="1">
        <v>0.59599999999999997</v>
      </c>
      <c r="V994" s="6">
        <f t="shared" si="45"/>
        <v>13099.980000000001</v>
      </c>
      <c r="W994" s="6" t="str">
        <f t="shared" si="46"/>
        <v>Sufficient</v>
      </c>
      <c r="X994" s="8" t="str">
        <f t="shared" si="47"/>
        <v>LOW</v>
      </c>
    </row>
    <row r="995" spans="1:24">
      <c r="A995" s="7" t="s">
        <v>1125</v>
      </c>
      <c r="B995" s="1" t="s">
        <v>25</v>
      </c>
      <c r="C995" s="1">
        <v>185</v>
      </c>
      <c r="D995" s="1">
        <v>62</v>
      </c>
      <c r="E995" s="1">
        <v>10</v>
      </c>
      <c r="F995" s="1">
        <v>5</v>
      </c>
      <c r="G995" s="1">
        <v>33.549999999999997</v>
      </c>
      <c r="H995" s="1" t="s">
        <v>274</v>
      </c>
      <c r="I995" s="1" t="s">
        <v>45</v>
      </c>
      <c r="J995" s="1">
        <v>147</v>
      </c>
      <c r="K995" s="1">
        <v>1.8</v>
      </c>
      <c r="L995" s="4">
        <v>36.39</v>
      </c>
      <c r="M995" s="1">
        <v>1.35</v>
      </c>
      <c r="N995" s="1">
        <v>8</v>
      </c>
      <c r="O995" s="1">
        <v>0.79</v>
      </c>
      <c r="P995" s="1">
        <v>903</v>
      </c>
      <c r="Q995" s="1">
        <v>5.22</v>
      </c>
      <c r="R995" s="1">
        <v>0.83</v>
      </c>
      <c r="S995" s="2">
        <v>45331</v>
      </c>
      <c r="T995" s="1">
        <v>132.44999999999999</v>
      </c>
      <c r="U995" s="1">
        <v>0.499</v>
      </c>
      <c r="V995" s="6">
        <f t="shared" si="45"/>
        <v>6732.1500000000005</v>
      </c>
      <c r="W995" s="6" t="str">
        <f t="shared" si="46"/>
        <v>Sufficient</v>
      </c>
      <c r="X995" s="8" t="str">
        <f t="shared" si="47"/>
        <v>Medium</v>
      </c>
    </row>
    <row r="996" spans="1:24">
      <c r="A996" s="7" t="s">
        <v>1126</v>
      </c>
      <c r="B996" s="1" t="s">
        <v>41</v>
      </c>
      <c r="C996" s="1">
        <v>41</v>
      </c>
      <c r="D996" s="1">
        <v>12</v>
      </c>
      <c r="E996" s="1">
        <v>5</v>
      </c>
      <c r="F996" s="1">
        <v>4</v>
      </c>
      <c r="G996" s="1">
        <v>13.05</v>
      </c>
      <c r="H996" s="1" t="s">
        <v>266</v>
      </c>
      <c r="I996" s="1" t="s">
        <v>31</v>
      </c>
      <c r="J996" s="1">
        <v>160</v>
      </c>
      <c r="K996" s="1">
        <v>0.93</v>
      </c>
      <c r="L996" s="4">
        <v>14.17</v>
      </c>
      <c r="M996" s="1">
        <v>1.8</v>
      </c>
      <c r="N996" s="1">
        <v>7</v>
      </c>
      <c r="O996" s="1">
        <v>0.83</v>
      </c>
      <c r="P996" s="1">
        <v>513</v>
      </c>
      <c r="Q996" s="1">
        <v>11.46</v>
      </c>
      <c r="R996" s="1">
        <v>0.51</v>
      </c>
      <c r="S996" s="2">
        <v>45584</v>
      </c>
      <c r="T996" s="1">
        <v>282.82</v>
      </c>
      <c r="U996" s="1">
        <v>0.501</v>
      </c>
      <c r="V996" s="6">
        <f t="shared" si="45"/>
        <v>580.97</v>
      </c>
      <c r="W996" s="6" t="str">
        <f t="shared" si="46"/>
        <v>Sufficient</v>
      </c>
      <c r="X996" s="8" t="str">
        <f t="shared" si="47"/>
        <v>LOW</v>
      </c>
    </row>
    <row r="997" spans="1:24">
      <c r="A997" s="7" t="s">
        <v>1127</v>
      </c>
      <c r="B997" s="1" t="s">
        <v>29</v>
      </c>
      <c r="C997" s="1">
        <v>173</v>
      </c>
      <c r="D997" s="1">
        <v>75</v>
      </c>
      <c r="E997" s="1">
        <v>13</v>
      </c>
      <c r="F997" s="1">
        <v>6</v>
      </c>
      <c r="G997" s="1">
        <v>43.47</v>
      </c>
      <c r="H997" s="1" t="s">
        <v>470</v>
      </c>
      <c r="I997" s="1" t="s">
        <v>45</v>
      </c>
      <c r="J997" s="1">
        <v>27</v>
      </c>
      <c r="K997" s="1">
        <v>4.59</v>
      </c>
      <c r="L997" s="4">
        <v>179.19</v>
      </c>
      <c r="M997" s="1">
        <v>0.96</v>
      </c>
      <c r="N997" s="1">
        <v>7</v>
      </c>
      <c r="O997" s="1">
        <v>0.76</v>
      </c>
      <c r="P997" s="1">
        <v>617</v>
      </c>
      <c r="Q997" s="1">
        <v>9.48</v>
      </c>
      <c r="R997" s="1">
        <v>0.88</v>
      </c>
      <c r="S997" s="2">
        <v>45482</v>
      </c>
      <c r="T997" s="1">
        <v>18.899999999999999</v>
      </c>
      <c r="U997" s="1">
        <v>0.61799999999999999</v>
      </c>
      <c r="V997" s="6">
        <f t="shared" si="45"/>
        <v>30999.87</v>
      </c>
      <c r="W997" s="6" t="str">
        <f t="shared" si="46"/>
        <v>Sufficient</v>
      </c>
      <c r="X997" s="8" t="str">
        <f t="shared" si="47"/>
        <v>Medium</v>
      </c>
    </row>
    <row r="998" spans="1:24">
      <c r="A998" s="7" t="s">
        <v>1128</v>
      </c>
      <c r="B998" s="1" t="s">
        <v>41</v>
      </c>
      <c r="C998" s="1">
        <v>446</v>
      </c>
      <c r="D998" s="1">
        <v>51</v>
      </c>
      <c r="E998" s="1">
        <v>11</v>
      </c>
      <c r="F998" s="1">
        <v>3</v>
      </c>
      <c r="G998" s="1">
        <v>22.38</v>
      </c>
      <c r="H998" s="1" t="s">
        <v>115</v>
      </c>
      <c r="I998" s="1" t="s">
        <v>39</v>
      </c>
      <c r="J998" s="1">
        <v>67</v>
      </c>
      <c r="K998" s="1">
        <v>3.22</v>
      </c>
      <c r="L998" s="4">
        <v>119.16</v>
      </c>
      <c r="M998" s="1">
        <v>0.18</v>
      </c>
      <c r="N998" s="1">
        <v>1</v>
      </c>
      <c r="O998" s="1">
        <v>0.88</v>
      </c>
      <c r="P998" s="1">
        <v>801</v>
      </c>
      <c r="Q998" s="1">
        <v>8.0399999999999991</v>
      </c>
      <c r="R998" s="1">
        <v>0.59</v>
      </c>
      <c r="S998" s="2">
        <v>45353</v>
      </c>
      <c r="T998" s="1">
        <v>85.47</v>
      </c>
      <c r="U998" s="1">
        <v>0.76300000000000001</v>
      </c>
      <c r="V998" s="6">
        <f t="shared" si="45"/>
        <v>53145.36</v>
      </c>
      <c r="W998" s="6" t="str">
        <f t="shared" si="46"/>
        <v>Sufficient</v>
      </c>
      <c r="X998" s="8" t="str">
        <f t="shared" si="47"/>
        <v>High</v>
      </c>
    </row>
    <row r="999" spans="1:24">
      <c r="A999" s="7" t="s">
        <v>1129</v>
      </c>
      <c r="B999" s="1" t="s">
        <v>66</v>
      </c>
      <c r="C999" s="1">
        <v>458</v>
      </c>
      <c r="D999" s="1">
        <v>28</v>
      </c>
      <c r="E999" s="1">
        <v>4</v>
      </c>
      <c r="F999" s="1">
        <v>8</v>
      </c>
      <c r="G999" s="1">
        <v>3.17</v>
      </c>
      <c r="H999" s="1" t="s">
        <v>149</v>
      </c>
      <c r="I999" s="1" t="s">
        <v>45</v>
      </c>
      <c r="J999" s="1">
        <v>135</v>
      </c>
      <c r="K999" s="1">
        <v>1.59</v>
      </c>
      <c r="L999" s="4">
        <v>13.8</v>
      </c>
      <c r="M999" s="1">
        <v>1.55</v>
      </c>
      <c r="N999" s="1">
        <v>9</v>
      </c>
      <c r="O999" s="1">
        <v>0.97</v>
      </c>
      <c r="P999" s="1">
        <v>998</v>
      </c>
      <c r="Q999" s="1">
        <v>13.87</v>
      </c>
      <c r="R999" s="1">
        <v>0.22</v>
      </c>
      <c r="S999" s="2">
        <v>45549</v>
      </c>
      <c r="T999" s="1">
        <v>48.68</v>
      </c>
      <c r="U999" s="1">
        <v>0.48799999999999999</v>
      </c>
      <c r="V999" s="6">
        <f t="shared" si="45"/>
        <v>6320.4000000000005</v>
      </c>
      <c r="W999" s="6" t="str">
        <f t="shared" si="46"/>
        <v>Sufficient</v>
      </c>
      <c r="X999" s="8" t="str">
        <f t="shared" si="47"/>
        <v>High</v>
      </c>
    </row>
    <row r="1000" spans="1:24">
      <c r="A1000" s="7" t="s">
        <v>1130</v>
      </c>
      <c r="B1000" s="1" t="s">
        <v>66</v>
      </c>
      <c r="C1000" s="1">
        <v>314</v>
      </c>
      <c r="D1000" s="1">
        <v>26</v>
      </c>
      <c r="E1000" s="1">
        <v>8</v>
      </c>
      <c r="F1000" s="1">
        <v>4</v>
      </c>
      <c r="G1000" s="1">
        <v>12.99</v>
      </c>
      <c r="H1000" s="1" t="s">
        <v>139</v>
      </c>
      <c r="I1000" s="1" t="s">
        <v>27</v>
      </c>
      <c r="J1000" s="1">
        <v>82</v>
      </c>
      <c r="K1000" s="1">
        <v>2.39</v>
      </c>
      <c r="L1000" s="4">
        <v>198.54</v>
      </c>
      <c r="M1000" s="1">
        <v>1.64</v>
      </c>
      <c r="N1000" s="1">
        <v>1</v>
      </c>
      <c r="O1000" s="1">
        <v>0.88</v>
      </c>
      <c r="P1000" s="1">
        <v>482</v>
      </c>
      <c r="Q1000" s="1">
        <v>9.68</v>
      </c>
      <c r="R1000" s="1">
        <v>0.98</v>
      </c>
      <c r="S1000" s="2">
        <v>45636</v>
      </c>
      <c r="T1000" s="1">
        <v>166.97</v>
      </c>
      <c r="U1000" s="1">
        <v>0.71699999999999997</v>
      </c>
      <c r="V1000" s="6">
        <f t="shared" si="45"/>
        <v>62341.56</v>
      </c>
      <c r="W1000" s="6" t="str">
        <f t="shared" si="46"/>
        <v>Sufficient</v>
      </c>
      <c r="X1000" s="8" t="str">
        <f t="shared" si="47"/>
        <v>High</v>
      </c>
    </row>
    <row r="1001" spans="1:24">
      <c r="A1001" s="7" t="s">
        <v>1131</v>
      </c>
      <c r="B1001" s="1" t="s">
        <v>25</v>
      </c>
      <c r="C1001" s="1">
        <v>238</v>
      </c>
      <c r="D1001" s="1">
        <v>42</v>
      </c>
      <c r="E1001" s="1">
        <v>3</v>
      </c>
      <c r="F1001" s="1">
        <v>9</v>
      </c>
      <c r="G1001" s="1">
        <v>38.51</v>
      </c>
      <c r="H1001" s="1" t="s">
        <v>70</v>
      </c>
      <c r="I1001" s="1" t="s">
        <v>39</v>
      </c>
      <c r="J1001" s="1">
        <v>119</v>
      </c>
      <c r="K1001" s="1">
        <v>2.11</v>
      </c>
      <c r="L1001" s="4">
        <v>103.52</v>
      </c>
      <c r="M1001" s="1">
        <v>0.19</v>
      </c>
      <c r="N1001" s="1">
        <v>5</v>
      </c>
      <c r="O1001" s="1">
        <v>0.83</v>
      </c>
      <c r="P1001" s="1">
        <v>624</v>
      </c>
      <c r="Q1001" s="1">
        <v>6.12</v>
      </c>
      <c r="R1001" s="1">
        <v>0.59</v>
      </c>
      <c r="S1001" s="2">
        <v>45318</v>
      </c>
      <c r="T1001" s="1">
        <v>61.44</v>
      </c>
      <c r="U1001" s="1">
        <v>0.64700000000000002</v>
      </c>
      <c r="V1001" s="6">
        <f t="shared" si="45"/>
        <v>24637.759999999998</v>
      </c>
      <c r="W1001" s="6" t="str">
        <f t="shared" si="46"/>
        <v>Sufficient</v>
      </c>
      <c r="X1001" s="8" t="str">
        <f t="shared" si="47"/>
        <v>Medium</v>
      </c>
    </row>
    <row r="1002" spans="1:24">
      <c r="A1002" s="7" t="s">
        <v>1132</v>
      </c>
      <c r="B1002" s="1" t="s">
        <v>33</v>
      </c>
      <c r="C1002" s="1">
        <v>176</v>
      </c>
      <c r="D1002" s="1">
        <v>85</v>
      </c>
      <c r="E1002" s="1">
        <v>9</v>
      </c>
      <c r="F1002" s="1">
        <v>9</v>
      </c>
      <c r="G1002" s="1">
        <v>4.3899999999999997</v>
      </c>
      <c r="H1002" s="1" t="s">
        <v>145</v>
      </c>
      <c r="I1002" s="1" t="s">
        <v>39</v>
      </c>
      <c r="J1002" s="1">
        <v>61</v>
      </c>
      <c r="K1002" s="1">
        <v>3.65</v>
      </c>
      <c r="L1002" s="4">
        <v>100.42</v>
      </c>
      <c r="M1002" s="1">
        <v>0.56000000000000005</v>
      </c>
      <c r="N1002" s="1">
        <v>4</v>
      </c>
      <c r="O1002" s="1">
        <v>0.94</v>
      </c>
      <c r="P1002" s="1">
        <v>449</v>
      </c>
      <c r="Q1002" s="1">
        <v>10.98</v>
      </c>
      <c r="R1002" s="1">
        <v>0.72</v>
      </c>
      <c r="S1002" s="2">
        <v>45383</v>
      </c>
      <c r="T1002" s="1">
        <v>225.13</v>
      </c>
      <c r="U1002" s="1">
        <v>0.74199999999999999</v>
      </c>
      <c r="V1002" s="6">
        <f t="shared" si="45"/>
        <v>17673.920000000002</v>
      </c>
      <c r="W1002" s="6" t="str">
        <f t="shared" si="46"/>
        <v>Sufficient</v>
      </c>
      <c r="X1002" s="8" t="str">
        <f t="shared" si="47"/>
        <v>Medium</v>
      </c>
    </row>
    <row r="1003" spans="1:24">
      <c r="A1003" s="7" t="s">
        <v>1133</v>
      </c>
      <c r="B1003" s="1" t="s">
        <v>25</v>
      </c>
      <c r="C1003" s="1">
        <v>249</v>
      </c>
      <c r="D1003" s="1">
        <v>58</v>
      </c>
      <c r="E1003" s="1">
        <v>5</v>
      </c>
      <c r="F1003" s="1">
        <v>6</v>
      </c>
      <c r="G1003" s="1">
        <v>8.2200000000000006</v>
      </c>
      <c r="H1003" s="1" t="s">
        <v>304</v>
      </c>
      <c r="I1003" s="1" t="s">
        <v>27</v>
      </c>
      <c r="J1003" s="1">
        <v>55</v>
      </c>
      <c r="K1003" s="1">
        <v>3.23</v>
      </c>
      <c r="L1003" s="4">
        <v>127.97</v>
      </c>
      <c r="M1003" s="1">
        <v>1.56</v>
      </c>
      <c r="N1003" s="1">
        <v>5</v>
      </c>
      <c r="O1003" s="1">
        <v>0.92</v>
      </c>
      <c r="P1003" s="1">
        <v>641</v>
      </c>
      <c r="Q1003" s="1">
        <v>14.44</v>
      </c>
      <c r="R1003" s="1">
        <v>0.36</v>
      </c>
      <c r="S1003" s="2">
        <v>45406</v>
      </c>
      <c r="T1003" s="1">
        <v>276.32</v>
      </c>
      <c r="U1003" s="1">
        <v>0.59299999999999997</v>
      </c>
      <c r="V1003" s="6">
        <f t="shared" si="45"/>
        <v>31864.53</v>
      </c>
      <c r="W1003" s="6" t="str">
        <f t="shared" si="46"/>
        <v>Sufficient</v>
      </c>
      <c r="X1003" s="8" t="str">
        <f t="shared" si="47"/>
        <v>Medium</v>
      </c>
    </row>
    <row r="1004" spans="1:24">
      <c r="A1004" s="7" t="s">
        <v>1134</v>
      </c>
      <c r="B1004" s="1" t="s">
        <v>25</v>
      </c>
      <c r="C1004" s="1">
        <v>39</v>
      </c>
      <c r="D1004" s="1">
        <v>65</v>
      </c>
      <c r="E1004" s="1">
        <v>9</v>
      </c>
      <c r="F1004" s="1">
        <v>9</v>
      </c>
      <c r="G1004" s="1">
        <v>35.020000000000003</v>
      </c>
      <c r="H1004" s="1" t="s">
        <v>309</v>
      </c>
      <c r="I1004" s="1" t="s">
        <v>39</v>
      </c>
      <c r="J1004" s="1">
        <v>116</v>
      </c>
      <c r="K1004" s="1">
        <v>0.59</v>
      </c>
      <c r="L1004" s="4">
        <v>11.5</v>
      </c>
      <c r="M1004" s="1">
        <v>0.81</v>
      </c>
      <c r="N1004" s="1">
        <v>8</v>
      </c>
      <c r="O1004" s="1">
        <v>0.81</v>
      </c>
      <c r="P1004" s="1">
        <v>601</v>
      </c>
      <c r="Q1004" s="1">
        <v>13.85</v>
      </c>
      <c r="R1004" s="1">
        <v>0.44</v>
      </c>
      <c r="S1004" s="2">
        <v>45556</v>
      </c>
      <c r="T1004" s="1">
        <v>70.09</v>
      </c>
      <c r="U1004" s="1">
        <v>0.59399999999999997</v>
      </c>
      <c r="V1004" s="6">
        <f t="shared" si="45"/>
        <v>448.5</v>
      </c>
      <c r="W1004" s="6" t="str">
        <f t="shared" si="46"/>
        <v>Reorder Required</v>
      </c>
      <c r="X1004" s="8" t="str">
        <f t="shared" si="47"/>
        <v>LOW</v>
      </c>
    </row>
    <row r="1005" spans="1:24">
      <c r="A1005" s="7" t="s">
        <v>1135</v>
      </c>
      <c r="B1005" s="1" t="s">
        <v>25</v>
      </c>
      <c r="C1005" s="1">
        <v>494</v>
      </c>
      <c r="D1005" s="1">
        <v>72</v>
      </c>
      <c r="E1005" s="1">
        <v>6</v>
      </c>
      <c r="F1005" s="1">
        <v>4</v>
      </c>
      <c r="G1005" s="1">
        <v>44.74</v>
      </c>
      <c r="H1005" s="1" t="s">
        <v>279</v>
      </c>
      <c r="I1005" s="1" t="s">
        <v>39</v>
      </c>
      <c r="J1005" s="1">
        <v>22</v>
      </c>
      <c r="K1005" s="1">
        <v>1.39</v>
      </c>
      <c r="L1005" s="4">
        <v>118.14</v>
      </c>
      <c r="M1005" s="1">
        <v>1</v>
      </c>
      <c r="N1005" s="1">
        <v>9</v>
      </c>
      <c r="O1005" s="1">
        <v>0.88</v>
      </c>
      <c r="P1005" s="1">
        <v>855</v>
      </c>
      <c r="Q1005" s="1">
        <v>14.72</v>
      </c>
      <c r="R1005" s="1">
        <v>0.59</v>
      </c>
      <c r="S1005" s="2">
        <v>45315</v>
      </c>
      <c r="T1005" s="1">
        <v>272.95999999999998</v>
      </c>
      <c r="U1005" s="1">
        <v>0.61</v>
      </c>
      <c r="V1005" s="6">
        <f t="shared" si="45"/>
        <v>58361.16</v>
      </c>
      <c r="W1005" s="6" t="str">
        <f t="shared" si="46"/>
        <v>Sufficient</v>
      </c>
      <c r="X1005" s="8" t="str">
        <f t="shared" si="47"/>
        <v>High</v>
      </c>
    </row>
    <row r="1006" spans="1:24">
      <c r="A1006" s="7" t="s">
        <v>1136</v>
      </c>
      <c r="B1006" s="1" t="s">
        <v>25</v>
      </c>
      <c r="C1006" s="1">
        <v>60</v>
      </c>
      <c r="D1006" s="1">
        <v>12</v>
      </c>
      <c r="E1006" s="1">
        <v>11</v>
      </c>
      <c r="F1006" s="1">
        <v>2</v>
      </c>
      <c r="G1006" s="1">
        <v>32.049999999999997</v>
      </c>
      <c r="H1006" s="1" t="s">
        <v>151</v>
      </c>
      <c r="I1006" s="1" t="s">
        <v>27</v>
      </c>
      <c r="J1006" s="1">
        <v>105</v>
      </c>
      <c r="K1006" s="1">
        <v>2.65</v>
      </c>
      <c r="L1006" s="4">
        <v>129.6</v>
      </c>
      <c r="M1006" s="1">
        <v>1.66</v>
      </c>
      <c r="N1006" s="1">
        <v>6</v>
      </c>
      <c r="O1006" s="1">
        <v>0.92</v>
      </c>
      <c r="P1006" s="1">
        <v>963</v>
      </c>
      <c r="Q1006" s="1">
        <v>2.33</v>
      </c>
      <c r="R1006" s="1">
        <v>0.88</v>
      </c>
      <c r="S1006" s="2">
        <v>45497</v>
      </c>
      <c r="T1006" s="1">
        <v>193.21</v>
      </c>
      <c r="U1006" s="1">
        <v>0.505</v>
      </c>
      <c r="V1006" s="6">
        <f t="shared" si="45"/>
        <v>7776</v>
      </c>
      <c r="W1006" s="6" t="str">
        <f t="shared" si="46"/>
        <v>Sufficient</v>
      </c>
      <c r="X1006" s="8" t="str">
        <f t="shared" si="47"/>
        <v>LOW</v>
      </c>
    </row>
    <row r="1007" spans="1:24">
      <c r="A1007" s="7" t="s">
        <v>1137</v>
      </c>
      <c r="B1007" s="1" t="s">
        <v>29</v>
      </c>
      <c r="C1007" s="1">
        <v>457</v>
      </c>
      <c r="D1007" s="1">
        <v>58</v>
      </c>
      <c r="E1007" s="1">
        <v>7</v>
      </c>
      <c r="F1007" s="1">
        <v>2</v>
      </c>
      <c r="G1007" s="1">
        <v>11.89</v>
      </c>
      <c r="H1007" s="1" t="s">
        <v>130</v>
      </c>
      <c r="I1007" s="1" t="s">
        <v>39</v>
      </c>
      <c r="J1007" s="1">
        <v>26</v>
      </c>
      <c r="K1007" s="1">
        <v>2.5</v>
      </c>
      <c r="L1007" s="4">
        <v>66.42</v>
      </c>
      <c r="M1007" s="1">
        <v>0.28000000000000003</v>
      </c>
      <c r="N1007" s="1">
        <v>4</v>
      </c>
      <c r="O1007" s="1">
        <v>0.77</v>
      </c>
      <c r="P1007" s="1">
        <v>328</v>
      </c>
      <c r="Q1007" s="1">
        <v>7.21</v>
      </c>
      <c r="R1007" s="1">
        <v>0.28000000000000003</v>
      </c>
      <c r="S1007" s="2">
        <v>45327</v>
      </c>
      <c r="T1007" s="1">
        <v>66.89</v>
      </c>
      <c r="U1007" s="1">
        <v>0.59799999999999998</v>
      </c>
      <c r="V1007" s="6">
        <f t="shared" si="45"/>
        <v>30353.940000000002</v>
      </c>
      <c r="W1007" s="6" t="str">
        <f t="shared" si="46"/>
        <v>Sufficient</v>
      </c>
      <c r="X1007" s="8" t="str">
        <f t="shared" si="47"/>
        <v>High</v>
      </c>
    </row>
    <row r="1008" spans="1:24">
      <c r="A1008" s="7" t="s">
        <v>1138</v>
      </c>
      <c r="B1008" s="1" t="s">
        <v>29</v>
      </c>
      <c r="C1008" s="1">
        <v>167</v>
      </c>
      <c r="D1008" s="1">
        <v>64</v>
      </c>
      <c r="E1008" s="1">
        <v>5</v>
      </c>
      <c r="F1008" s="1">
        <v>8</v>
      </c>
      <c r="G1008" s="1">
        <v>3.62</v>
      </c>
      <c r="H1008" s="1" t="s">
        <v>346</v>
      </c>
      <c r="I1008" s="1" t="s">
        <v>39</v>
      </c>
      <c r="J1008" s="1">
        <v>76</v>
      </c>
      <c r="K1008" s="1">
        <v>2.83</v>
      </c>
      <c r="L1008" s="4">
        <v>148.1</v>
      </c>
      <c r="M1008" s="1">
        <v>1.39</v>
      </c>
      <c r="N1008" s="1">
        <v>9</v>
      </c>
      <c r="O1008" s="1">
        <v>0.81</v>
      </c>
      <c r="P1008" s="1">
        <v>817</v>
      </c>
      <c r="Q1008" s="1">
        <v>7.06</v>
      </c>
      <c r="R1008" s="1">
        <v>0.82</v>
      </c>
      <c r="S1008" s="2">
        <v>45530</v>
      </c>
      <c r="T1008" s="1">
        <v>223.6</v>
      </c>
      <c r="U1008" s="1">
        <v>0.501</v>
      </c>
      <c r="V1008" s="6">
        <f t="shared" si="45"/>
        <v>24732.7</v>
      </c>
      <c r="W1008" s="6" t="str">
        <f t="shared" si="46"/>
        <v>Sufficient</v>
      </c>
      <c r="X1008" s="8" t="str">
        <f t="shared" si="47"/>
        <v>Medium</v>
      </c>
    </row>
    <row r="1009" spans="1:24">
      <c r="A1009" s="7" t="s">
        <v>1139</v>
      </c>
      <c r="B1009" s="1" t="s">
        <v>41</v>
      </c>
      <c r="C1009" s="1">
        <v>127</v>
      </c>
      <c r="D1009" s="1">
        <v>35</v>
      </c>
      <c r="E1009" s="1">
        <v>10</v>
      </c>
      <c r="F1009" s="1">
        <v>2</v>
      </c>
      <c r="G1009" s="1">
        <v>31.14</v>
      </c>
      <c r="H1009" s="1" t="s">
        <v>38</v>
      </c>
      <c r="I1009" s="1" t="s">
        <v>39</v>
      </c>
      <c r="J1009" s="1">
        <v>70</v>
      </c>
      <c r="K1009" s="1">
        <v>3.72</v>
      </c>
      <c r="L1009" s="4">
        <v>81.709999999999994</v>
      </c>
      <c r="M1009" s="1">
        <v>0.51</v>
      </c>
      <c r="N1009" s="1">
        <v>6</v>
      </c>
      <c r="O1009" s="1">
        <v>0.73</v>
      </c>
      <c r="P1009" s="1">
        <v>159</v>
      </c>
      <c r="Q1009" s="1">
        <v>6.37</v>
      </c>
      <c r="R1009" s="1">
        <v>0.66</v>
      </c>
      <c r="S1009" s="2">
        <v>45436</v>
      </c>
      <c r="T1009" s="1">
        <v>36.35</v>
      </c>
      <c r="U1009" s="1">
        <v>0.59199999999999997</v>
      </c>
      <c r="V1009" s="6">
        <f t="shared" si="45"/>
        <v>10377.17</v>
      </c>
      <c r="W1009" s="6" t="str">
        <f t="shared" si="46"/>
        <v>Sufficient</v>
      </c>
      <c r="X1009" s="8" t="str">
        <f t="shared" si="47"/>
        <v>Medium</v>
      </c>
    </row>
    <row r="1010" spans="1:24">
      <c r="A1010" s="7" t="s">
        <v>1140</v>
      </c>
      <c r="B1010" s="1" t="s">
        <v>66</v>
      </c>
      <c r="C1010" s="1">
        <v>422</v>
      </c>
      <c r="D1010" s="1">
        <v>81</v>
      </c>
      <c r="E1010" s="1">
        <v>8</v>
      </c>
      <c r="F1010" s="1">
        <v>7</v>
      </c>
      <c r="G1010" s="1">
        <v>3.32</v>
      </c>
      <c r="H1010" s="1" t="s">
        <v>124</v>
      </c>
      <c r="I1010" s="1" t="s">
        <v>39</v>
      </c>
      <c r="J1010" s="1">
        <v>74</v>
      </c>
      <c r="K1010" s="1">
        <v>3.57</v>
      </c>
      <c r="L1010" s="4">
        <v>146.38</v>
      </c>
      <c r="M1010" s="1">
        <v>0.22</v>
      </c>
      <c r="N1010" s="1">
        <v>7</v>
      </c>
      <c r="O1010" s="1">
        <v>1</v>
      </c>
      <c r="P1010" s="1">
        <v>97</v>
      </c>
      <c r="Q1010" s="1">
        <v>3.5</v>
      </c>
      <c r="R1010" s="1">
        <v>0.6</v>
      </c>
      <c r="S1010" s="2">
        <v>45451</v>
      </c>
      <c r="T1010" s="1">
        <v>210.72</v>
      </c>
      <c r="U1010" s="1">
        <v>0.60499999999999998</v>
      </c>
      <c r="V1010" s="6">
        <f t="shared" si="45"/>
        <v>61772.36</v>
      </c>
      <c r="W1010" s="6" t="str">
        <f t="shared" si="46"/>
        <v>Sufficient</v>
      </c>
      <c r="X1010" s="8" t="str">
        <f t="shared" si="47"/>
        <v>High</v>
      </c>
    </row>
    <row r="1011" spans="1:24">
      <c r="A1011" s="7" t="s">
        <v>1141</v>
      </c>
      <c r="B1011" s="1" t="s">
        <v>25</v>
      </c>
      <c r="C1011" s="1">
        <v>103</v>
      </c>
      <c r="D1011" s="1">
        <v>61</v>
      </c>
      <c r="E1011" s="1">
        <v>4</v>
      </c>
      <c r="F1011" s="1">
        <v>3</v>
      </c>
      <c r="G1011" s="1">
        <v>31.02</v>
      </c>
      <c r="H1011" s="1" t="s">
        <v>258</v>
      </c>
      <c r="I1011" s="1" t="s">
        <v>45</v>
      </c>
      <c r="J1011" s="1">
        <v>142</v>
      </c>
      <c r="K1011" s="1">
        <v>2.1800000000000002</v>
      </c>
      <c r="L1011" s="4">
        <v>37.33</v>
      </c>
      <c r="M1011" s="1">
        <v>1.36</v>
      </c>
      <c r="N1011" s="1">
        <v>0</v>
      </c>
      <c r="O1011" s="1">
        <v>0.73</v>
      </c>
      <c r="P1011" s="1">
        <v>793</v>
      </c>
      <c r="Q1011" s="1">
        <v>12.65</v>
      </c>
      <c r="R1011" s="1">
        <v>0.9</v>
      </c>
      <c r="S1011" s="2">
        <v>45459</v>
      </c>
      <c r="T1011" s="1">
        <v>259.77</v>
      </c>
      <c r="U1011" s="1">
        <v>0.75900000000000001</v>
      </c>
      <c r="V1011" s="6">
        <f t="shared" si="45"/>
        <v>3844.99</v>
      </c>
      <c r="W1011" s="6" t="str">
        <f t="shared" si="46"/>
        <v>Sufficient</v>
      </c>
      <c r="X1011" s="8" t="str">
        <f t="shared" si="47"/>
        <v>Medium</v>
      </c>
    </row>
    <row r="1012" spans="1:24">
      <c r="A1012" s="7" t="s">
        <v>1142</v>
      </c>
      <c r="B1012" s="1" t="s">
        <v>41</v>
      </c>
      <c r="C1012" s="1">
        <v>386</v>
      </c>
      <c r="D1012" s="1">
        <v>16</v>
      </c>
      <c r="E1012" s="1">
        <v>5</v>
      </c>
      <c r="F1012" s="1">
        <v>2</v>
      </c>
      <c r="G1012" s="1">
        <v>12.05</v>
      </c>
      <c r="H1012" s="1" t="s">
        <v>137</v>
      </c>
      <c r="I1012" s="1" t="s">
        <v>39</v>
      </c>
      <c r="J1012" s="1">
        <v>169</v>
      </c>
      <c r="K1012" s="1">
        <v>4.45</v>
      </c>
      <c r="L1012" s="4">
        <v>183.6</v>
      </c>
      <c r="M1012" s="1">
        <v>0.33</v>
      </c>
      <c r="N1012" s="1">
        <v>9</v>
      </c>
      <c r="O1012" s="1">
        <v>0.75</v>
      </c>
      <c r="P1012" s="1">
        <v>131</v>
      </c>
      <c r="Q1012" s="1">
        <v>10.42</v>
      </c>
      <c r="R1012" s="1">
        <v>0.28999999999999998</v>
      </c>
      <c r="S1012" s="2">
        <v>45336</v>
      </c>
      <c r="T1012" s="1">
        <v>285.61</v>
      </c>
      <c r="U1012" s="1">
        <v>0.53400000000000003</v>
      </c>
      <c r="V1012" s="6">
        <f t="shared" si="45"/>
        <v>70869.599999999991</v>
      </c>
      <c r="W1012" s="6" t="str">
        <f t="shared" si="46"/>
        <v>Sufficient</v>
      </c>
      <c r="X1012" s="8" t="str">
        <f t="shared" si="47"/>
        <v>High</v>
      </c>
    </row>
    <row r="1013" spans="1:24">
      <c r="A1013" s="7" t="s">
        <v>1143</v>
      </c>
      <c r="B1013" s="1" t="s">
        <v>66</v>
      </c>
      <c r="C1013" s="1">
        <v>341</v>
      </c>
      <c r="D1013" s="1">
        <v>55</v>
      </c>
      <c r="E1013" s="1">
        <v>10</v>
      </c>
      <c r="F1013" s="1">
        <v>9</v>
      </c>
      <c r="G1013" s="1">
        <v>45.33</v>
      </c>
      <c r="H1013" s="1" t="s">
        <v>139</v>
      </c>
      <c r="I1013" s="1" t="s">
        <v>39</v>
      </c>
      <c r="J1013" s="1">
        <v>98</v>
      </c>
      <c r="K1013" s="1">
        <v>0.78</v>
      </c>
      <c r="L1013" s="4">
        <v>177.1</v>
      </c>
      <c r="M1013" s="1">
        <v>1.52</v>
      </c>
      <c r="N1013" s="1">
        <v>6</v>
      </c>
      <c r="O1013" s="1">
        <v>0.84</v>
      </c>
      <c r="P1013" s="1">
        <v>735</v>
      </c>
      <c r="Q1013" s="1">
        <v>9.48</v>
      </c>
      <c r="R1013" s="1">
        <v>0.99</v>
      </c>
      <c r="S1013" s="2">
        <v>45575</v>
      </c>
      <c r="T1013" s="1">
        <v>25.81</v>
      </c>
      <c r="U1013" s="1">
        <v>0.62</v>
      </c>
      <c r="V1013" s="6">
        <f t="shared" si="45"/>
        <v>60391.1</v>
      </c>
      <c r="W1013" s="6" t="str">
        <f t="shared" si="46"/>
        <v>Sufficient</v>
      </c>
      <c r="X1013" s="8" t="str">
        <f t="shared" si="47"/>
        <v>High</v>
      </c>
    </row>
    <row r="1014" spans="1:24">
      <c r="A1014" s="7" t="s">
        <v>1144</v>
      </c>
      <c r="B1014" s="1" t="s">
        <v>33</v>
      </c>
      <c r="C1014" s="1">
        <v>433</v>
      </c>
      <c r="D1014" s="1">
        <v>55</v>
      </c>
      <c r="E1014" s="1">
        <v>12</v>
      </c>
      <c r="F1014" s="1">
        <v>3</v>
      </c>
      <c r="G1014" s="1">
        <v>24.28</v>
      </c>
      <c r="H1014" s="1" t="s">
        <v>85</v>
      </c>
      <c r="I1014" s="1" t="s">
        <v>39</v>
      </c>
      <c r="J1014" s="1">
        <v>65</v>
      </c>
      <c r="K1014" s="1">
        <v>3.13</v>
      </c>
      <c r="L1014" s="4">
        <v>38.619999999999997</v>
      </c>
      <c r="M1014" s="1">
        <v>0.49</v>
      </c>
      <c r="N1014" s="1">
        <v>3</v>
      </c>
      <c r="O1014" s="1">
        <v>0.96</v>
      </c>
      <c r="P1014" s="1">
        <v>674</v>
      </c>
      <c r="Q1014" s="1">
        <v>7.26</v>
      </c>
      <c r="R1014" s="1">
        <v>0.88</v>
      </c>
      <c r="S1014" s="2">
        <v>45525</v>
      </c>
      <c r="T1014" s="1">
        <v>27.96</v>
      </c>
      <c r="U1014" s="1">
        <v>0.75600000000000001</v>
      </c>
      <c r="V1014" s="6">
        <f t="shared" si="45"/>
        <v>16722.46</v>
      </c>
      <c r="W1014" s="6" t="str">
        <f t="shared" si="46"/>
        <v>Sufficient</v>
      </c>
      <c r="X1014" s="8" t="str">
        <f t="shared" si="47"/>
        <v>High</v>
      </c>
    </row>
    <row r="1015" spans="1:24">
      <c r="A1015" s="7" t="s">
        <v>1145</v>
      </c>
      <c r="B1015" s="1" t="s">
        <v>29</v>
      </c>
      <c r="C1015" s="1">
        <v>328</v>
      </c>
      <c r="D1015" s="1">
        <v>25</v>
      </c>
      <c r="E1015" s="1">
        <v>9</v>
      </c>
      <c r="F1015" s="1">
        <v>2</v>
      </c>
      <c r="G1015" s="1">
        <v>11.97</v>
      </c>
      <c r="H1015" s="1" t="s">
        <v>346</v>
      </c>
      <c r="I1015" s="1" t="s">
        <v>45</v>
      </c>
      <c r="J1015" s="1">
        <v>14</v>
      </c>
      <c r="K1015" s="1">
        <v>4.7699999999999996</v>
      </c>
      <c r="L1015" s="4">
        <v>188.31</v>
      </c>
      <c r="M1015" s="1">
        <v>0.19</v>
      </c>
      <c r="N1015" s="1">
        <v>4</v>
      </c>
      <c r="O1015" s="1">
        <v>0.81</v>
      </c>
      <c r="P1015" s="1">
        <v>327</v>
      </c>
      <c r="Q1015" s="1">
        <v>6.44</v>
      </c>
      <c r="R1015" s="1">
        <v>0.46</v>
      </c>
      <c r="S1015" s="2">
        <v>45296</v>
      </c>
      <c r="T1015" s="1">
        <v>279.82</v>
      </c>
      <c r="U1015" s="1">
        <v>0.64100000000000001</v>
      </c>
      <c r="V1015" s="6">
        <f t="shared" si="45"/>
        <v>61765.68</v>
      </c>
      <c r="W1015" s="6" t="str">
        <f t="shared" si="46"/>
        <v>Sufficient</v>
      </c>
      <c r="X1015" s="8" t="str">
        <f t="shared" si="47"/>
        <v>High</v>
      </c>
    </row>
    <row r="1016" spans="1:24">
      <c r="A1016" s="7" t="s">
        <v>1146</v>
      </c>
      <c r="B1016" s="1" t="s">
        <v>66</v>
      </c>
      <c r="C1016" s="1">
        <v>309</v>
      </c>
      <c r="D1016" s="1">
        <v>33</v>
      </c>
      <c r="E1016" s="1">
        <v>12</v>
      </c>
      <c r="F1016" s="1">
        <v>7</v>
      </c>
      <c r="G1016" s="1">
        <v>42.8</v>
      </c>
      <c r="H1016" s="1" t="s">
        <v>26</v>
      </c>
      <c r="I1016" s="1" t="s">
        <v>31</v>
      </c>
      <c r="J1016" s="1">
        <v>110</v>
      </c>
      <c r="K1016" s="1">
        <v>2.97</v>
      </c>
      <c r="L1016" s="4">
        <v>115.98</v>
      </c>
      <c r="M1016" s="1">
        <v>0.28999999999999998</v>
      </c>
      <c r="N1016" s="1">
        <v>1</v>
      </c>
      <c r="O1016" s="1">
        <v>0.93</v>
      </c>
      <c r="P1016" s="1">
        <v>430</v>
      </c>
      <c r="Q1016" s="1">
        <v>12.01</v>
      </c>
      <c r="R1016" s="1">
        <v>0.56000000000000005</v>
      </c>
      <c r="S1016" s="2">
        <v>45480</v>
      </c>
      <c r="T1016" s="1">
        <v>238.98</v>
      </c>
      <c r="U1016" s="1">
        <v>0.80900000000000005</v>
      </c>
      <c r="V1016" s="6">
        <f t="shared" si="45"/>
        <v>35837.82</v>
      </c>
      <c r="W1016" s="6" t="str">
        <f t="shared" si="46"/>
        <v>Sufficient</v>
      </c>
      <c r="X1016" s="8" t="str">
        <f t="shared" si="47"/>
        <v>High</v>
      </c>
    </row>
    <row r="1017" spans="1:24">
      <c r="A1017" s="7" t="s">
        <v>1147</v>
      </c>
      <c r="B1017" s="1" t="s">
        <v>33</v>
      </c>
      <c r="C1017" s="1">
        <v>425</v>
      </c>
      <c r="D1017" s="1">
        <v>70</v>
      </c>
      <c r="E1017" s="1">
        <v>8</v>
      </c>
      <c r="F1017" s="1">
        <v>9</v>
      </c>
      <c r="G1017" s="1">
        <v>13.45</v>
      </c>
      <c r="H1017" s="1" t="s">
        <v>256</v>
      </c>
      <c r="I1017" s="1" t="s">
        <v>39</v>
      </c>
      <c r="J1017" s="1">
        <v>96</v>
      </c>
      <c r="K1017" s="1">
        <v>2.5499999999999998</v>
      </c>
      <c r="L1017" s="4">
        <v>143.31</v>
      </c>
      <c r="M1017" s="1">
        <v>1.7</v>
      </c>
      <c r="N1017" s="1">
        <v>9</v>
      </c>
      <c r="O1017" s="1">
        <v>0.9</v>
      </c>
      <c r="P1017" s="1">
        <v>359</v>
      </c>
      <c r="Q1017" s="1">
        <v>8.3800000000000008</v>
      </c>
      <c r="R1017" s="1">
        <v>0.22</v>
      </c>
      <c r="S1017" s="2">
        <v>45394</v>
      </c>
      <c r="T1017" s="1">
        <v>234.54</v>
      </c>
      <c r="U1017" s="1">
        <v>0.38600000000000001</v>
      </c>
      <c r="V1017" s="6">
        <f t="shared" si="45"/>
        <v>60906.75</v>
      </c>
      <c r="W1017" s="6" t="str">
        <f t="shared" si="46"/>
        <v>Sufficient</v>
      </c>
      <c r="X1017" s="8" t="str">
        <f t="shared" si="47"/>
        <v>High</v>
      </c>
    </row>
    <row r="1018" spans="1:24">
      <c r="A1018" s="7" t="s">
        <v>1148</v>
      </c>
      <c r="B1018" s="1" t="s">
        <v>66</v>
      </c>
      <c r="C1018" s="1">
        <v>342</v>
      </c>
      <c r="D1018" s="1">
        <v>63</v>
      </c>
      <c r="E1018" s="1">
        <v>3</v>
      </c>
      <c r="F1018" s="1">
        <v>4</v>
      </c>
      <c r="G1018" s="1">
        <v>16.02</v>
      </c>
      <c r="H1018" s="1" t="s">
        <v>325</v>
      </c>
      <c r="I1018" s="1" t="s">
        <v>31</v>
      </c>
      <c r="J1018" s="1">
        <v>171</v>
      </c>
      <c r="K1018" s="1">
        <v>1.1000000000000001</v>
      </c>
      <c r="L1018" s="4">
        <v>169.66</v>
      </c>
      <c r="M1018" s="1">
        <v>0.8</v>
      </c>
      <c r="N1018" s="1">
        <v>4</v>
      </c>
      <c r="O1018" s="1">
        <v>0.89</v>
      </c>
      <c r="P1018" s="1">
        <v>601</v>
      </c>
      <c r="Q1018" s="1">
        <v>9.51</v>
      </c>
      <c r="R1018" s="1">
        <v>0.62</v>
      </c>
      <c r="S1018" s="2">
        <v>45441</v>
      </c>
      <c r="T1018" s="1">
        <v>225.36</v>
      </c>
      <c r="U1018" s="1">
        <v>0.66900000000000004</v>
      </c>
      <c r="V1018" s="6">
        <f t="shared" si="45"/>
        <v>58023.72</v>
      </c>
      <c r="W1018" s="6" t="str">
        <f t="shared" si="46"/>
        <v>Sufficient</v>
      </c>
      <c r="X1018" s="8" t="str">
        <f t="shared" si="47"/>
        <v>High</v>
      </c>
    </row>
    <row r="1019" spans="1:24">
      <c r="A1019" s="7" t="s">
        <v>1149</v>
      </c>
      <c r="B1019" s="1" t="s">
        <v>29</v>
      </c>
      <c r="C1019" s="1">
        <v>153</v>
      </c>
      <c r="D1019" s="1">
        <v>71</v>
      </c>
      <c r="E1019" s="1">
        <v>11</v>
      </c>
      <c r="F1019" s="1">
        <v>6</v>
      </c>
      <c r="G1019" s="1">
        <v>41.88</v>
      </c>
      <c r="H1019" s="1" t="s">
        <v>50</v>
      </c>
      <c r="I1019" s="1" t="s">
        <v>31</v>
      </c>
      <c r="J1019" s="1">
        <v>70</v>
      </c>
      <c r="K1019" s="1">
        <v>4.1500000000000004</v>
      </c>
      <c r="L1019" s="4">
        <v>25.88</v>
      </c>
      <c r="M1019" s="1">
        <v>0.67</v>
      </c>
      <c r="N1019" s="1">
        <v>8</v>
      </c>
      <c r="O1019" s="1">
        <v>0.95</v>
      </c>
      <c r="P1019" s="1">
        <v>591</v>
      </c>
      <c r="Q1019" s="1">
        <v>2.4</v>
      </c>
      <c r="R1019" s="1">
        <v>0.64</v>
      </c>
      <c r="S1019" s="2">
        <v>45580</v>
      </c>
      <c r="T1019" s="1">
        <v>218.03</v>
      </c>
      <c r="U1019" s="1">
        <v>0.52300000000000002</v>
      </c>
      <c r="V1019" s="6">
        <f t="shared" si="45"/>
        <v>3959.64</v>
      </c>
      <c r="W1019" s="6" t="str">
        <f t="shared" si="46"/>
        <v>Sufficient</v>
      </c>
      <c r="X1019" s="8" t="str">
        <f t="shared" si="47"/>
        <v>Medium</v>
      </c>
    </row>
    <row r="1020" spans="1:24">
      <c r="A1020" s="7" t="s">
        <v>1150</v>
      </c>
      <c r="B1020" s="1" t="s">
        <v>29</v>
      </c>
      <c r="C1020" s="1">
        <v>226</v>
      </c>
      <c r="D1020" s="1">
        <v>10</v>
      </c>
      <c r="E1020" s="1">
        <v>5</v>
      </c>
      <c r="F1020" s="1">
        <v>6</v>
      </c>
      <c r="G1020" s="1">
        <v>16.13</v>
      </c>
      <c r="H1020" s="1" t="s">
        <v>279</v>
      </c>
      <c r="I1020" s="1" t="s">
        <v>27</v>
      </c>
      <c r="J1020" s="1">
        <v>78</v>
      </c>
      <c r="K1020" s="1">
        <v>2.1800000000000002</v>
      </c>
      <c r="L1020" s="4">
        <v>42.16</v>
      </c>
      <c r="M1020" s="1">
        <v>1.03</v>
      </c>
      <c r="N1020" s="1">
        <v>0</v>
      </c>
      <c r="O1020" s="1">
        <v>0.7</v>
      </c>
      <c r="P1020" s="1">
        <v>816</v>
      </c>
      <c r="Q1020" s="1">
        <v>7.6</v>
      </c>
      <c r="R1020" s="1">
        <v>0.94</v>
      </c>
      <c r="S1020" s="2">
        <v>45447</v>
      </c>
      <c r="T1020" s="1">
        <v>187.83</v>
      </c>
      <c r="U1020" s="1">
        <v>0.72599999999999998</v>
      </c>
      <c r="V1020" s="6">
        <f t="shared" si="45"/>
        <v>9528.16</v>
      </c>
      <c r="W1020" s="6" t="str">
        <f t="shared" si="46"/>
        <v>Sufficient</v>
      </c>
      <c r="X1020" s="8" t="str">
        <f t="shared" si="47"/>
        <v>Medium</v>
      </c>
    </row>
    <row r="1021" spans="1:24">
      <c r="A1021" s="7" t="s">
        <v>1151</v>
      </c>
      <c r="B1021" s="1" t="s">
        <v>41</v>
      </c>
      <c r="C1021" s="1">
        <v>302</v>
      </c>
      <c r="D1021" s="1">
        <v>58</v>
      </c>
      <c r="E1021" s="1">
        <v>7</v>
      </c>
      <c r="F1021" s="1">
        <v>2</v>
      </c>
      <c r="G1021" s="1">
        <v>21.1</v>
      </c>
      <c r="H1021" s="1" t="s">
        <v>147</v>
      </c>
      <c r="I1021" s="1" t="s">
        <v>27</v>
      </c>
      <c r="J1021" s="1">
        <v>72</v>
      </c>
      <c r="K1021" s="1">
        <v>3.66</v>
      </c>
      <c r="L1021" s="4">
        <v>65.17</v>
      </c>
      <c r="M1021" s="1">
        <v>1.3</v>
      </c>
      <c r="N1021" s="1">
        <v>2</v>
      </c>
      <c r="O1021" s="1">
        <v>0.98</v>
      </c>
      <c r="P1021" s="1">
        <v>289</v>
      </c>
      <c r="Q1021" s="1">
        <v>2.82</v>
      </c>
      <c r="R1021" s="1">
        <v>0.51</v>
      </c>
      <c r="S1021" s="2">
        <v>45610</v>
      </c>
      <c r="T1021" s="1">
        <v>245.69</v>
      </c>
      <c r="U1021" s="1">
        <v>0.56599999999999995</v>
      </c>
      <c r="V1021" s="6">
        <f t="shared" si="45"/>
        <v>19681.34</v>
      </c>
      <c r="W1021" s="6" t="str">
        <f t="shared" si="46"/>
        <v>Sufficient</v>
      </c>
      <c r="X1021" s="8" t="str">
        <f t="shared" si="47"/>
        <v>High</v>
      </c>
    </row>
    <row r="1022" spans="1:24">
      <c r="A1022" s="7" t="s">
        <v>1152</v>
      </c>
      <c r="B1022" s="1" t="s">
        <v>25</v>
      </c>
      <c r="C1022" s="1">
        <v>285</v>
      </c>
      <c r="D1022" s="1">
        <v>34</v>
      </c>
      <c r="E1022" s="1">
        <v>9</v>
      </c>
      <c r="F1022" s="1">
        <v>6</v>
      </c>
      <c r="G1022" s="1">
        <v>18.04</v>
      </c>
      <c r="H1022" s="1" t="s">
        <v>470</v>
      </c>
      <c r="I1022" s="1" t="s">
        <v>31</v>
      </c>
      <c r="J1022" s="1">
        <v>53</v>
      </c>
      <c r="K1022" s="1">
        <v>1.39</v>
      </c>
      <c r="L1022" s="4">
        <v>100.67</v>
      </c>
      <c r="M1022" s="1">
        <v>0.17</v>
      </c>
      <c r="N1022" s="1">
        <v>3</v>
      </c>
      <c r="O1022" s="1">
        <v>0.95</v>
      </c>
      <c r="P1022" s="1">
        <v>232</v>
      </c>
      <c r="Q1022" s="1">
        <v>1.75</v>
      </c>
      <c r="R1022" s="1">
        <v>0.66</v>
      </c>
      <c r="S1022" s="2">
        <v>45416</v>
      </c>
      <c r="T1022" s="1">
        <v>19.91</v>
      </c>
      <c r="U1022" s="1">
        <v>0.66800000000000004</v>
      </c>
      <c r="V1022" s="6">
        <f t="shared" si="45"/>
        <v>28690.95</v>
      </c>
      <c r="W1022" s="6" t="str">
        <f t="shared" si="46"/>
        <v>Sufficient</v>
      </c>
      <c r="X1022" s="8" t="str">
        <f t="shared" si="47"/>
        <v>High</v>
      </c>
    </row>
    <row r="1023" spans="1:24">
      <c r="A1023" s="7" t="s">
        <v>1153</v>
      </c>
      <c r="B1023" s="1" t="s">
        <v>66</v>
      </c>
      <c r="C1023" s="1">
        <v>92</v>
      </c>
      <c r="D1023" s="1">
        <v>19</v>
      </c>
      <c r="E1023" s="1">
        <v>9</v>
      </c>
      <c r="F1023" s="1">
        <v>2</v>
      </c>
      <c r="G1023" s="1">
        <v>6.7</v>
      </c>
      <c r="H1023" s="1" t="s">
        <v>350</v>
      </c>
      <c r="I1023" s="1" t="s">
        <v>45</v>
      </c>
      <c r="J1023" s="1">
        <v>37</v>
      </c>
      <c r="K1023" s="1">
        <v>0.69</v>
      </c>
      <c r="L1023" s="4">
        <v>75.75</v>
      </c>
      <c r="M1023" s="1">
        <v>1.81</v>
      </c>
      <c r="N1023" s="1">
        <v>8</v>
      </c>
      <c r="O1023" s="1">
        <v>0.98</v>
      </c>
      <c r="P1023" s="1">
        <v>233</v>
      </c>
      <c r="Q1023" s="1">
        <v>10.65</v>
      </c>
      <c r="R1023" s="1">
        <v>0.79</v>
      </c>
      <c r="S1023" s="2">
        <v>45529</v>
      </c>
      <c r="T1023" s="1">
        <v>224.69</v>
      </c>
      <c r="U1023" s="1">
        <v>0.55500000000000005</v>
      </c>
      <c r="V1023" s="6">
        <f t="shared" si="45"/>
        <v>6969</v>
      </c>
      <c r="W1023" s="6" t="str">
        <f t="shared" si="46"/>
        <v>Sufficient</v>
      </c>
      <c r="X1023" s="8" t="str">
        <f t="shared" si="47"/>
        <v>LOW</v>
      </c>
    </row>
    <row r="1024" spans="1:24">
      <c r="A1024" s="7" t="s">
        <v>1154</v>
      </c>
      <c r="B1024" s="1" t="s">
        <v>66</v>
      </c>
      <c r="C1024" s="1">
        <v>371</v>
      </c>
      <c r="D1024" s="1">
        <v>89</v>
      </c>
      <c r="E1024" s="1">
        <v>5</v>
      </c>
      <c r="F1024" s="1">
        <v>2</v>
      </c>
      <c r="G1024" s="1">
        <v>2.91</v>
      </c>
      <c r="H1024" s="1" t="s">
        <v>459</v>
      </c>
      <c r="I1024" s="1" t="s">
        <v>39</v>
      </c>
      <c r="J1024" s="1">
        <v>22</v>
      </c>
      <c r="K1024" s="1">
        <v>1.87</v>
      </c>
      <c r="L1024" s="4">
        <v>106.11</v>
      </c>
      <c r="M1024" s="1">
        <v>1.92</v>
      </c>
      <c r="N1024" s="1">
        <v>1</v>
      </c>
      <c r="O1024" s="1">
        <v>0.94</v>
      </c>
      <c r="P1024" s="1">
        <v>603</v>
      </c>
      <c r="Q1024" s="1">
        <v>4.8499999999999996</v>
      </c>
      <c r="R1024" s="1">
        <v>0.69</v>
      </c>
      <c r="S1024" s="2">
        <v>45480</v>
      </c>
      <c r="T1024" s="1">
        <v>179.05</v>
      </c>
      <c r="U1024" s="1">
        <v>0.57899999999999996</v>
      </c>
      <c r="V1024" s="6">
        <f t="shared" si="45"/>
        <v>39366.81</v>
      </c>
      <c r="W1024" s="6" t="str">
        <f t="shared" si="46"/>
        <v>Sufficient</v>
      </c>
      <c r="X1024" s="8" t="str">
        <f t="shared" si="47"/>
        <v>High</v>
      </c>
    </row>
    <row r="1025" spans="1:24">
      <c r="A1025" s="7" t="s">
        <v>1155</v>
      </c>
      <c r="B1025" s="1" t="s">
        <v>33</v>
      </c>
      <c r="C1025" s="1">
        <v>67</v>
      </c>
      <c r="D1025" s="1">
        <v>25</v>
      </c>
      <c r="E1025" s="1">
        <v>6</v>
      </c>
      <c r="F1025" s="1">
        <v>9</v>
      </c>
      <c r="G1025" s="1">
        <v>36.5</v>
      </c>
      <c r="H1025" s="1" t="s">
        <v>370</v>
      </c>
      <c r="I1025" s="1" t="s">
        <v>39</v>
      </c>
      <c r="J1025" s="1">
        <v>39</v>
      </c>
      <c r="K1025" s="1">
        <v>1.77</v>
      </c>
      <c r="L1025" s="4">
        <v>45.32</v>
      </c>
      <c r="M1025" s="1">
        <v>0.89</v>
      </c>
      <c r="N1025" s="1">
        <v>6</v>
      </c>
      <c r="O1025" s="1">
        <v>0.96</v>
      </c>
      <c r="P1025" s="1">
        <v>987</v>
      </c>
      <c r="Q1025" s="1">
        <v>14.51</v>
      </c>
      <c r="R1025" s="1">
        <v>0.32</v>
      </c>
      <c r="S1025" s="2">
        <v>45594</v>
      </c>
      <c r="T1025" s="1">
        <v>273.16000000000003</v>
      </c>
      <c r="U1025" s="1">
        <v>0.64</v>
      </c>
      <c r="V1025" s="6">
        <f t="shared" si="45"/>
        <v>3036.44</v>
      </c>
      <c r="W1025" s="6" t="str">
        <f t="shared" si="46"/>
        <v>Sufficient</v>
      </c>
      <c r="X1025" s="8" t="str">
        <f t="shared" si="47"/>
        <v>LOW</v>
      </c>
    </row>
    <row r="1026" spans="1:24">
      <c r="A1026" s="7" t="s">
        <v>1156</v>
      </c>
      <c r="B1026" s="1" t="s">
        <v>29</v>
      </c>
      <c r="C1026" s="1">
        <v>345</v>
      </c>
      <c r="D1026" s="1">
        <v>67</v>
      </c>
      <c r="E1026" s="1">
        <v>12</v>
      </c>
      <c r="F1026" s="1">
        <v>8</v>
      </c>
      <c r="G1026" s="1">
        <v>32.61</v>
      </c>
      <c r="H1026" s="1" t="s">
        <v>103</v>
      </c>
      <c r="I1026" s="1" t="s">
        <v>39</v>
      </c>
      <c r="J1026" s="1">
        <v>163</v>
      </c>
      <c r="K1026" s="1">
        <v>4.43</v>
      </c>
      <c r="L1026" s="4">
        <v>139.61000000000001</v>
      </c>
      <c r="M1026" s="1">
        <v>0.88</v>
      </c>
      <c r="N1026" s="1">
        <v>8</v>
      </c>
      <c r="O1026" s="1">
        <v>0.76</v>
      </c>
      <c r="P1026" s="1">
        <v>515</v>
      </c>
      <c r="Q1026" s="1">
        <v>9.48</v>
      </c>
      <c r="R1026" s="1">
        <v>0.34</v>
      </c>
      <c r="S1026" s="2">
        <v>45544</v>
      </c>
      <c r="T1026" s="1">
        <v>281.55</v>
      </c>
      <c r="U1026" s="1">
        <v>0.498</v>
      </c>
      <c r="V1026" s="6">
        <f t="shared" si="45"/>
        <v>48165.450000000004</v>
      </c>
      <c r="W1026" s="6" t="str">
        <f t="shared" si="46"/>
        <v>Sufficient</v>
      </c>
      <c r="X1026" s="8" t="str">
        <f t="shared" si="47"/>
        <v>High</v>
      </c>
    </row>
    <row r="1027" spans="1:24">
      <c r="A1027" s="7" t="s">
        <v>1157</v>
      </c>
      <c r="B1027" s="1" t="s">
        <v>66</v>
      </c>
      <c r="C1027" s="1">
        <v>252</v>
      </c>
      <c r="D1027" s="1">
        <v>81</v>
      </c>
      <c r="E1027" s="1">
        <v>9</v>
      </c>
      <c r="F1027" s="1">
        <v>5</v>
      </c>
      <c r="G1027" s="1">
        <v>14.84</v>
      </c>
      <c r="H1027" s="1" t="s">
        <v>440</v>
      </c>
      <c r="I1027" s="1" t="s">
        <v>27</v>
      </c>
      <c r="J1027" s="1">
        <v>72</v>
      </c>
      <c r="K1027" s="1">
        <v>4.3899999999999997</v>
      </c>
      <c r="L1027" s="4">
        <v>20.59</v>
      </c>
      <c r="M1027" s="1">
        <v>1.77</v>
      </c>
      <c r="N1027" s="1">
        <v>9</v>
      </c>
      <c r="O1027" s="1">
        <v>0.8</v>
      </c>
      <c r="P1027" s="1">
        <v>688</v>
      </c>
      <c r="Q1027" s="1">
        <v>10.029999999999999</v>
      </c>
      <c r="R1027" s="1">
        <v>0.31</v>
      </c>
      <c r="S1027" s="2">
        <v>45392</v>
      </c>
      <c r="T1027" s="1">
        <v>79.989999999999995</v>
      </c>
      <c r="U1027" s="1">
        <v>0.39900000000000002</v>
      </c>
      <c r="V1027" s="6">
        <f t="shared" si="45"/>
        <v>5188.68</v>
      </c>
      <c r="W1027" s="6" t="str">
        <f t="shared" si="46"/>
        <v>Sufficient</v>
      </c>
      <c r="X1027" s="8" t="str">
        <f t="shared" si="47"/>
        <v>High</v>
      </c>
    </row>
    <row r="1028" spans="1:24">
      <c r="A1028" s="7" t="s">
        <v>1158</v>
      </c>
      <c r="B1028" s="1" t="s">
        <v>29</v>
      </c>
      <c r="C1028" s="1">
        <v>462</v>
      </c>
      <c r="D1028" s="1">
        <v>38</v>
      </c>
      <c r="E1028" s="1">
        <v>10</v>
      </c>
      <c r="F1028" s="1">
        <v>5</v>
      </c>
      <c r="G1028" s="1">
        <v>15.48</v>
      </c>
      <c r="H1028" s="1" t="s">
        <v>258</v>
      </c>
      <c r="I1028" s="1" t="s">
        <v>27</v>
      </c>
      <c r="J1028" s="1">
        <v>82</v>
      </c>
      <c r="K1028" s="1">
        <v>2.9</v>
      </c>
      <c r="L1028" s="4">
        <v>78.680000000000007</v>
      </c>
      <c r="M1028" s="1">
        <v>0.92</v>
      </c>
      <c r="N1028" s="1">
        <v>3</v>
      </c>
      <c r="O1028" s="1">
        <v>0.79</v>
      </c>
      <c r="P1028" s="1">
        <v>486</v>
      </c>
      <c r="Q1028" s="1">
        <v>3.76</v>
      </c>
      <c r="R1028" s="1">
        <v>0.37</v>
      </c>
      <c r="S1028" s="2">
        <v>45571</v>
      </c>
      <c r="T1028" s="1">
        <v>238.94</v>
      </c>
      <c r="U1028" s="1">
        <v>0.53</v>
      </c>
      <c r="V1028" s="6">
        <f t="shared" ref="V1028:V1091" si="48">C1028*L1028</f>
        <v>36350.160000000003</v>
      </c>
      <c r="W1028" s="6" t="str">
        <f t="shared" ref="W1028:W1091" si="49">IF(C1028&lt;=D1028,"Reorder Required","Sufficient")</f>
        <v>Sufficient</v>
      </c>
      <c r="X1028" s="8" t="str">
        <f t="shared" ref="X1028:X1091" si="50">IF(C1028&lt;100,"LOW",IF(C1028&lt;250,"Medium","High"))</f>
        <v>High</v>
      </c>
    </row>
    <row r="1029" spans="1:24">
      <c r="A1029" s="7" t="s">
        <v>1159</v>
      </c>
      <c r="B1029" s="1" t="s">
        <v>66</v>
      </c>
      <c r="C1029" s="1">
        <v>119</v>
      </c>
      <c r="D1029" s="1">
        <v>15</v>
      </c>
      <c r="E1029" s="1">
        <v>4</v>
      </c>
      <c r="F1029" s="1">
        <v>8</v>
      </c>
      <c r="G1029" s="1">
        <v>47.31</v>
      </c>
      <c r="H1029" s="1" t="s">
        <v>276</v>
      </c>
      <c r="I1029" s="1" t="s">
        <v>39</v>
      </c>
      <c r="J1029" s="1">
        <v>66</v>
      </c>
      <c r="K1029" s="1">
        <v>0.59</v>
      </c>
      <c r="L1029" s="4">
        <v>44.02</v>
      </c>
      <c r="M1029" s="1">
        <v>1.73</v>
      </c>
      <c r="N1029" s="1">
        <v>4</v>
      </c>
      <c r="O1029" s="1">
        <v>0.73</v>
      </c>
      <c r="P1029" s="1">
        <v>643</v>
      </c>
      <c r="Q1029" s="1">
        <v>2.8</v>
      </c>
      <c r="R1029" s="1">
        <v>0.46</v>
      </c>
      <c r="S1029" s="2">
        <v>45417</v>
      </c>
      <c r="T1029" s="1">
        <v>287.52999999999997</v>
      </c>
      <c r="U1029" s="1">
        <v>0.42199999999999999</v>
      </c>
      <c r="V1029" s="6">
        <f t="shared" si="48"/>
        <v>5238.38</v>
      </c>
      <c r="W1029" s="6" t="str">
        <f t="shared" si="49"/>
        <v>Sufficient</v>
      </c>
      <c r="X1029" s="8" t="str">
        <f t="shared" si="50"/>
        <v>Medium</v>
      </c>
    </row>
    <row r="1030" spans="1:24">
      <c r="A1030" s="7" t="s">
        <v>1160</v>
      </c>
      <c r="B1030" s="1" t="s">
        <v>41</v>
      </c>
      <c r="C1030" s="1">
        <v>78</v>
      </c>
      <c r="D1030" s="1">
        <v>25</v>
      </c>
      <c r="E1030" s="1">
        <v>11</v>
      </c>
      <c r="F1030" s="1">
        <v>5</v>
      </c>
      <c r="G1030" s="1">
        <v>49.4</v>
      </c>
      <c r="H1030" s="1" t="s">
        <v>459</v>
      </c>
      <c r="I1030" s="1" t="s">
        <v>31</v>
      </c>
      <c r="J1030" s="1">
        <v>73</v>
      </c>
      <c r="K1030" s="1">
        <v>1.53</v>
      </c>
      <c r="L1030" s="4">
        <v>148.69</v>
      </c>
      <c r="M1030" s="1">
        <v>0.15</v>
      </c>
      <c r="N1030" s="1">
        <v>9</v>
      </c>
      <c r="O1030" s="1">
        <v>0.92</v>
      </c>
      <c r="P1030" s="1">
        <v>282</v>
      </c>
      <c r="Q1030" s="1">
        <v>8.36</v>
      </c>
      <c r="R1030" s="1">
        <v>0.79</v>
      </c>
      <c r="S1030" s="2">
        <v>45369</v>
      </c>
      <c r="T1030" s="1">
        <v>87.33</v>
      </c>
      <c r="U1030" s="1">
        <v>0.65800000000000003</v>
      </c>
      <c r="V1030" s="6">
        <f t="shared" si="48"/>
        <v>11597.82</v>
      </c>
      <c r="W1030" s="6" t="str">
        <f t="shared" si="49"/>
        <v>Sufficient</v>
      </c>
      <c r="X1030" s="8" t="str">
        <f t="shared" si="50"/>
        <v>LOW</v>
      </c>
    </row>
    <row r="1031" spans="1:24">
      <c r="A1031" s="7" t="s">
        <v>1161</v>
      </c>
      <c r="B1031" s="1" t="s">
        <v>25</v>
      </c>
      <c r="C1031" s="1">
        <v>277</v>
      </c>
      <c r="D1031" s="1">
        <v>29</v>
      </c>
      <c r="E1031" s="1">
        <v>9</v>
      </c>
      <c r="F1031" s="1">
        <v>3</v>
      </c>
      <c r="G1031" s="1">
        <v>24.2</v>
      </c>
      <c r="H1031" s="1" t="s">
        <v>30</v>
      </c>
      <c r="I1031" s="1" t="s">
        <v>27</v>
      </c>
      <c r="J1031" s="1">
        <v>61</v>
      </c>
      <c r="K1031" s="1">
        <v>3.38</v>
      </c>
      <c r="L1031" s="4">
        <v>177.89</v>
      </c>
      <c r="M1031" s="1">
        <v>1.03</v>
      </c>
      <c r="N1031" s="1">
        <v>3</v>
      </c>
      <c r="O1031" s="1">
        <v>0.74</v>
      </c>
      <c r="P1031" s="1">
        <v>870</v>
      </c>
      <c r="Q1031" s="1">
        <v>13.96</v>
      </c>
      <c r="R1031" s="1">
        <v>0.25</v>
      </c>
      <c r="S1031" s="2">
        <v>45295</v>
      </c>
      <c r="T1031" s="1">
        <v>256.81</v>
      </c>
      <c r="U1031" s="1">
        <v>0.621</v>
      </c>
      <c r="V1031" s="6">
        <f t="shared" si="48"/>
        <v>49275.53</v>
      </c>
      <c r="W1031" s="6" t="str">
        <f t="shared" si="49"/>
        <v>Sufficient</v>
      </c>
      <c r="X1031" s="8" t="str">
        <f t="shared" si="50"/>
        <v>High</v>
      </c>
    </row>
    <row r="1032" spans="1:24">
      <c r="A1032" s="7" t="s">
        <v>1162</v>
      </c>
      <c r="B1032" s="1" t="s">
        <v>66</v>
      </c>
      <c r="C1032" s="1">
        <v>432</v>
      </c>
      <c r="D1032" s="1">
        <v>89</v>
      </c>
      <c r="E1032" s="1">
        <v>10</v>
      </c>
      <c r="F1032" s="1">
        <v>5</v>
      </c>
      <c r="G1032" s="1">
        <v>40.32</v>
      </c>
      <c r="H1032" s="1" t="s">
        <v>153</v>
      </c>
      <c r="I1032" s="1" t="s">
        <v>39</v>
      </c>
      <c r="J1032" s="1">
        <v>72</v>
      </c>
      <c r="K1032" s="1">
        <v>0.96</v>
      </c>
      <c r="L1032" s="4">
        <v>24.97</v>
      </c>
      <c r="M1032" s="1">
        <v>1.91</v>
      </c>
      <c r="N1032" s="1">
        <v>6</v>
      </c>
      <c r="O1032" s="1">
        <v>0.72</v>
      </c>
      <c r="P1032" s="1">
        <v>753</v>
      </c>
      <c r="Q1032" s="1">
        <v>1.78</v>
      </c>
      <c r="R1032" s="1">
        <v>0.86</v>
      </c>
      <c r="S1032" s="2">
        <v>45501</v>
      </c>
      <c r="T1032" s="1">
        <v>180.09</v>
      </c>
      <c r="U1032" s="1">
        <v>0.42899999999999999</v>
      </c>
      <c r="V1032" s="6">
        <f t="shared" si="48"/>
        <v>10787.039999999999</v>
      </c>
      <c r="W1032" s="6" t="str">
        <f t="shared" si="49"/>
        <v>Sufficient</v>
      </c>
      <c r="X1032" s="8" t="str">
        <f t="shared" si="50"/>
        <v>High</v>
      </c>
    </row>
    <row r="1033" spans="1:24">
      <c r="A1033" s="7" t="s">
        <v>1163</v>
      </c>
      <c r="B1033" s="1" t="s">
        <v>29</v>
      </c>
      <c r="C1033" s="1">
        <v>471</v>
      </c>
      <c r="D1033" s="1">
        <v>80</v>
      </c>
      <c r="E1033" s="1">
        <v>8</v>
      </c>
      <c r="F1033" s="1">
        <v>2</v>
      </c>
      <c r="G1033" s="1">
        <v>37.1</v>
      </c>
      <c r="H1033" s="1" t="s">
        <v>216</v>
      </c>
      <c r="I1033" s="1" t="s">
        <v>31</v>
      </c>
      <c r="J1033" s="1">
        <v>150</v>
      </c>
      <c r="K1033" s="1">
        <v>3.65</v>
      </c>
      <c r="L1033" s="4">
        <v>159.16</v>
      </c>
      <c r="M1033" s="1">
        <v>0.57999999999999996</v>
      </c>
      <c r="N1033" s="1">
        <v>7</v>
      </c>
      <c r="O1033" s="1">
        <v>0.93</v>
      </c>
      <c r="P1033" s="1">
        <v>50</v>
      </c>
      <c r="Q1033" s="1">
        <v>8.11</v>
      </c>
      <c r="R1033" s="1">
        <v>0.41</v>
      </c>
      <c r="S1033" s="2">
        <v>45304</v>
      </c>
      <c r="T1033" s="1">
        <v>124.55</v>
      </c>
      <c r="U1033" s="1">
        <v>0.57799999999999996</v>
      </c>
      <c r="V1033" s="6">
        <f t="shared" si="48"/>
        <v>74964.36</v>
      </c>
      <c r="W1033" s="6" t="str">
        <f t="shared" si="49"/>
        <v>Sufficient</v>
      </c>
      <c r="X1033" s="8" t="str">
        <f t="shared" si="50"/>
        <v>High</v>
      </c>
    </row>
    <row r="1034" spans="1:24">
      <c r="A1034" s="7" t="s">
        <v>1164</v>
      </c>
      <c r="B1034" s="1" t="s">
        <v>41</v>
      </c>
      <c r="C1034" s="1">
        <v>84</v>
      </c>
      <c r="D1034" s="1">
        <v>87</v>
      </c>
      <c r="E1034" s="1">
        <v>8</v>
      </c>
      <c r="F1034" s="1">
        <v>7</v>
      </c>
      <c r="G1034" s="1">
        <v>15.57</v>
      </c>
      <c r="H1034" s="1" t="s">
        <v>325</v>
      </c>
      <c r="I1034" s="1" t="s">
        <v>39</v>
      </c>
      <c r="J1034" s="1">
        <v>102</v>
      </c>
      <c r="K1034" s="1">
        <v>0.55000000000000004</v>
      </c>
      <c r="L1034" s="4">
        <v>180.19</v>
      </c>
      <c r="M1034" s="1">
        <v>0.61</v>
      </c>
      <c r="N1034" s="1">
        <v>7</v>
      </c>
      <c r="O1034" s="1">
        <v>0.97</v>
      </c>
      <c r="P1034" s="1">
        <v>554</v>
      </c>
      <c r="Q1034" s="1">
        <v>3.78</v>
      </c>
      <c r="R1034" s="1">
        <v>0.69</v>
      </c>
      <c r="S1034" s="2">
        <v>45411</v>
      </c>
      <c r="T1034" s="1">
        <v>248.85</v>
      </c>
      <c r="U1034" s="1">
        <v>0.58099999999999996</v>
      </c>
      <c r="V1034" s="6">
        <f t="shared" si="48"/>
        <v>15135.96</v>
      </c>
      <c r="W1034" s="6" t="str">
        <f t="shared" si="49"/>
        <v>Reorder Required</v>
      </c>
      <c r="X1034" s="8" t="str">
        <f t="shared" si="50"/>
        <v>LOW</v>
      </c>
    </row>
    <row r="1035" spans="1:24">
      <c r="A1035" s="7" t="s">
        <v>1165</v>
      </c>
      <c r="B1035" s="1" t="s">
        <v>66</v>
      </c>
      <c r="C1035" s="1">
        <v>102</v>
      </c>
      <c r="D1035" s="1">
        <v>52</v>
      </c>
      <c r="E1035" s="1">
        <v>11</v>
      </c>
      <c r="F1035" s="1">
        <v>7</v>
      </c>
      <c r="G1035" s="1">
        <v>3.87</v>
      </c>
      <c r="H1035" s="1" t="s">
        <v>185</v>
      </c>
      <c r="I1035" s="1" t="s">
        <v>27</v>
      </c>
      <c r="J1035" s="1">
        <v>116</v>
      </c>
      <c r="K1035" s="1">
        <v>3.57</v>
      </c>
      <c r="L1035" s="4">
        <v>195.05</v>
      </c>
      <c r="M1035" s="1">
        <v>1.3</v>
      </c>
      <c r="N1035" s="1">
        <v>2</v>
      </c>
      <c r="O1035" s="1">
        <v>0.93</v>
      </c>
      <c r="P1035" s="1">
        <v>411</v>
      </c>
      <c r="Q1035" s="1">
        <v>11.95</v>
      </c>
      <c r="R1035" s="1">
        <v>0.64</v>
      </c>
      <c r="S1035" s="2">
        <v>45569</v>
      </c>
      <c r="T1035" s="1">
        <v>262.39</v>
      </c>
      <c r="U1035" s="1">
        <v>0.70299999999999996</v>
      </c>
      <c r="V1035" s="6">
        <f t="shared" si="48"/>
        <v>19895.100000000002</v>
      </c>
      <c r="W1035" s="6" t="str">
        <f t="shared" si="49"/>
        <v>Sufficient</v>
      </c>
      <c r="X1035" s="8" t="str">
        <f t="shared" si="50"/>
        <v>Medium</v>
      </c>
    </row>
    <row r="1036" spans="1:24">
      <c r="A1036" s="7" t="s">
        <v>1166</v>
      </c>
      <c r="B1036" s="1" t="s">
        <v>33</v>
      </c>
      <c r="C1036" s="1">
        <v>173</v>
      </c>
      <c r="D1036" s="1">
        <v>35</v>
      </c>
      <c r="E1036" s="1">
        <v>6</v>
      </c>
      <c r="F1036" s="1">
        <v>4</v>
      </c>
      <c r="G1036" s="1">
        <v>7.99</v>
      </c>
      <c r="H1036" s="1" t="s">
        <v>147</v>
      </c>
      <c r="I1036" s="1" t="s">
        <v>45</v>
      </c>
      <c r="J1036" s="1">
        <v>118</v>
      </c>
      <c r="K1036" s="1">
        <v>4.3</v>
      </c>
      <c r="L1036" s="4">
        <v>120.08</v>
      </c>
      <c r="M1036" s="1">
        <v>1.86</v>
      </c>
      <c r="N1036" s="1">
        <v>1</v>
      </c>
      <c r="O1036" s="1">
        <v>0.95</v>
      </c>
      <c r="P1036" s="1">
        <v>768</v>
      </c>
      <c r="Q1036" s="1">
        <v>10.55</v>
      </c>
      <c r="R1036" s="1">
        <v>0.32</v>
      </c>
      <c r="S1036" s="2">
        <v>45469</v>
      </c>
      <c r="T1036" s="1">
        <v>91.97</v>
      </c>
      <c r="U1036" s="1">
        <v>0.58899999999999997</v>
      </c>
      <c r="V1036" s="6">
        <f t="shared" si="48"/>
        <v>20773.84</v>
      </c>
      <c r="W1036" s="6" t="str">
        <f t="shared" si="49"/>
        <v>Sufficient</v>
      </c>
      <c r="X1036" s="8" t="str">
        <f t="shared" si="50"/>
        <v>Medium</v>
      </c>
    </row>
    <row r="1037" spans="1:24">
      <c r="A1037" s="7" t="s">
        <v>1167</v>
      </c>
      <c r="B1037" s="1" t="s">
        <v>25</v>
      </c>
      <c r="C1037" s="1">
        <v>492</v>
      </c>
      <c r="D1037" s="1">
        <v>99</v>
      </c>
      <c r="E1037" s="1">
        <v>13</v>
      </c>
      <c r="F1037" s="1">
        <v>9</v>
      </c>
      <c r="G1037" s="1">
        <v>42.08</v>
      </c>
      <c r="H1037" s="1" t="s">
        <v>141</v>
      </c>
      <c r="I1037" s="1" t="s">
        <v>45</v>
      </c>
      <c r="J1037" s="1">
        <v>97</v>
      </c>
      <c r="K1037" s="1">
        <v>2.61</v>
      </c>
      <c r="L1037" s="4">
        <v>72.2</v>
      </c>
      <c r="M1037" s="1">
        <v>0.48</v>
      </c>
      <c r="N1037" s="1">
        <v>5</v>
      </c>
      <c r="O1037" s="1">
        <v>0.88</v>
      </c>
      <c r="P1037" s="1">
        <v>758</v>
      </c>
      <c r="Q1037" s="1">
        <v>2.36</v>
      </c>
      <c r="R1037" s="1">
        <v>0.43</v>
      </c>
      <c r="S1037" s="2">
        <v>45617</v>
      </c>
      <c r="T1037" s="1">
        <v>240.39</v>
      </c>
      <c r="U1037" s="1">
        <v>0.54500000000000004</v>
      </c>
      <c r="V1037" s="6">
        <f t="shared" si="48"/>
        <v>35522.400000000001</v>
      </c>
      <c r="W1037" s="6" t="str">
        <f t="shared" si="49"/>
        <v>Sufficient</v>
      </c>
      <c r="X1037" s="8" t="str">
        <f t="shared" si="50"/>
        <v>High</v>
      </c>
    </row>
    <row r="1038" spans="1:24">
      <c r="A1038" s="7" t="s">
        <v>1168</v>
      </c>
      <c r="B1038" s="1" t="s">
        <v>66</v>
      </c>
      <c r="C1038" s="1">
        <v>285</v>
      </c>
      <c r="D1038" s="1">
        <v>87</v>
      </c>
      <c r="E1038" s="1">
        <v>13</v>
      </c>
      <c r="F1038" s="1">
        <v>5</v>
      </c>
      <c r="G1038" s="1">
        <v>36.83</v>
      </c>
      <c r="H1038" s="1" t="s">
        <v>181</v>
      </c>
      <c r="I1038" s="1" t="s">
        <v>27</v>
      </c>
      <c r="J1038" s="1">
        <v>54</v>
      </c>
      <c r="K1038" s="1">
        <v>4.2300000000000004</v>
      </c>
      <c r="L1038" s="4">
        <v>71.17</v>
      </c>
      <c r="M1038" s="1">
        <v>1.85</v>
      </c>
      <c r="N1038" s="1">
        <v>0</v>
      </c>
      <c r="O1038" s="1">
        <v>0.97</v>
      </c>
      <c r="P1038" s="1">
        <v>332</v>
      </c>
      <c r="Q1038" s="1">
        <v>9.6300000000000008</v>
      </c>
      <c r="R1038" s="1">
        <v>0.44</v>
      </c>
      <c r="S1038" s="2">
        <v>45647</v>
      </c>
      <c r="T1038" s="1">
        <v>24.4</v>
      </c>
      <c r="U1038" s="1">
        <v>0.625</v>
      </c>
      <c r="V1038" s="6">
        <f t="shared" si="48"/>
        <v>20283.45</v>
      </c>
      <c r="W1038" s="6" t="str">
        <f t="shared" si="49"/>
        <v>Sufficient</v>
      </c>
      <c r="X1038" s="8" t="str">
        <f t="shared" si="50"/>
        <v>High</v>
      </c>
    </row>
    <row r="1039" spans="1:24">
      <c r="A1039" s="7" t="s">
        <v>1169</v>
      </c>
      <c r="B1039" s="1" t="s">
        <v>41</v>
      </c>
      <c r="C1039" s="1">
        <v>328</v>
      </c>
      <c r="D1039" s="1">
        <v>80</v>
      </c>
      <c r="E1039" s="1">
        <v>7</v>
      </c>
      <c r="F1039" s="1">
        <v>7</v>
      </c>
      <c r="G1039" s="1">
        <v>33.549999999999997</v>
      </c>
      <c r="H1039" s="1" t="s">
        <v>258</v>
      </c>
      <c r="I1039" s="1" t="s">
        <v>31</v>
      </c>
      <c r="J1039" s="1">
        <v>117</v>
      </c>
      <c r="K1039" s="1">
        <v>4.0199999999999996</v>
      </c>
      <c r="L1039" s="4">
        <v>82</v>
      </c>
      <c r="M1039" s="1">
        <v>1.36</v>
      </c>
      <c r="N1039" s="1">
        <v>8</v>
      </c>
      <c r="O1039" s="1">
        <v>0.85</v>
      </c>
      <c r="P1039" s="1">
        <v>578</v>
      </c>
      <c r="Q1039" s="1">
        <v>14.77</v>
      </c>
      <c r="R1039" s="1">
        <v>0.7</v>
      </c>
      <c r="S1039" s="2">
        <v>45296</v>
      </c>
      <c r="T1039" s="1">
        <v>131.12</v>
      </c>
      <c r="U1039" s="1">
        <v>0.61099999999999999</v>
      </c>
      <c r="V1039" s="6">
        <f t="shared" si="48"/>
        <v>26896</v>
      </c>
      <c r="W1039" s="6" t="str">
        <f t="shared" si="49"/>
        <v>Sufficient</v>
      </c>
      <c r="X1039" s="8" t="str">
        <f t="shared" si="50"/>
        <v>High</v>
      </c>
    </row>
    <row r="1040" spans="1:24">
      <c r="A1040" s="7" t="s">
        <v>1170</v>
      </c>
      <c r="B1040" s="1" t="s">
        <v>33</v>
      </c>
      <c r="C1040" s="1">
        <v>98</v>
      </c>
      <c r="D1040" s="1">
        <v>42</v>
      </c>
      <c r="E1040" s="1">
        <v>11</v>
      </c>
      <c r="F1040" s="1">
        <v>5</v>
      </c>
      <c r="G1040" s="1">
        <v>7.4</v>
      </c>
      <c r="H1040" s="1" t="s">
        <v>106</v>
      </c>
      <c r="I1040" s="1" t="s">
        <v>39</v>
      </c>
      <c r="J1040" s="1">
        <v>55</v>
      </c>
      <c r="K1040" s="1">
        <v>3.52</v>
      </c>
      <c r="L1040" s="4">
        <v>126.41</v>
      </c>
      <c r="M1040" s="1">
        <v>1.99</v>
      </c>
      <c r="N1040" s="1">
        <v>6</v>
      </c>
      <c r="O1040" s="1">
        <v>1</v>
      </c>
      <c r="P1040" s="1">
        <v>880</v>
      </c>
      <c r="Q1040" s="1">
        <v>8.39</v>
      </c>
      <c r="R1040" s="1">
        <v>0.83</v>
      </c>
      <c r="S1040" s="2">
        <v>45463</v>
      </c>
      <c r="T1040" s="1">
        <v>30.24</v>
      </c>
      <c r="U1040" s="1">
        <v>0.55900000000000005</v>
      </c>
      <c r="V1040" s="6">
        <f t="shared" si="48"/>
        <v>12388.18</v>
      </c>
      <c r="W1040" s="6" t="str">
        <f t="shared" si="49"/>
        <v>Sufficient</v>
      </c>
      <c r="X1040" s="8" t="str">
        <f t="shared" si="50"/>
        <v>LOW</v>
      </c>
    </row>
    <row r="1041" spans="1:24">
      <c r="A1041" s="7" t="s">
        <v>1171</v>
      </c>
      <c r="B1041" s="1" t="s">
        <v>41</v>
      </c>
      <c r="C1041" s="1">
        <v>334</v>
      </c>
      <c r="D1041" s="1">
        <v>35</v>
      </c>
      <c r="E1041" s="1">
        <v>3</v>
      </c>
      <c r="F1041" s="1">
        <v>9</v>
      </c>
      <c r="G1041" s="1">
        <v>32.36</v>
      </c>
      <c r="H1041" s="1" t="s">
        <v>106</v>
      </c>
      <c r="I1041" s="1" t="s">
        <v>27</v>
      </c>
      <c r="J1041" s="1">
        <v>86</v>
      </c>
      <c r="K1041" s="1">
        <v>2.5</v>
      </c>
      <c r="L1041" s="4">
        <v>103.14</v>
      </c>
      <c r="M1041" s="1">
        <v>1.5</v>
      </c>
      <c r="N1041" s="1">
        <v>7</v>
      </c>
      <c r="O1041" s="1">
        <v>0.73</v>
      </c>
      <c r="P1041" s="1">
        <v>945</v>
      </c>
      <c r="Q1041" s="1">
        <v>5</v>
      </c>
      <c r="R1041" s="1">
        <v>1</v>
      </c>
      <c r="S1041" s="2">
        <v>45292</v>
      </c>
      <c r="T1041" s="1">
        <v>95.21</v>
      </c>
      <c r="U1041" s="1">
        <v>0.52300000000000002</v>
      </c>
      <c r="V1041" s="6">
        <f t="shared" si="48"/>
        <v>34448.76</v>
      </c>
      <c r="W1041" s="6" t="str">
        <f t="shared" si="49"/>
        <v>Sufficient</v>
      </c>
      <c r="X1041" s="8" t="str">
        <f t="shared" si="50"/>
        <v>High</v>
      </c>
    </row>
    <row r="1042" spans="1:24">
      <c r="A1042" s="7" t="s">
        <v>1172</v>
      </c>
      <c r="B1042" s="1" t="s">
        <v>41</v>
      </c>
      <c r="C1042" s="1">
        <v>169</v>
      </c>
      <c r="D1042" s="1">
        <v>54</v>
      </c>
      <c r="E1042" s="1">
        <v>6</v>
      </c>
      <c r="F1042" s="1">
        <v>4</v>
      </c>
      <c r="G1042" s="1">
        <v>38.840000000000003</v>
      </c>
      <c r="H1042" s="1" t="s">
        <v>221</v>
      </c>
      <c r="I1042" s="1" t="s">
        <v>31</v>
      </c>
      <c r="J1042" s="1">
        <v>178</v>
      </c>
      <c r="K1042" s="1">
        <v>1.72</v>
      </c>
      <c r="L1042" s="4">
        <v>134.19</v>
      </c>
      <c r="M1042" s="1">
        <v>1.37</v>
      </c>
      <c r="N1042" s="1">
        <v>6</v>
      </c>
      <c r="O1042" s="1">
        <v>0.94</v>
      </c>
      <c r="P1042" s="1">
        <v>218</v>
      </c>
      <c r="Q1042" s="1">
        <v>3.13</v>
      </c>
      <c r="R1042" s="1">
        <v>0.28000000000000003</v>
      </c>
      <c r="S1042" s="2">
        <v>45628</v>
      </c>
      <c r="T1042" s="1">
        <v>285.61</v>
      </c>
      <c r="U1042" s="1">
        <v>0.42899999999999999</v>
      </c>
      <c r="V1042" s="6">
        <f t="shared" si="48"/>
        <v>22678.11</v>
      </c>
      <c r="W1042" s="6" t="str">
        <f t="shared" si="49"/>
        <v>Sufficient</v>
      </c>
      <c r="X1042" s="8" t="str">
        <f t="shared" si="50"/>
        <v>Medium</v>
      </c>
    </row>
    <row r="1043" spans="1:24">
      <c r="A1043" s="7" t="s">
        <v>1173</v>
      </c>
      <c r="B1043" s="1" t="s">
        <v>33</v>
      </c>
      <c r="C1043" s="1">
        <v>454</v>
      </c>
      <c r="D1043" s="1">
        <v>93</v>
      </c>
      <c r="E1043" s="1">
        <v>9</v>
      </c>
      <c r="F1043" s="1">
        <v>7</v>
      </c>
      <c r="G1043" s="1">
        <v>43.17</v>
      </c>
      <c r="H1043" s="1" t="s">
        <v>309</v>
      </c>
      <c r="I1043" s="1" t="s">
        <v>39</v>
      </c>
      <c r="J1043" s="1">
        <v>55</v>
      </c>
      <c r="K1043" s="1">
        <v>4.37</v>
      </c>
      <c r="L1043" s="4">
        <v>17.47</v>
      </c>
      <c r="M1043" s="1">
        <v>1.65</v>
      </c>
      <c r="N1043" s="1">
        <v>4</v>
      </c>
      <c r="O1043" s="1">
        <v>0.89</v>
      </c>
      <c r="P1043" s="1">
        <v>938</v>
      </c>
      <c r="Q1043" s="1">
        <v>14.85</v>
      </c>
      <c r="R1043" s="1">
        <v>0.95</v>
      </c>
      <c r="S1043" s="2">
        <v>45484</v>
      </c>
      <c r="T1043" s="1">
        <v>223.07</v>
      </c>
      <c r="U1043" s="1">
        <v>0.72099999999999997</v>
      </c>
      <c r="V1043" s="6">
        <f t="shared" si="48"/>
        <v>7931.3799999999992</v>
      </c>
      <c r="W1043" s="6" t="str">
        <f t="shared" si="49"/>
        <v>Sufficient</v>
      </c>
      <c r="X1043" s="8" t="str">
        <f t="shared" si="50"/>
        <v>High</v>
      </c>
    </row>
    <row r="1044" spans="1:24">
      <c r="A1044" s="7" t="s">
        <v>1174</v>
      </c>
      <c r="B1044" s="1" t="s">
        <v>41</v>
      </c>
      <c r="C1044" s="1">
        <v>67</v>
      </c>
      <c r="D1044" s="1">
        <v>72</v>
      </c>
      <c r="E1044" s="1">
        <v>13</v>
      </c>
      <c r="F1044" s="1">
        <v>2</v>
      </c>
      <c r="G1044" s="1">
        <v>1.65</v>
      </c>
      <c r="H1044" s="1" t="s">
        <v>135</v>
      </c>
      <c r="I1044" s="1" t="s">
        <v>39</v>
      </c>
      <c r="J1044" s="1">
        <v>138</v>
      </c>
      <c r="K1044" s="1">
        <v>3.42</v>
      </c>
      <c r="L1044" s="4">
        <v>30.12</v>
      </c>
      <c r="M1044" s="1">
        <v>0.43</v>
      </c>
      <c r="N1044" s="1">
        <v>4</v>
      </c>
      <c r="O1044" s="1">
        <v>0.87</v>
      </c>
      <c r="P1044" s="1">
        <v>235</v>
      </c>
      <c r="Q1044" s="1">
        <v>8.89</v>
      </c>
      <c r="R1044" s="1">
        <v>0.65</v>
      </c>
      <c r="S1044" s="2">
        <v>45449</v>
      </c>
      <c r="T1044" s="1">
        <v>229.12</v>
      </c>
      <c r="U1044" s="1">
        <v>0.7</v>
      </c>
      <c r="V1044" s="6">
        <f t="shared" si="48"/>
        <v>2018.04</v>
      </c>
      <c r="W1044" s="6" t="str">
        <f t="shared" si="49"/>
        <v>Reorder Required</v>
      </c>
      <c r="X1044" s="8" t="str">
        <f t="shared" si="50"/>
        <v>LOW</v>
      </c>
    </row>
    <row r="1045" spans="1:24">
      <c r="A1045" s="7" t="s">
        <v>1175</v>
      </c>
      <c r="B1045" s="1" t="s">
        <v>33</v>
      </c>
      <c r="C1045" s="1">
        <v>424</v>
      </c>
      <c r="D1045" s="1">
        <v>76</v>
      </c>
      <c r="E1045" s="1">
        <v>11</v>
      </c>
      <c r="F1045" s="1">
        <v>3</v>
      </c>
      <c r="G1045" s="1">
        <v>34.54</v>
      </c>
      <c r="H1045" s="1" t="s">
        <v>42</v>
      </c>
      <c r="I1045" s="1" t="s">
        <v>27</v>
      </c>
      <c r="J1045" s="1">
        <v>101</v>
      </c>
      <c r="K1045" s="1">
        <v>4.09</v>
      </c>
      <c r="L1045" s="4">
        <v>195.54</v>
      </c>
      <c r="M1045" s="1">
        <v>1.9</v>
      </c>
      <c r="N1045" s="1">
        <v>6</v>
      </c>
      <c r="O1045" s="1">
        <v>0.92</v>
      </c>
      <c r="P1045" s="1">
        <v>171</v>
      </c>
      <c r="Q1045" s="1">
        <v>6.25</v>
      </c>
      <c r="R1045" s="1">
        <v>0.49</v>
      </c>
      <c r="S1045" s="2">
        <v>45345</v>
      </c>
      <c r="T1045" s="1">
        <v>49</v>
      </c>
      <c r="U1045" s="1">
        <v>0.45500000000000002</v>
      </c>
      <c r="V1045" s="6">
        <f t="shared" si="48"/>
        <v>82908.959999999992</v>
      </c>
      <c r="W1045" s="6" t="str">
        <f t="shared" si="49"/>
        <v>Sufficient</v>
      </c>
      <c r="X1045" s="8" t="str">
        <f t="shared" si="50"/>
        <v>High</v>
      </c>
    </row>
    <row r="1046" spans="1:24">
      <c r="A1046" s="7" t="s">
        <v>1176</v>
      </c>
      <c r="B1046" s="1" t="s">
        <v>66</v>
      </c>
      <c r="C1046" s="1">
        <v>398</v>
      </c>
      <c r="D1046" s="1">
        <v>61</v>
      </c>
      <c r="E1046" s="1">
        <v>13</v>
      </c>
      <c r="F1046" s="1">
        <v>8</v>
      </c>
      <c r="G1046" s="1">
        <v>1.94</v>
      </c>
      <c r="H1046" s="1" t="s">
        <v>132</v>
      </c>
      <c r="I1046" s="1" t="s">
        <v>39</v>
      </c>
      <c r="J1046" s="1">
        <v>21</v>
      </c>
      <c r="K1046" s="1">
        <v>2.98</v>
      </c>
      <c r="L1046" s="4">
        <v>199.12</v>
      </c>
      <c r="M1046" s="1">
        <v>0.41</v>
      </c>
      <c r="N1046" s="1">
        <v>6</v>
      </c>
      <c r="O1046" s="1">
        <v>0.95</v>
      </c>
      <c r="P1046" s="1">
        <v>490</v>
      </c>
      <c r="Q1046" s="1">
        <v>4</v>
      </c>
      <c r="R1046" s="1">
        <v>0.43</v>
      </c>
      <c r="S1046" s="2">
        <v>45397</v>
      </c>
      <c r="T1046" s="1">
        <v>177.82</v>
      </c>
      <c r="U1046" s="1">
        <v>0.56799999999999995</v>
      </c>
      <c r="V1046" s="6">
        <f t="shared" si="48"/>
        <v>79249.759999999995</v>
      </c>
      <c r="W1046" s="6" t="str">
        <f t="shared" si="49"/>
        <v>Sufficient</v>
      </c>
      <c r="X1046" s="8" t="str">
        <f t="shared" si="50"/>
        <v>High</v>
      </c>
    </row>
    <row r="1047" spans="1:24">
      <c r="A1047" s="7" t="s">
        <v>1177</v>
      </c>
      <c r="B1047" s="1" t="s">
        <v>33</v>
      </c>
      <c r="C1047" s="1">
        <v>267</v>
      </c>
      <c r="D1047" s="1">
        <v>77</v>
      </c>
      <c r="E1047" s="1">
        <v>14</v>
      </c>
      <c r="F1047" s="1">
        <v>8</v>
      </c>
      <c r="G1047" s="1">
        <v>35.64</v>
      </c>
      <c r="H1047" s="1" t="s">
        <v>77</v>
      </c>
      <c r="I1047" s="1" t="s">
        <v>45</v>
      </c>
      <c r="J1047" s="1">
        <v>97</v>
      </c>
      <c r="K1047" s="1">
        <v>1.27</v>
      </c>
      <c r="L1047" s="4">
        <v>151.87</v>
      </c>
      <c r="M1047" s="1">
        <v>0.15</v>
      </c>
      <c r="N1047" s="1">
        <v>1</v>
      </c>
      <c r="O1047" s="1">
        <v>0.96</v>
      </c>
      <c r="P1047" s="1">
        <v>785</v>
      </c>
      <c r="Q1047" s="1">
        <v>14.3</v>
      </c>
      <c r="R1047" s="1">
        <v>0.37</v>
      </c>
      <c r="S1047" s="2">
        <v>45563</v>
      </c>
      <c r="T1047" s="1">
        <v>122.76</v>
      </c>
      <c r="U1047" s="1">
        <v>0.82199999999999995</v>
      </c>
      <c r="V1047" s="6">
        <f t="shared" si="48"/>
        <v>40549.29</v>
      </c>
      <c r="W1047" s="6" t="str">
        <f t="shared" si="49"/>
        <v>Sufficient</v>
      </c>
      <c r="X1047" s="8" t="str">
        <f t="shared" si="50"/>
        <v>High</v>
      </c>
    </row>
    <row r="1048" spans="1:24">
      <c r="A1048" s="7" t="s">
        <v>1178</v>
      </c>
      <c r="B1048" s="1" t="s">
        <v>33</v>
      </c>
      <c r="C1048" s="1">
        <v>297</v>
      </c>
      <c r="D1048" s="1">
        <v>35</v>
      </c>
      <c r="E1048" s="1">
        <v>12</v>
      </c>
      <c r="F1048" s="1">
        <v>8</v>
      </c>
      <c r="G1048" s="1">
        <v>32.15</v>
      </c>
      <c r="H1048" s="1" t="s">
        <v>97</v>
      </c>
      <c r="I1048" s="1" t="s">
        <v>45</v>
      </c>
      <c r="J1048" s="1">
        <v>82</v>
      </c>
      <c r="K1048" s="1">
        <v>4.91</v>
      </c>
      <c r="L1048" s="4">
        <v>58.72</v>
      </c>
      <c r="M1048" s="1">
        <v>1.43</v>
      </c>
      <c r="N1048" s="1">
        <v>1</v>
      </c>
      <c r="O1048" s="1">
        <v>0.75</v>
      </c>
      <c r="P1048" s="1">
        <v>688</v>
      </c>
      <c r="Q1048" s="1">
        <v>9.7799999999999994</v>
      </c>
      <c r="R1048" s="1">
        <v>0.65</v>
      </c>
      <c r="S1048" s="2">
        <v>45413</v>
      </c>
      <c r="T1048" s="1">
        <v>222.91</v>
      </c>
      <c r="U1048" s="1">
        <v>0.64700000000000002</v>
      </c>
      <c r="V1048" s="6">
        <f t="shared" si="48"/>
        <v>17439.84</v>
      </c>
      <c r="W1048" s="6" t="str">
        <f t="shared" si="49"/>
        <v>Sufficient</v>
      </c>
      <c r="X1048" s="8" t="str">
        <f t="shared" si="50"/>
        <v>High</v>
      </c>
    </row>
    <row r="1049" spans="1:24">
      <c r="A1049" s="7" t="s">
        <v>1179</v>
      </c>
      <c r="B1049" s="1" t="s">
        <v>25</v>
      </c>
      <c r="C1049" s="1">
        <v>375</v>
      </c>
      <c r="D1049" s="1">
        <v>84</v>
      </c>
      <c r="E1049" s="1">
        <v>8</v>
      </c>
      <c r="F1049" s="1">
        <v>5</v>
      </c>
      <c r="G1049" s="1">
        <v>8.27</v>
      </c>
      <c r="H1049" s="1" t="s">
        <v>88</v>
      </c>
      <c r="I1049" s="1" t="s">
        <v>39</v>
      </c>
      <c r="J1049" s="1">
        <v>172</v>
      </c>
      <c r="K1049" s="1">
        <v>1.32</v>
      </c>
      <c r="L1049" s="4">
        <v>191.14</v>
      </c>
      <c r="M1049" s="1">
        <v>0.45</v>
      </c>
      <c r="N1049" s="1">
        <v>6</v>
      </c>
      <c r="O1049" s="1">
        <v>0.76</v>
      </c>
      <c r="P1049" s="1">
        <v>727</v>
      </c>
      <c r="Q1049" s="1">
        <v>1.81</v>
      </c>
      <c r="R1049" s="1">
        <v>0.96</v>
      </c>
      <c r="S1049" s="2">
        <v>45506</v>
      </c>
      <c r="T1049" s="1">
        <v>55.55</v>
      </c>
      <c r="U1049" s="1">
        <v>0.60299999999999998</v>
      </c>
      <c r="V1049" s="6">
        <f t="shared" si="48"/>
        <v>71677.5</v>
      </c>
      <c r="W1049" s="6" t="str">
        <f t="shared" si="49"/>
        <v>Sufficient</v>
      </c>
      <c r="X1049" s="8" t="str">
        <f t="shared" si="50"/>
        <v>High</v>
      </c>
    </row>
    <row r="1050" spans="1:24">
      <c r="A1050" s="7" t="s">
        <v>1180</v>
      </c>
      <c r="B1050" s="1" t="s">
        <v>33</v>
      </c>
      <c r="C1050" s="1">
        <v>117</v>
      </c>
      <c r="D1050" s="1">
        <v>11</v>
      </c>
      <c r="E1050" s="1">
        <v>14</v>
      </c>
      <c r="F1050" s="1">
        <v>7</v>
      </c>
      <c r="G1050" s="1">
        <v>38.54</v>
      </c>
      <c r="H1050" s="1" t="s">
        <v>74</v>
      </c>
      <c r="I1050" s="1" t="s">
        <v>27</v>
      </c>
      <c r="J1050" s="1">
        <v>111</v>
      </c>
      <c r="K1050" s="1">
        <v>4.5999999999999996</v>
      </c>
      <c r="L1050" s="4">
        <v>50.6</v>
      </c>
      <c r="M1050" s="1">
        <v>1.54</v>
      </c>
      <c r="N1050" s="1">
        <v>4</v>
      </c>
      <c r="O1050" s="1">
        <v>0.7</v>
      </c>
      <c r="P1050" s="1">
        <v>523</v>
      </c>
      <c r="Q1050" s="1">
        <v>1.83</v>
      </c>
      <c r="R1050" s="1">
        <v>0.35</v>
      </c>
      <c r="S1050" s="2">
        <v>45543</v>
      </c>
      <c r="T1050" s="1">
        <v>91.76</v>
      </c>
      <c r="U1050" s="1">
        <v>0.4</v>
      </c>
      <c r="V1050" s="6">
        <f t="shared" si="48"/>
        <v>5920.2</v>
      </c>
      <c r="W1050" s="6" t="str">
        <f t="shared" si="49"/>
        <v>Sufficient</v>
      </c>
      <c r="X1050" s="8" t="str">
        <f t="shared" si="50"/>
        <v>Medium</v>
      </c>
    </row>
    <row r="1051" spans="1:24">
      <c r="A1051" s="7" t="s">
        <v>1181</v>
      </c>
      <c r="B1051" s="1" t="s">
        <v>33</v>
      </c>
      <c r="C1051" s="1">
        <v>433</v>
      </c>
      <c r="D1051" s="1">
        <v>23</v>
      </c>
      <c r="E1051" s="1">
        <v>10</v>
      </c>
      <c r="F1051" s="1">
        <v>9</v>
      </c>
      <c r="G1051" s="1">
        <v>4.3499999999999996</v>
      </c>
      <c r="H1051" s="1" t="s">
        <v>266</v>
      </c>
      <c r="I1051" s="1" t="s">
        <v>39</v>
      </c>
      <c r="J1051" s="1">
        <v>108</v>
      </c>
      <c r="K1051" s="1">
        <v>1.44</v>
      </c>
      <c r="L1051" s="4">
        <v>148.97</v>
      </c>
      <c r="M1051" s="1">
        <v>1.61</v>
      </c>
      <c r="N1051" s="1">
        <v>1</v>
      </c>
      <c r="O1051" s="1">
        <v>0.74</v>
      </c>
      <c r="P1051" s="1">
        <v>171</v>
      </c>
      <c r="Q1051" s="1">
        <v>14.15</v>
      </c>
      <c r="R1051" s="1">
        <v>0.55000000000000004</v>
      </c>
      <c r="S1051" s="2">
        <v>45322</v>
      </c>
      <c r="T1051" s="1">
        <v>270.58999999999997</v>
      </c>
      <c r="U1051" s="1">
        <v>0.66600000000000004</v>
      </c>
      <c r="V1051" s="6">
        <f t="shared" si="48"/>
        <v>64504.01</v>
      </c>
      <c r="W1051" s="6" t="str">
        <f t="shared" si="49"/>
        <v>Sufficient</v>
      </c>
      <c r="X1051" s="8" t="str">
        <f t="shared" si="50"/>
        <v>High</v>
      </c>
    </row>
    <row r="1052" spans="1:24">
      <c r="A1052" s="7" t="s">
        <v>1182</v>
      </c>
      <c r="B1052" s="1" t="s">
        <v>66</v>
      </c>
      <c r="C1052" s="1">
        <v>44</v>
      </c>
      <c r="D1052" s="1">
        <v>39</v>
      </c>
      <c r="E1052" s="1">
        <v>11</v>
      </c>
      <c r="F1052" s="1">
        <v>9</v>
      </c>
      <c r="G1052" s="1">
        <v>41.49</v>
      </c>
      <c r="H1052" s="1" t="s">
        <v>143</v>
      </c>
      <c r="I1052" s="1" t="s">
        <v>27</v>
      </c>
      <c r="J1052" s="1">
        <v>170</v>
      </c>
      <c r="K1052" s="1">
        <v>2.1800000000000002</v>
      </c>
      <c r="L1052" s="4">
        <v>31.9</v>
      </c>
      <c r="M1052" s="1">
        <v>0.55000000000000004</v>
      </c>
      <c r="N1052" s="1">
        <v>0</v>
      </c>
      <c r="O1052" s="1">
        <v>0.78</v>
      </c>
      <c r="P1052" s="1">
        <v>883</v>
      </c>
      <c r="Q1052" s="1">
        <v>10.94</v>
      </c>
      <c r="R1052" s="1">
        <v>0.36</v>
      </c>
      <c r="S1052" s="2">
        <v>45364</v>
      </c>
      <c r="T1052" s="1">
        <v>59.24</v>
      </c>
      <c r="U1052" s="1">
        <v>0.71899999999999997</v>
      </c>
      <c r="V1052" s="6">
        <f t="shared" si="48"/>
        <v>1403.6</v>
      </c>
      <c r="W1052" s="6" t="str">
        <f t="shared" si="49"/>
        <v>Sufficient</v>
      </c>
      <c r="X1052" s="8" t="str">
        <f t="shared" si="50"/>
        <v>LOW</v>
      </c>
    </row>
    <row r="1053" spans="1:24">
      <c r="A1053" s="7" t="s">
        <v>1183</v>
      </c>
      <c r="B1053" s="1" t="s">
        <v>25</v>
      </c>
      <c r="C1053" s="1">
        <v>303</v>
      </c>
      <c r="D1053" s="1">
        <v>58</v>
      </c>
      <c r="E1053" s="1">
        <v>12</v>
      </c>
      <c r="F1053" s="1">
        <v>7</v>
      </c>
      <c r="G1053" s="1">
        <v>13.83</v>
      </c>
      <c r="H1053" s="1" t="s">
        <v>44</v>
      </c>
      <c r="I1053" s="1" t="s">
        <v>27</v>
      </c>
      <c r="J1053" s="1">
        <v>67</v>
      </c>
      <c r="K1053" s="1">
        <v>2.48</v>
      </c>
      <c r="L1053" s="4">
        <v>133.29</v>
      </c>
      <c r="M1053" s="1">
        <v>0.26</v>
      </c>
      <c r="N1053" s="1">
        <v>8</v>
      </c>
      <c r="O1053" s="1">
        <v>0.92</v>
      </c>
      <c r="P1053" s="1">
        <v>781</v>
      </c>
      <c r="Q1053" s="1">
        <v>2.4500000000000002</v>
      </c>
      <c r="R1053" s="1">
        <v>0.34</v>
      </c>
      <c r="S1053" s="2">
        <v>45656</v>
      </c>
      <c r="T1053" s="1">
        <v>193.4</v>
      </c>
      <c r="U1053" s="1">
        <v>0.499</v>
      </c>
      <c r="V1053" s="6">
        <f t="shared" si="48"/>
        <v>40386.869999999995</v>
      </c>
      <c r="W1053" s="6" t="str">
        <f t="shared" si="49"/>
        <v>Sufficient</v>
      </c>
      <c r="X1053" s="8" t="str">
        <f t="shared" si="50"/>
        <v>High</v>
      </c>
    </row>
    <row r="1054" spans="1:24">
      <c r="A1054" s="7" t="s">
        <v>1184</v>
      </c>
      <c r="B1054" s="1" t="s">
        <v>29</v>
      </c>
      <c r="C1054" s="1">
        <v>468</v>
      </c>
      <c r="D1054" s="1">
        <v>21</v>
      </c>
      <c r="E1054" s="1">
        <v>6</v>
      </c>
      <c r="F1054" s="1">
        <v>4</v>
      </c>
      <c r="G1054" s="1">
        <v>34.75</v>
      </c>
      <c r="H1054" s="1" t="s">
        <v>208</v>
      </c>
      <c r="I1054" s="1" t="s">
        <v>45</v>
      </c>
      <c r="J1054" s="1">
        <v>137</v>
      </c>
      <c r="K1054" s="1">
        <v>4.6500000000000004</v>
      </c>
      <c r="L1054" s="4">
        <v>154.31</v>
      </c>
      <c r="M1054" s="1">
        <v>1.05</v>
      </c>
      <c r="N1054" s="1">
        <v>7</v>
      </c>
      <c r="O1054" s="1">
        <v>0.84</v>
      </c>
      <c r="P1054" s="1">
        <v>990</v>
      </c>
      <c r="Q1054" s="1">
        <v>9.73</v>
      </c>
      <c r="R1054" s="1">
        <v>0.89</v>
      </c>
      <c r="S1054" s="2">
        <v>45435</v>
      </c>
      <c r="T1054" s="1">
        <v>101.39</v>
      </c>
      <c r="U1054" s="1">
        <v>0.63100000000000001</v>
      </c>
      <c r="V1054" s="6">
        <f t="shared" si="48"/>
        <v>72217.08</v>
      </c>
      <c r="W1054" s="6" t="str">
        <f t="shared" si="49"/>
        <v>Sufficient</v>
      </c>
      <c r="X1054" s="8" t="str">
        <f t="shared" si="50"/>
        <v>High</v>
      </c>
    </row>
    <row r="1055" spans="1:24">
      <c r="A1055" s="7" t="s">
        <v>1185</v>
      </c>
      <c r="B1055" s="1" t="s">
        <v>66</v>
      </c>
      <c r="C1055" s="1">
        <v>388</v>
      </c>
      <c r="D1055" s="1">
        <v>99</v>
      </c>
      <c r="E1055" s="1">
        <v>3</v>
      </c>
      <c r="F1055" s="1">
        <v>2</v>
      </c>
      <c r="G1055" s="1">
        <v>46.26</v>
      </c>
      <c r="H1055" s="1" t="s">
        <v>372</v>
      </c>
      <c r="I1055" s="1" t="s">
        <v>45</v>
      </c>
      <c r="J1055" s="1">
        <v>126</v>
      </c>
      <c r="K1055" s="1">
        <v>4.5</v>
      </c>
      <c r="L1055" s="4">
        <v>173.33</v>
      </c>
      <c r="M1055" s="1">
        <v>1.79</v>
      </c>
      <c r="N1055" s="1">
        <v>1</v>
      </c>
      <c r="O1055" s="1">
        <v>0.93</v>
      </c>
      <c r="P1055" s="1">
        <v>840</v>
      </c>
      <c r="Q1055" s="1">
        <v>6.87</v>
      </c>
      <c r="R1055" s="1">
        <v>0.41</v>
      </c>
      <c r="S1055" s="2">
        <v>45339</v>
      </c>
      <c r="T1055" s="1">
        <v>33.75</v>
      </c>
      <c r="U1055" s="1">
        <v>0.56100000000000005</v>
      </c>
      <c r="V1055" s="6">
        <f t="shared" si="48"/>
        <v>67252.040000000008</v>
      </c>
      <c r="W1055" s="6" t="str">
        <f t="shared" si="49"/>
        <v>Sufficient</v>
      </c>
      <c r="X1055" s="8" t="str">
        <f t="shared" si="50"/>
        <v>High</v>
      </c>
    </row>
    <row r="1056" spans="1:24">
      <c r="A1056" s="7" t="s">
        <v>1186</v>
      </c>
      <c r="B1056" s="1" t="s">
        <v>66</v>
      </c>
      <c r="C1056" s="1">
        <v>320</v>
      </c>
      <c r="D1056" s="1">
        <v>53</v>
      </c>
      <c r="E1056" s="1">
        <v>10</v>
      </c>
      <c r="F1056" s="1">
        <v>6</v>
      </c>
      <c r="G1056" s="1">
        <v>17.649999999999999</v>
      </c>
      <c r="H1056" s="1" t="s">
        <v>113</v>
      </c>
      <c r="I1056" s="1" t="s">
        <v>31</v>
      </c>
      <c r="J1056" s="1">
        <v>44</v>
      </c>
      <c r="K1056" s="1">
        <v>4.2</v>
      </c>
      <c r="L1056" s="4">
        <v>149.52000000000001</v>
      </c>
      <c r="M1056" s="1">
        <v>1.71</v>
      </c>
      <c r="N1056" s="1">
        <v>1</v>
      </c>
      <c r="O1056" s="1">
        <v>0.85</v>
      </c>
      <c r="P1056" s="1">
        <v>709</v>
      </c>
      <c r="Q1056" s="1">
        <v>12.04</v>
      </c>
      <c r="R1056" s="1">
        <v>0.4</v>
      </c>
      <c r="S1056" s="2">
        <v>45314</v>
      </c>
      <c r="T1056" s="1">
        <v>74.87</v>
      </c>
      <c r="U1056" s="1">
        <v>0.62</v>
      </c>
      <c r="V1056" s="6">
        <f t="shared" si="48"/>
        <v>47846.400000000001</v>
      </c>
      <c r="W1056" s="6" t="str">
        <f t="shared" si="49"/>
        <v>Sufficient</v>
      </c>
      <c r="X1056" s="8" t="str">
        <f t="shared" si="50"/>
        <v>High</v>
      </c>
    </row>
    <row r="1057" spans="1:24">
      <c r="A1057" s="7" t="s">
        <v>1187</v>
      </c>
      <c r="B1057" s="1" t="s">
        <v>29</v>
      </c>
      <c r="C1057" s="1">
        <v>87</v>
      </c>
      <c r="D1057" s="1">
        <v>42</v>
      </c>
      <c r="E1057" s="1">
        <v>4</v>
      </c>
      <c r="F1057" s="1">
        <v>7</v>
      </c>
      <c r="G1057" s="1">
        <v>25.64</v>
      </c>
      <c r="H1057" s="1" t="s">
        <v>91</v>
      </c>
      <c r="I1057" s="1" t="s">
        <v>27</v>
      </c>
      <c r="J1057" s="1">
        <v>93</v>
      </c>
      <c r="K1057" s="1">
        <v>2.2000000000000002</v>
      </c>
      <c r="L1057" s="4">
        <v>185.46</v>
      </c>
      <c r="M1057" s="1">
        <v>0.32</v>
      </c>
      <c r="N1057" s="1">
        <v>2</v>
      </c>
      <c r="O1057" s="1">
        <v>0.87</v>
      </c>
      <c r="P1057" s="1">
        <v>341</v>
      </c>
      <c r="Q1057" s="1">
        <v>4.83</v>
      </c>
      <c r="R1057" s="1">
        <v>0.93</v>
      </c>
      <c r="S1057" s="2">
        <v>45410</v>
      </c>
      <c r="T1057" s="1">
        <v>262.13</v>
      </c>
      <c r="U1057" s="1">
        <v>0.752</v>
      </c>
      <c r="V1057" s="6">
        <f t="shared" si="48"/>
        <v>16135.02</v>
      </c>
      <c r="W1057" s="6" t="str">
        <f t="shared" si="49"/>
        <v>Sufficient</v>
      </c>
      <c r="X1057" s="8" t="str">
        <f t="shared" si="50"/>
        <v>LOW</v>
      </c>
    </row>
    <row r="1058" spans="1:24">
      <c r="A1058" s="7" t="s">
        <v>1188</v>
      </c>
      <c r="B1058" s="1" t="s">
        <v>33</v>
      </c>
      <c r="C1058" s="1">
        <v>26</v>
      </c>
      <c r="D1058" s="1">
        <v>22</v>
      </c>
      <c r="E1058" s="1">
        <v>13</v>
      </c>
      <c r="F1058" s="1">
        <v>3</v>
      </c>
      <c r="G1058" s="1">
        <v>23.69</v>
      </c>
      <c r="H1058" s="1" t="s">
        <v>370</v>
      </c>
      <c r="I1058" s="1" t="s">
        <v>39</v>
      </c>
      <c r="J1058" s="1">
        <v>75</v>
      </c>
      <c r="K1058" s="1">
        <v>0.52</v>
      </c>
      <c r="L1058" s="4">
        <v>108.98</v>
      </c>
      <c r="M1058" s="1">
        <v>1.93</v>
      </c>
      <c r="N1058" s="1">
        <v>3</v>
      </c>
      <c r="O1058" s="1">
        <v>0.73</v>
      </c>
      <c r="P1058" s="1">
        <v>987</v>
      </c>
      <c r="Q1058" s="1">
        <v>6.36</v>
      </c>
      <c r="R1058" s="1">
        <v>0.51</v>
      </c>
      <c r="S1058" s="2">
        <v>45558</v>
      </c>
      <c r="T1058" s="1">
        <v>274.06</v>
      </c>
      <c r="U1058" s="1">
        <v>0.48</v>
      </c>
      <c r="V1058" s="6">
        <f t="shared" si="48"/>
        <v>2833.48</v>
      </c>
      <c r="W1058" s="6" t="str">
        <f t="shared" si="49"/>
        <v>Sufficient</v>
      </c>
      <c r="X1058" s="8" t="str">
        <f t="shared" si="50"/>
        <v>LOW</v>
      </c>
    </row>
    <row r="1059" spans="1:24">
      <c r="A1059" s="7" t="s">
        <v>1189</v>
      </c>
      <c r="B1059" s="1" t="s">
        <v>41</v>
      </c>
      <c r="C1059" s="1">
        <v>324</v>
      </c>
      <c r="D1059" s="1">
        <v>87</v>
      </c>
      <c r="E1059" s="1">
        <v>3</v>
      </c>
      <c r="F1059" s="1">
        <v>4</v>
      </c>
      <c r="G1059" s="1">
        <v>8.7200000000000006</v>
      </c>
      <c r="H1059" s="1" t="s">
        <v>309</v>
      </c>
      <c r="I1059" s="1" t="s">
        <v>27</v>
      </c>
      <c r="J1059" s="1">
        <v>35</v>
      </c>
      <c r="K1059" s="1">
        <v>3.57</v>
      </c>
      <c r="L1059" s="4">
        <v>138.71</v>
      </c>
      <c r="M1059" s="1">
        <v>0.6</v>
      </c>
      <c r="N1059" s="1">
        <v>8</v>
      </c>
      <c r="O1059" s="1">
        <v>0.93</v>
      </c>
      <c r="P1059" s="1">
        <v>296</v>
      </c>
      <c r="Q1059" s="1">
        <v>3.34</v>
      </c>
      <c r="R1059" s="1">
        <v>0.21</v>
      </c>
      <c r="S1059" s="2">
        <v>45503</v>
      </c>
      <c r="T1059" s="1">
        <v>131.75</v>
      </c>
      <c r="U1059" s="1">
        <v>0.45300000000000001</v>
      </c>
      <c r="V1059" s="6">
        <f t="shared" si="48"/>
        <v>44942.04</v>
      </c>
      <c r="W1059" s="6" t="str">
        <f t="shared" si="49"/>
        <v>Sufficient</v>
      </c>
      <c r="X1059" s="8" t="str">
        <f t="shared" si="50"/>
        <v>High</v>
      </c>
    </row>
    <row r="1060" spans="1:24">
      <c r="A1060" s="7" t="s">
        <v>1190</v>
      </c>
      <c r="B1060" s="1" t="s">
        <v>25</v>
      </c>
      <c r="C1060" s="1">
        <v>156</v>
      </c>
      <c r="D1060" s="1">
        <v>97</v>
      </c>
      <c r="E1060" s="1">
        <v>9</v>
      </c>
      <c r="F1060" s="1">
        <v>7</v>
      </c>
      <c r="G1060" s="1">
        <v>29.93</v>
      </c>
      <c r="H1060" s="1" t="s">
        <v>59</v>
      </c>
      <c r="I1060" s="1" t="s">
        <v>45</v>
      </c>
      <c r="J1060" s="1">
        <v>51</v>
      </c>
      <c r="K1060" s="1">
        <v>2.35</v>
      </c>
      <c r="L1060" s="4">
        <v>80.209999999999994</v>
      </c>
      <c r="M1060" s="1">
        <v>0.76</v>
      </c>
      <c r="N1060" s="1">
        <v>5</v>
      </c>
      <c r="O1060" s="1">
        <v>0.93</v>
      </c>
      <c r="P1060" s="1">
        <v>967</v>
      </c>
      <c r="Q1060" s="1">
        <v>4.53</v>
      </c>
      <c r="R1060" s="1">
        <v>0.78</v>
      </c>
      <c r="S1060" s="2">
        <v>45650</v>
      </c>
      <c r="T1060" s="1">
        <v>190.06</v>
      </c>
      <c r="U1060" s="1">
        <v>0.626</v>
      </c>
      <c r="V1060" s="6">
        <f t="shared" si="48"/>
        <v>12512.759999999998</v>
      </c>
      <c r="W1060" s="6" t="str">
        <f t="shared" si="49"/>
        <v>Sufficient</v>
      </c>
      <c r="X1060" s="8" t="str">
        <f t="shared" si="50"/>
        <v>Medium</v>
      </c>
    </row>
    <row r="1061" spans="1:24">
      <c r="A1061" s="7" t="s">
        <v>1191</v>
      </c>
      <c r="B1061" s="1" t="s">
        <v>41</v>
      </c>
      <c r="C1061" s="1">
        <v>183</v>
      </c>
      <c r="D1061" s="1">
        <v>35</v>
      </c>
      <c r="E1061" s="1">
        <v>14</v>
      </c>
      <c r="F1061" s="1">
        <v>7</v>
      </c>
      <c r="G1061" s="1">
        <v>37.409999999999997</v>
      </c>
      <c r="H1061" s="1" t="s">
        <v>61</v>
      </c>
      <c r="I1061" s="1" t="s">
        <v>27</v>
      </c>
      <c r="J1061" s="1">
        <v>86</v>
      </c>
      <c r="K1061" s="1">
        <v>3.91</v>
      </c>
      <c r="L1061" s="4">
        <v>11.97</v>
      </c>
      <c r="M1061" s="1">
        <v>0.38</v>
      </c>
      <c r="N1061" s="1">
        <v>2</v>
      </c>
      <c r="O1061" s="1">
        <v>0.79</v>
      </c>
      <c r="P1061" s="1">
        <v>237</v>
      </c>
      <c r="Q1061" s="1">
        <v>3.65</v>
      </c>
      <c r="R1061" s="1">
        <v>0.61</v>
      </c>
      <c r="S1061" s="2">
        <v>45482</v>
      </c>
      <c r="T1061" s="1">
        <v>160.94</v>
      </c>
      <c r="U1061" s="1">
        <v>0.65100000000000002</v>
      </c>
      <c r="V1061" s="6">
        <f t="shared" si="48"/>
        <v>2190.5100000000002</v>
      </c>
      <c r="W1061" s="6" t="str">
        <f t="shared" si="49"/>
        <v>Sufficient</v>
      </c>
      <c r="X1061" s="8" t="str">
        <f t="shared" si="50"/>
        <v>Medium</v>
      </c>
    </row>
    <row r="1062" spans="1:24">
      <c r="A1062" s="7" t="s">
        <v>1192</v>
      </c>
      <c r="B1062" s="1" t="s">
        <v>29</v>
      </c>
      <c r="C1062" s="1">
        <v>102</v>
      </c>
      <c r="D1062" s="1">
        <v>30</v>
      </c>
      <c r="E1062" s="1">
        <v>12</v>
      </c>
      <c r="F1062" s="1">
        <v>4</v>
      </c>
      <c r="G1062" s="1">
        <v>45.93</v>
      </c>
      <c r="H1062" s="1" t="s">
        <v>331</v>
      </c>
      <c r="I1062" s="1" t="s">
        <v>31</v>
      </c>
      <c r="J1062" s="1">
        <v>39</v>
      </c>
      <c r="K1062" s="1">
        <v>4.08</v>
      </c>
      <c r="L1062" s="4">
        <v>153.77000000000001</v>
      </c>
      <c r="M1062" s="1">
        <v>0.82</v>
      </c>
      <c r="N1062" s="1">
        <v>7</v>
      </c>
      <c r="O1062" s="1">
        <v>0.8</v>
      </c>
      <c r="P1062" s="1">
        <v>572</v>
      </c>
      <c r="Q1062" s="1">
        <v>1.34</v>
      </c>
      <c r="R1062" s="1">
        <v>0.82</v>
      </c>
      <c r="S1062" s="2">
        <v>45526</v>
      </c>
      <c r="T1062" s="1">
        <v>91.11</v>
      </c>
      <c r="U1062" s="1">
        <v>0.52</v>
      </c>
      <c r="V1062" s="6">
        <f t="shared" si="48"/>
        <v>15684.54</v>
      </c>
      <c r="W1062" s="6" t="str">
        <f t="shared" si="49"/>
        <v>Sufficient</v>
      </c>
      <c r="X1062" s="8" t="str">
        <f t="shared" si="50"/>
        <v>Medium</v>
      </c>
    </row>
    <row r="1063" spans="1:24">
      <c r="A1063" s="7" t="s">
        <v>1193</v>
      </c>
      <c r="B1063" s="1" t="s">
        <v>66</v>
      </c>
      <c r="C1063" s="1">
        <v>404</v>
      </c>
      <c r="D1063" s="1">
        <v>37</v>
      </c>
      <c r="E1063" s="1">
        <v>11</v>
      </c>
      <c r="F1063" s="1">
        <v>4</v>
      </c>
      <c r="G1063" s="1">
        <v>42.69</v>
      </c>
      <c r="H1063" s="1" t="s">
        <v>221</v>
      </c>
      <c r="I1063" s="1" t="s">
        <v>39</v>
      </c>
      <c r="J1063" s="1">
        <v>125</v>
      </c>
      <c r="K1063" s="1">
        <v>2.48</v>
      </c>
      <c r="L1063" s="4">
        <v>175.27</v>
      </c>
      <c r="M1063" s="1">
        <v>1.31</v>
      </c>
      <c r="N1063" s="1">
        <v>5</v>
      </c>
      <c r="O1063" s="1">
        <v>0.77</v>
      </c>
      <c r="P1063" s="1">
        <v>333</v>
      </c>
      <c r="Q1063" s="1">
        <v>1.65</v>
      </c>
      <c r="R1063" s="1">
        <v>0.66</v>
      </c>
      <c r="S1063" s="2">
        <v>45335</v>
      </c>
      <c r="T1063" s="1">
        <v>109.99</v>
      </c>
      <c r="U1063" s="1">
        <v>0.47699999999999998</v>
      </c>
      <c r="V1063" s="6">
        <f t="shared" si="48"/>
        <v>70809.08</v>
      </c>
      <c r="W1063" s="6" t="str">
        <f t="shared" si="49"/>
        <v>Sufficient</v>
      </c>
      <c r="X1063" s="8" t="str">
        <f t="shared" si="50"/>
        <v>High</v>
      </c>
    </row>
    <row r="1064" spans="1:24">
      <c r="A1064" s="7" t="s">
        <v>1194</v>
      </c>
      <c r="B1064" s="1" t="s">
        <v>66</v>
      </c>
      <c r="C1064" s="1">
        <v>157</v>
      </c>
      <c r="D1064" s="1">
        <v>57</v>
      </c>
      <c r="E1064" s="1">
        <v>13</v>
      </c>
      <c r="F1064" s="1">
        <v>5</v>
      </c>
      <c r="G1064" s="1">
        <v>25.99</v>
      </c>
      <c r="H1064" s="1" t="s">
        <v>143</v>
      </c>
      <c r="I1064" s="1" t="s">
        <v>27</v>
      </c>
      <c r="J1064" s="1">
        <v>169</v>
      </c>
      <c r="K1064" s="1">
        <v>3.87</v>
      </c>
      <c r="L1064" s="4">
        <v>43.05</v>
      </c>
      <c r="M1064" s="1">
        <v>1.06</v>
      </c>
      <c r="N1064" s="1">
        <v>7</v>
      </c>
      <c r="O1064" s="1">
        <v>0.94</v>
      </c>
      <c r="P1064" s="1">
        <v>606</v>
      </c>
      <c r="Q1064" s="1">
        <v>12.7</v>
      </c>
      <c r="R1064" s="1">
        <v>0.48</v>
      </c>
      <c r="S1064" s="2">
        <v>45589</v>
      </c>
      <c r="T1064" s="1">
        <v>162.78</v>
      </c>
      <c r="U1064" s="1">
        <v>0.60699999999999998</v>
      </c>
      <c r="V1064" s="6">
        <f t="shared" si="48"/>
        <v>6758.8499999999995</v>
      </c>
      <c r="W1064" s="6" t="str">
        <f t="shared" si="49"/>
        <v>Sufficient</v>
      </c>
      <c r="X1064" s="8" t="str">
        <f t="shared" si="50"/>
        <v>Medium</v>
      </c>
    </row>
    <row r="1065" spans="1:24">
      <c r="A1065" s="7" t="s">
        <v>1195</v>
      </c>
      <c r="B1065" s="1" t="s">
        <v>25</v>
      </c>
      <c r="C1065" s="1">
        <v>439</v>
      </c>
      <c r="D1065" s="1">
        <v>49</v>
      </c>
      <c r="E1065" s="1">
        <v>14</v>
      </c>
      <c r="F1065" s="1">
        <v>7</v>
      </c>
      <c r="G1065" s="1">
        <v>36.229999999999997</v>
      </c>
      <c r="H1065" s="1" t="s">
        <v>210</v>
      </c>
      <c r="I1065" s="1" t="s">
        <v>39</v>
      </c>
      <c r="J1065" s="1">
        <v>45</v>
      </c>
      <c r="K1065" s="1">
        <v>4.28</v>
      </c>
      <c r="L1065" s="4">
        <v>15.44</v>
      </c>
      <c r="M1065" s="1">
        <v>1.67</v>
      </c>
      <c r="N1065" s="1">
        <v>9</v>
      </c>
      <c r="O1065" s="1">
        <v>0.92</v>
      </c>
      <c r="P1065" s="1">
        <v>173</v>
      </c>
      <c r="Q1065" s="1">
        <v>12.25</v>
      </c>
      <c r="R1065" s="1">
        <v>0.25</v>
      </c>
      <c r="S1065" s="2">
        <v>45340</v>
      </c>
      <c r="T1065" s="1">
        <v>211.65</v>
      </c>
      <c r="U1065" s="1">
        <v>0.45</v>
      </c>
      <c r="V1065" s="6">
        <f t="shared" si="48"/>
        <v>6778.16</v>
      </c>
      <c r="W1065" s="6" t="str">
        <f t="shared" si="49"/>
        <v>Sufficient</v>
      </c>
      <c r="X1065" s="8" t="str">
        <f t="shared" si="50"/>
        <v>High</v>
      </c>
    </row>
    <row r="1066" spans="1:24">
      <c r="A1066" s="7" t="s">
        <v>1196</v>
      </c>
      <c r="B1066" s="1" t="s">
        <v>66</v>
      </c>
      <c r="C1066" s="1">
        <v>92</v>
      </c>
      <c r="D1066" s="1">
        <v>75</v>
      </c>
      <c r="E1066" s="1">
        <v>14</v>
      </c>
      <c r="F1066" s="1">
        <v>6</v>
      </c>
      <c r="G1066" s="1">
        <v>40.24</v>
      </c>
      <c r="H1066" s="1" t="s">
        <v>558</v>
      </c>
      <c r="I1066" s="1" t="s">
        <v>39</v>
      </c>
      <c r="J1066" s="1">
        <v>28</v>
      </c>
      <c r="K1066" s="1">
        <v>4.68</v>
      </c>
      <c r="L1066" s="4">
        <v>41.26</v>
      </c>
      <c r="M1066" s="1">
        <v>1.32</v>
      </c>
      <c r="N1066" s="1">
        <v>1</v>
      </c>
      <c r="O1066" s="1">
        <v>0.88</v>
      </c>
      <c r="P1066" s="1">
        <v>939</v>
      </c>
      <c r="Q1066" s="1">
        <v>2.97</v>
      </c>
      <c r="R1066" s="1">
        <v>0.89</v>
      </c>
      <c r="S1066" s="2">
        <v>45550</v>
      </c>
      <c r="T1066" s="1">
        <v>111.46</v>
      </c>
      <c r="U1066" s="1">
        <v>0.64200000000000002</v>
      </c>
      <c r="V1066" s="6">
        <f t="shared" si="48"/>
        <v>3795.9199999999996</v>
      </c>
      <c r="W1066" s="6" t="str">
        <f t="shared" si="49"/>
        <v>Sufficient</v>
      </c>
      <c r="X1066" s="8" t="str">
        <f t="shared" si="50"/>
        <v>LOW</v>
      </c>
    </row>
    <row r="1067" spans="1:24">
      <c r="A1067" s="7" t="s">
        <v>1197</v>
      </c>
      <c r="B1067" s="1" t="s">
        <v>66</v>
      </c>
      <c r="C1067" s="1">
        <v>256</v>
      </c>
      <c r="D1067" s="1">
        <v>82</v>
      </c>
      <c r="E1067" s="1">
        <v>11</v>
      </c>
      <c r="F1067" s="1">
        <v>3</v>
      </c>
      <c r="G1067" s="1">
        <v>25.18</v>
      </c>
      <c r="H1067" s="1" t="s">
        <v>36</v>
      </c>
      <c r="I1067" s="1" t="s">
        <v>45</v>
      </c>
      <c r="J1067" s="1">
        <v>31</v>
      </c>
      <c r="K1067" s="1">
        <v>3.12</v>
      </c>
      <c r="L1067" s="4">
        <v>180.1</v>
      </c>
      <c r="M1067" s="1">
        <v>0.6</v>
      </c>
      <c r="N1067" s="1">
        <v>7</v>
      </c>
      <c r="O1067" s="1">
        <v>0.77</v>
      </c>
      <c r="P1067" s="1">
        <v>296</v>
      </c>
      <c r="Q1067" s="1">
        <v>10.35</v>
      </c>
      <c r="R1067" s="1">
        <v>0.37</v>
      </c>
      <c r="S1067" s="2">
        <v>45360</v>
      </c>
      <c r="T1067" s="1">
        <v>212.69</v>
      </c>
      <c r="U1067" s="1">
        <v>0.56599999999999995</v>
      </c>
      <c r="V1067" s="6">
        <f t="shared" si="48"/>
        <v>46105.599999999999</v>
      </c>
      <c r="W1067" s="6" t="str">
        <f t="shared" si="49"/>
        <v>Sufficient</v>
      </c>
      <c r="X1067" s="8" t="str">
        <f t="shared" si="50"/>
        <v>High</v>
      </c>
    </row>
    <row r="1068" spans="1:24">
      <c r="A1068" s="7" t="s">
        <v>1198</v>
      </c>
      <c r="B1068" s="1" t="s">
        <v>25</v>
      </c>
      <c r="C1068" s="1">
        <v>65</v>
      </c>
      <c r="D1068" s="1">
        <v>96</v>
      </c>
      <c r="E1068" s="1">
        <v>5</v>
      </c>
      <c r="F1068" s="1">
        <v>2</v>
      </c>
      <c r="G1068" s="1">
        <v>6.66</v>
      </c>
      <c r="H1068" s="1" t="s">
        <v>115</v>
      </c>
      <c r="I1068" s="1" t="s">
        <v>27</v>
      </c>
      <c r="J1068" s="1">
        <v>74</v>
      </c>
      <c r="K1068" s="1">
        <v>4</v>
      </c>
      <c r="L1068" s="4">
        <v>66.150000000000006</v>
      </c>
      <c r="M1068" s="1">
        <v>1.1599999999999999</v>
      </c>
      <c r="N1068" s="1">
        <v>4</v>
      </c>
      <c r="O1068" s="1">
        <v>0.75</v>
      </c>
      <c r="P1068" s="1">
        <v>455</v>
      </c>
      <c r="Q1068" s="1">
        <v>11.44</v>
      </c>
      <c r="R1068" s="1">
        <v>0.98</v>
      </c>
      <c r="S1068" s="2">
        <v>45618</v>
      </c>
      <c r="T1068" s="1">
        <v>288.68</v>
      </c>
      <c r="U1068" s="1">
        <v>0.70299999999999996</v>
      </c>
      <c r="V1068" s="6">
        <f t="shared" si="48"/>
        <v>4299.75</v>
      </c>
      <c r="W1068" s="6" t="str">
        <f t="shared" si="49"/>
        <v>Reorder Required</v>
      </c>
      <c r="X1068" s="8" t="str">
        <f t="shared" si="50"/>
        <v>LOW</v>
      </c>
    </row>
    <row r="1069" spans="1:24">
      <c r="A1069" s="7" t="s">
        <v>1199</v>
      </c>
      <c r="B1069" s="1" t="s">
        <v>25</v>
      </c>
      <c r="C1069" s="1">
        <v>125</v>
      </c>
      <c r="D1069" s="1">
        <v>88</v>
      </c>
      <c r="E1069" s="1">
        <v>8</v>
      </c>
      <c r="F1069" s="1">
        <v>2</v>
      </c>
      <c r="G1069" s="1">
        <v>22.46</v>
      </c>
      <c r="H1069" s="1" t="s">
        <v>97</v>
      </c>
      <c r="I1069" s="1" t="s">
        <v>39</v>
      </c>
      <c r="J1069" s="1">
        <v>66</v>
      </c>
      <c r="K1069" s="1">
        <v>2.73</v>
      </c>
      <c r="L1069" s="4">
        <v>54.4</v>
      </c>
      <c r="M1069" s="1">
        <v>0.22</v>
      </c>
      <c r="N1069" s="1">
        <v>9</v>
      </c>
      <c r="O1069" s="1">
        <v>0.72</v>
      </c>
      <c r="P1069" s="1">
        <v>386</v>
      </c>
      <c r="Q1069" s="1">
        <v>1.72</v>
      </c>
      <c r="R1069" s="1">
        <v>0.4</v>
      </c>
      <c r="S1069" s="2">
        <v>45493</v>
      </c>
      <c r="T1069" s="1">
        <v>17.12</v>
      </c>
      <c r="U1069" s="1">
        <v>0.44500000000000001</v>
      </c>
      <c r="V1069" s="6">
        <f t="shared" si="48"/>
        <v>6800</v>
      </c>
      <c r="W1069" s="6" t="str">
        <f t="shared" si="49"/>
        <v>Sufficient</v>
      </c>
      <c r="X1069" s="8" t="str">
        <f t="shared" si="50"/>
        <v>Medium</v>
      </c>
    </row>
    <row r="1070" spans="1:24">
      <c r="A1070" s="7" t="s">
        <v>1200</v>
      </c>
      <c r="B1070" s="1" t="s">
        <v>29</v>
      </c>
      <c r="C1070" s="1">
        <v>435</v>
      </c>
      <c r="D1070" s="1">
        <v>86</v>
      </c>
      <c r="E1070" s="1">
        <v>9</v>
      </c>
      <c r="F1070" s="1">
        <v>6</v>
      </c>
      <c r="G1070" s="1">
        <v>42.28</v>
      </c>
      <c r="H1070" s="1" t="s">
        <v>174</v>
      </c>
      <c r="I1070" s="1" t="s">
        <v>45</v>
      </c>
      <c r="J1070" s="1">
        <v>20</v>
      </c>
      <c r="K1070" s="1">
        <v>0.69</v>
      </c>
      <c r="L1070" s="4">
        <v>12.77</v>
      </c>
      <c r="M1070" s="1">
        <v>1.2</v>
      </c>
      <c r="N1070" s="1">
        <v>3</v>
      </c>
      <c r="O1070" s="1">
        <v>0.71</v>
      </c>
      <c r="P1070" s="1">
        <v>208</v>
      </c>
      <c r="Q1070" s="1">
        <v>2.2400000000000002</v>
      </c>
      <c r="R1070" s="1">
        <v>0.86</v>
      </c>
      <c r="S1070" s="2">
        <v>45330</v>
      </c>
      <c r="T1070" s="1">
        <v>57.51</v>
      </c>
      <c r="U1070" s="1">
        <v>0.56399999999999995</v>
      </c>
      <c r="V1070" s="6">
        <f t="shared" si="48"/>
        <v>5554.95</v>
      </c>
      <c r="W1070" s="6" t="str">
        <f t="shared" si="49"/>
        <v>Sufficient</v>
      </c>
      <c r="X1070" s="8" t="str">
        <f t="shared" si="50"/>
        <v>High</v>
      </c>
    </row>
    <row r="1071" spans="1:24">
      <c r="A1071" s="7" t="s">
        <v>1201</v>
      </c>
      <c r="B1071" s="1" t="s">
        <v>66</v>
      </c>
      <c r="C1071" s="1">
        <v>307</v>
      </c>
      <c r="D1071" s="1">
        <v>32</v>
      </c>
      <c r="E1071" s="1">
        <v>12</v>
      </c>
      <c r="F1071" s="1">
        <v>9</v>
      </c>
      <c r="G1071" s="1">
        <v>30.24</v>
      </c>
      <c r="H1071" s="1" t="s">
        <v>141</v>
      </c>
      <c r="I1071" s="1" t="s">
        <v>31</v>
      </c>
      <c r="J1071" s="1">
        <v>35</v>
      </c>
      <c r="K1071" s="1">
        <v>1.2</v>
      </c>
      <c r="L1071" s="4">
        <v>66.44</v>
      </c>
      <c r="M1071" s="1">
        <v>0.84</v>
      </c>
      <c r="N1071" s="1">
        <v>2</v>
      </c>
      <c r="O1071" s="1">
        <v>0.76</v>
      </c>
      <c r="P1071" s="1">
        <v>316</v>
      </c>
      <c r="Q1071" s="1">
        <v>8.8800000000000008</v>
      </c>
      <c r="R1071" s="1">
        <v>0.83</v>
      </c>
      <c r="S1071" s="2">
        <v>45595</v>
      </c>
      <c r="T1071" s="1">
        <v>275.72000000000003</v>
      </c>
      <c r="U1071" s="1">
        <v>0.71199999999999997</v>
      </c>
      <c r="V1071" s="6">
        <f t="shared" si="48"/>
        <v>20397.079999999998</v>
      </c>
      <c r="W1071" s="6" t="str">
        <f t="shared" si="49"/>
        <v>Sufficient</v>
      </c>
      <c r="X1071" s="8" t="str">
        <f t="shared" si="50"/>
        <v>High</v>
      </c>
    </row>
    <row r="1072" spans="1:24">
      <c r="A1072" s="7" t="s">
        <v>1202</v>
      </c>
      <c r="B1072" s="1" t="s">
        <v>66</v>
      </c>
      <c r="C1072" s="1">
        <v>281</v>
      </c>
      <c r="D1072" s="1">
        <v>90</v>
      </c>
      <c r="E1072" s="1">
        <v>11</v>
      </c>
      <c r="F1072" s="1">
        <v>4</v>
      </c>
      <c r="G1072" s="1">
        <v>36.5</v>
      </c>
      <c r="H1072" s="1" t="s">
        <v>68</v>
      </c>
      <c r="I1072" s="1" t="s">
        <v>31</v>
      </c>
      <c r="J1072" s="1">
        <v>28</v>
      </c>
      <c r="K1072" s="1">
        <v>1.08</v>
      </c>
      <c r="L1072" s="4">
        <v>145.97</v>
      </c>
      <c r="M1072" s="1">
        <v>0.28999999999999998</v>
      </c>
      <c r="N1072" s="1">
        <v>8</v>
      </c>
      <c r="O1072" s="1">
        <v>0.73</v>
      </c>
      <c r="P1072" s="1">
        <v>341</v>
      </c>
      <c r="Q1072" s="1">
        <v>6.24</v>
      </c>
      <c r="R1072" s="1">
        <v>0.56999999999999995</v>
      </c>
      <c r="S1072" s="2">
        <v>45582</v>
      </c>
      <c r="T1072" s="1">
        <v>30.76</v>
      </c>
      <c r="U1072" s="1">
        <v>0.55400000000000005</v>
      </c>
      <c r="V1072" s="6">
        <f t="shared" si="48"/>
        <v>41017.57</v>
      </c>
      <c r="W1072" s="6" t="str">
        <f t="shared" si="49"/>
        <v>Sufficient</v>
      </c>
      <c r="X1072" s="8" t="str">
        <f t="shared" si="50"/>
        <v>High</v>
      </c>
    </row>
    <row r="1073" spans="1:24">
      <c r="A1073" s="7" t="s">
        <v>1203</v>
      </c>
      <c r="B1073" s="1" t="s">
        <v>29</v>
      </c>
      <c r="C1073" s="1">
        <v>195</v>
      </c>
      <c r="D1073" s="1">
        <v>57</v>
      </c>
      <c r="E1073" s="1">
        <v>4</v>
      </c>
      <c r="F1073" s="1">
        <v>4</v>
      </c>
      <c r="G1073" s="1">
        <v>10.08</v>
      </c>
      <c r="H1073" s="1" t="s">
        <v>122</v>
      </c>
      <c r="I1073" s="1" t="s">
        <v>27</v>
      </c>
      <c r="J1073" s="1">
        <v>92</v>
      </c>
      <c r="K1073" s="1">
        <v>1.27</v>
      </c>
      <c r="L1073" s="4">
        <v>192.23</v>
      </c>
      <c r="M1073" s="1">
        <v>0.68</v>
      </c>
      <c r="N1073" s="1">
        <v>9</v>
      </c>
      <c r="O1073" s="1">
        <v>0.87</v>
      </c>
      <c r="P1073" s="1">
        <v>639</v>
      </c>
      <c r="Q1073" s="1">
        <v>10.79</v>
      </c>
      <c r="R1073" s="1">
        <v>0.52</v>
      </c>
      <c r="S1073" s="2">
        <v>45323</v>
      </c>
      <c r="T1073" s="1">
        <v>231.86</v>
      </c>
      <c r="U1073" s="1">
        <v>0.57399999999999995</v>
      </c>
      <c r="V1073" s="6">
        <f t="shared" si="48"/>
        <v>37484.85</v>
      </c>
      <c r="W1073" s="6" t="str">
        <f t="shared" si="49"/>
        <v>Sufficient</v>
      </c>
      <c r="X1073" s="8" t="str">
        <f t="shared" si="50"/>
        <v>Medium</v>
      </c>
    </row>
    <row r="1074" spans="1:24">
      <c r="A1074" s="7" t="s">
        <v>1204</v>
      </c>
      <c r="B1074" s="1" t="s">
        <v>33</v>
      </c>
      <c r="C1074" s="1">
        <v>185</v>
      </c>
      <c r="D1074" s="1">
        <v>11</v>
      </c>
      <c r="E1074" s="1">
        <v>10</v>
      </c>
      <c r="F1074" s="1">
        <v>9</v>
      </c>
      <c r="G1074" s="1">
        <v>48.25</v>
      </c>
      <c r="H1074" s="1" t="s">
        <v>156</v>
      </c>
      <c r="I1074" s="1" t="s">
        <v>39</v>
      </c>
      <c r="J1074" s="1">
        <v>149</v>
      </c>
      <c r="K1074" s="1">
        <v>0.55000000000000004</v>
      </c>
      <c r="L1074" s="4">
        <v>69.42</v>
      </c>
      <c r="M1074" s="1">
        <v>1.81</v>
      </c>
      <c r="N1074" s="1">
        <v>6</v>
      </c>
      <c r="O1074" s="1">
        <v>0.81</v>
      </c>
      <c r="P1074" s="1">
        <v>852</v>
      </c>
      <c r="Q1074" s="1">
        <v>8.81</v>
      </c>
      <c r="R1074" s="1">
        <v>0.76</v>
      </c>
      <c r="S1074" s="2">
        <v>45514</v>
      </c>
      <c r="T1074" s="1">
        <v>190.95</v>
      </c>
      <c r="U1074" s="1">
        <v>0.53</v>
      </c>
      <c r="V1074" s="6">
        <f t="shared" si="48"/>
        <v>12842.7</v>
      </c>
      <c r="W1074" s="6" t="str">
        <f t="shared" si="49"/>
        <v>Sufficient</v>
      </c>
      <c r="X1074" s="8" t="str">
        <f t="shared" si="50"/>
        <v>Medium</v>
      </c>
    </row>
    <row r="1075" spans="1:24">
      <c r="A1075" s="7" t="s">
        <v>1205</v>
      </c>
      <c r="B1075" s="1" t="s">
        <v>33</v>
      </c>
      <c r="C1075" s="1">
        <v>164</v>
      </c>
      <c r="D1075" s="1">
        <v>93</v>
      </c>
      <c r="E1075" s="1">
        <v>9</v>
      </c>
      <c r="F1075" s="1">
        <v>4</v>
      </c>
      <c r="G1075" s="1">
        <v>20.8</v>
      </c>
      <c r="H1075" s="1" t="s">
        <v>135</v>
      </c>
      <c r="I1075" s="1" t="s">
        <v>27</v>
      </c>
      <c r="J1075" s="1">
        <v>76</v>
      </c>
      <c r="K1075" s="1">
        <v>4.3600000000000003</v>
      </c>
      <c r="L1075" s="4">
        <v>55.73</v>
      </c>
      <c r="M1075" s="1">
        <v>1.21</v>
      </c>
      <c r="N1075" s="1">
        <v>6</v>
      </c>
      <c r="O1075" s="1">
        <v>0.83</v>
      </c>
      <c r="P1075" s="1">
        <v>944</v>
      </c>
      <c r="Q1075" s="1">
        <v>1.43</v>
      </c>
      <c r="R1075" s="1">
        <v>0.62</v>
      </c>
      <c r="S1075" s="2">
        <v>45631</v>
      </c>
      <c r="T1075" s="1">
        <v>23.83</v>
      </c>
      <c r="U1075" s="1">
        <v>0.46800000000000003</v>
      </c>
      <c r="V1075" s="6">
        <f t="shared" si="48"/>
        <v>9139.7199999999993</v>
      </c>
      <c r="W1075" s="6" t="str">
        <f t="shared" si="49"/>
        <v>Sufficient</v>
      </c>
      <c r="X1075" s="8" t="str">
        <f t="shared" si="50"/>
        <v>Medium</v>
      </c>
    </row>
    <row r="1076" spans="1:24">
      <c r="A1076" s="7" t="s">
        <v>1206</v>
      </c>
      <c r="B1076" s="1" t="s">
        <v>33</v>
      </c>
      <c r="C1076" s="1">
        <v>349</v>
      </c>
      <c r="D1076" s="1">
        <v>29</v>
      </c>
      <c r="E1076" s="1">
        <v>6</v>
      </c>
      <c r="F1076" s="1">
        <v>9</v>
      </c>
      <c r="G1076" s="1">
        <v>33.03</v>
      </c>
      <c r="H1076" s="1" t="s">
        <v>99</v>
      </c>
      <c r="I1076" s="1" t="s">
        <v>39</v>
      </c>
      <c r="J1076" s="1">
        <v>65</v>
      </c>
      <c r="K1076" s="1">
        <v>3.02</v>
      </c>
      <c r="L1076" s="4">
        <v>178.73</v>
      </c>
      <c r="M1076" s="1">
        <v>1.82</v>
      </c>
      <c r="N1076" s="1">
        <v>5</v>
      </c>
      <c r="O1076" s="1">
        <v>0.88</v>
      </c>
      <c r="P1076" s="1">
        <v>200</v>
      </c>
      <c r="Q1076" s="1">
        <v>10.57</v>
      </c>
      <c r="R1076" s="1">
        <v>0.71</v>
      </c>
      <c r="S1076" s="2">
        <v>45358</v>
      </c>
      <c r="T1076" s="1">
        <v>10.210000000000001</v>
      </c>
      <c r="U1076" s="1">
        <v>0.57699999999999996</v>
      </c>
      <c r="V1076" s="6">
        <f t="shared" si="48"/>
        <v>62376.77</v>
      </c>
      <c r="W1076" s="6" t="str">
        <f t="shared" si="49"/>
        <v>Sufficient</v>
      </c>
      <c r="X1076" s="8" t="str">
        <f t="shared" si="50"/>
        <v>High</v>
      </c>
    </row>
    <row r="1077" spans="1:24">
      <c r="A1077" s="7" t="s">
        <v>1207</v>
      </c>
      <c r="B1077" s="1" t="s">
        <v>29</v>
      </c>
      <c r="C1077" s="1">
        <v>389</v>
      </c>
      <c r="D1077" s="1">
        <v>68</v>
      </c>
      <c r="E1077" s="1">
        <v>4</v>
      </c>
      <c r="F1077" s="1">
        <v>7</v>
      </c>
      <c r="G1077" s="1">
        <v>1.92</v>
      </c>
      <c r="H1077" s="1" t="s">
        <v>333</v>
      </c>
      <c r="I1077" s="1" t="s">
        <v>45</v>
      </c>
      <c r="J1077" s="1">
        <v>27</v>
      </c>
      <c r="K1077" s="1">
        <v>2.2200000000000002</v>
      </c>
      <c r="L1077" s="4">
        <v>171.98</v>
      </c>
      <c r="M1077" s="1">
        <v>0.88</v>
      </c>
      <c r="N1077" s="1">
        <v>8</v>
      </c>
      <c r="O1077" s="1">
        <v>0.9</v>
      </c>
      <c r="P1077" s="1">
        <v>334</v>
      </c>
      <c r="Q1077" s="1">
        <v>3.85</v>
      </c>
      <c r="R1077" s="1">
        <v>0.57999999999999996</v>
      </c>
      <c r="S1077" s="2">
        <v>45413</v>
      </c>
      <c r="T1077" s="1">
        <v>155.58000000000001</v>
      </c>
      <c r="U1077" s="1">
        <v>0.499</v>
      </c>
      <c r="V1077" s="6">
        <f t="shared" si="48"/>
        <v>66900.22</v>
      </c>
      <c r="W1077" s="6" t="str">
        <f t="shared" si="49"/>
        <v>Sufficient</v>
      </c>
      <c r="X1077" s="8" t="str">
        <f t="shared" si="50"/>
        <v>High</v>
      </c>
    </row>
    <row r="1078" spans="1:24">
      <c r="A1078" s="7" t="s">
        <v>1208</v>
      </c>
      <c r="B1078" s="1" t="s">
        <v>66</v>
      </c>
      <c r="C1078" s="1">
        <v>302</v>
      </c>
      <c r="D1078" s="1">
        <v>55</v>
      </c>
      <c r="E1078" s="1">
        <v>10</v>
      </c>
      <c r="F1078" s="1">
        <v>9</v>
      </c>
      <c r="G1078" s="1">
        <v>7.24</v>
      </c>
      <c r="H1078" s="1" t="s">
        <v>304</v>
      </c>
      <c r="I1078" s="1" t="s">
        <v>31</v>
      </c>
      <c r="J1078" s="1">
        <v>122</v>
      </c>
      <c r="K1078" s="1">
        <v>2.34</v>
      </c>
      <c r="L1078" s="4">
        <v>72.349999999999994</v>
      </c>
      <c r="M1078" s="1">
        <v>1.96</v>
      </c>
      <c r="N1078" s="1">
        <v>2</v>
      </c>
      <c r="O1078" s="1">
        <v>0.89</v>
      </c>
      <c r="P1078" s="1">
        <v>200</v>
      </c>
      <c r="Q1078" s="1">
        <v>5.38</v>
      </c>
      <c r="R1078" s="1">
        <v>0.65</v>
      </c>
      <c r="S1078" s="2">
        <v>45441</v>
      </c>
      <c r="T1078" s="1">
        <v>44.03</v>
      </c>
      <c r="U1078" s="1">
        <v>0.54400000000000004</v>
      </c>
      <c r="V1078" s="6">
        <f t="shared" si="48"/>
        <v>21849.699999999997</v>
      </c>
      <c r="W1078" s="6" t="str">
        <f t="shared" si="49"/>
        <v>Sufficient</v>
      </c>
      <c r="X1078" s="8" t="str">
        <f t="shared" si="50"/>
        <v>High</v>
      </c>
    </row>
    <row r="1079" spans="1:24">
      <c r="A1079" s="7" t="s">
        <v>1209</v>
      </c>
      <c r="B1079" s="1" t="s">
        <v>29</v>
      </c>
      <c r="C1079" s="1">
        <v>73</v>
      </c>
      <c r="D1079" s="1">
        <v>12</v>
      </c>
      <c r="E1079" s="1">
        <v>13</v>
      </c>
      <c r="F1079" s="1">
        <v>4</v>
      </c>
      <c r="G1079" s="1">
        <v>39.32</v>
      </c>
      <c r="H1079" s="1" t="s">
        <v>137</v>
      </c>
      <c r="I1079" s="1" t="s">
        <v>31</v>
      </c>
      <c r="J1079" s="1">
        <v>14</v>
      </c>
      <c r="K1079" s="1">
        <v>2.59</v>
      </c>
      <c r="L1079" s="4">
        <v>23.07</v>
      </c>
      <c r="M1079" s="1">
        <v>0.78</v>
      </c>
      <c r="N1079" s="1">
        <v>0</v>
      </c>
      <c r="O1079" s="1">
        <v>0.78</v>
      </c>
      <c r="P1079" s="1">
        <v>173</v>
      </c>
      <c r="Q1079" s="1">
        <v>11.31</v>
      </c>
      <c r="R1079" s="1">
        <v>0.35</v>
      </c>
      <c r="S1079" s="2">
        <v>45425</v>
      </c>
      <c r="T1079" s="1">
        <v>262.94</v>
      </c>
      <c r="U1079" s="1">
        <v>0.69899999999999995</v>
      </c>
      <c r="V1079" s="6">
        <f t="shared" si="48"/>
        <v>1684.1100000000001</v>
      </c>
      <c r="W1079" s="6" t="str">
        <f t="shared" si="49"/>
        <v>Sufficient</v>
      </c>
      <c r="X1079" s="8" t="str">
        <f t="shared" si="50"/>
        <v>LOW</v>
      </c>
    </row>
    <row r="1080" spans="1:24">
      <c r="A1080" s="7" t="s">
        <v>1210</v>
      </c>
      <c r="B1080" s="1" t="s">
        <v>29</v>
      </c>
      <c r="C1080" s="1">
        <v>197</v>
      </c>
      <c r="D1080" s="1">
        <v>64</v>
      </c>
      <c r="E1080" s="1">
        <v>7</v>
      </c>
      <c r="F1080" s="1">
        <v>4</v>
      </c>
      <c r="G1080" s="1">
        <v>48.43</v>
      </c>
      <c r="H1080" s="1" t="s">
        <v>185</v>
      </c>
      <c r="I1080" s="1" t="s">
        <v>31</v>
      </c>
      <c r="J1080" s="1">
        <v>121</v>
      </c>
      <c r="K1080" s="1">
        <v>0.83</v>
      </c>
      <c r="L1080" s="4">
        <v>198.48</v>
      </c>
      <c r="M1080" s="1">
        <v>1.54</v>
      </c>
      <c r="N1080" s="1">
        <v>6</v>
      </c>
      <c r="O1080" s="1">
        <v>0.94</v>
      </c>
      <c r="P1080" s="1">
        <v>789</v>
      </c>
      <c r="Q1080" s="1">
        <v>11.8</v>
      </c>
      <c r="R1080" s="1">
        <v>0.24</v>
      </c>
      <c r="S1080" s="2">
        <v>45453</v>
      </c>
      <c r="T1080" s="1">
        <v>149.41999999999999</v>
      </c>
      <c r="U1080" s="1">
        <v>0.51900000000000002</v>
      </c>
      <c r="V1080" s="6">
        <f t="shared" si="48"/>
        <v>39100.559999999998</v>
      </c>
      <c r="W1080" s="6" t="str">
        <f t="shared" si="49"/>
        <v>Sufficient</v>
      </c>
      <c r="X1080" s="8" t="str">
        <f t="shared" si="50"/>
        <v>Medium</v>
      </c>
    </row>
    <row r="1081" spans="1:24">
      <c r="A1081" s="7" t="s">
        <v>1211</v>
      </c>
      <c r="B1081" s="1" t="s">
        <v>33</v>
      </c>
      <c r="C1081" s="1">
        <v>438</v>
      </c>
      <c r="D1081" s="1">
        <v>21</v>
      </c>
      <c r="E1081" s="1">
        <v>8</v>
      </c>
      <c r="F1081" s="1">
        <v>7</v>
      </c>
      <c r="G1081" s="1">
        <v>16.68</v>
      </c>
      <c r="H1081" s="1" t="s">
        <v>99</v>
      </c>
      <c r="I1081" s="1" t="s">
        <v>31</v>
      </c>
      <c r="J1081" s="1">
        <v>161</v>
      </c>
      <c r="K1081" s="1">
        <v>1.74</v>
      </c>
      <c r="L1081" s="4">
        <v>139.33000000000001</v>
      </c>
      <c r="M1081" s="1">
        <v>0.68</v>
      </c>
      <c r="N1081" s="1">
        <v>8</v>
      </c>
      <c r="O1081" s="1">
        <v>0.98</v>
      </c>
      <c r="P1081" s="1">
        <v>321</v>
      </c>
      <c r="Q1081" s="1">
        <v>5.84</v>
      </c>
      <c r="R1081" s="1">
        <v>0.48</v>
      </c>
      <c r="S1081" s="2">
        <v>45493</v>
      </c>
      <c r="T1081" s="1">
        <v>77.989999999999995</v>
      </c>
      <c r="U1081" s="1">
        <v>0.54200000000000004</v>
      </c>
      <c r="V1081" s="6">
        <f t="shared" si="48"/>
        <v>61026.540000000008</v>
      </c>
      <c r="W1081" s="6" t="str">
        <f t="shared" si="49"/>
        <v>Sufficient</v>
      </c>
      <c r="X1081" s="8" t="str">
        <f t="shared" si="50"/>
        <v>High</v>
      </c>
    </row>
    <row r="1082" spans="1:24">
      <c r="A1082" s="7" t="s">
        <v>1212</v>
      </c>
      <c r="B1082" s="1" t="s">
        <v>41</v>
      </c>
      <c r="C1082" s="1">
        <v>263</v>
      </c>
      <c r="D1082" s="1">
        <v>49</v>
      </c>
      <c r="E1082" s="1">
        <v>13</v>
      </c>
      <c r="F1082" s="1">
        <v>9</v>
      </c>
      <c r="G1082" s="1">
        <v>2.82</v>
      </c>
      <c r="H1082" s="1" t="s">
        <v>95</v>
      </c>
      <c r="I1082" s="1" t="s">
        <v>27</v>
      </c>
      <c r="J1082" s="1">
        <v>124</v>
      </c>
      <c r="K1082" s="1">
        <v>4.33</v>
      </c>
      <c r="L1082" s="4">
        <v>186.05</v>
      </c>
      <c r="M1082" s="1">
        <v>0.3</v>
      </c>
      <c r="N1082" s="1">
        <v>5</v>
      </c>
      <c r="O1082" s="1">
        <v>0.79</v>
      </c>
      <c r="P1082" s="1">
        <v>920</v>
      </c>
      <c r="Q1082" s="1">
        <v>2.25</v>
      </c>
      <c r="R1082" s="1">
        <v>0.56999999999999995</v>
      </c>
      <c r="S1082" s="2">
        <v>45650</v>
      </c>
      <c r="T1082" s="1">
        <v>58.78</v>
      </c>
      <c r="U1082" s="1">
        <v>0.57199999999999995</v>
      </c>
      <c r="V1082" s="6">
        <f t="shared" si="48"/>
        <v>48931.15</v>
      </c>
      <c r="W1082" s="6" t="str">
        <f t="shared" si="49"/>
        <v>Sufficient</v>
      </c>
      <c r="X1082" s="8" t="str">
        <f t="shared" si="50"/>
        <v>High</v>
      </c>
    </row>
    <row r="1083" spans="1:24">
      <c r="A1083" s="7" t="s">
        <v>1213</v>
      </c>
      <c r="B1083" s="1" t="s">
        <v>66</v>
      </c>
      <c r="C1083" s="1">
        <v>360</v>
      </c>
      <c r="D1083" s="1">
        <v>75</v>
      </c>
      <c r="E1083" s="1">
        <v>9</v>
      </c>
      <c r="F1083" s="1">
        <v>7</v>
      </c>
      <c r="G1083" s="1">
        <v>18.68</v>
      </c>
      <c r="H1083" s="1" t="s">
        <v>411</v>
      </c>
      <c r="I1083" s="1" t="s">
        <v>39</v>
      </c>
      <c r="J1083" s="1">
        <v>175</v>
      </c>
      <c r="K1083" s="1">
        <v>3.85</v>
      </c>
      <c r="L1083" s="4">
        <v>74.959999999999994</v>
      </c>
      <c r="M1083" s="1">
        <v>1.68</v>
      </c>
      <c r="N1083" s="1">
        <v>9</v>
      </c>
      <c r="O1083" s="1">
        <v>0.71</v>
      </c>
      <c r="P1083" s="1">
        <v>389</v>
      </c>
      <c r="Q1083" s="1">
        <v>11.78</v>
      </c>
      <c r="R1083" s="1">
        <v>0.92</v>
      </c>
      <c r="S1083" s="2">
        <v>45459</v>
      </c>
      <c r="T1083" s="1">
        <v>252.37</v>
      </c>
      <c r="U1083" s="1">
        <v>0.53500000000000003</v>
      </c>
      <c r="V1083" s="6">
        <f t="shared" si="48"/>
        <v>26985.599999999999</v>
      </c>
      <c r="W1083" s="6" t="str">
        <f t="shared" si="49"/>
        <v>Sufficient</v>
      </c>
      <c r="X1083" s="8" t="str">
        <f t="shared" si="50"/>
        <v>High</v>
      </c>
    </row>
    <row r="1084" spans="1:24">
      <c r="A1084" s="7" t="s">
        <v>1214</v>
      </c>
      <c r="B1084" s="1" t="s">
        <v>33</v>
      </c>
      <c r="C1084" s="1">
        <v>146</v>
      </c>
      <c r="D1084" s="1">
        <v>87</v>
      </c>
      <c r="E1084" s="1">
        <v>12</v>
      </c>
      <c r="F1084" s="1">
        <v>6</v>
      </c>
      <c r="G1084" s="1">
        <v>1.86</v>
      </c>
      <c r="H1084" s="1" t="s">
        <v>91</v>
      </c>
      <c r="I1084" s="1" t="s">
        <v>27</v>
      </c>
      <c r="J1084" s="1">
        <v>76</v>
      </c>
      <c r="K1084" s="1">
        <v>3.04</v>
      </c>
      <c r="L1084" s="4">
        <v>133.06</v>
      </c>
      <c r="M1084" s="1">
        <v>1.55</v>
      </c>
      <c r="N1084" s="1">
        <v>1</v>
      </c>
      <c r="O1084" s="1">
        <v>0.97</v>
      </c>
      <c r="P1084" s="1">
        <v>778</v>
      </c>
      <c r="Q1084" s="1">
        <v>13.18</v>
      </c>
      <c r="R1084" s="1">
        <v>0.53</v>
      </c>
      <c r="S1084" s="2">
        <v>45454</v>
      </c>
      <c r="T1084" s="1">
        <v>218.43</v>
      </c>
      <c r="U1084" s="1">
        <v>0.70099999999999996</v>
      </c>
      <c r="V1084" s="6">
        <f t="shared" si="48"/>
        <v>19426.760000000002</v>
      </c>
      <c r="W1084" s="6" t="str">
        <f t="shared" si="49"/>
        <v>Sufficient</v>
      </c>
      <c r="X1084" s="8" t="str">
        <f t="shared" si="50"/>
        <v>Medium</v>
      </c>
    </row>
    <row r="1085" spans="1:24">
      <c r="A1085" s="7" t="s">
        <v>1215</v>
      </c>
      <c r="B1085" s="1" t="s">
        <v>41</v>
      </c>
      <c r="C1085" s="1">
        <v>428</v>
      </c>
      <c r="D1085" s="1">
        <v>25</v>
      </c>
      <c r="E1085" s="1">
        <v>3</v>
      </c>
      <c r="F1085" s="1">
        <v>5</v>
      </c>
      <c r="G1085" s="1">
        <v>10.43</v>
      </c>
      <c r="H1085" s="1" t="s">
        <v>200</v>
      </c>
      <c r="I1085" s="1" t="s">
        <v>45</v>
      </c>
      <c r="J1085" s="1">
        <v>79</v>
      </c>
      <c r="K1085" s="1">
        <v>2.66</v>
      </c>
      <c r="L1085" s="4">
        <v>138.15</v>
      </c>
      <c r="M1085" s="1">
        <v>1.66</v>
      </c>
      <c r="N1085" s="1">
        <v>7</v>
      </c>
      <c r="O1085" s="1">
        <v>0.98</v>
      </c>
      <c r="P1085" s="1">
        <v>708</v>
      </c>
      <c r="Q1085" s="1">
        <v>14.5</v>
      </c>
      <c r="R1085" s="1">
        <v>0.55000000000000004</v>
      </c>
      <c r="S1085" s="2">
        <v>45523</v>
      </c>
      <c r="T1085" s="1">
        <v>218.21</v>
      </c>
      <c r="U1085" s="1">
        <v>0.59299999999999997</v>
      </c>
      <c r="V1085" s="6">
        <f t="shared" si="48"/>
        <v>59128.200000000004</v>
      </c>
      <c r="W1085" s="6" t="str">
        <f t="shared" si="49"/>
        <v>Sufficient</v>
      </c>
      <c r="X1085" s="8" t="str">
        <f t="shared" si="50"/>
        <v>High</v>
      </c>
    </row>
    <row r="1086" spans="1:24">
      <c r="A1086" s="7" t="s">
        <v>1216</v>
      </c>
      <c r="B1086" s="1" t="s">
        <v>41</v>
      </c>
      <c r="C1086" s="1">
        <v>431</v>
      </c>
      <c r="D1086" s="1">
        <v>92</v>
      </c>
      <c r="E1086" s="1">
        <v>10</v>
      </c>
      <c r="F1086" s="1">
        <v>7</v>
      </c>
      <c r="G1086" s="1">
        <v>37.869999999999997</v>
      </c>
      <c r="H1086" s="1" t="s">
        <v>266</v>
      </c>
      <c r="I1086" s="1" t="s">
        <v>31</v>
      </c>
      <c r="J1086" s="1">
        <v>61</v>
      </c>
      <c r="K1086" s="1">
        <v>1.67</v>
      </c>
      <c r="L1086" s="4">
        <v>175.85</v>
      </c>
      <c r="M1086" s="1">
        <v>0.67</v>
      </c>
      <c r="N1086" s="1">
        <v>8</v>
      </c>
      <c r="O1086" s="1">
        <v>0.72</v>
      </c>
      <c r="P1086" s="1">
        <v>779</v>
      </c>
      <c r="Q1086" s="1">
        <v>5.45</v>
      </c>
      <c r="R1086" s="1">
        <v>0.74</v>
      </c>
      <c r="S1086" s="2">
        <v>45431</v>
      </c>
      <c r="T1086" s="1">
        <v>34.74</v>
      </c>
      <c r="U1086" s="1">
        <v>0.53800000000000003</v>
      </c>
      <c r="V1086" s="6">
        <f t="shared" si="48"/>
        <v>75791.349999999991</v>
      </c>
      <c r="W1086" s="6" t="str">
        <f t="shared" si="49"/>
        <v>Sufficient</v>
      </c>
      <c r="X1086" s="8" t="str">
        <f t="shared" si="50"/>
        <v>High</v>
      </c>
    </row>
    <row r="1087" spans="1:24">
      <c r="A1087" s="7" t="s">
        <v>1217</v>
      </c>
      <c r="B1087" s="1" t="s">
        <v>25</v>
      </c>
      <c r="C1087" s="1">
        <v>386</v>
      </c>
      <c r="D1087" s="1">
        <v>43</v>
      </c>
      <c r="E1087" s="1">
        <v>6</v>
      </c>
      <c r="F1087" s="1">
        <v>3</v>
      </c>
      <c r="G1087" s="1">
        <v>46.92</v>
      </c>
      <c r="H1087" s="1" t="s">
        <v>350</v>
      </c>
      <c r="I1087" s="1" t="s">
        <v>39</v>
      </c>
      <c r="J1087" s="1">
        <v>136</v>
      </c>
      <c r="K1087" s="1">
        <v>2.62</v>
      </c>
      <c r="L1087" s="4">
        <v>198.68</v>
      </c>
      <c r="M1087" s="1">
        <v>1.44</v>
      </c>
      <c r="N1087" s="1">
        <v>9</v>
      </c>
      <c r="O1087" s="1">
        <v>0.7</v>
      </c>
      <c r="P1087" s="1">
        <v>657</v>
      </c>
      <c r="Q1087" s="1">
        <v>2.73</v>
      </c>
      <c r="R1087" s="1">
        <v>0.37</v>
      </c>
      <c r="S1087" s="2">
        <v>45411</v>
      </c>
      <c r="T1087" s="1">
        <v>191.11</v>
      </c>
      <c r="U1087" s="1">
        <v>0.32600000000000001</v>
      </c>
      <c r="V1087" s="6">
        <f t="shared" si="48"/>
        <v>76690.48</v>
      </c>
      <c r="W1087" s="6" t="str">
        <f t="shared" si="49"/>
        <v>Sufficient</v>
      </c>
      <c r="X1087" s="8" t="str">
        <f t="shared" si="50"/>
        <v>High</v>
      </c>
    </row>
    <row r="1088" spans="1:24">
      <c r="A1088" s="7" t="s">
        <v>1218</v>
      </c>
      <c r="B1088" s="1" t="s">
        <v>66</v>
      </c>
      <c r="C1088" s="1">
        <v>290</v>
      </c>
      <c r="D1088" s="1">
        <v>53</v>
      </c>
      <c r="E1088" s="1">
        <v>11</v>
      </c>
      <c r="F1088" s="1">
        <v>4</v>
      </c>
      <c r="G1088" s="1">
        <v>5.29</v>
      </c>
      <c r="H1088" s="1" t="s">
        <v>139</v>
      </c>
      <c r="I1088" s="1" t="s">
        <v>27</v>
      </c>
      <c r="J1088" s="1">
        <v>176</v>
      </c>
      <c r="K1088" s="1">
        <v>3.19</v>
      </c>
      <c r="L1088" s="4">
        <v>30.65</v>
      </c>
      <c r="M1088" s="1">
        <v>0.52</v>
      </c>
      <c r="N1088" s="1">
        <v>7</v>
      </c>
      <c r="O1088" s="1">
        <v>0.94</v>
      </c>
      <c r="P1088" s="1">
        <v>496</v>
      </c>
      <c r="Q1088" s="1">
        <v>14.13</v>
      </c>
      <c r="R1088" s="1">
        <v>0.9</v>
      </c>
      <c r="S1088" s="2">
        <v>45330</v>
      </c>
      <c r="T1088" s="1">
        <v>262.14999999999998</v>
      </c>
      <c r="U1088" s="1">
        <v>0.76400000000000001</v>
      </c>
      <c r="V1088" s="6">
        <f t="shared" si="48"/>
        <v>8888.5</v>
      </c>
      <c r="W1088" s="6" t="str">
        <f t="shared" si="49"/>
        <v>Sufficient</v>
      </c>
      <c r="X1088" s="8" t="str">
        <f t="shared" si="50"/>
        <v>High</v>
      </c>
    </row>
    <row r="1089" spans="1:24">
      <c r="A1089" s="7" t="s">
        <v>1219</v>
      </c>
      <c r="B1089" s="1" t="s">
        <v>41</v>
      </c>
      <c r="C1089" s="1">
        <v>151</v>
      </c>
      <c r="D1089" s="1">
        <v>15</v>
      </c>
      <c r="E1089" s="1">
        <v>3</v>
      </c>
      <c r="F1089" s="1">
        <v>5</v>
      </c>
      <c r="G1089" s="1">
        <v>28.34</v>
      </c>
      <c r="H1089" s="1" t="s">
        <v>63</v>
      </c>
      <c r="I1089" s="1" t="s">
        <v>39</v>
      </c>
      <c r="J1089" s="1">
        <v>163</v>
      </c>
      <c r="K1089" s="1">
        <v>3.71</v>
      </c>
      <c r="L1089" s="4">
        <v>129.91</v>
      </c>
      <c r="M1089" s="1">
        <v>0.12</v>
      </c>
      <c r="N1089" s="1">
        <v>8</v>
      </c>
      <c r="O1089" s="1">
        <v>0.79</v>
      </c>
      <c r="P1089" s="1">
        <v>611</v>
      </c>
      <c r="Q1089" s="1">
        <v>6.6</v>
      </c>
      <c r="R1089" s="1">
        <v>0.54</v>
      </c>
      <c r="S1089" s="2">
        <v>45395</v>
      </c>
      <c r="T1089" s="1">
        <v>232.11</v>
      </c>
      <c r="U1089" s="1">
        <v>0.58199999999999996</v>
      </c>
      <c r="V1089" s="6">
        <f t="shared" si="48"/>
        <v>19616.41</v>
      </c>
      <c r="W1089" s="6" t="str">
        <f t="shared" si="49"/>
        <v>Sufficient</v>
      </c>
      <c r="X1089" s="8" t="str">
        <f t="shared" si="50"/>
        <v>Medium</v>
      </c>
    </row>
    <row r="1090" spans="1:24">
      <c r="A1090" s="7" t="s">
        <v>1220</v>
      </c>
      <c r="B1090" s="1" t="s">
        <v>33</v>
      </c>
      <c r="C1090" s="1">
        <v>112</v>
      </c>
      <c r="D1090" s="1">
        <v>86</v>
      </c>
      <c r="E1090" s="1">
        <v>13</v>
      </c>
      <c r="F1090" s="1">
        <v>2</v>
      </c>
      <c r="G1090" s="1">
        <v>13.44</v>
      </c>
      <c r="H1090" s="1" t="s">
        <v>70</v>
      </c>
      <c r="I1090" s="1" t="s">
        <v>27</v>
      </c>
      <c r="J1090" s="1">
        <v>74</v>
      </c>
      <c r="K1090" s="1">
        <v>1.25</v>
      </c>
      <c r="L1090" s="4">
        <v>73.92</v>
      </c>
      <c r="M1090" s="1">
        <v>1.75</v>
      </c>
      <c r="N1090" s="1">
        <v>0</v>
      </c>
      <c r="O1090" s="1">
        <v>0.97</v>
      </c>
      <c r="P1090" s="1">
        <v>506</v>
      </c>
      <c r="Q1090" s="1">
        <v>2.31</v>
      </c>
      <c r="R1090" s="1">
        <v>0.94</v>
      </c>
      <c r="S1090" s="2">
        <v>45361</v>
      </c>
      <c r="T1090" s="1">
        <v>44.27</v>
      </c>
      <c r="U1090" s="1">
        <v>0.63800000000000001</v>
      </c>
      <c r="V1090" s="6">
        <f t="shared" si="48"/>
        <v>8279.0400000000009</v>
      </c>
      <c r="W1090" s="6" t="str">
        <f t="shared" si="49"/>
        <v>Sufficient</v>
      </c>
      <c r="X1090" s="8" t="str">
        <f t="shared" si="50"/>
        <v>Medium</v>
      </c>
    </row>
    <row r="1091" spans="1:24">
      <c r="A1091" s="7" t="s">
        <v>1221</v>
      </c>
      <c r="B1091" s="1" t="s">
        <v>25</v>
      </c>
      <c r="C1091" s="1">
        <v>398</v>
      </c>
      <c r="D1091" s="1">
        <v>73</v>
      </c>
      <c r="E1091" s="1">
        <v>4</v>
      </c>
      <c r="F1091" s="1">
        <v>6</v>
      </c>
      <c r="G1091" s="1">
        <v>7.81</v>
      </c>
      <c r="H1091" s="1" t="s">
        <v>470</v>
      </c>
      <c r="I1091" s="1" t="s">
        <v>39</v>
      </c>
      <c r="J1091" s="1">
        <v>89</v>
      </c>
      <c r="K1091" s="1">
        <v>4.16</v>
      </c>
      <c r="L1091" s="4">
        <v>164.22</v>
      </c>
      <c r="M1091" s="1">
        <v>1.0900000000000001</v>
      </c>
      <c r="N1091" s="1">
        <v>2</v>
      </c>
      <c r="O1091" s="1">
        <v>0.77</v>
      </c>
      <c r="P1091" s="1">
        <v>604</v>
      </c>
      <c r="Q1091" s="1">
        <v>7.98</v>
      </c>
      <c r="R1091" s="1">
        <v>0.42</v>
      </c>
      <c r="S1091" s="2">
        <v>45591</v>
      </c>
      <c r="T1091" s="1">
        <v>285.29000000000002</v>
      </c>
      <c r="U1091" s="1">
        <v>0.59499999999999997</v>
      </c>
      <c r="V1091" s="6">
        <f t="shared" si="48"/>
        <v>65359.56</v>
      </c>
      <c r="W1091" s="6" t="str">
        <f t="shared" si="49"/>
        <v>Sufficient</v>
      </c>
      <c r="X1091" s="8" t="str">
        <f t="shared" si="50"/>
        <v>High</v>
      </c>
    </row>
    <row r="1092" spans="1:24">
      <c r="A1092" s="7" t="s">
        <v>1222</v>
      </c>
      <c r="B1092" s="1" t="s">
        <v>66</v>
      </c>
      <c r="C1092" s="1">
        <v>92</v>
      </c>
      <c r="D1092" s="1">
        <v>31</v>
      </c>
      <c r="E1092" s="1">
        <v>8</v>
      </c>
      <c r="F1092" s="1">
        <v>9</v>
      </c>
      <c r="G1092" s="1">
        <v>11.73</v>
      </c>
      <c r="H1092" s="1" t="s">
        <v>151</v>
      </c>
      <c r="I1092" s="1" t="s">
        <v>39</v>
      </c>
      <c r="J1092" s="1">
        <v>122</v>
      </c>
      <c r="K1092" s="1">
        <v>2.06</v>
      </c>
      <c r="L1092" s="4">
        <v>153.29</v>
      </c>
      <c r="M1092" s="1">
        <v>1.97</v>
      </c>
      <c r="N1092" s="1">
        <v>2</v>
      </c>
      <c r="O1092" s="1">
        <v>0.96</v>
      </c>
      <c r="P1092" s="1">
        <v>580</v>
      </c>
      <c r="Q1092" s="1">
        <v>3.67</v>
      </c>
      <c r="R1092" s="1">
        <v>0.56999999999999995</v>
      </c>
      <c r="S1092" s="2">
        <v>45347</v>
      </c>
      <c r="T1092" s="1">
        <v>30.22</v>
      </c>
      <c r="U1092" s="1">
        <v>0.51800000000000002</v>
      </c>
      <c r="V1092" s="6">
        <f t="shared" ref="V1092:V1155" si="51">C1092*L1092</f>
        <v>14102.679999999998</v>
      </c>
      <c r="W1092" s="6" t="str">
        <f t="shared" ref="W1092:W1155" si="52">IF(C1092&lt;=D1092,"Reorder Required","Sufficient")</f>
        <v>Sufficient</v>
      </c>
      <c r="X1092" s="8" t="str">
        <f t="shared" ref="X1092:X1155" si="53">IF(C1092&lt;100,"LOW",IF(C1092&lt;250,"Medium","High"))</f>
        <v>LOW</v>
      </c>
    </row>
    <row r="1093" spans="1:24">
      <c r="A1093" s="7" t="s">
        <v>1223</v>
      </c>
      <c r="B1093" s="1" t="s">
        <v>29</v>
      </c>
      <c r="C1093" s="1">
        <v>430</v>
      </c>
      <c r="D1093" s="1">
        <v>27</v>
      </c>
      <c r="E1093" s="1">
        <v>13</v>
      </c>
      <c r="F1093" s="1">
        <v>5</v>
      </c>
      <c r="G1093" s="1">
        <v>29.31</v>
      </c>
      <c r="H1093" s="1" t="s">
        <v>470</v>
      </c>
      <c r="I1093" s="1" t="s">
        <v>31</v>
      </c>
      <c r="J1093" s="1">
        <v>120</v>
      </c>
      <c r="K1093" s="1">
        <v>2.76</v>
      </c>
      <c r="L1093" s="4">
        <v>179.58</v>
      </c>
      <c r="M1093" s="1">
        <v>0.83</v>
      </c>
      <c r="N1093" s="1">
        <v>8</v>
      </c>
      <c r="O1093" s="1">
        <v>0.72</v>
      </c>
      <c r="P1093" s="1">
        <v>162</v>
      </c>
      <c r="Q1093" s="1">
        <v>5.97</v>
      </c>
      <c r="R1093" s="1">
        <v>0.82</v>
      </c>
      <c r="S1093" s="2">
        <v>45371</v>
      </c>
      <c r="T1093" s="1">
        <v>171.5</v>
      </c>
      <c r="U1093" s="1">
        <v>0.54500000000000004</v>
      </c>
      <c r="V1093" s="6">
        <f t="shared" si="51"/>
        <v>77219.400000000009</v>
      </c>
      <c r="W1093" s="6" t="str">
        <f t="shared" si="52"/>
        <v>Sufficient</v>
      </c>
      <c r="X1093" s="8" t="str">
        <f t="shared" si="53"/>
        <v>High</v>
      </c>
    </row>
    <row r="1094" spans="1:24">
      <c r="A1094" s="7" t="s">
        <v>1224</v>
      </c>
      <c r="B1094" s="1" t="s">
        <v>33</v>
      </c>
      <c r="C1094" s="1">
        <v>429</v>
      </c>
      <c r="D1094" s="1">
        <v>21</v>
      </c>
      <c r="E1094" s="1">
        <v>12</v>
      </c>
      <c r="F1094" s="1">
        <v>7</v>
      </c>
      <c r="G1094" s="1">
        <v>4.1900000000000004</v>
      </c>
      <c r="H1094" s="1" t="s">
        <v>85</v>
      </c>
      <c r="I1094" s="1" t="s">
        <v>27</v>
      </c>
      <c r="J1094" s="1">
        <v>62</v>
      </c>
      <c r="K1094" s="1">
        <v>3.24</v>
      </c>
      <c r="L1094" s="4">
        <v>75.3</v>
      </c>
      <c r="M1094" s="1">
        <v>1.92</v>
      </c>
      <c r="N1094" s="1">
        <v>2</v>
      </c>
      <c r="O1094" s="1">
        <v>0.78</v>
      </c>
      <c r="P1094" s="1">
        <v>938</v>
      </c>
      <c r="Q1094" s="1">
        <v>5.48</v>
      </c>
      <c r="R1094" s="1">
        <v>0.64</v>
      </c>
      <c r="S1094" s="2">
        <v>45346</v>
      </c>
      <c r="T1094" s="1">
        <v>284.05</v>
      </c>
      <c r="U1094" s="1">
        <v>0.52500000000000002</v>
      </c>
      <c r="V1094" s="6">
        <f t="shared" si="51"/>
        <v>32303.699999999997</v>
      </c>
      <c r="W1094" s="6" t="str">
        <f t="shared" si="52"/>
        <v>Sufficient</v>
      </c>
      <c r="X1094" s="8" t="str">
        <f t="shared" si="53"/>
        <v>High</v>
      </c>
    </row>
    <row r="1095" spans="1:24">
      <c r="A1095" s="7" t="s">
        <v>1225</v>
      </c>
      <c r="B1095" s="1" t="s">
        <v>41</v>
      </c>
      <c r="C1095" s="1">
        <v>422</v>
      </c>
      <c r="D1095" s="1">
        <v>61</v>
      </c>
      <c r="E1095" s="1">
        <v>13</v>
      </c>
      <c r="F1095" s="1">
        <v>4</v>
      </c>
      <c r="G1095" s="1">
        <v>22.28</v>
      </c>
      <c r="H1095" s="1" t="s">
        <v>128</v>
      </c>
      <c r="I1095" s="1" t="s">
        <v>45</v>
      </c>
      <c r="J1095" s="1">
        <v>146</v>
      </c>
      <c r="K1095" s="1">
        <v>2.7</v>
      </c>
      <c r="L1095" s="4">
        <v>45.06</v>
      </c>
      <c r="M1095" s="1">
        <v>1.27</v>
      </c>
      <c r="N1095" s="1">
        <v>9</v>
      </c>
      <c r="O1095" s="1">
        <v>0.99</v>
      </c>
      <c r="P1095" s="1">
        <v>774</v>
      </c>
      <c r="Q1095" s="1">
        <v>14.82</v>
      </c>
      <c r="R1095" s="1">
        <v>0.73</v>
      </c>
      <c r="S1095" s="2">
        <v>45376</v>
      </c>
      <c r="T1095" s="1">
        <v>248.45</v>
      </c>
      <c r="U1095" s="1">
        <v>0.63500000000000001</v>
      </c>
      <c r="V1095" s="6">
        <f t="shared" si="51"/>
        <v>19015.32</v>
      </c>
      <c r="W1095" s="6" t="str">
        <f t="shared" si="52"/>
        <v>Sufficient</v>
      </c>
      <c r="X1095" s="8" t="str">
        <f t="shared" si="53"/>
        <v>High</v>
      </c>
    </row>
    <row r="1096" spans="1:24">
      <c r="A1096" s="7" t="s">
        <v>1226</v>
      </c>
      <c r="B1096" s="1" t="s">
        <v>41</v>
      </c>
      <c r="C1096" s="1">
        <v>267</v>
      </c>
      <c r="D1096" s="1">
        <v>60</v>
      </c>
      <c r="E1096" s="1">
        <v>3</v>
      </c>
      <c r="F1096" s="1">
        <v>4</v>
      </c>
      <c r="G1096" s="1">
        <v>7.63</v>
      </c>
      <c r="H1096" s="1" t="s">
        <v>185</v>
      </c>
      <c r="I1096" s="1" t="s">
        <v>39</v>
      </c>
      <c r="J1096" s="1">
        <v>142</v>
      </c>
      <c r="K1096" s="1">
        <v>3.07</v>
      </c>
      <c r="L1096" s="4">
        <v>14.14</v>
      </c>
      <c r="M1096" s="1">
        <v>1.07</v>
      </c>
      <c r="N1096" s="1">
        <v>0</v>
      </c>
      <c r="O1096" s="1">
        <v>0.77</v>
      </c>
      <c r="P1096" s="1">
        <v>579</v>
      </c>
      <c r="Q1096" s="1">
        <v>9.9499999999999993</v>
      </c>
      <c r="R1096" s="1">
        <v>0.42</v>
      </c>
      <c r="S1096" s="2">
        <v>45522</v>
      </c>
      <c r="T1096" s="1">
        <v>207.44</v>
      </c>
      <c r="U1096" s="1">
        <v>0.66400000000000003</v>
      </c>
      <c r="V1096" s="6">
        <f t="shared" si="51"/>
        <v>3775.38</v>
      </c>
      <c r="W1096" s="6" t="str">
        <f t="shared" si="52"/>
        <v>Sufficient</v>
      </c>
      <c r="X1096" s="8" t="str">
        <f t="shared" si="53"/>
        <v>High</v>
      </c>
    </row>
    <row r="1097" spans="1:24">
      <c r="A1097" s="7" t="s">
        <v>1227</v>
      </c>
      <c r="B1097" s="1" t="s">
        <v>33</v>
      </c>
      <c r="C1097" s="1">
        <v>367</v>
      </c>
      <c r="D1097" s="1">
        <v>80</v>
      </c>
      <c r="E1097" s="1">
        <v>6</v>
      </c>
      <c r="F1097" s="1">
        <v>4</v>
      </c>
      <c r="G1097" s="1">
        <v>14.36</v>
      </c>
      <c r="H1097" s="1" t="s">
        <v>181</v>
      </c>
      <c r="I1097" s="1" t="s">
        <v>45</v>
      </c>
      <c r="J1097" s="1">
        <v>125</v>
      </c>
      <c r="K1097" s="1">
        <v>1</v>
      </c>
      <c r="L1097" s="4">
        <v>58.55</v>
      </c>
      <c r="M1097" s="1">
        <v>0.68</v>
      </c>
      <c r="N1097" s="1">
        <v>2</v>
      </c>
      <c r="O1097" s="1">
        <v>0.74</v>
      </c>
      <c r="P1097" s="1">
        <v>695</v>
      </c>
      <c r="Q1097" s="1">
        <v>7.89</v>
      </c>
      <c r="R1097" s="1">
        <v>0.46</v>
      </c>
      <c r="S1097" s="2">
        <v>45530</v>
      </c>
      <c r="T1097" s="1">
        <v>258.33999999999997</v>
      </c>
      <c r="U1097" s="1">
        <v>0.63700000000000001</v>
      </c>
      <c r="V1097" s="6">
        <f t="shared" si="51"/>
        <v>21487.85</v>
      </c>
      <c r="W1097" s="6" t="str">
        <f t="shared" si="52"/>
        <v>Sufficient</v>
      </c>
      <c r="X1097" s="8" t="str">
        <f t="shared" si="53"/>
        <v>High</v>
      </c>
    </row>
    <row r="1098" spans="1:24">
      <c r="A1098" s="7" t="s">
        <v>1228</v>
      </c>
      <c r="B1098" s="1" t="s">
        <v>41</v>
      </c>
      <c r="C1098" s="1">
        <v>292</v>
      </c>
      <c r="D1098" s="1">
        <v>57</v>
      </c>
      <c r="E1098" s="1">
        <v>10</v>
      </c>
      <c r="F1098" s="1">
        <v>5</v>
      </c>
      <c r="G1098" s="1">
        <v>10.35</v>
      </c>
      <c r="H1098" s="1" t="s">
        <v>70</v>
      </c>
      <c r="I1098" s="1" t="s">
        <v>31</v>
      </c>
      <c r="J1098" s="1">
        <v>81</v>
      </c>
      <c r="K1098" s="1">
        <v>2.44</v>
      </c>
      <c r="L1098" s="4">
        <v>79.760000000000005</v>
      </c>
      <c r="M1098" s="1">
        <v>1.67</v>
      </c>
      <c r="N1098" s="1">
        <v>1</v>
      </c>
      <c r="O1098" s="1">
        <v>0.96</v>
      </c>
      <c r="P1098" s="1">
        <v>852</v>
      </c>
      <c r="Q1098" s="1">
        <v>8.19</v>
      </c>
      <c r="R1098" s="1">
        <v>0.61</v>
      </c>
      <c r="S1098" s="2">
        <v>45452</v>
      </c>
      <c r="T1098" s="1">
        <v>205.25</v>
      </c>
      <c r="U1098" s="1">
        <v>0.63600000000000001</v>
      </c>
      <c r="V1098" s="6">
        <f t="shared" si="51"/>
        <v>23289.920000000002</v>
      </c>
      <c r="W1098" s="6" t="str">
        <f t="shared" si="52"/>
        <v>Sufficient</v>
      </c>
      <c r="X1098" s="8" t="str">
        <f t="shared" si="53"/>
        <v>High</v>
      </c>
    </row>
    <row r="1099" spans="1:24">
      <c r="A1099" s="7" t="s">
        <v>1229</v>
      </c>
      <c r="B1099" s="1" t="s">
        <v>25</v>
      </c>
      <c r="C1099" s="1">
        <v>62</v>
      </c>
      <c r="D1099" s="1">
        <v>28</v>
      </c>
      <c r="E1099" s="1">
        <v>12</v>
      </c>
      <c r="F1099" s="1">
        <v>4</v>
      </c>
      <c r="G1099" s="1">
        <v>44.27</v>
      </c>
      <c r="H1099" s="1" t="s">
        <v>122</v>
      </c>
      <c r="I1099" s="1" t="s">
        <v>45</v>
      </c>
      <c r="J1099" s="1">
        <v>30</v>
      </c>
      <c r="K1099" s="1">
        <v>1.76</v>
      </c>
      <c r="L1099" s="4">
        <v>189.75</v>
      </c>
      <c r="M1099" s="1">
        <v>1.67</v>
      </c>
      <c r="N1099" s="1">
        <v>8</v>
      </c>
      <c r="O1099" s="1">
        <v>0.74</v>
      </c>
      <c r="P1099" s="1">
        <v>575</v>
      </c>
      <c r="Q1099" s="1">
        <v>9.4600000000000009</v>
      </c>
      <c r="R1099" s="1">
        <v>0.36</v>
      </c>
      <c r="S1099" s="2">
        <v>45500</v>
      </c>
      <c r="T1099" s="1">
        <v>25.94</v>
      </c>
      <c r="U1099" s="1">
        <v>0.41899999999999998</v>
      </c>
      <c r="V1099" s="6">
        <f t="shared" si="51"/>
        <v>11764.5</v>
      </c>
      <c r="W1099" s="6" t="str">
        <f t="shared" si="52"/>
        <v>Sufficient</v>
      </c>
      <c r="X1099" s="8" t="str">
        <f t="shared" si="53"/>
        <v>LOW</v>
      </c>
    </row>
    <row r="1100" spans="1:24">
      <c r="A1100" s="7" t="s">
        <v>1230</v>
      </c>
      <c r="B1100" s="1" t="s">
        <v>66</v>
      </c>
      <c r="C1100" s="1">
        <v>396</v>
      </c>
      <c r="D1100" s="1">
        <v>15</v>
      </c>
      <c r="E1100" s="1">
        <v>7</v>
      </c>
      <c r="F1100" s="1">
        <v>7</v>
      </c>
      <c r="G1100" s="1">
        <v>35.69</v>
      </c>
      <c r="H1100" s="1" t="s">
        <v>141</v>
      </c>
      <c r="I1100" s="1" t="s">
        <v>39</v>
      </c>
      <c r="J1100" s="1">
        <v>112</v>
      </c>
      <c r="K1100" s="1">
        <v>0.89</v>
      </c>
      <c r="L1100" s="4">
        <v>103.36</v>
      </c>
      <c r="M1100" s="1">
        <v>0.89</v>
      </c>
      <c r="N1100" s="1">
        <v>0</v>
      </c>
      <c r="O1100" s="1">
        <v>0.73</v>
      </c>
      <c r="P1100" s="1">
        <v>113</v>
      </c>
      <c r="Q1100" s="1">
        <v>13.22</v>
      </c>
      <c r="R1100" s="1">
        <v>0.3</v>
      </c>
      <c r="S1100" s="2">
        <v>45353</v>
      </c>
      <c r="T1100" s="1">
        <v>111.75</v>
      </c>
      <c r="U1100" s="1">
        <v>0.69299999999999995</v>
      </c>
      <c r="V1100" s="6">
        <f t="shared" si="51"/>
        <v>40930.559999999998</v>
      </c>
      <c r="W1100" s="6" t="str">
        <f t="shared" si="52"/>
        <v>Sufficient</v>
      </c>
      <c r="X1100" s="8" t="str">
        <f t="shared" si="53"/>
        <v>High</v>
      </c>
    </row>
    <row r="1101" spans="1:24">
      <c r="A1101" s="7" t="s">
        <v>1231</v>
      </c>
      <c r="B1101" s="1" t="s">
        <v>25</v>
      </c>
      <c r="C1101" s="1">
        <v>60</v>
      </c>
      <c r="D1101" s="1">
        <v>93</v>
      </c>
      <c r="E1101" s="1">
        <v>11</v>
      </c>
      <c r="F1101" s="1">
        <v>9</v>
      </c>
      <c r="G1101" s="1">
        <v>43.55</v>
      </c>
      <c r="H1101" s="1" t="s">
        <v>59</v>
      </c>
      <c r="I1101" s="1" t="s">
        <v>39</v>
      </c>
      <c r="J1101" s="1">
        <v>116</v>
      </c>
      <c r="K1101" s="1">
        <v>1.36</v>
      </c>
      <c r="L1101" s="4">
        <v>115.72</v>
      </c>
      <c r="M1101" s="1">
        <v>1.48</v>
      </c>
      <c r="N1101" s="1">
        <v>1</v>
      </c>
      <c r="O1101" s="1">
        <v>0.8</v>
      </c>
      <c r="P1101" s="1">
        <v>442</v>
      </c>
      <c r="Q1101" s="1">
        <v>3.04</v>
      </c>
      <c r="R1101" s="1">
        <v>0.88</v>
      </c>
      <c r="S1101" s="2">
        <v>45566</v>
      </c>
      <c r="T1101" s="1">
        <v>133.87</v>
      </c>
      <c r="U1101" s="1">
        <v>0.60899999999999999</v>
      </c>
      <c r="V1101" s="6">
        <f t="shared" si="51"/>
        <v>6943.2</v>
      </c>
      <c r="W1101" s="6" t="str">
        <f t="shared" si="52"/>
        <v>Reorder Required</v>
      </c>
      <c r="X1101" s="8" t="str">
        <f t="shared" si="53"/>
        <v>LOW</v>
      </c>
    </row>
    <row r="1102" spans="1:24">
      <c r="A1102" s="7" t="s">
        <v>1232</v>
      </c>
      <c r="B1102" s="1" t="s">
        <v>41</v>
      </c>
      <c r="C1102" s="1">
        <v>189</v>
      </c>
      <c r="D1102" s="1">
        <v>36</v>
      </c>
      <c r="E1102" s="1">
        <v>13</v>
      </c>
      <c r="F1102" s="1">
        <v>5</v>
      </c>
      <c r="G1102" s="1">
        <v>19.79</v>
      </c>
      <c r="H1102" s="1" t="s">
        <v>156</v>
      </c>
      <c r="I1102" s="1" t="s">
        <v>39</v>
      </c>
      <c r="J1102" s="1">
        <v>72</v>
      </c>
      <c r="K1102" s="1">
        <v>3.21</v>
      </c>
      <c r="L1102" s="4">
        <v>177.22</v>
      </c>
      <c r="M1102" s="1">
        <v>0.95</v>
      </c>
      <c r="N1102" s="1">
        <v>0</v>
      </c>
      <c r="O1102" s="1">
        <v>0.89</v>
      </c>
      <c r="P1102" s="1">
        <v>724</v>
      </c>
      <c r="Q1102" s="1">
        <v>9.39</v>
      </c>
      <c r="R1102" s="1">
        <v>0.82</v>
      </c>
      <c r="S1102" s="2">
        <v>45475</v>
      </c>
      <c r="T1102" s="1">
        <v>168.45</v>
      </c>
      <c r="U1102" s="1">
        <v>0.77200000000000002</v>
      </c>
      <c r="V1102" s="6">
        <f t="shared" si="51"/>
        <v>33494.58</v>
      </c>
      <c r="W1102" s="6" t="str">
        <f t="shared" si="52"/>
        <v>Sufficient</v>
      </c>
      <c r="X1102" s="8" t="str">
        <f t="shared" si="53"/>
        <v>Medium</v>
      </c>
    </row>
    <row r="1103" spans="1:24">
      <c r="A1103" s="7" t="s">
        <v>1233</v>
      </c>
      <c r="B1103" s="1" t="s">
        <v>29</v>
      </c>
      <c r="C1103" s="1">
        <v>453</v>
      </c>
      <c r="D1103" s="1">
        <v>62</v>
      </c>
      <c r="E1103" s="1">
        <v>13</v>
      </c>
      <c r="F1103" s="1">
        <v>4</v>
      </c>
      <c r="G1103" s="1">
        <v>16.36</v>
      </c>
      <c r="H1103" s="1" t="s">
        <v>79</v>
      </c>
      <c r="I1103" s="1" t="s">
        <v>27</v>
      </c>
      <c r="J1103" s="1">
        <v>157</v>
      </c>
      <c r="K1103" s="1">
        <v>1.39</v>
      </c>
      <c r="L1103" s="4">
        <v>178.16</v>
      </c>
      <c r="M1103" s="1">
        <v>1.51</v>
      </c>
      <c r="N1103" s="1">
        <v>8</v>
      </c>
      <c r="O1103" s="1">
        <v>0.91</v>
      </c>
      <c r="P1103" s="1">
        <v>819</v>
      </c>
      <c r="Q1103" s="1">
        <v>5.51</v>
      </c>
      <c r="R1103" s="1">
        <v>0.95</v>
      </c>
      <c r="S1103" s="2">
        <v>45398</v>
      </c>
      <c r="T1103" s="1">
        <v>76.599999999999994</v>
      </c>
      <c r="U1103" s="1">
        <v>0.53400000000000003</v>
      </c>
      <c r="V1103" s="6">
        <f t="shared" si="51"/>
        <v>80706.48</v>
      </c>
      <c r="W1103" s="6" t="str">
        <f t="shared" si="52"/>
        <v>Sufficient</v>
      </c>
      <c r="X1103" s="8" t="str">
        <f t="shared" si="53"/>
        <v>High</v>
      </c>
    </row>
    <row r="1104" spans="1:24">
      <c r="A1104" s="7" t="s">
        <v>1234</v>
      </c>
      <c r="B1104" s="1" t="s">
        <v>66</v>
      </c>
      <c r="C1104" s="1">
        <v>231</v>
      </c>
      <c r="D1104" s="1">
        <v>57</v>
      </c>
      <c r="E1104" s="1">
        <v>8</v>
      </c>
      <c r="F1104" s="1">
        <v>2</v>
      </c>
      <c r="G1104" s="1">
        <v>19.649999999999999</v>
      </c>
      <c r="H1104" s="1" t="s">
        <v>61</v>
      </c>
      <c r="I1104" s="1" t="s">
        <v>45</v>
      </c>
      <c r="J1104" s="1">
        <v>159</v>
      </c>
      <c r="K1104" s="1">
        <v>1.31</v>
      </c>
      <c r="L1104" s="4">
        <v>110.3</v>
      </c>
      <c r="M1104" s="1">
        <v>1.99</v>
      </c>
      <c r="N1104" s="1">
        <v>6</v>
      </c>
      <c r="O1104" s="1">
        <v>0.96</v>
      </c>
      <c r="P1104" s="1">
        <v>548</v>
      </c>
      <c r="Q1104" s="1">
        <v>9</v>
      </c>
      <c r="R1104" s="1">
        <v>0.67</v>
      </c>
      <c r="S1104" s="2">
        <v>45523</v>
      </c>
      <c r="T1104" s="1">
        <v>265.54000000000002</v>
      </c>
      <c r="U1104" s="1">
        <v>0.52700000000000002</v>
      </c>
      <c r="V1104" s="6">
        <f t="shared" si="51"/>
        <v>25479.3</v>
      </c>
      <c r="W1104" s="6" t="str">
        <f t="shared" si="52"/>
        <v>Sufficient</v>
      </c>
      <c r="X1104" s="8" t="str">
        <f t="shared" si="53"/>
        <v>Medium</v>
      </c>
    </row>
    <row r="1105" spans="1:24">
      <c r="A1105" s="7" t="s">
        <v>1235</v>
      </c>
      <c r="B1105" s="1" t="s">
        <v>66</v>
      </c>
      <c r="C1105" s="1">
        <v>187</v>
      </c>
      <c r="D1105" s="1">
        <v>16</v>
      </c>
      <c r="E1105" s="1">
        <v>3</v>
      </c>
      <c r="F1105" s="1">
        <v>2</v>
      </c>
      <c r="G1105" s="1">
        <v>1.91</v>
      </c>
      <c r="H1105" s="1" t="s">
        <v>30</v>
      </c>
      <c r="I1105" s="1" t="s">
        <v>27</v>
      </c>
      <c r="J1105" s="1">
        <v>86</v>
      </c>
      <c r="K1105" s="1">
        <v>2.99</v>
      </c>
      <c r="L1105" s="4">
        <v>31.6</v>
      </c>
      <c r="M1105" s="1">
        <v>0.6</v>
      </c>
      <c r="N1105" s="1">
        <v>0</v>
      </c>
      <c r="O1105" s="1">
        <v>0.86</v>
      </c>
      <c r="P1105" s="1">
        <v>567</v>
      </c>
      <c r="Q1105" s="1">
        <v>8.25</v>
      </c>
      <c r="R1105" s="1">
        <v>0.54</v>
      </c>
      <c r="S1105" s="2">
        <v>45449</v>
      </c>
      <c r="T1105" s="1">
        <v>76.319999999999993</v>
      </c>
      <c r="U1105" s="1">
        <v>0.73</v>
      </c>
      <c r="V1105" s="6">
        <f t="shared" si="51"/>
        <v>5909.2</v>
      </c>
      <c r="W1105" s="6" t="str">
        <f t="shared" si="52"/>
        <v>Sufficient</v>
      </c>
      <c r="X1105" s="8" t="str">
        <f t="shared" si="53"/>
        <v>Medium</v>
      </c>
    </row>
    <row r="1106" spans="1:24">
      <c r="A1106" s="7" t="s">
        <v>1236</v>
      </c>
      <c r="B1106" s="1" t="s">
        <v>33</v>
      </c>
      <c r="C1106" s="1">
        <v>58</v>
      </c>
      <c r="D1106" s="1">
        <v>68</v>
      </c>
      <c r="E1106" s="1">
        <v>8</v>
      </c>
      <c r="F1106" s="1">
        <v>3</v>
      </c>
      <c r="G1106" s="1">
        <v>36.51</v>
      </c>
      <c r="H1106" s="1" t="s">
        <v>55</v>
      </c>
      <c r="I1106" s="1" t="s">
        <v>39</v>
      </c>
      <c r="J1106" s="1">
        <v>84</v>
      </c>
      <c r="K1106" s="1">
        <v>4.57</v>
      </c>
      <c r="L1106" s="4">
        <v>61.4</v>
      </c>
      <c r="M1106" s="1">
        <v>1.3</v>
      </c>
      <c r="N1106" s="1">
        <v>9</v>
      </c>
      <c r="O1106" s="1">
        <v>0.82</v>
      </c>
      <c r="P1106" s="1">
        <v>404</v>
      </c>
      <c r="Q1106" s="1">
        <v>1.42</v>
      </c>
      <c r="R1106" s="1">
        <v>0.28000000000000003</v>
      </c>
      <c r="S1106" s="2">
        <v>45529</v>
      </c>
      <c r="T1106" s="1">
        <v>200.7</v>
      </c>
      <c r="U1106" s="1">
        <v>0.32900000000000001</v>
      </c>
      <c r="V1106" s="6">
        <f t="shared" si="51"/>
        <v>3561.2</v>
      </c>
      <c r="W1106" s="6" t="str">
        <f t="shared" si="52"/>
        <v>Reorder Required</v>
      </c>
      <c r="X1106" s="8" t="str">
        <f t="shared" si="53"/>
        <v>LOW</v>
      </c>
    </row>
    <row r="1107" spans="1:24">
      <c r="A1107" s="7" t="s">
        <v>1237</v>
      </c>
      <c r="B1107" s="1" t="s">
        <v>33</v>
      </c>
      <c r="C1107" s="1">
        <v>388</v>
      </c>
      <c r="D1107" s="1">
        <v>78</v>
      </c>
      <c r="E1107" s="1">
        <v>8</v>
      </c>
      <c r="F1107" s="1">
        <v>4</v>
      </c>
      <c r="G1107" s="1">
        <v>18.14</v>
      </c>
      <c r="H1107" s="1" t="s">
        <v>44</v>
      </c>
      <c r="I1107" s="1" t="s">
        <v>39</v>
      </c>
      <c r="J1107" s="1">
        <v>167</v>
      </c>
      <c r="K1107" s="1">
        <v>4.05</v>
      </c>
      <c r="L1107" s="4">
        <v>96.81</v>
      </c>
      <c r="M1107" s="1">
        <v>0.82</v>
      </c>
      <c r="N1107" s="1">
        <v>5</v>
      </c>
      <c r="O1107" s="1">
        <v>0.81</v>
      </c>
      <c r="P1107" s="1">
        <v>682</v>
      </c>
      <c r="Q1107" s="1">
        <v>9.15</v>
      </c>
      <c r="R1107" s="1">
        <v>0.88</v>
      </c>
      <c r="S1107" s="2">
        <v>45427</v>
      </c>
      <c r="T1107" s="1">
        <v>264.22000000000003</v>
      </c>
      <c r="U1107" s="1">
        <v>0.67800000000000005</v>
      </c>
      <c r="V1107" s="6">
        <f t="shared" si="51"/>
        <v>37562.28</v>
      </c>
      <c r="W1107" s="6" t="str">
        <f t="shared" si="52"/>
        <v>Sufficient</v>
      </c>
      <c r="X1107" s="8" t="str">
        <f t="shared" si="53"/>
        <v>High</v>
      </c>
    </row>
    <row r="1108" spans="1:24">
      <c r="A1108" s="7" t="s">
        <v>1238</v>
      </c>
      <c r="B1108" s="1" t="s">
        <v>29</v>
      </c>
      <c r="C1108" s="1">
        <v>264</v>
      </c>
      <c r="D1108" s="1">
        <v>20</v>
      </c>
      <c r="E1108" s="1">
        <v>8</v>
      </c>
      <c r="F1108" s="1">
        <v>4</v>
      </c>
      <c r="G1108" s="1">
        <v>16.350000000000001</v>
      </c>
      <c r="H1108" s="1" t="s">
        <v>183</v>
      </c>
      <c r="I1108" s="1" t="s">
        <v>31</v>
      </c>
      <c r="J1108" s="1">
        <v>72</v>
      </c>
      <c r="K1108" s="1">
        <v>4.57</v>
      </c>
      <c r="L1108" s="4">
        <v>152.72</v>
      </c>
      <c r="M1108" s="1">
        <v>1.1399999999999999</v>
      </c>
      <c r="N1108" s="1">
        <v>4</v>
      </c>
      <c r="O1108" s="1">
        <v>0.95</v>
      </c>
      <c r="P1108" s="1">
        <v>202</v>
      </c>
      <c r="Q1108" s="1">
        <v>10.93</v>
      </c>
      <c r="R1108" s="1">
        <v>0.56999999999999995</v>
      </c>
      <c r="S1108" s="2">
        <v>45353</v>
      </c>
      <c r="T1108" s="1">
        <v>222.52</v>
      </c>
      <c r="U1108" s="1">
        <v>0.65600000000000003</v>
      </c>
      <c r="V1108" s="6">
        <f t="shared" si="51"/>
        <v>40318.080000000002</v>
      </c>
      <c r="W1108" s="6" t="str">
        <f t="shared" si="52"/>
        <v>Sufficient</v>
      </c>
      <c r="X1108" s="8" t="str">
        <f t="shared" si="53"/>
        <v>High</v>
      </c>
    </row>
    <row r="1109" spans="1:24">
      <c r="A1109" s="7" t="s">
        <v>1239</v>
      </c>
      <c r="B1109" s="1" t="s">
        <v>66</v>
      </c>
      <c r="C1109" s="1">
        <v>170</v>
      </c>
      <c r="D1109" s="1">
        <v>24</v>
      </c>
      <c r="E1109" s="1">
        <v>10</v>
      </c>
      <c r="F1109" s="1">
        <v>5</v>
      </c>
      <c r="G1109" s="1">
        <v>30.31</v>
      </c>
      <c r="H1109" s="1" t="s">
        <v>106</v>
      </c>
      <c r="I1109" s="1" t="s">
        <v>31</v>
      </c>
      <c r="J1109" s="1">
        <v>76</v>
      </c>
      <c r="K1109" s="1">
        <v>3.12</v>
      </c>
      <c r="L1109" s="4">
        <v>145.22</v>
      </c>
      <c r="M1109" s="1">
        <v>1.76</v>
      </c>
      <c r="N1109" s="1">
        <v>9</v>
      </c>
      <c r="O1109" s="1">
        <v>0.92</v>
      </c>
      <c r="P1109" s="1">
        <v>378</v>
      </c>
      <c r="Q1109" s="1">
        <v>4.4400000000000004</v>
      </c>
      <c r="R1109" s="1">
        <v>0.65</v>
      </c>
      <c r="S1109" s="2">
        <v>45338</v>
      </c>
      <c r="T1109" s="1">
        <v>49.44</v>
      </c>
      <c r="U1109" s="1">
        <v>0.41699999999999998</v>
      </c>
      <c r="V1109" s="6">
        <f t="shared" si="51"/>
        <v>24687.4</v>
      </c>
      <c r="W1109" s="6" t="str">
        <f t="shared" si="52"/>
        <v>Sufficient</v>
      </c>
      <c r="X1109" s="8" t="str">
        <f t="shared" si="53"/>
        <v>Medium</v>
      </c>
    </row>
    <row r="1110" spans="1:24">
      <c r="A1110" s="7" t="s">
        <v>1240</v>
      </c>
      <c r="B1110" s="1" t="s">
        <v>29</v>
      </c>
      <c r="C1110" s="1">
        <v>130</v>
      </c>
      <c r="D1110" s="1">
        <v>73</v>
      </c>
      <c r="E1110" s="1">
        <v>8</v>
      </c>
      <c r="F1110" s="1">
        <v>5</v>
      </c>
      <c r="G1110" s="1">
        <v>22.38</v>
      </c>
      <c r="H1110" s="1" t="s">
        <v>178</v>
      </c>
      <c r="I1110" s="1" t="s">
        <v>39</v>
      </c>
      <c r="J1110" s="1">
        <v>45</v>
      </c>
      <c r="K1110" s="1">
        <v>2.34</v>
      </c>
      <c r="L1110" s="4">
        <v>132.11000000000001</v>
      </c>
      <c r="M1110" s="1">
        <v>0.76</v>
      </c>
      <c r="N1110" s="1">
        <v>4</v>
      </c>
      <c r="O1110" s="1">
        <v>0.97</v>
      </c>
      <c r="P1110" s="1">
        <v>739</v>
      </c>
      <c r="Q1110" s="1">
        <v>2.5</v>
      </c>
      <c r="R1110" s="1">
        <v>0.45</v>
      </c>
      <c r="S1110" s="2">
        <v>45372</v>
      </c>
      <c r="T1110" s="1">
        <v>285.89999999999998</v>
      </c>
      <c r="U1110" s="1">
        <v>0.56100000000000005</v>
      </c>
      <c r="V1110" s="6">
        <f t="shared" si="51"/>
        <v>17174.300000000003</v>
      </c>
      <c r="W1110" s="6" t="str">
        <f t="shared" si="52"/>
        <v>Sufficient</v>
      </c>
      <c r="X1110" s="8" t="str">
        <f t="shared" si="53"/>
        <v>Medium</v>
      </c>
    </row>
    <row r="1111" spans="1:24">
      <c r="A1111" s="7" t="s">
        <v>1241</v>
      </c>
      <c r="B1111" s="1" t="s">
        <v>33</v>
      </c>
      <c r="C1111" s="1">
        <v>499</v>
      </c>
      <c r="D1111" s="1">
        <v>12</v>
      </c>
      <c r="E1111" s="1">
        <v>7</v>
      </c>
      <c r="F1111" s="1">
        <v>8</v>
      </c>
      <c r="G1111" s="1">
        <v>49.06</v>
      </c>
      <c r="H1111" s="1" t="s">
        <v>233</v>
      </c>
      <c r="I1111" s="1" t="s">
        <v>27</v>
      </c>
      <c r="J1111" s="1">
        <v>143</v>
      </c>
      <c r="K1111" s="1">
        <v>3.78</v>
      </c>
      <c r="L1111" s="4">
        <v>177.25</v>
      </c>
      <c r="M1111" s="1">
        <v>0.24</v>
      </c>
      <c r="N1111" s="1">
        <v>3</v>
      </c>
      <c r="O1111" s="1">
        <v>0.99</v>
      </c>
      <c r="P1111" s="1">
        <v>528</v>
      </c>
      <c r="Q1111" s="1">
        <v>3.96</v>
      </c>
      <c r="R1111" s="1">
        <v>0.62</v>
      </c>
      <c r="S1111" s="2">
        <v>45643</v>
      </c>
      <c r="T1111" s="1">
        <v>36.659999999999997</v>
      </c>
      <c r="U1111" s="1">
        <v>0.69099999999999995</v>
      </c>
      <c r="V1111" s="6">
        <f t="shared" si="51"/>
        <v>88447.75</v>
      </c>
      <c r="W1111" s="6" t="str">
        <f t="shared" si="52"/>
        <v>Sufficient</v>
      </c>
      <c r="X1111" s="8" t="str">
        <f t="shared" si="53"/>
        <v>High</v>
      </c>
    </row>
    <row r="1112" spans="1:24">
      <c r="A1112" s="7" t="s">
        <v>1242</v>
      </c>
      <c r="B1112" s="1" t="s">
        <v>33</v>
      </c>
      <c r="C1112" s="1">
        <v>455</v>
      </c>
      <c r="D1112" s="1">
        <v>78</v>
      </c>
      <c r="E1112" s="1">
        <v>13</v>
      </c>
      <c r="F1112" s="1">
        <v>9</v>
      </c>
      <c r="G1112" s="1">
        <v>18.46</v>
      </c>
      <c r="H1112" s="1" t="s">
        <v>185</v>
      </c>
      <c r="I1112" s="1" t="s">
        <v>27</v>
      </c>
      <c r="J1112" s="1">
        <v>46</v>
      </c>
      <c r="K1112" s="1">
        <v>1.68</v>
      </c>
      <c r="L1112" s="4">
        <v>162.5</v>
      </c>
      <c r="M1112" s="1">
        <v>1.62</v>
      </c>
      <c r="N1112" s="1">
        <v>2</v>
      </c>
      <c r="O1112" s="1">
        <v>0.79</v>
      </c>
      <c r="P1112" s="1">
        <v>440</v>
      </c>
      <c r="Q1112" s="1">
        <v>9.91</v>
      </c>
      <c r="R1112" s="1">
        <v>0.83</v>
      </c>
      <c r="S1112" s="2">
        <v>45447</v>
      </c>
      <c r="T1112" s="1">
        <v>68.02</v>
      </c>
      <c r="U1112" s="1">
        <v>0.65400000000000003</v>
      </c>
      <c r="V1112" s="6">
        <f t="shared" si="51"/>
        <v>73937.5</v>
      </c>
      <c r="W1112" s="6" t="str">
        <f t="shared" si="52"/>
        <v>Sufficient</v>
      </c>
      <c r="X1112" s="8" t="str">
        <f t="shared" si="53"/>
        <v>High</v>
      </c>
    </row>
    <row r="1113" spans="1:24">
      <c r="A1113" s="7" t="s">
        <v>1243</v>
      </c>
      <c r="B1113" s="1" t="s">
        <v>66</v>
      </c>
      <c r="C1113" s="1">
        <v>66</v>
      </c>
      <c r="D1113" s="1">
        <v>32</v>
      </c>
      <c r="E1113" s="1">
        <v>4</v>
      </c>
      <c r="F1113" s="1">
        <v>4</v>
      </c>
      <c r="G1113" s="1">
        <v>31.08</v>
      </c>
      <c r="H1113" s="1" t="s">
        <v>210</v>
      </c>
      <c r="I1113" s="1" t="s">
        <v>39</v>
      </c>
      <c r="J1113" s="1">
        <v>102</v>
      </c>
      <c r="K1113" s="1">
        <v>0.85</v>
      </c>
      <c r="L1113" s="4">
        <v>196.6</v>
      </c>
      <c r="M1113" s="1">
        <v>1.1499999999999999</v>
      </c>
      <c r="N1113" s="1">
        <v>7</v>
      </c>
      <c r="O1113" s="1">
        <v>0.86</v>
      </c>
      <c r="P1113" s="1">
        <v>624</v>
      </c>
      <c r="Q1113" s="1">
        <v>7.56</v>
      </c>
      <c r="R1113" s="1">
        <v>0.77</v>
      </c>
      <c r="S1113" s="2">
        <v>45652</v>
      </c>
      <c r="T1113" s="1">
        <v>50.38</v>
      </c>
      <c r="U1113" s="1">
        <v>0.57199999999999995</v>
      </c>
      <c r="V1113" s="6">
        <f t="shared" si="51"/>
        <v>12975.6</v>
      </c>
      <c r="W1113" s="6" t="str">
        <f t="shared" si="52"/>
        <v>Sufficient</v>
      </c>
      <c r="X1113" s="8" t="str">
        <f t="shared" si="53"/>
        <v>LOW</v>
      </c>
    </row>
    <row r="1114" spans="1:24">
      <c r="A1114" s="7" t="s">
        <v>1244</v>
      </c>
      <c r="B1114" s="1" t="s">
        <v>25</v>
      </c>
      <c r="C1114" s="1">
        <v>82</v>
      </c>
      <c r="D1114" s="1">
        <v>62</v>
      </c>
      <c r="E1114" s="1">
        <v>6</v>
      </c>
      <c r="F1114" s="1">
        <v>3</v>
      </c>
      <c r="G1114" s="1">
        <v>16.27</v>
      </c>
      <c r="H1114" s="1" t="s">
        <v>189</v>
      </c>
      <c r="I1114" s="1" t="s">
        <v>45</v>
      </c>
      <c r="J1114" s="1">
        <v>84</v>
      </c>
      <c r="K1114" s="1">
        <v>2.0499999999999998</v>
      </c>
      <c r="L1114" s="4">
        <v>178.94</v>
      </c>
      <c r="M1114" s="1">
        <v>0.95</v>
      </c>
      <c r="N1114" s="1">
        <v>6</v>
      </c>
      <c r="O1114" s="1">
        <v>0.89</v>
      </c>
      <c r="P1114" s="1">
        <v>461</v>
      </c>
      <c r="Q1114" s="1">
        <v>13.11</v>
      </c>
      <c r="R1114" s="1">
        <v>0.99</v>
      </c>
      <c r="S1114" s="2">
        <v>45648</v>
      </c>
      <c r="T1114" s="1">
        <v>203.41</v>
      </c>
      <c r="U1114" s="1">
        <v>0.73599999999999999</v>
      </c>
      <c r="V1114" s="6">
        <f t="shared" si="51"/>
        <v>14673.08</v>
      </c>
      <c r="W1114" s="6" t="str">
        <f t="shared" si="52"/>
        <v>Sufficient</v>
      </c>
      <c r="X1114" s="8" t="str">
        <f t="shared" si="53"/>
        <v>LOW</v>
      </c>
    </row>
    <row r="1115" spans="1:24">
      <c r="A1115" s="7" t="s">
        <v>1245</v>
      </c>
      <c r="B1115" s="1" t="s">
        <v>41</v>
      </c>
      <c r="C1115" s="1">
        <v>244</v>
      </c>
      <c r="D1115" s="1">
        <v>46</v>
      </c>
      <c r="E1115" s="1">
        <v>12</v>
      </c>
      <c r="F1115" s="1">
        <v>9</v>
      </c>
      <c r="G1115" s="1">
        <v>49.54</v>
      </c>
      <c r="H1115" s="1" t="s">
        <v>331</v>
      </c>
      <c r="I1115" s="1" t="s">
        <v>27</v>
      </c>
      <c r="J1115" s="1">
        <v>175</v>
      </c>
      <c r="K1115" s="1">
        <v>1.85</v>
      </c>
      <c r="L1115" s="4">
        <v>47.17</v>
      </c>
      <c r="M1115" s="1">
        <v>0.45</v>
      </c>
      <c r="N1115" s="1">
        <v>4</v>
      </c>
      <c r="O1115" s="1">
        <v>0.75</v>
      </c>
      <c r="P1115" s="1">
        <v>307</v>
      </c>
      <c r="Q1115" s="1">
        <v>4.99</v>
      </c>
      <c r="R1115" s="1">
        <v>0.6</v>
      </c>
      <c r="S1115" s="2">
        <v>45600</v>
      </c>
      <c r="T1115" s="1">
        <v>244.15</v>
      </c>
      <c r="U1115" s="1">
        <v>0.61199999999999999</v>
      </c>
      <c r="V1115" s="6">
        <f t="shared" si="51"/>
        <v>11509.48</v>
      </c>
      <c r="W1115" s="6" t="str">
        <f t="shared" si="52"/>
        <v>Sufficient</v>
      </c>
      <c r="X1115" s="8" t="str">
        <f t="shared" si="53"/>
        <v>Medium</v>
      </c>
    </row>
    <row r="1116" spans="1:24">
      <c r="A1116" s="7" t="s">
        <v>1246</v>
      </c>
      <c r="B1116" s="1" t="s">
        <v>33</v>
      </c>
      <c r="C1116" s="1">
        <v>385</v>
      </c>
      <c r="D1116" s="1">
        <v>18</v>
      </c>
      <c r="E1116" s="1">
        <v>7</v>
      </c>
      <c r="F1116" s="1">
        <v>4</v>
      </c>
      <c r="G1116" s="1">
        <v>22.81</v>
      </c>
      <c r="H1116" s="1" t="s">
        <v>266</v>
      </c>
      <c r="I1116" s="1" t="s">
        <v>39</v>
      </c>
      <c r="J1116" s="1">
        <v>124</v>
      </c>
      <c r="K1116" s="1">
        <v>3.54</v>
      </c>
      <c r="L1116" s="4">
        <v>20.95</v>
      </c>
      <c r="M1116" s="1">
        <v>0.28000000000000003</v>
      </c>
      <c r="N1116" s="1">
        <v>8</v>
      </c>
      <c r="O1116" s="1">
        <v>0.72</v>
      </c>
      <c r="P1116" s="1">
        <v>626</v>
      </c>
      <c r="Q1116" s="1">
        <v>6.11</v>
      </c>
      <c r="R1116" s="1">
        <v>0.62</v>
      </c>
      <c r="S1116" s="2">
        <v>45312</v>
      </c>
      <c r="T1116" s="1">
        <v>79.02</v>
      </c>
      <c r="U1116" s="1">
        <v>0.56100000000000005</v>
      </c>
      <c r="V1116" s="6">
        <f t="shared" si="51"/>
        <v>8065.75</v>
      </c>
      <c r="W1116" s="6" t="str">
        <f t="shared" si="52"/>
        <v>Sufficient</v>
      </c>
      <c r="X1116" s="8" t="str">
        <f t="shared" si="53"/>
        <v>High</v>
      </c>
    </row>
    <row r="1117" spans="1:24">
      <c r="A1117" s="7" t="s">
        <v>1247</v>
      </c>
      <c r="B1117" s="1" t="s">
        <v>33</v>
      </c>
      <c r="C1117" s="1">
        <v>88</v>
      </c>
      <c r="D1117" s="1">
        <v>24</v>
      </c>
      <c r="E1117" s="1">
        <v>12</v>
      </c>
      <c r="F1117" s="1">
        <v>9</v>
      </c>
      <c r="G1117" s="1">
        <v>32.07</v>
      </c>
      <c r="H1117" s="1" t="s">
        <v>238</v>
      </c>
      <c r="I1117" s="1" t="s">
        <v>31</v>
      </c>
      <c r="J1117" s="1">
        <v>162</v>
      </c>
      <c r="K1117" s="1">
        <v>2.98</v>
      </c>
      <c r="L1117" s="4">
        <v>88.76</v>
      </c>
      <c r="M1117" s="1">
        <v>0.63</v>
      </c>
      <c r="N1117" s="1">
        <v>6</v>
      </c>
      <c r="O1117" s="1">
        <v>0.96</v>
      </c>
      <c r="P1117" s="1">
        <v>918</v>
      </c>
      <c r="Q1117" s="1">
        <v>8.39</v>
      </c>
      <c r="R1117" s="1">
        <v>0.24</v>
      </c>
      <c r="S1117" s="2">
        <v>45402</v>
      </c>
      <c r="T1117" s="1">
        <v>293.98</v>
      </c>
      <c r="U1117" s="1">
        <v>0.56899999999999995</v>
      </c>
      <c r="V1117" s="6">
        <f t="shared" si="51"/>
        <v>7810.88</v>
      </c>
      <c r="W1117" s="6" t="str">
        <f t="shared" si="52"/>
        <v>Sufficient</v>
      </c>
      <c r="X1117" s="8" t="str">
        <f t="shared" si="53"/>
        <v>LOW</v>
      </c>
    </row>
    <row r="1118" spans="1:24">
      <c r="A1118" s="7" t="s">
        <v>1248</v>
      </c>
      <c r="B1118" s="1" t="s">
        <v>25</v>
      </c>
      <c r="C1118" s="1">
        <v>318</v>
      </c>
      <c r="D1118" s="1">
        <v>12</v>
      </c>
      <c r="E1118" s="1">
        <v>6</v>
      </c>
      <c r="F1118" s="1">
        <v>7</v>
      </c>
      <c r="G1118" s="1">
        <v>7.21</v>
      </c>
      <c r="H1118" s="1" t="s">
        <v>221</v>
      </c>
      <c r="I1118" s="1" t="s">
        <v>39</v>
      </c>
      <c r="J1118" s="1">
        <v>86</v>
      </c>
      <c r="K1118" s="1">
        <v>1.1200000000000001</v>
      </c>
      <c r="L1118" s="4">
        <v>127.33</v>
      </c>
      <c r="M1118" s="1">
        <v>1.47</v>
      </c>
      <c r="N1118" s="1">
        <v>9</v>
      </c>
      <c r="O1118" s="1">
        <v>0.86</v>
      </c>
      <c r="P1118" s="1">
        <v>556</v>
      </c>
      <c r="Q1118" s="1">
        <v>7.44</v>
      </c>
      <c r="R1118" s="1">
        <v>0.51</v>
      </c>
      <c r="S1118" s="2">
        <v>45459</v>
      </c>
      <c r="T1118" s="1">
        <v>50.38</v>
      </c>
      <c r="U1118" s="1">
        <v>0.44600000000000001</v>
      </c>
      <c r="V1118" s="6">
        <f t="shared" si="51"/>
        <v>40490.94</v>
      </c>
      <c r="W1118" s="6" t="str">
        <f t="shared" si="52"/>
        <v>Sufficient</v>
      </c>
      <c r="X1118" s="8" t="str">
        <f t="shared" si="53"/>
        <v>High</v>
      </c>
    </row>
    <row r="1119" spans="1:24">
      <c r="A1119" s="7" t="s">
        <v>1249</v>
      </c>
      <c r="B1119" s="1" t="s">
        <v>25</v>
      </c>
      <c r="C1119" s="1">
        <v>451</v>
      </c>
      <c r="D1119" s="1">
        <v>79</v>
      </c>
      <c r="E1119" s="1">
        <v>4</v>
      </c>
      <c r="F1119" s="1">
        <v>5</v>
      </c>
      <c r="G1119" s="1">
        <v>36.92</v>
      </c>
      <c r="H1119" s="1" t="s">
        <v>470</v>
      </c>
      <c r="I1119" s="1" t="s">
        <v>27</v>
      </c>
      <c r="J1119" s="1">
        <v>170</v>
      </c>
      <c r="K1119" s="1">
        <v>4.59</v>
      </c>
      <c r="L1119" s="4">
        <v>132.19</v>
      </c>
      <c r="M1119" s="1">
        <v>0.88</v>
      </c>
      <c r="N1119" s="1">
        <v>1</v>
      </c>
      <c r="O1119" s="1">
        <v>0.87</v>
      </c>
      <c r="P1119" s="1">
        <v>748</v>
      </c>
      <c r="Q1119" s="1">
        <v>8.67</v>
      </c>
      <c r="R1119" s="1">
        <v>0.94</v>
      </c>
      <c r="S1119" s="2">
        <v>45367</v>
      </c>
      <c r="T1119" s="1">
        <v>101.6</v>
      </c>
      <c r="U1119" s="1">
        <v>0.77</v>
      </c>
      <c r="V1119" s="6">
        <f t="shared" si="51"/>
        <v>59617.69</v>
      </c>
      <c r="W1119" s="6" t="str">
        <f t="shared" si="52"/>
        <v>Sufficient</v>
      </c>
      <c r="X1119" s="8" t="str">
        <f t="shared" si="53"/>
        <v>High</v>
      </c>
    </row>
    <row r="1120" spans="1:24">
      <c r="A1120" s="7" t="s">
        <v>1250</v>
      </c>
      <c r="B1120" s="1" t="s">
        <v>29</v>
      </c>
      <c r="C1120" s="1">
        <v>309</v>
      </c>
      <c r="D1120" s="1">
        <v>26</v>
      </c>
      <c r="E1120" s="1">
        <v>9</v>
      </c>
      <c r="F1120" s="1">
        <v>4</v>
      </c>
      <c r="G1120" s="1">
        <v>14.19</v>
      </c>
      <c r="H1120" s="1" t="s">
        <v>370</v>
      </c>
      <c r="I1120" s="1" t="s">
        <v>39</v>
      </c>
      <c r="J1120" s="1">
        <v>22</v>
      </c>
      <c r="K1120" s="1">
        <v>3.17</v>
      </c>
      <c r="L1120" s="4">
        <v>60.83</v>
      </c>
      <c r="M1120" s="1">
        <v>1.18</v>
      </c>
      <c r="N1120" s="1">
        <v>6</v>
      </c>
      <c r="O1120" s="1">
        <v>0.87</v>
      </c>
      <c r="P1120" s="1">
        <v>969</v>
      </c>
      <c r="Q1120" s="1">
        <v>5.37</v>
      </c>
      <c r="R1120" s="1">
        <v>0.48</v>
      </c>
      <c r="S1120" s="2">
        <v>45338</v>
      </c>
      <c r="T1120" s="1">
        <v>152.19</v>
      </c>
      <c r="U1120" s="1">
        <v>0.504</v>
      </c>
      <c r="V1120" s="6">
        <f t="shared" si="51"/>
        <v>18796.47</v>
      </c>
      <c r="W1120" s="6" t="str">
        <f t="shared" si="52"/>
        <v>Sufficient</v>
      </c>
      <c r="X1120" s="8" t="str">
        <f t="shared" si="53"/>
        <v>High</v>
      </c>
    </row>
    <row r="1121" spans="1:24">
      <c r="A1121" s="7" t="s">
        <v>1251</v>
      </c>
      <c r="B1121" s="1" t="s">
        <v>29</v>
      </c>
      <c r="C1121" s="1">
        <v>315</v>
      </c>
      <c r="D1121" s="1">
        <v>35</v>
      </c>
      <c r="E1121" s="1">
        <v>12</v>
      </c>
      <c r="F1121" s="1">
        <v>9</v>
      </c>
      <c r="G1121" s="1">
        <v>22.98</v>
      </c>
      <c r="H1121" s="1" t="s">
        <v>132</v>
      </c>
      <c r="I1121" s="1" t="s">
        <v>45</v>
      </c>
      <c r="J1121" s="1">
        <v>47</v>
      </c>
      <c r="K1121" s="1">
        <v>2.56</v>
      </c>
      <c r="L1121" s="4">
        <v>173.38</v>
      </c>
      <c r="M1121" s="1">
        <v>0.26</v>
      </c>
      <c r="N1121" s="1">
        <v>6</v>
      </c>
      <c r="O1121" s="1">
        <v>0.93</v>
      </c>
      <c r="P1121" s="1">
        <v>788</v>
      </c>
      <c r="Q1121" s="1">
        <v>3.33</v>
      </c>
      <c r="R1121" s="1">
        <v>0.81</v>
      </c>
      <c r="S1121" s="2">
        <v>45656</v>
      </c>
      <c r="T1121" s="1">
        <v>244.57</v>
      </c>
      <c r="U1121" s="1">
        <v>0.64600000000000002</v>
      </c>
      <c r="V1121" s="6">
        <f t="shared" si="51"/>
        <v>54614.7</v>
      </c>
      <c r="W1121" s="6" t="str">
        <f t="shared" si="52"/>
        <v>Sufficient</v>
      </c>
      <c r="X1121" s="8" t="str">
        <f t="shared" si="53"/>
        <v>High</v>
      </c>
    </row>
    <row r="1122" spans="1:24">
      <c r="A1122" s="7" t="s">
        <v>1252</v>
      </c>
      <c r="B1122" s="1" t="s">
        <v>41</v>
      </c>
      <c r="C1122" s="1">
        <v>222</v>
      </c>
      <c r="D1122" s="1">
        <v>30</v>
      </c>
      <c r="E1122" s="1">
        <v>12</v>
      </c>
      <c r="F1122" s="1">
        <v>5</v>
      </c>
      <c r="G1122" s="1">
        <v>44.27</v>
      </c>
      <c r="H1122" s="1" t="s">
        <v>195</v>
      </c>
      <c r="I1122" s="1" t="s">
        <v>45</v>
      </c>
      <c r="J1122" s="1">
        <v>157</v>
      </c>
      <c r="K1122" s="1">
        <v>4.72</v>
      </c>
      <c r="L1122" s="4">
        <v>72.56</v>
      </c>
      <c r="M1122" s="1">
        <v>0.33</v>
      </c>
      <c r="N1122" s="1">
        <v>3</v>
      </c>
      <c r="O1122" s="1">
        <v>0.74</v>
      </c>
      <c r="P1122" s="1">
        <v>760</v>
      </c>
      <c r="Q1122" s="1">
        <v>12.25</v>
      </c>
      <c r="R1122" s="1">
        <v>0.98</v>
      </c>
      <c r="S1122" s="2">
        <v>45419</v>
      </c>
      <c r="T1122" s="1">
        <v>119.2</v>
      </c>
      <c r="U1122" s="1">
        <v>0.81399999999999995</v>
      </c>
      <c r="V1122" s="6">
        <f t="shared" si="51"/>
        <v>16108.32</v>
      </c>
      <c r="W1122" s="6" t="str">
        <f t="shared" si="52"/>
        <v>Sufficient</v>
      </c>
      <c r="X1122" s="8" t="str">
        <f t="shared" si="53"/>
        <v>Medium</v>
      </c>
    </row>
    <row r="1123" spans="1:24">
      <c r="A1123" s="7" t="s">
        <v>1253</v>
      </c>
      <c r="B1123" s="1" t="s">
        <v>41</v>
      </c>
      <c r="C1123" s="1">
        <v>80</v>
      </c>
      <c r="D1123" s="1">
        <v>81</v>
      </c>
      <c r="E1123" s="1">
        <v>4</v>
      </c>
      <c r="F1123" s="1">
        <v>4</v>
      </c>
      <c r="G1123" s="1">
        <v>48.56</v>
      </c>
      <c r="H1123" s="1" t="s">
        <v>200</v>
      </c>
      <c r="I1123" s="1" t="s">
        <v>27</v>
      </c>
      <c r="J1123" s="1">
        <v>26</v>
      </c>
      <c r="K1123" s="1">
        <v>0.94</v>
      </c>
      <c r="L1123" s="4">
        <v>184.63</v>
      </c>
      <c r="M1123" s="1">
        <v>0.12</v>
      </c>
      <c r="N1123" s="1">
        <v>7</v>
      </c>
      <c r="O1123" s="1">
        <v>0.88</v>
      </c>
      <c r="P1123" s="1">
        <v>343</v>
      </c>
      <c r="Q1123" s="1">
        <v>1.55</v>
      </c>
      <c r="R1123" s="1">
        <v>0.3</v>
      </c>
      <c r="S1123" s="2">
        <v>45474</v>
      </c>
      <c r="T1123" s="1">
        <v>62.17</v>
      </c>
      <c r="U1123" s="1">
        <v>0.505</v>
      </c>
      <c r="V1123" s="6">
        <f t="shared" si="51"/>
        <v>14770.4</v>
      </c>
      <c r="W1123" s="6" t="str">
        <f t="shared" si="52"/>
        <v>Reorder Required</v>
      </c>
      <c r="X1123" s="8" t="str">
        <f t="shared" si="53"/>
        <v>LOW</v>
      </c>
    </row>
    <row r="1124" spans="1:24">
      <c r="A1124" s="7" t="s">
        <v>1254</v>
      </c>
      <c r="B1124" s="1" t="s">
        <v>66</v>
      </c>
      <c r="C1124" s="1">
        <v>453</v>
      </c>
      <c r="D1124" s="1">
        <v>30</v>
      </c>
      <c r="E1124" s="1">
        <v>3</v>
      </c>
      <c r="F1124" s="1">
        <v>6</v>
      </c>
      <c r="G1124" s="1">
        <v>21.8</v>
      </c>
      <c r="H1124" s="1" t="s">
        <v>309</v>
      </c>
      <c r="I1124" s="1" t="s">
        <v>39</v>
      </c>
      <c r="J1124" s="1">
        <v>132</v>
      </c>
      <c r="K1124" s="1">
        <v>4.05</v>
      </c>
      <c r="L1124" s="4">
        <v>99.6</v>
      </c>
      <c r="M1124" s="1">
        <v>1.38</v>
      </c>
      <c r="N1124" s="1">
        <v>3</v>
      </c>
      <c r="O1124" s="1">
        <v>0.84</v>
      </c>
      <c r="P1124" s="1">
        <v>812</v>
      </c>
      <c r="Q1124" s="1">
        <v>6.18</v>
      </c>
      <c r="R1124" s="1">
        <v>0.47</v>
      </c>
      <c r="S1124" s="2">
        <v>45494</v>
      </c>
      <c r="T1124" s="1">
        <v>144.83000000000001</v>
      </c>
      <c r="U1124" s="1">
        <v>0.54600000000000004</v>
      </c>
      <c r="V1124" s="6">
        <f t="shared" si="51"/>
        <v>45118.799999999996</v>
      </c>
      <c r="W1124" s="6" t="str">
        <f t="shared" si="52"/>
        <v>Sufficient</v>
      </c>
      <c r="X1124" s="8" t="str">
        <f t="shared" si="53"/>
        <v>High</v>
      </c>
    </row>
    <row r="1125" spans="1:24">
      <c r="A1125" s="7" t="s">
        <v>1255</v>
      </c>
      <c r="B1125" s="1" t="s">
        <v>29</v>
      </c>
      <c r="C1125" s="1">
        <v>470</v>
      </c>
      <c r="D1125" s="1">
        <v>20</v>
      </c>
      <c r="E1125" s="1">
        <v>7</v>
      </c>
      <c r="F1125" s="1">
        <v>5</v>
      </c>
      <c r="G1125" s="1">
        <v>41.91</v>
      </c>
      <c r="H1125" s="1" t="s">
        <v>85</v>
      </c>
      <c r="I1125" s="1" t="s">
        <v>45</v>
      </c>
      <c r="J1125" s="1">
        <v>123</v>
      </c>
      <c r="K1125" s="1">
        <v>2.14</v>
      </c>
      <c r="L1125" s="4">
        <v>11.97</v>
      </c>
      <c r="M1125" s="1">
        <v>0.6</v>
      </c>
      <c r="N1125" s="1">
        <v>6</v>
      </c>
      <c r="O1125" s="1">
        <v>0.97</v>
      </c>
      <c r="P1125" s="1">
        <v>526</v>
      </c>
      <c r="Q1125" s="1">
        <v>2.2200000000000002</v>
      </c>
      <c r="R1125" s="1">
        <v>0.57999999999999996</v>
      </c>
      <c r="S1125" s="2">
        <v>45554</v>
      </c>
      <c r="T1125" s="1">
        <v>148.18</v>
      </c>
      <c r="U1125" s="1">
        <v>0.56000000000000005</v>
      </c>
      <c r="V1125" s="6">
        <f t="shared" si="51"/>
        <v>5625.9000000000005</v>
      </c>
      <c r="W1125" s="6" t="str">
        <f t="shared" si="52"/>
        <v>Sufficient</v>
      </c>
      <c r="X1125" s="8" t="str">
        <f t="shared" si="53"/>
        <v>High</v>
      </c>
    </row>
    <row r="1126" spans="1:24">
      <c r="A1126" s="7" t="s">
        <v>1256</v>
      </c>
      <c r="B1126" s="1" t="s">
        <v>33</v>
      </c>
      <c r="C1126" s="1">
        <v>337</v>
      </c>
      <c r="D1126" s="1">
        <v>47</v>
      </c>
      <c r="E1126" s="1">
        <v>14</v>
      </c>
      <c r="F1126" s="1">
        <v>9</v>
      </c>
      <c r="G1126" s="1">
        <v>3.61</v>
      </c>
      <c r="H1126" s="1" t="s">
        <v>216</v>
      </c>
      <c r="I1126" s="1" t="s">
        <v>45</v>
      </c>
      <c r="J1126" s="1">
        <v>161</v>
      </c>
      <c r="K1126" s="1">
        <v>3.63</v>
      </c>
      <c r="L1126" s="4">
        <v>40.79</v>
      </c>
      <c r="M1126" s="1">
        <v>1.94</v>
      </c>
      <c r="N1126" s="1">
        <v>3</v>
      </c>
      <c r="O1126" s="1">
        <v>0.86</v>
      </c>
      <c r="P1126" s="1">
        <v>879</v>
      </c>
      <c r="Q1126" s="1">
        <v>11.31</v>
      </c>
      <c r="R1126" s="1">
        <v>0.39</v>
      </c>
      <c r="S1126" s="2">
        <v>45317</v>
      </c>
      <c r="T1126" s="1">
        <v>14.7</v>
      </c>
      <c r="U1126" s="1">
        <v>0.54700000000000004</v>
      </c>
      <c r="V1126" s="6">
        <f t="shared" si="51"/>
        <v>13746.23</v>
      </c>
      <c r="W1126" s="6" t="str">
        <f t="shared" si="52"/>
        <v>Sufficient</v>
      </c>
      <c r="X1126" s="8" t="str">
        <f t="shared" si="53"/>
        <v>High</v>
      </c>
    </row>
    <row r="1127" spans="1:24">
      <c r="A1127" s="7" t="s">
        <v>1257</v>
      </c>
      <c r="B1127" s="1" t="s">
        <v>29</v>
      </c>
      <c r="C1127" s="1">
        <v>333</v>
      </c>
      <c r="D1127" s="1">
        <v>81</v>
      </c>
      <c r="E1127" s="1">
        <v>3</v>
      </c>
      <c r="F1127" s="1">
        <v>3</v>
      </c>
      <c r="G1127" s="1">
        <v>42.53</v>
      </c>
      <c r="H1127" s="1" t="s">
        <v>178</v>
      </c>
      <c r="I1127" s="1" t="s">
        <v>31</v>
      </c>
      <c r="J1127" s="1">
        <v>35</v>
      </c>
      <c r="K1127" s="1">
        <v>4.6900000000000004</v>
      </c>
      <c r="L1127" s="4">
        <v>29.44</v>
      </c>
      <c r="M1127" s="1">
        <v>0.69</v>
      </c>
      <c r="N1127" s="1">
        <v>7</v>
      </c>
      <c r="O1127" s="1">
        <v>0.98</v>
      </c>
      <c r="P1127" s="1">
        <v>754</v>
      </c>
      <c r="Q1127" s="1">
        <v>6.12</v>
      </c>
      <c r="R1127" s="1">
        <v>0.21</v>
      </c>
      <c r="S1127" s="2">
        <v>45638</v>
      </c>
      <c r="T1127" s="1">
        <v>16.059999999999999</v>
      </c>
      <c r="U1127" s="1">
        <v>0.51100000000000001</v>
      </c>
      <c r="V1127" s="6">
        <f t="shared" si="51"/>
        <v>9803.52</v>
      </c>
      <c r="W1127" s="6" t="str">
        <f t="shared" si="52"/>
        <v>Sufficient</v>
      </c>
      <c r="X1127" s="8" t="str">
        <f t="shared" si="53"/>
        <v>High</v>
      </c>
    </row>
    <row r="1128" spans="1:24">
      <c r="A1128" s="7" t="s">
        <v>1258</v>
      </c>
      <c r="B1128" s="1" t="s">
        <v>33</v>
      </c>
      <c r="C1128" s="1">
        <v>180</v>
      </c>
      <c r="D1128" s="1">
        <v>97</v>
      </c>
      <c r="E1128" s="1">
        <v>3</v>
      </c>
      <c r="F1128" s="1">
        <v>6</v>
      </c>
      <c r="G1128" s="1">
        <v>31.85</v>
      </c>
      <c r="H1128" s="1" t="s">
        <v>72</v>
      </c>
      <c r="I1128" s="1" t="s">
        <v>27</v>
      </c>
      <c r="J1128" s="1">
        <v>177</v>
      </c>
      <c r="K1128" s="1">
        <v>2.83</v>
      </c>
      <c r="L1128" s="4">
        <v>18.36</v>
      </c>
      <c r="M1128" s="1">
        <v>0.79</v>
      </c>
      <c r="N1128" s="1">
        <v>2</v>
      </c>
      <c r="O1128" s="1">
        <v>0.81</v>
      </c>
      <c r="P1128" s="1">
        <v>557</v>
      </c>
      <c r="Q1128" s="1">
        <v>1.42</v>
      </c>
      <c r="R1128" s="1">
        <v>0.56999999999999995</v>
      </c>
      <c r="S1128" s="2">
        <v>45445</v>
      </c>
      <c r="T1128" s="1">
        <v>90.52</v>
      </c>
      <c r="U1128" s="1">
        <v>0.57599999999999996</v>
      </c>
      <c r="V1128" s="6">
        <f t="shared" si="51"/>
        <v>3304.7999999999997</v>
      </c>
      <c r="W1128" s="6" t="str">
        <f t="shared" si="52"/>
        <v>Sufficient</v>
      </c>
      <c r="X1128" s="8" t="str">
        <f t="shared" si="53"/>
        <v>Medium</v>
      </c>
    </row>
    <row r="1129" spans="1:24">
      <c r="A1129" s="7" t="s">
        <v>1259</v>
      </c>
      <c r="B1129" s="1" t="s">
        <v>25</v>
      </c>
      <c r="C1129" s="1">
        <v>350</v>
      </c>
      <c r="D1129" s="1">
        <v>44</v>
      </c>
      <c r="E1129" s="1">
        <v>3</v>
      </c>
      <c r="F1129" s="1">
        <v>7</v>
      </c>
      <c r="G1129" s="1">
        <v>24.95</v>
      </c>
      <c r="H1129" s="1" t="s">
        <v>55</v>
      </c>
      <c r="I1129" s="1" t="s">
        <v>31</v>
      </c>
      <c r="J1129" s="1">
        <v>41</v>
      </c>
      <c r="K1129" s="1">
        <v>0.6</v>
      </c>
      <c r="L1129" s="4">
        <v>145.66</v>
      </c>
      <c r="M1129" s="1">
        <v>0.99</v>
      </c>
      <c r="N1129" s="1">
        <v>1</v>
      </c>
      <c r="O1129" s="1">
        <v>0.99</v>
      </c>
      <c r="P1129" s="1">
        <v>168</v>
      </c>
      <c r="Q1129" s="1">
        <v>2.06</v>
      </c>
      <c r="R1129" s="1">
        <v>0.63</v>
      </c>
      <c r="S1129" s="2">
        <v>45425</v>
      </c>
      <c r="T1129" s="1">
        <v>224.95</v>
      </c>
      <c r="U1129" s="1">
        <v>0.63200000000000001</v>
      </c>
      <c r="V1129" s="6">
        <f t="shared" si="51"/>
        <v>50981</v>
      </c>
      <c r="W1129" s="6" t="str">
        <f t="shared" si="52"/>
        <v>Sufficient</v>
      </c>
      <c r="X1129" s="8" t="str">
        <f t="shared" si="53"/>
        <v>High</v>
      </c>
    </row>
    <row r="1130" spans="1:24">
      <c r="A1130" s="7" t="s">
        <v>1260</v>
      </c>
      <c r="B1130" s="1" t="s">
        <v>29</v>
      </c>
      <c r="C1130" s="1">
        <v>35</v>
      </c>
      <c r="D1130" s="1">
        <v>23</v>
      </c>
      <c r="E1130" s="1">
        <v>8</v>
      </c>
      <c r="F1130" s="1">
        <v>4</v>
      </c>
      <c r="G1130" s="1">
        <v>44.61</v>
      </c>
      <c r="H1130" s="1" t="s">
        <v>227</v>
      </c>
      <c r="I1130" s="1" t="s">
        <v>31</v>
      </c>
      <c r="J1130" s="1">
        <v>174</v>
      </c>
      <c r="K1130" s="1">
        <v>0.63</v>
      </c>
      <c r="L1130" s="4">
        <v>46.54</v>
      </c>
      <c r="M1130" s="1">
        <v>0.71</v>
      </c>
      <c r="N1130" s="1">
        <v>9</v>
      </c>
      <c r="O1130" s="1">
        <v>0.96</v>
      </c>
      <c r="P1130" s="1">
        <v>740</v>
      </c>
      <c r="Q1130" s="1">
        <v>3.78</v>
      </c>
      <c r="R1130" s="1">
        <v>0.7</v>
      </c>
      <c r="S1130" s="2">
        <v>45381</v>
      </c>
      <c r="T1130" s="1">
        <v>116.14</v>
      </c>
      <c r="U1130" s="1">
        <v>0.53100000000000003</v>
      </c>
      <c r="V1130" s="6">
        <f t="shared" si="51"/>
        <v>1628.8999999999999</v>
      </c>
      <c r="W1130" s="6" t="str">
        <f t="shared" si="52"/>
        <v>Sufficient</v>
      </c>
      <c r="X1130" s="8" t="str">
        <f t="shared" si="53"/>
        <v>LOW</v>
      </c>
    </row>
    <row r="1131" spans="1:24">
      <c r="A1131" s="7" t="s">
        <v>1261</v>
      </c>
      <c r="B1131" s="1" t="s">
        <v>25</v>
      </c>
      <c r="C1131" s="1">
        <v>357</v>
      </c>
      <c r="D1131" s="1">
        <v>23</v>
      </c>
      <c r="E1131" s="1">
        <v>11</v>
      </c>
      <c r="F1131" s="1">
        <v>8</v>
      </c>
      <c r="G1131" s="1">
        <v>42.42</v>
      </c>
      <c r="H1131" s="1" t="s">
        <v>370</v>
      </c>
      <c r="I1131" s="1" t="s">
        <v>45</v>
      </c>
      <c r="J1131" s="1">
        <v>95</v>
      </c>
      <c r="K1131" s="1">
        <v>1.99</v>
      </c>
      <c r="L1131" s="4">
        <v>169.34</v>
      </c>
      <c r="M1131" s="1">
        <v>1.65</v>
      </c>
      <c r="N1131" s="1">
        <v>5</v>
      </c>
      <c r="O1131" s="1">
        <v>0.88</v>
      </c>
      <c r="P1131" s="1">
        <v>527</v>
      </c>
      <c r="Q1131" s="1">
        <v>12.02</v>
      </c>
      <c r="R1131" s="1">
        <v>0.86</v>
      </c>
      <c r="S1131" s="2">
        <v>45307</v>
      </c>
      <c r="T1131" s="1">
        <v>71.25</v>
      </c>
      <c r="U1131" s="1">
        <v>0.64300000000000002</v>
      </c>
      <c r="V1131" s="6">
        <f t="shared" si="51"/>
        <v>60454.380000000005</v>
      </c>
      <c r="W1131" s="6" t="str">
        <f t="shared" si="52"/>
        <v>Sufficient</v>
      </c>
      <c r="X1131" s="8" t="str">
        <f t="shared" si="53"/>
        <v>High</v>
      </c>
    </row>
    <row r="1132" spans="1:24">
      <c r="A1132" s="7" t="s">
        <v>1262</v>
      </c>
      <c r="B1132" s="1" t="s">
        <v>41</v>
      </c>
      <c r="C1132" s="1">
        <v>113</v>
      </c>
      <c r="D1132" s="1">
        <v>19</v>
      </c>
      <c r="E1132" s="1">
        <v>12</v>
      </c>
      <c r="F1132" s="1">
        <v>7</v>
      </c>
      <c r="G1132" s="1">
        <v>15.55</v>
      </c>
      <c r="H1132" s="1" t="s">
        <v>135</v>
      </c>
      <c r="I1132" s="1" t="s">
        <v>39</v>
      </c>
      <c r="J1132" s="1">
        <v>107</v>
      </c>
      <c r="K1132" s="1">
        <v>4.0199999999999996</v>
      </c>
      <c r="L1132" s="4">
        <v>60.25</v>
      </c>
      <c r="M1132" s="1">
        <v>1.76</v>
      </c>
      <c r="N1132" s="1">
        <v>6</v>
      </c>
      <c r="O1132" s="1">
        <v>0.81</v>
      </c>
      <c r="P1132" s="1">
        <v>613</v>
      </c>
      <c r="Q1132" s="1">
        <v>12.19</v>
      </c>
      <c r="R1132" s="1">
        <v>0.4</v>
      </c>
      <c r="S1132" s="2">
        <v>45499</v>
      </c>
      <c r="T1132" s="1">
        <v>42.76</v>
      </c>
      <c r="U1132" s="1">
        <v>0.50900000000000001</v>
      </c>
      <c r="V1132" s="6">
        <f t="shared" si="51"/>
        <v>6808.25</v>
      </c>
      <c r="W1132" s="6" t="str">
        <f t="shared" si="52"/>
        <v>Sufficient</v>
      </c>
      <c r="X1132" s="8" t="str">
        <f t="shared" si="53"/>
        <v>Medium</v>
      </c>
    </row>
    <row r="1133" spans="1:24">
      <c r="A1133" s="7" t="s">
        <v>1263</v>
      </c>
      <c r="B1133" s="1" t="s">
        <v>41</v>
      </c>
      <c r="C1133" s="1">
        <v>323</v>
      </c>
      <c r="D1133" s="1">
        <v>21</v>
      </c>
      <c r="E1133" s="1">
        <v>13</v>
      </c>
      <c r="F1133" s="1">
        <v>5</v>
      </c>
      <c r="G1133" s="1">
        <v>39.78</v>
      </c>
      <c r="H1133" s="1" t="s">
        <v>266</v>
      </c>
      <c r="I1133" s="1" t="s">
        <v>31</v>
      </c>
      <c r="J1133" s="1">
        <v>100</v>
      </c>
      <c r="K1133" s="1">
        <v>1.8</v>
      </c>
      <c r="L1133" s="4">
        <v>16.14</v>
      </c>
      <c r="M1133" s="1">
        <v>0.12</v>
      </c>
      <c r="N1133" s="1">
        <v>6</v>
      </c>
      <c r="O1133" s="1">
        <v>0.81</v>
      </c>
      <c r="P1133" s="1">
        <v>671</v>
      </c>
      <c r="Q1133" s="1">
        <v>14.95</v>
      </c>
      <c r="R1133" s="1">
        <v>0.25</v>
      </c>
      <c r="S1133" s="2">
        <v>45523</v>
      </c>
      <c r="T1133" s="1">
        <v>91.35</v>
      </c>
      <c r="U1133" s="1">
        <v>0.67900000000000005</v>
      </c>
      <c r="V1133" s="6">
        <f t="shared" si="51"/>
        <v>5213.22</v>
      </c>
      <c r="W1133" s="6" t="str">
        <f t="shared" si="52"/>
        <v>Sufficient</v>
      </c>
      <c r="X1133" s="8" t="str">
        <f t="shared" si="53"/>
        <v>High</v>
      </c>
    </row>
    <row r="1134" spans="1:24">
      <c r="A1134" s="7" t="s">
        <v>1264</v>
      </c>
      <c r="B1134" s="1" t="s">
        <v>66</v>
      </c>
      <c r="C1134" s="1">
        <v>157</v>
      </c>
      <c r="D1134" s="1">
        <v>47</v>
      </c>
      <c r="E1134" s="1">
        <v>14</v>
      </c>
      <c r="F1134" s="1">
        <v>6</v>
      </c>
      <c r="G1134" s="1">
        <v>5.88</v>
      </c>
      <c r="H1134" s="1" t="s">
        <v>124</v>
      </c>
      <c r="I1134" s="1" t="s">
        <v>27</v>
      </c>
      <c r="J1134" s="1">
        <v>130</v>
      </c>
      <c r="K1134" s="1">
        <v>2.0099999999999998</v>
      </c>
      <c r="L1134" s="4">
        <v>165.93</v>
      </c>
      <c r="M1134" s="1">
        <v>1.34</v>
      </c>
      <c r="N1134" s="1">
        <v>5</v>
      </c>
      <c r="O1134" s="1">
        <v>0.93</v>
      </c>
      <c r="P1134" s="1">
        <v>785</v>
      </c>
      <c r="Q1134" s="1">
        <v>4.37</v>
      </c>
      <c r="R1134" s="1">
        <v>0.27</v>
      </c>
      <c r="S1134" s="2">
        <v>45576</v>
      </c>
      <c r="T1134" s="1">
        <v>149.62</v>
      </c>
      <c r="U1134" s="1">
        <v>0.46400000000000002</v>
      </c>
      <c r="V1134" s="6">
        <f t="shared" si="51"/>
        <v>26051.010000000002</v>
      </c>
      <c r="W1134" s="6" t="str">
        <f t="shared" si="52"/>
        <v>Sufficient</v>
      </c>
      <c r="X1134" s="8" t="str">
        <f t="shared" si="53"/>
        <v>Medium</v>
      </c>
    </row>
    <row r="1135" spans="1:24">
      <c r="A1135" s="7" t="s">
        <v>1265</v>
      </c>
      <c r="B1135" s="1" t="s">
        <v>29</v>
      </c>
      <c r="C1135" s="1">
        <v>357</v>
      </c>
      <c r="D1135" s="1">
        <v>43</v>
      </c>
      <c r="E1135" s="1">
        <v>3</v>
      </c>
      <c r="F1135" s="1">
        <v>7</v>
      </c>
      <c r="G1135" s="1">
        <v>41.32</v>
      </c>
      <c r="H1135" s="1" t="s">
        <v>294</v>
      </c>
      <c r="I1135" s="1" t="s">
        <v>27</v>
      </c>
      <c r="J1135" s="1">
        <v>66</v>
      </c>
      <c r="K1135" s="1">
        <v>4.03</v>
      </c>
      <c r="L1135" s="4">
        <v>98.57</v>
      </c>
      <c r="M1135" s="1">
        <v>1.4</v>
      </c>
      <c r="N1135" s="1">
        <v>7</v>
      </c>
      <c r="O1135" s="1">
        <v>0.87</v>
      </c>
      <c r="P1135" s="1">
        <v>891</v>
      </c>
      <c r="Q1135" s="1">
        <v>1.85</v>
      </c>
      <c r="R1135" s="1">
        <v>0.6</v>
      </c>
      <c r="S1135" s="2">
        <v>45573</v>
      </c>
      <c r="T1135" s="1">
        <v>37.08</v>
      </c>
      <c r="U1135" s="1">
        <v>0.439</v>
      </c>
      <c r="V1135" s="6">
        <f t="shared" si="51"/>
        <v>35189.49</v>
      </c>
      <c r="W1135" s="6" t="str">
        <f t="shared" si="52"/>
        <v>Sufficient</v>
      </c>
      <c r="X1135" s="8" t="str">
        <f t="shared" si="53"/>
        <v>High</v>
      </c>
    </row>
    <row r="1136" spans="1:24">
      <c r="A1136" s="7" t="s">
        <v>1266</v>
      </c>
      <c r="B1136" s="1" t="s">
        <v>25</v>
      </c>
      <c r="C1136" s="1">
        <v>57</v>
      </c>
      <c r="D1136" s="1">
        <v>50</v>
      </c>
      <c r="E1136" s="1">
        <v>7</v>
      </c>
      <c r="F1136" s="1">
        <v>3</v>
      </c>
      <c r="G1136" s="1">
        <v>34.1</v>
      </c>
      <c r="H1136" s="1" t="s">
        <v>36</v>
      </c>
      <c r="I1136" s="1" t="s">
        <v>39</v>
      </c>
      <c r="J1136" s="1">
        <v>116</v>
      </c>
      <c r="K1136" s="1">
        <v>1.02</v>
      </c>
      <c r="L1136" s="4">
        <v>123.91</v>
      </c>
      <c r="M1136" s="1">
        <v>1.93</v>
      </c>
      <c r="N1136" s="1">
        <v>5</v>
      </c>
      <c r="O1136" s="1">
        <v>0.82</v>
      </c>
      <c r="P1136" s="1">
        <v>659</v>
      </c>
      <c r="Q1136" s="1">
        <v>4.96</v>
      </c>
      <c r="R1136" s="1">
        <v>0.94</v>
      </c>
      <c r="S1136" s="2">
        <v>45419</v>
      </c>
      <c r="T1136" s="1">
        <v>14.33</v>
      </c>
      <c r="U1136" s="1">
        <v>0.52500000000000002</v>
      </c>
      <c r="V1136" s="6">
        <f t="shared" si="51"/>
        <v>7062.87</v>
      </c>
      <c r="W1136" s="6" t="str">
        <f t="shared" si="52"/>
        <v>Sufficient</v>
      </c>
      <c r="X1136" s="8" t="str">
        <f t="shared" si="53"/>
        <v>LOW</v>
      </c>
    </row>
    <row r="1137" spans="1:24">
      <c r="A1137" s="7" t="s">
        <v>1267</v>
      </c>
      <c r="B1137" s="1" t="s">
        <v>33</v>
      </c>
      <c r="C1137" s="1">
        <v>146</v>
      </c>
      <c r="D1137" s="1">
        <v>19</v>
      </c>
      <c r="E1137" s="1">
        <v>11</v>
      </c>
      <c r="F1137" s="1">
        <v>8</v>
      </c>
      <c r="G1137" s="1">
        <v>5.31</v>
      </c>
      <c r="H1137" s="1" t="s">
        <v>205</v>
      </c>
      <c r="I1137" s="1" t="s">
        <v>27</v>
      </c>
      <c r="J1137" s="1">
        <v>31</v>
      </c>
      <c r="K1137" s="1">
        <v>4.3099999999999996</v>
      </c>
      <c r="L1137" s="4">
        <v>73.88</v>
      </c>
      <c r="M1137" s="1">
        <v>0.8</v>
      </c>
      <c r="N1137" s="1">
        <v>5</v>
      </c>
      <c r="O1137" s="1">
        <v>0.89</v>
      </c>
      <c r="P1137" s="1">
        <v>368</v>
      </c>
      <c r="Q1137" s="1">
        <v>3.5</v>
      </c>
      <c r="R1137" s="1">
        <v>0.99</v>
      </c>
      <c r="S1137" s="2">
        <v>45340</v>
      </c>
      <c r="T1137" s="1">
        <v>46.92</v>
      </c>
      <c r="U1137" s="1">
        <v>0.64300000000000002</v>
      </c>
      <c r="V1137" s="6">
        <f t="shared" si="51"/>
        <v>10786.48</v>
      </c>
      <c r="W1137" s="6" t="str">
        <f t="shared" si="52"/>
        <v>Sufficient</v>
      </c>
      <c r="X1137" s="8" t="str">
        <f t="shared" si="53"/>
        <v>Medium</v>
      </c>
    </row>
    <row r="1138" spans="1:24">
      <c r="A1138" s="7" t="s">
        <v>1268</v>
      </c>
      <c r="B1138" s="1" t="s">
        <v>41</v>
      </c>
      <c r="C1138" s="1">
        <v>294</v>
      </c>
      <c r="D1138" s="1">
        <v>26</v>
      </c>
      <c r="E1138" s="1">
        <v>11</v>
      </c>
      <c r="F1138" s="1">
        <v>5</v>
      </c>
      <c r="G1138" s="1">
        <v>34.47</v>
      </c>
      <c r="H1138" s="1" t="s">
        <v>74</v>
      </c>
      <c r="I1138" s="1" t="s">
        <v>31</v>
      </c>
      <c r="J1138" s="1">
        <v>121</v>
      </c>
      <c r="K1138" s="1">
        <v>1.7</v>
      </c>
      <c r="L1138" s="4">
        <v>18.75</v>
      </c>
      <c r="M1138" s="1">
        <v>0.47</v>
      </c>
      <c r="N1138" s="1">
        <v>2</v>
      </c>
      <c r="O1138" s="1">
        <v>0.92</v>
      </c>
      <c r="P1138" s="1">
        <v>444</v>
      </c>
      <c r="Q1138" s="1">
        <v>10.95</v>
      </c>
      <c r="R1138" s="1">
        <v>0.36</v>
      </c>
      <c r="S1138" s="2">
        <v>45528</v>
      </c>
      <c r="T1138" s="1">
        <v>224.01</v>
      </c>
      <c r="U1138" s="1">
        <v>0.71499999999999997</v>
      </c>
      <c r="V1138" s="6">
        <f t="shared" si="51"/>
        <v>5512.5</v>
      </c>
      <c r="W1138" s="6" t="str">
        <f t="shared" si="52"/>
        <v>Sufficient</v>
      </c>
      <c r="X1138" s="8" t="str">
        <f t="shared" si="53"/>
        <v>High</v>
      </c>
    </row>
    <row r="1139" spans="1:24">
      <c r="A1139" s="7" t="s">
        <v>1269</v>
      </c>
      <c r="B1139" s="1" t="s">
        <v>41</v>
      </c>
      <c r="C1139" s="1">
        <v>183</v>
      </c>
      <c r="D1139" s="1">
        <v>26</v>
      </c>
      <c r="E1139" s="1">
        <v>3</v>
      </c>
      <c r="F1139" s="1">
        <v>6</v>
      </c>
      <c r="G1139" s="1">
        <v>29.45</v>
      </c>
      <c r="H1139" s="1" t="s">
        <v>276</v>
      </c>
      <c r="I1139" s="1" t="s">
        <v>39</v>
      </c>
      <c r="J1139" s="1">
        <v>94</v>
      </c>
      <c r="K1139" s="1">
        <v>0.73</v>
      </c>
      <c r="L1139" s="4">
        <v>80.33</v>
      </c>
      <c r="M1139" s="1">
        <v>1.0900000000000001</v>
      </c>
      <c r="N1139" s="1">
        <v>1</v>
      </c>
      <c r="O1139" s="1">
        <v>0.71</v>
      </c>
      <c r="P1139" s="1">
        <v>97</v>
      </c>
      <c r="Q1139" s="1">
        <v>14.57</v>
      </c>
      <c r="R1139" s="1">
        <v>0.32</v>
      </c>
      <c r="S1139" s="2">
        <v>45344</v>
      </c>
      <c r="T1139" s="1">
        <v>145.22999999999999</v>
      </c>
      <c r="U1139" s="1">
        <v>0.67100000000000004</v>
      </c>
      <c r="V1139" s="6">
        <f t="shared" si="51"/>
        <v>14700.39</v>
      </c>
      <c r="W1139" s="6" t="str">
        <f t="shared" si="52"/>
        <v>Sufficient</v>
      </c>
      <c r="X1139" s="8" t="str">
        <f t="shared" si="53"/>
        <v>Medium</v>
      </c>
    </row>
    <row r="1140" spans="1:24">
      <c r="A1140" s="7" t="s">
        <v>1270</v>
      </c>
      <c r="B1140" s="1" t="s">
        <v>33</v>
      </c>
      <c r="C1140" s="1">
        <v>462</v>
      </c>
      <c r="D1140" s="1">
        <v>76</v>
      </c>
      <c r="E1140" s="1">
        <v>10</v>
      </c>
      <c r="F1140" s="1">
        <v>7</v>
      </c>
      <c r="G1140" s="1">
        <v>30.13</v>
      </c>
      <c r="H1140" s="1" t="s">
        <v>34</v>
      </c>
      <c r="I1140" s="1" t="s">
        <v>27</v>
      </c>
      <c r="J1140" s="1">
        <v>89</v>
      </c>
      <c r="K1140" s="1">
        <v>1.03</v>
      </c>
      <c r="L1140" s="4">
        <v>108.47</v>
      </c>
      <c r="M1140" s="1">
        <v>0.95</v>
      </c>
      <c r="N1140" s="1">
        <v>6</v>
      </c>
      <c r="O1140" s="1">
        <v>0.73</v>
      </c>
      <c r="P1140" s="1">
        <v>662</v>
      </c>
      <c r="Q1140" s="1">
        <v>4.82</v>
      </c>
      <c r="R1140" s="1">
        <v>0.48</v>
      </c>
      <c r="S1140" s="2">
        <v>45363</v>
      </c>
      <c r="T1140" s="1">
        <v>139.1</v>
      </c>
      <c r="U1140" s="1">
        <v>0.49099999999999999</v>
      </c>
      <c r="V1140" s="6">
        <f t="shared" si="51"/>
        <v>50113.14</v>
      </c>
      <c r="W1140" s="6" t="str">
        <f t="shared" si="52"/>
        <v>Sufficient</v>
      </c>
      <c r="X1140" s="8" t="str">
        <f t="shared" si="53"/>
        <v>High</v>
      </c>
    </row>
    <row r="1141" spans="1:24">
      <c r="A1141" s="7" t="s">
        <v>1271</v>
      </c>
      <c r="B1141" s="1" t="s">
        <v>25</v>
      </c>
      <c r="C1141" s="1">
        <v>338</v>
      </c>
      <c r="D1141" s="1">
        <v>71</v>
      </c>
      <c r="E1141" s="1">
        <v>3</v>
      </c>
      <c r="F1141" s="1">
        <v>6</v>
      </c>
      <c r="G1141" s="1">
        <v>15.25</v>
      </c>
      <c r="H1141" s="1" t="s">
        <v>57</v>
      </c>
      <c r="I1141" s="1" t="s">
        <v>27</v>
      </c>
      <c r="J1141" s="1">
        <v>82</v>
      </c>
      <c r="K1141" s="1">
        <v>4.79</v>
      </c>
      <c r="L1141" s="4">
        <v>12.22</v>
      </c>
      <c r="M1141" s="1">
        <v>1.6</v>
      </c>
      <c r="N1141" s="1">
        <v>5</v>
      </c>
      <c r="O1141" s="1">
        <v>0.73</v>
      </c>
      <c r="P1141" s="1">
        <v>487</v>
      </c>
      <c r="Q1141" s="1">
        <v>5.6</v>
      </c>
      <c r="R1141" s="1">
        <v>0.56999999999999995</v>
      </c>
      <c r="S1141" s="2">
        <v>45354</v>
      </c>
      <c r="T1141" s="1">
        <v>15.73</v>
      </c>
      <c r="U1141" s="1">
        <v>0.47499999999999998</v>
      </c>
      <c r="V1141" s="6">
        <f t="shared" si="51"/>
        <v>4130.3600000000006</v>
      </c>
      <c r="W1141" s="6" t="str">
        <f t="shared" si="52"/>
        <v>Sufficient</v>
      </c>
      <c r="X1141" s="8" t="str">
        <f t="shared" si="53"/>
        <v>High</v>
      </c>
    </row>
    <row r="1142" spans="1:24">
      <c r="A1142" s="7" t="s">
        <v>1272</v>
      </c>
      <c r="B1142" s="1" t="s">
        <v>25</v>
      </c>
      <c r="C1142" s="1">
        <v>96</v>
      </c>
      <c r="D1142" s="1">
        <v>10</v>
      </c>
      <c r="E1142" s="1">
        <v>10</v>
      </c>
      <c r="F1142" s="1">
        <v>6</v>
      </c>
      <c r="G1142" s="1">
        <v>14.06</v>
      </c>
      <c r="H1142" s="1" t="s">
        <v>70</v>
      </c>
      <c r="I1142" s="1" t="s">
        <v>31</v>
      </c>
      <c r="J1142" s="1">
        <v>86</v>
      </c>
      <c r="K1142" s="1">
        <v>2.5299999999999998</v>
      </c>
      <c r="L1142" s="4">
        <v>119.12</v>
      </c>
      <c r="M1142" s="1">
        <v>1.82</v>
      </c>
      <c r="N1142" s="1">
        <v>0</v>
      </c>
      <c r="O1142" s="1">
        <v>0.77</v>
      </c>
      <c r="P1142" s="1">
        <v>524</v>
      </c>
      <c r="Q1142" s="1">
        <v>5.92</v>
      </c>
      <c r="R1142" s="1">
        <v>0.85</v>
      </c>
      <c r="S1142" s="2">
        <v>45298</v>
      </c>
      <c r="T1142" s="1">
        <v>216.17</v>
      </c>
      <c r="U1142" s="1">
        <v>0.621</v>
      </c>
      <c r="V1142" s="6">
        <f t="shared" si="51"/>
        <v>11435.52</v>
      </c>
      <c r="W1142" s="6" t="str">
        <f t="shared" si="52"/>
        <v>Sufficient</v>
      </c>
      <c r="X1142" s="8" t="str">
        <f t="shared" si="53"/>
        <v>LOW</v>
      </c>
    </row>
    <row r="1143" spans="1:24">
      <c r="A1143" s="7" t="s">
        <v>1273</v>
      </c>
      <c r="B1143" s="1" t="s">
        <v>29</v>
      </c>
      <c r="C1143" s="1">
        <v>193</v>
      </c>
      <c r="D1143" s="1">
        <v>21</v>
      </c>
      <c r="E1143" s="1">
        <v>3</v>
      </c>
      <c r="F1143" s="1">
        <v>7</v>
      </c>
      <c r="G1143" s="1">
        <v>38.36</v>
      </c>
      <c r="H1143" s="1" t="s">
        <v>52</v>
      </c>
      <c r="I1143" s="1" t="s">
        <v>31</v>
      </c>
      <c r="J1143" s="1">
        <v>83</v>
      </c>
      <c r="K1143" s="1">
        <v>1.65</v>
      </c>
      <c r="L1143" s="4">
        <v>179.68</v>
      </c>
      <c r="M1143" s="1">
        <v>0.26</v>
      </c>
      <c r="N1143" s="1">
        <v>1</v>
      </c>
      <c r="O1143" s="1">
        <v>0.83</v>
      </c>
      <c r="P1143" s="1">
        <v>995</v>
      </c>
      <c r="Q1143" s="1">
        <v>13</v>
      </c>
      <c r="R1143" s="1">
        <v>0.82</v>
      </c>
      <c r="S1143" s="2">
        <v>45323</v>
      </c>
      <c r="T1143" s="1">
        <v>68.55</v>
      </c>
      <c r="U1143" s="1">
        <v>0.85699999999999998</v>
      </c>
      <c r="V1143" s="6">
        <f t="shared" si="51"/>
        <v>34678.239999999998</v>
      </c>
      <c r="W1143" s="6" t="str">
        <f t="shared" si="52"/>
        <v>Sufficient</v>
      </c>
      <c r="X1143" s="8" t="str">
        <f t="shared" si="53"/>
        <v>Medium</v>
      </c>
    </row>
    <row r="1144" spans="1:24">
      <c r="A1144" s="7" t="s">
        <v>1274</v>
      </c>
      <c r="B1144" s="1" t="s">
        <v>29</v>
      </c>
      <c r="C1144" s="1">
        <v>406</v>
      </c>
      <c r="D1144" s="1">
        <v>13</v>
      </c>
      <c r="E1144" s="1">
        <v>14</v>
      </c>
      <c r="F1144" s="1">
        <v>2</v>
      </c>
      <c r="G1144" s="1">
        <v>13.58</v>
      </c>
      <c r="H1144" s="1" t="s">
        <v>147</v>
      </c>
      <c r="I1144" s="1" t="s">
        <v>31</v>
      </c>
      <c r="J1144" s="1">
        <v>136</v>
      </c>
      <c r="K1144" s="1">
        <v>2.85</v>
      </c>
      <c r="L1144" s="4">
        <v>51.39</v>
      </c>
      <c r="M1144" s="1">
        <v>1.71</v>
      </c>
      <c r="N1144" s="1">
        <v>1</v>
      </c>
      <c r="O1144" s="1">
        <v>0.94</v>
      </c>
      <c r="P1144" s="1">
        <v>801</v>
      </c>
      <c r="Q1144" s="1">
        <v>9.09</v>
      </c>
      <c r="R1144" s="1">
        <v>0.94</v>
      </c>
      <c r="S1144" s="2">
        <v>45405</v>
      </c>
      <c r="T1144" s="1">
        <v>36.35</v>
      </c>
      <c r="U1144" s="1">
        <v>0.70599999999999996</v>
      </c>
      <c r="V1144" s="6">
        <f t="shared" si="51"/>
        <v>20864.34</v>
      </c>
      <c r="W1144" s="6" t="str">
        <f t="shared" si="52"/>
        <v>Sufficient</v>
      </c>
      <c r="X1144" s="8" t="str">
        <f t="shared" si="53"/>
        <v>High</v>
      </c>
    </row>
    <row r="1145" spans="1:24">
      <c r="A1145" s="7" t="s">
        <v>1275</v>
      </c>
      <c r="B1145" s="1" t="s">
        <v>66</v>
      </c>
      <c r="C1145" s="1">
        <v>477</v>
      </c>
      <c r="D1145" s="1">
        <v>51</v>
      </c>
      <c r="E1145" s="1">
        <v>7</v>
      </c>
      <c r="F1145" s="1">
        <v>4</v>
      </c>
      <c r="G1145" s="1">
        <v>22.87</v>
      </c>
      <c r="H1145" s="1" t="s">
        <v>59</v>
      </c>
      <c r="I1145" s="1" t="s">
        <v>31</v>
      </c>
      <c r="J1145" s="1">
        <v>130</v>
      </c>
      <c r="K1145" s="1">
        <v>3.57</v>
      </c>
      <c r="L1145" s="4">
        <v>186.09</v>
      </c>
      <c r="M1145" s="1">
        <v>1.83</v>
      </c>
      <c r="N1145" s="1">
        <v>0</v>
      </c>
      <c r="O1145" s="1">
        <v>0.81</v>
      </c>
      <c r="P1145" s="1">
        <v>635</v>
      </c>
      <c r="Q1145" s="1">
        <v>14.64</v>
      </c>
      <c r="R1145" s="1">
        <v>0.89</v>
      </c>
      <c r="S1145" s="2">
        <v>45358</v>
      </c>
      <c r="T1145" s="1">
        <v>254.19</v>
      </c>
      <c r="U1145" s="1">
        <v>0.752</v>
      </c>
      <c r="V1145" s="6">
        <f t="shared" si="51"/>
        <v>88764.930000000008</v>
      </c>
      <c r="W1145" s="6" t="str">
        <f t="shared" si="52"/>
        <v>Sufficient</v>
      </c>
      <c r="X1145" s="8" t="str">
        <f t="shared" si="53"/>
        <v>High</v>
      </c>
    </row>
    <row r="1146" spans="1:24">
      <c r="A1146" s="7" t="s">
        <v>1276</v>
      </c>
      <c r="B1146" s="1" t="s">
        <v>41</v>
      </c>
      <c r="C1146" s="1">
        <v>377</v>
      </c>
      <c r="D1146" s="1">
        <v>22</v>
      </c>
      <c r="E1146" s="1">
        <v>10</v>
      </c>
      <c r="F1146" s="1">
        <v>9</v>
      </c>
      <c r="G1146" s="1">
        <v>35.04</v>
      </c>
      <c r="H1146" s="1" t="s">
        <v>327</v>
      </c>
      <c r="I1146" s="1" t="s">
        <v>39</v>
      </c>
      <c r="J1146" s="1">
        <v>94</v>
      </c>
      <c r="K1146" s="1">
        <v>1.93</v>
      </c>
      <c r="L1146" s="4">
        <v>28.55</v>
      </c>
      <c r="M1146" s="1">
        <v>1.86</v>
      </c>
      <c r="N1146" s="1">
        <v>2</v>
      </c>
      <c r="O1146" s="1">
        <v>0.71</v>
      </c>
      <c r="P1146" s="1">
        <v>599</v>
      </c>
      <c r="Q1146" s="1">
        <v>9.7799999999999994</v>
      </c>
      <c r="R1146" s="1">
        <v>0.55000000000000004</v>
      </c>
      <c r="S1146" s="2">
        <v>45393</v>
      </c>
      <c r="T1146" s="1">
        <v>150.83000000000001</v>
      </c>
      <c r="U1146" s="1">
        <v>0.55600000000000005</v>
      </c>
      <c r="V1146" s="6">
        <f t="shared" si="51"/>
        <v>10763.35</v>
      </c>
      <c r="W1146" s="6" t="str">
        <f t="shared" si="52"/>
        <v>Sufficient</v>
      </c>
      <c r="X1146" s="8" t="str">
        <f t="shared" si="53"/>
        <v>High</v>
      </c>
    </row>
    <row r="1147" spans="1:24">
      <c r="A1147" s="7" t="s">
        <v>1277</v>
      </c>
      <c r="B1147" s="1" t="s">
        <v>29</v>
      </c>
      <c r="C1147" s="1">
        <v>340</v>
      </c>
      <c r="D1147" s="1">
        <v>94</v>
      </c>
      <c r="E1147" s="1">
        <v>8</v>
      </c>
      <c r="F1147" s="1">
        <v>5</v>
      </c>
      <c r="G1147" s="1">
        <v>4.9000000000000004</v>
      </c>
      <c r="H1147" s="1" t="s">
        <v>97</v>
      </c>
      <c r="I1147" s="1" t="s">
        <v>39</v>
      </c>
      <c r="J1147" s="1">
        <v>179</v>
      </c>
      <c r="K1147" s="1">
        <v>3.76</v>
      </c>
      <c r="L1147" s="4">
        <v>166.83</v>
      </c>
      <c r="M1147" s="1">
        <v>1.55</v>
      </c>
      <c r="N1147" s="1">
        <v>4</v>
      </c>
      <c r="O1147" s="1">
        <v>0.85</v>
      </c>
      <c r="P1147" s="1">
        <v>777</v>
      </c>
      <c r="Q1147" s="1">
        <v>10.88</v>
      </c>
      <c r="R1147" s="1">
        <v>0.22</v>
      </c>
      <c r="S1147" s="2">
        <v>45497</v>
      </c>
      <c r="T1147" s="1">
        <v>227.19</v>
      </c>
      <c r="U1147" s="1">
        <v>0.52400000000000002</v>
      </c>
      <c r="V1147" s="6">
        <f t="shared" si="51"/>
        <v>56722.200000000004</v>
      </c>
      <c r="W1147" s="6" t="str">
        <f t="shared" si="52"/>
        <v>Sufficient</v>
      </c>
      <c r="X1147" s="8" t="str">
        <f t="shared" si="53"/>
        <v>High</v>
      </c>
    </row>
    <row r="1148" spans="1:24">
      <c r="A1148" s="7" t="s">
        <v>1278</v>
      </c>
      <c r="B1148" s="1" t="s">
        <v>25</v>
      </c>
      <c r="C1148" s="1">
        <v>395</v>
      </c>
      <c r="D1148" s="1">
        <v>95</v>
      </c>
      <c r="E1148" s="1">
        <v>11</v>
      </c>
      <c r="F1148" s="1">
        <v>5</v>
      </c>
      <c r="G1148" s="1">
        <v>30.13</v>
      </c>
      <c r="H1148" s="1" t="s">
        <v>52</v>
      </c>
      <c r="I1148" s="1" t="s">
        <v>39</v>
      </c>
      <c r="J1148" s="1">
        <v>177</v>
      </c>
      <c r="K1148" s="1">
        <v>1.64</v>
      </c>
      <c r="L1148" s="4">
        <v>169.66</v>
      </c>
      <c r="M1148" s="1">
        <v>1.51</v>
      </c>
      <c r="N1148" s="1">
        <v>3</v>
      </c>
      <c r="O1148" s="1">
        <v>1</v>
      </c>
      <c r="P1148" s="1">
        <v>185</v>
      </c>
      <c r="Q1148" s="1">
        <v>2.25</v>
      </c>
      <c r="R1148" s="1">
        <v>0.39</v>
      </c>
      <c r="S1148" s="2">
        <v>45482</v>
      </c>
      <c r="T1148" s="1">
        <v>248.35</v>
      </c>
      <c r="U1148" s="1">
        <v>0.497</v>
      </c>
      <c r="V1148" s="6">
        <f t="shared" si="51"/>
        <v>67015.7</v>
      </c>
      <c r="W1148" s="6" t="str">
        <f t="shared" si="52"/>
        <v>Sufficient</v>
      </c>
      <c r="X1148" s="8" t="str">
        <f t="shared" si="53"/>
        <v>High</v>
      </c>
    </row>
    <row r="1149" spans="1:24">
      <c r="A1149" s="7" t="s">
        <v>1279</v>
      </c>
      <c r="B1149" s="1" t="s">
        <v>33</v>
      </c>
      <c r="C1149" s="1">
        <v>110</v>
      </c>
      <c r="D1149" s="1">
        <v>13</v>
      </c>
      <c r="E1149" s="1">
        <v>3</v>
      </c>
      <c r="F1149" s="1">
        <v>8</v>
      </c>
      <c r="G1149" s="1">
        <v>29.88</v>
      </c>
      <c r="H1149" s="1" t="s">
        <v>178</v>
      </c>
      <c r="I1149" s="1" t="s">
        <v>45</v>
      </c>
      <c r="J1149" s="1">
        <v>159</v>
      </c>
      <c r="K1149" s="1">
        <v>1.01</v>
      </c>
      <c r="L1149" s="4">
        <v>58.97</v>
      </c>
      <c r="M1149" s="1">
        <v>0.13</v>
      </c>
      <c r="N1149" s="1">
        <v>1</v>
      </c>
      <c r="O1149" s="1">
        <v>0.8</v>
      </c>
      <c r="P1149" s="1">
        <v>567</v>
      </c>
      <c r="Q1149" s="1">
        <v>14.32</v>
      </c>
      <c r="R1149" s="1">
        <v>0.69</v>
      </c>
      <c r="S1149" s="2">
        <v>45643</v>
      </c>
      <c r="T1149" s="1">
        <v>289.74</v>
      </c>
      <c r="U1149" s="1">
        <v>0.85599999999999998</v>
      </c>
      <c r="V1149" s="6">
        <f t="shared" si="51"/>
        <v>6486.7</v>
      </c>
      <c r="W1149" s="6" t="str">
        <f t="shared" si="52"/>
        <v>Sufficient</v>
      </c>
      <c r="X1149" s="8" t="str">
        <f t="shared" si="53"/>
        <v>Medium</v>
      </c>
    </row>
    <row r="1150" spans="1:24">
      <c r="A1150" s="7" t="s">
        <v>1280</v>
      </c>
      <c r="B1150" s="1" t="s">
        <v>25</v>
      </c>
      <c r="C1150" s="1">
        <v>257</v>
      </c>
      <c r="D1150" s="1">
        <v>91</v>
      </c>
      <c r="E1150" s="1">
        <v>11</v>
      </c>
      <c r="F1150" s="1">
        <v>8</v>
      </c>
      <c r="G1150" s="1">
        <v>34.53</v>
      </c>
      <c r="H1150" s="1" t="s">
        <v>147</v>
      </c>
      <c r="I1150" s="1" t="s">
        <v>31</v>
      </c>
      <c r="J1150" s="1">
        <v>91</v>
      </c>
      <c r="K1150" s="1">
        <v>2.97</v>
      </c>
      <c r="L1150" s="4">
        <v>191.99</v>
      </c>
      <c r="M1150" s="1">
        <v>1.85</v>
      </c>
      <c r="N1150" s="1">
        <v>7</v>
      </c>
      <c r="O1150" s="1">
        <v>0.99</v>
      </c>
      <c r="P1150" s="1">
        <v>808</v>
      </c>
      <c r="Q1150" s="1">
        <v>9.7899999999999991</v>
      </c>
      <c r="R1150" s="1">
        <v>0.6</v>
      </c>
      <c r="S1150" s="2">
        <v>45614</v>
      </c>
      <c r="T1150" s="1">
        <v>190.87</v>
      </c>
      <c r="U1150" s="1">
        <v>0.52400000000000002</v>
      </c>
      <c r="V1150" s="6">
        <f t="shared" si="51"/>
        <v>49341.43</v>
      </c>
      <c r="W1150" s="6" t="str">
        <f t="shared" si="52"/>
        <v>Sufficient</v>
      </c>
      <c r="X1150" s="8" t="str">
        <f t="shared" si="53"/>
        <v>High</v>
      </c>
    </row>
    <row r="1151" spans="1:24">
      <c r="A1151" s="7" t="s">
        <v>1281</v>
      </c>
      <c r="B1151" s="1" t="s">
        <v>41</v>
      </c>
      <c r="C1151" s="1">
        <v>283</v>
      </c>
      <c r="D1151" s="1">
        <v>78</v>
      </c>
      <c r="E1151" s="1">
        <v>3</v>
      </c>
      <c r="F1151" s="1">
        <v>8</v>
      </c>
      <c r="G1151" s="1">
        <v>19.13</v>
      </c>
      <c r="H1151" s="1" t="s">
        <v>124</v>
      </c>
      <c r="I1151" s="1" t="s">
        <v>31</v>
      </c>
      <c r="J1151" s="1">
        <v>30</v>
      </c>
      <c r="K1151" s="1">
        <v>1.18</v>
      </c>
      <c r="L1151" s="4">
        <v>89.15</v>
      </c>
      <c r="M1151" s="1">
        <v>0.77</v>
      </c>
      <c r="N1151" s="1">
        <v>8</v>
      </c>
      <c r="O1151" s="1">
        <v>0.73</v>
      </c>
      <c r="P1151" s="1">
        <v>373</v>
      </c>
      <c r="Q1151" s="1">
        <v>8.2799999999999994</v>
      </c>
      <c r="R1151" s="1">
        <v>0.39</v>
      </c>
      <c r="S1151" s="2">
        <v>45622</v>
      </c>
      <c r="T1151" s="1">
        <v>29.8</v>
      </c>
      <c r="U1151" s="1">
        <v>0.497</v>
      </c>
      <c r="V1151" s="6">
        <f t="shared" si="51"/>
        <v>25229.45</v>
      </c>
      <c r="W1151" s="6" t="str">
        <f t="shared" si="52"/>
        <v>Sufficient</v>
      </c>
      <c r="X1151" s="8" t="str">
        <f t="shared" si="53"/>
        <v>High</v>
      </c>
    </row>
    <row r="1152" spans="1:24">
      <c r="A1152" s="7" t="s">
        <v>1282</v>
      </c>
      <c r="B1152" s="1" t="s">
        <v>25</v>
      </c>
      <c r="C1152" s="1">
        <v>198</v>
      </c>
      <c r="D1152" s="1">
        <v>28</v>
      </c>
      <c r="E1152" s="1">
        <v>12</v>
      </c>
      <c r="F1152" s="1">
        <v>5</v>
      </c>
      <c r="G1152" s="1">
        <v>23</v>
      </c>
      <c r="H1152" s="1" t="s">
        <v>97</v>
      </c>
      <c r="I1152" s="1" t="s">
        <v>39</v>
      </c>
      <c r="J1152" s="1">
        <v>151</v>
      </c>
      <c r="K1152" s="1">
        <v>4.7300000000000004</v>
      </c>
      <c r="L1152" s="4">
        <v>36.840000000000003</v>
      </c>
      <c r="M1152" s="1">
        <v>0.18</v>
      </c>
      <c r="N1152" s="1">
        <v>7</v>
      </c>
      <c r="O1152" s="1">
        <v>0.75</v>
      </c>
      <c r="P1152" s="1">
        <v>246</v>
      </c>
      <c r="Q1152" s="1">
        <v>6.42</v>
      </c>
      <c r="R1152" s="1">
        <v>0.31</v>
      </c>
      <c r="S1152" s="2">
        <v>45335</v>
      </c>
      <c r="T1152" s="1">
        <v>171.73</v>
      </c>
      <c r="U1152" s="1">
        <v>0.54</v>
      </c>
      <c r="V1152" s="6">
        <f t="shared" si="51"/>
        <v>7294.3200000000006</v>
      </c>
      <c r="W1152" s="6" t="str">
        <f t="shared" si="52"/>
        <v>Sufficient</v>
      </c>
      <c r="X1152" s="8" t="str">
        <f t="shared" si="53"/>
        <v>Medium</v>
      </c>
    </row>
    <row r="1153" spans="1:24">
      <c r="A1153" s="7" t="s">
        <v>1283</v>
      </c>
      <c r="B1153" s="1" t="s">
        <v>66</v>
      </c>
      <c r="C1153" s="1">
        <v>228</v>
      </c>
      <c r="D1153" s="1">
        <v>11</v>
      </c>
      <c r="E1153" s="1">
        <v>12</v>
      </c>
      <c r="F1153" s="1">
        <v>6</v>
      </c>
      <c r="G1153" s="1">
        <v>17.170000000000002</v>
      </c>
      <c r="H1153" s="1" t="s">
        <v>256</v>
      </c>
      <c r="I1153" s="1" t="s">
        <v>27</v>
      </c>
      <c r="J1153" s="1">
        <v>83</v>
      </c>
      <c r="K1153" s="1">
        <v>0.5</v>
      </c>
      <c r="L1153" s="4">
        <v>122.43</v>
      </c>
      <c r="M1153" s="1">
        <v>0.88</v>
      </c>
      <c r="N1153" s="1">
        <v>6</v>
      </c>
      <c r="O1153" s="1">
        <v>0.92</v>
      </c>
      <c r="P1153" s="1">
        <v>951</v>
      </c>
      <c r="Q1153" s="1">
        <v>2.08</v>
      </c>
      <c r="R1153" s="1">
        <v>0.37</v>
      </c>
      <c r="S1153" s="2">
        <v>45590</v>
      </c>
      <c r="T1153" s="1">
        <v>157.76</v>
      </c>
      <c r="U1153" s="1">
        <v>0.47799999999999998</v>
      </c>
      <c r="V1153" s="6">
        <f t="shared" si="51"/>
        <v>27914.04</v>
      </c>
      <c r="W1153" s="6" t="str">
        <f t="shared" si="52"/>
        <v>Sufficient</v>
      </c>
      <c r="X1153" s="8" t="str">
        <f t="shared" si="53"/>
        <v>Medium</v>
      </c>
    </row>
    <row r="1154" spans="1:24">
      <c r="A1154" s="7" t="s">
        <v>1284</v>
      </c>
      <c r="B1154" s="1" t="s">
        <v>41</v>
      </c>
      <c r="C1154" s="1">
        <v>92</v>
      </c>
      <c r="D1154" s="1">
        <v>21</v>
      </c>
      <c r="E1154" s="1">
        <v>5</v>
      </c>
      <c r="F1154" s="1">
        <v>8</v>
      </c>
      <c r="G1154" s="1">
        <v>40.6</v>
      </c>
      <c r="H1154" s="1" t="s">
        <v>304</v>
      </c>
      <c r="I1154" s="1" t="s">
        <v>27</v>
      </c>
      <c r="J1154" s="1">
        <v>18</v>
      </c>
      <c r="K1154" s="1">
        <v>3.9</v>
      </c>
      <c r="L1154" s="4">
        <v>199.36</v>
      </c>
      <c r="M1154" s="1">
        <v>1.49</v>
      </c>
      <c r="N1154" s="1">
        <v>9</v>
      </c>
      <c r="O1154" s="1">
        <v>0.85</v>
      </c>
      <c r="P1154" s="1">
        <v>160</v>
      </c>
      <c r="Q1154" s="1">
        <v>2.87</v>
      </c>
      <c r="R1154" s="1">
        <v>0.41</v>
      </c>
      <c r="S1154" s="2">
        <v>45592</v>
      </c>
      <c r="T1154" s="1">
        <v>26.69</v>
      </c>
      <c r="U1154" s="1">
        <v>0.36099999999999999</v>
      </c>
      <c r="V1154" s="6">
        <f t="shared" si="51"/>
        <v>18341.120000000003</v>
      </c>
      <c r="W1154" s="6" t="str">
        <f t="shared" si="52"/>
        <v>Sufficient</v>
      </c>
      <c r="X1154" s="8" t="str">
        <f t="shared" si="53"/>
        <v>LOW</v>
      </c>
    </row>
    <row r="1155" spans="1:24">
      <c r="A1155" s="7" t="s">
        <v>1285</v>
      </c>
      <c r="B1155" s="1" t="s">
        <v>33</v>
      </c>
      <c r="C1155" s="1">
        <v>409</v>
      </c>
      <c r="D1155" s="1">
        <v>90</v>
      </c>
      <c r="E1155" s="1">
        <v>3</v>
      </c>
      <c r="F1155" s="1">
        <v>7</v>
      </c>
      <c r="G1155" s="1">
        <v>7.4</v>
      </c>
      <c r="H1155" s="1" t="s">
        <v>350</v>
      </c>
      <c r="I1155" s="1" t="s">
        <v>31</v>
      </c>
      <c r="J1155" s="1">
        <v>155</v>
      </c>
      <c r="K1155" s="1">
        <v>1.76</v>
      </c>
      <c r="L1155" s="4">
        <v>180.87</v>
      </c>
      <c r="M1155" s="1">
        <v>0.94</v>
      </c>
      <c r="N1155" s="1">
        <v>1</v>
      </c>
      <c r="O1155" s="1">
        <v>0.93</v>
      </c>
      <c r="P1155" s="1">
        <v>849</v>
      </c>
      <c r="Q1155" s="1">
        <v>1.1599999999999999</v>
      </c>
      <c r="R1155" s="1">
        <v>0.89</v>
      </c>
      <c r="S1155" s="2">
        <v>45424</v>
      </c>
      <c r="T1155" s="1">
        <v>98.83</v>
      </c>
      <c r="U1155" s="1">
        <v>0.66500000000000004</v>
      </c>
      <c r="V1155" s="6">
        <f t="shared" si="51"/>
        <v>73975.83</v>
      </c>
      <c r="W1155" s="6" t="str">
        <f t="shared" si="52"/>
        <v>Sufficient</v>
      </c>
      <c r="X1155" s="8" t="str">
        <f t="shared" si="53"/>
        <v>High</v>
      </c>
    </row>
    <row r="1156" spans="1:24">
      <c r="A1156" s="7" t="s">
        <v>1286</v>
      </c>
      <c r="B1156" s="1" t="s">
        <v>66</v>
      </c>
      <c r="C1156" s="1">
        <v>126</v>
      </c>
      <c r="D1156" s="1">
        <v>83</v>
      </c>
      <c r="E1156" s="1">
        <v>5</v>
      </c>
      <c r="F1156" s="1">
        <v>4</v>
      </c>
      <c r="G1156" s="1">
        <v>48.18</v>
      </c>
      <c r="H1156" s="1" t="s">
        <v>372</v>
      </c>
      <c r="I1156" s="1" t="s">
        <v>31</v>
      </c>
      <c r="J1156" s="1">
        <v>22</v>
      </c>
      <c r="K1156" s="1">
        <v>4.3099999999999996</v>
      </c>
      <c r="L1156" s="4">
        <v>62.93</v>
      </c>
      <c r="M1156" s="1">
        <v>1.54</v>
      </c>
      <c r="N1156" s="1">
        <v>5</v>
      </c>
      <c r="O1156" s="1">
        <v>0.96</v>
      </c>
      <c r="P1156" s="1">
        <v>599</v>
      </c>
      <c r="Q1156" s="1">
        <v>14.98</v>
      </c>
      <c r="R1156" s="1">
        <v>0.77</v>
      </c>
      <c r="S1156" s="2">
        <v>45330</v>
      </c>
      <c r="T1156" s="1">
        <v>129.53</v>
      </c>
      <c r="U1156" s="1">
        <v>0.69199999999999995</v>
      </c>
      <c r="V1156" s="6">
        <f t="shared" ref="V1156:V1219" si="54">C1156*L1156</f>
        <v>7929.18</v>
      </c>
      <c r="W1156" s="6" t="str">
        <f t="shared" ref="W1156:W1219" si="55">IF(C1156&lt;=D1156,"Reorder Required","Sufficient")</f>
        <v>Sufficient</v>
      </c>
      <c r="X1156" s="8" t="str">
        <f t="shared" ref="X1156:X1219" si="56">IF(C1156&lt;100,"LOW",IF(C1156&lt;250,"Medium","High"))</f>
        <v>Medium</v>
      </c>
    </row>
    <row r="1157" spans="1:24">
      <c r="A1157" s="7" t="s">
        <v>1287</v>
      </c>
      <c r="B1157" s="1" t="s">
        <v>41</v>
      </c>
      <c r="C1157" s="1">
        <v>364</v>
      </c>
      <c r="D1157" s="1">
        <v>15</v>
      </c>
      <c r="E1157" s="1">
        <v>14</v>
      </c>
      <c r="F1157" s="1">
        <v>3</v>
      </c>
      <c r="G1157" s="1">
        <v>32.11</v>
      </c>
      <c r="H1157" s="1" t="s">
        <v>83</v>
      </c>
      <c r="I1157" s="1" t="s">
        <v>39</v>
      </c>
      <c r="J1157" s="1">
        <v>26</v>
      </c>
      <c r="K1157" s="1">
        <v>0.77</v>
      </c>
      <c r="L1157" s="4">
        <v>119.63</v>
      </c>
      <c r="M1157" s="1">
        <v>1.07</v>
      </c>
      <c r="N1157" s="1">
        <v>3</v>
      </c>
      <c r="O1157" s="1">
        <v>0.78</v>
      </c>
      <c r="P1157" s="1">
        <v>164</v>
      </c>
      <c r="Q1157" s="1">
        <v>12.01</v>
      </c>
      <c r="R1157" s="1">
        <v>0.64</v>
      </c>
      <c r="S1157" s="2">
        <v>45303</v>
      </c>
      <c r="T1157" s="1">
        <v>56.68</v>
      </c>
      <c r="U1157" s="1">
        <v>0.67700000000000005</v>
      </c>
      <c r="V1157" s="6">
        <f t="shared" si="54"/>
        <v>43545.32</v>
      </c>
      <c r="W1157" s="6" t="str">
        <f t="shared" si="55"/>
        <v>Sufficient</v>
      </c>
      <c r="X1157" s="8" t="str">
        <f t="shared" si="56"/>
        <v>High</v>
      </c>
    </row>
    <row r="1158" spans="1:24">
      <c r="A1158" s="7" t="s">
        <v>1288</v>
      </c>
      <c r="B1158" s="1" t="s">
        <v>33</v>
      </c>
      <c r="C1158" s="1">
        <v>314</v>
      </c>
      <c r="D1158" s="1">
        <v>17</v>
      </c>
      <c r="E1158" s="1">
        <v>13</v>
      </c>
      <c r="F1158" s="1">
        <v>5</v>
      </c>
      <c r="G1158" s="1">
        <v>44.46</v>
      </c>
      <c r="H1158" s="1" t="s">
        <v>370</v>
      </c>
      <c r="I1158" s="1" t="s">
        <v>31</v>
      </c>
      <c r="J1158" s="1">
        <v>135</v>
      </c>
      <c r="K1158" s="1">
        <v>4.79</v>
      </c>
      <c r="L1158" s="4">
        <v>31.92</v>
      </c>
      <c r="M1158" s="1">
        <v>0.67</v>
      </c>
      <c r="N1158" s="1">
        <v>4</v>
      </c>
      <c r="O1158" s="1">
        <v>0.9</v>
      </c>
      <c r="P1158" s="1">
        <v>746</v>
      </c>
      <c r="Q1158" s="1">
        <v>12.16</v>
      </c>
      <c r="R1158" s="1">
        <v>0.22</v>
      </c>
      <c r="S1158" s="2">
        <v>45325</v>
      </c>
      <c r="T1158" s="1">
        <v>12.54</v>
      </c>
      <c r="U1158" s="1">
        <v>0.63900000000000001</v>
      </c>
      <c r="V1158" s="6">
        <f t="shared" si="54"/>
        <v>10022.880000000001</v>
      </c>
      <c r="W1158" s="6" t="str">
        <f t="shared" si="55"/>
        <v>Sufficient</v>
      </c>
      <c r="X1158" s="8" t="str">
        <f t="shared" si="56"/>
        <v>High</v>
      </c>
    </row>
    <row r="1159" spans="1:24">
      <c r="A1159" s="7" t="s">
        <v>1289</v>
      </c>
      <c r="B1159" s="1" t="s">
        <v>66</v>
      </c>
      <c r="C1159" s="1">
        <v>388</v>
      </c>
      <c r="D1159" s="1">
        <v>60</v>
      </c>
      <c r="E1159" s="1">
        <v>4</v>
      </c>
      <c r="F1159" s="1">
        <v>7</v>
      </c>
      <c r="G1159" s="1">
        <v>21.89</v>
      </c>
      <c r="H1159" s="1" t="s">
        <v>38</v>
      </c>
      <c r="I1159" s="1" t="s">
        <v>27</v>
      </c>
      <c r="J1159" s="1">
        <v>96</v>
      </c>
      <c r="K1159" s="1">
        <v>0.96</v>
      </c>
      <c r="L1159" s="4">
        <v>97.75</v>
      </c>
      <c r="M1159" s="1">
        <v>0.49</v>
      </c>
      <c r="N1159" s="1">
        <v>8</v>
      </c>
      <c r="O1159" s="1">
        <v>0.88</v>
      </c>
      <c r="P1159" s="1">
        <v>773</v>
      </c>
      <c r="Q1159" s="1">
        <v>11.22</v>
      </c>
      <c r="R1159" s="1">
        <v>0.86</v>
      </c>
      <c r="S1159" s="2">
        <v>45393</v>
      </c>
      <c r="T1159" s="1">
        <v>229.52</v>
      </c>
      <c r="U1159" s="1">
        <v>0.68899999999999995</v>
      </c>
      <c r="V1159" s="6">
        <f t="shared" si="54"/>
        <v>37927</v>
      </c>
      <c r="W1159" s="6" t="str">
        <f t="shared" si="55"/>
        <v>Sufficient</v>
      </c>
      <c r="X1159" s="8" t="str">
        <f t="shared" si="56"/>
        <v>High</v>
      </c>
    </row>
    <row r="1160" spans="1:24">
      <c r="A1160" s="7" t="s">
        <v>1290</v>
      </c>
      <c r="B1160" s="1" t="s">
        <v>66</v>
      </c>
      <c r="C1160" s="1">
        <v>463</v>
      </c>
      <c r="D1160" s="1">
        <v>20</v>
      </c>
      <c r="E1160" s="1">
        <v>4</v>
      </c>
      <c r="F1160" s="1">
        <v>4</v>
      </c>
      <c r="G1160" s="1">
        <v>17.28</v>
      </c>
      <c r="H1160" s="1" t="s">
        <v>440</v>
      </c>
      <c r="I1160" s="1" t="s">
        <v>27</v>
      </c>
      <c r="J1160" s="1">
        <v>162</v>
      </c>
      <c r="K1160" s="1">
        <v>4.05</v>
      </c>
      <c r="L1160" s="4">
        <v>109.38</v>
      </c>
      <c r="M1160" s="1">
        <v>0.9</v>
      </c>
      <c r="N1160" s="1">
        <v>8</v>
      </c>
      <c r="O1160" s="1">
        <v>0.96</v>
      </c>
      <c r="P1160" s="1">
        <v>537</v>
      </c>
      <c r="Q1160" s="1">
        <v>7.78</v>
      </c>
      <c r="R1160" s="1">
        <v>0.64</v>
      </c>
      <c r="S1160" s="2">
        <v>45622</v>
      </c>
      <c r="T1160" s="1">
        <v>256.97000000000003</v>
      </c>
      <c r="U1160" s="1">
        <v>0.57399999999999995</v>
      </c>
      <c r="V1160" s="6">
        <f t="shared" si="54"/>
        <v>50642.939999999995</v>
      </c>
      <c r="W1160" s="6" t="str">
        <f t="shared" si="55"/>
        <v>Sufficient</v>
      </c>
      <c r="X1160" s="8" t="str">
        <f t="shared" si="56"/>
        <v>High</v>
      </c>
    </row>
    <row r="1161" spans="1:24">
      <c r="A1161" s="7" t="s">
        <v>1291</v>
      </c>
      <c r="B1161" s="1" t="s">
        <v>41</v>
      </c>
      <c r="C1161" s="1">
        <v>303</v>
      </c>
      <c r="D1161" s="1">
        <v>72</v>
      </c>
      <c r="E1161" s="1">
        <v>11</v>
      </c>
      <c r="F1161" s="1">
        <v>4</v>
      </c>
      <c r="G1161" s="1">
        <v>45.14</v>
      </c>
      <c r="H1161" s="1" t="s">
        <v>244</v>
      </c>
      <c r="I1161" s="1" t="s">
        <v>31</v>
      </c>
      <c r="J1161" s="1">
        <v>25</v>
      </c>
      <c r="K1161" s="1">
        <v>2.83</v>
      </c>
      <c r="L1161" s="4">
        <v>69.900000000000006</v>
      </c>
      <c r="M1161" s="1">
        <v>0.17</v>
      </c>
      <c r="N1161" s="1">
        <v>3</v>
      </c>
      <c r="O1161" s="1">
        <v>0.83</v>
      </c>
      <c r="P1161" s="1">
        <v>414</v>
      </c>
      <c r="Q1161" s="1">
        <v>2.23</v>
      </c>
      <c r="R1161" s="1">
        <v>0.7</v>
      </c>
      <c r="S1161" s="2">
        <v>45519</v>
      </c>
      <c r="T1161" s="1">
        <v>76.44</v>
      </c>
      <c r="U1161" s="1">
        <v>0.65900000000000003</v>
      </c>
      <c r="V1161" s="6">
        <f t="shared" si="54"/>
        <v>21179.7</v>
      </c>
      <c r="W1161" s="6" t="str">
        <f t="shared" si="55"/>
        <v>Sufficient</v>
      </c>
      <c r="X1161" s="8" t="str">
        <f t="shared" si="56"/>
        <v>High</v>
      </c>
    </row>
    <row r="1162" spans="1:24">
      <c r="A1162" s="7" t="s">
        <v>1292</v>
      </c>
      <c r="B1162" s="1" t="s">
        <v>29</v>
      </c>
      <c r="C1162" s="1">
        <v>372</v>
      </c>
      <c r="D1162" s="1">
        <v>66</v>
      </c>
      <c r="E1162" s="1">
        <v>10</v>
      </c>
      <c r="F1162" s="1">
        <v>2</v>
      </c>
      <c r="G1162" s="1">
        <v>5.84</v>
      </c>
      <c r="H1162" s="1" t="s">
        <v>294</v>
      </c>
      <c r="I1162" s="1" t="s">
        <v>39</v>
      </c>
      <c r="J1162" s="1">
        <v>33</v>
      </c>
      <c r="K1162" s="1">
        <v>2.44</v>
      </c>
      <c r="L1162" s="4">
        <v>102</v>
      </c>
      <c r="M1162" s="1">
        <v>0.9</v>
      </c>
      <c r="N1162" s="1">
        <v>7</v>
      </c>
      <c r="O1162" s="1">
        <v>0.72</v>
      </c>
      <c r="P1162" s="1">
        <v>533</v>
      </c>
      <c r="Q1162" s="1">
        <v>2.0099999999999998</v>
      </c>
      <c r="R1162" s="1">
        <v>0.25</v>
      </c>
      <c r="S1162" s="2">
        <v>45357</v>
      </c>
      <c r="T1162" s="1">
        <v>11.1</v>
      </c>
      <c r="U1162" s="1">
        <v>0.39100000000000001</v>
      </c>
      <c r="V1162" s="6">
        <f t="shared" si="54"/>
        <v>37944</v>
      </c>
      <c r="W1162" s="6" t="str">
        <f t="shared" si="55"/>
        <v>Sufficient</v>
      </c>
      <c r="X1162" s="8" t="str">
        <f t="shared" si="56"/>
        <v>High</v>
      </c>
    </row>
    <row r="1163" spans="1:24">
      <c r="A1163" s="7" t="s">
        <v>1293</v>
      </c>
      <c r="B1163" s="1" t="s">
        <v>66</v>
      </c>
      <c r="C1163" s="1">
        <v>201</v>
      </c>
      <c r="D1163" s="1">
        <v>21</v>
      </c>
      <c r="E1163" s="1">
        <v>3</v>
      </c>
      <c r="F1163" s="1">
        <v>9</v>
      </c>
      <c r="G1163" s="1">
        <v>6.74</v>
      </c>
      <c r="H1163" s="1" t="s">
        <v>26</v>
      </c>
      <c r="I1163" s="1" t="s">
        <v>39</v>
      </c>
      <c r="J1163" s="1">
        <v>84</v>
      </c>
      <c r="K1163" s="1">
        <v>1.76</v>
      </c>
      <c r="L1163" s="4">
        <v>184.79</v>
      </c>
      <c r="M1163" s="1">
        <v>0.23</v>
      </c>
      <c r="N1163" s="1">
        <v>4</v>
      </c>
      <c r="O1163" s="1">
        <v>0.87</v>
      </c>
      <c r="P1163" s="1">
        <v>816</v>
      </c>
      <c r="Q1163" s="1">
        <v>13.83</v>
      </c>
      <c r="R1163" s="1">
        <v>0.85</v>
      </c>
      <c r="S1163" s="2">
        <v>45339</v>
      </c>
      <c r="T1163" s="1">
        <v>268.08</v>
      </c>
      <c r="U1163" s="1">
        <v>0.82499999999999996</v>
      </c>
      <c r="V1163" s="6">
        <f t="shared" si="54"/>
        <v>37142.79</v>
      </c>
      <c r="W1163" s="6" t="str">
        <f t="shared" si="55"/>
        <v>Sufficient</v>
      </c>
      <c r="X1163" s="8" t="str">
        <f t="shared" si="56"/>
        <v>Medium</v>
      </c>
    </row>
    <row r="1164" spans="1:24">
      <c r="A1164" s="7" t="s">
        <v>1294</v>
      </c>
      <c r="B1164" s="1" t="s">
        <v>66</v>
      </c>
      <c r="C1164" s="1">
        <v>56</v>
      </c>
      <c r="D1164" s="1">
        <v>82</v>
      </c>
      <c r="E1164" s="1">
        <v>14</v>
      </c>
      <c r="F1164" s="1">
        <v>7</v>
      </c>
      <c r="G1164" s="1">
        <v>15.67</v>
      </c>
      <c r="H1164" s="1" t="s">
        <v>325</v>
      </c>
      <c r="I1164" s="1" t="s">
        <v>27</v>
      </c>
      <c r="J1164" s="1">
        <v>160</v>
      </c>
      <c r="K1164" s="1">
        <v>4.29</v>
      </c>
      <c r="L1164" s="4">
        <v>105.03</v>
      </c>
      <c r="M1164" s="1">
        <v>1.77</v>
      </c>
      <c r="N1164" s="1">
        <v>8</v>
      </c>
      <c r="O1164" s="1">
        <v>0.99</v>
      </c>
      <c r="P1164" s="1">
        <v>881</v>
      </c>
      <c r="Q1164" s="1">
        <v>1</v>
      </c>
      <c r="R1164" s="1">
        <v>0.87</v>
      </c>
      <c r="S1164" s="2">
        <v>45461</v>
      </c>
      <c r="T1164" s="1">
        <v>48.85</v>
      </c>
      <c r="U1164" s="1">
        <v>0.44800000000000001</v>
      </c>
      <c r="V1164" s="6">
        <f t="shared" si="54"/>
        <v>5881.68</v>
      </c>
      <c r="W1164" s="6" t="str">
        <f t="shared" si="55"/>
        <v>Reorder Required</v>
      </c>
      <c r="X1164" s="8" t="str">
        <f t="shared" si="56"/>
        <v>LOW</v>
      </c>
    </row>
    <row r="1165" spans="1:24">
      <c r="A1165" s="7" t="s">
        <v>1295</v>
      </c>
      <c r="B1165" s="1" t="s">
        <v>33</v>
      </c>
      <c r="C1165" s="1">
        <v>156</v>
      </c>
      <c r="D1165" s="1">
        <v>11</v>
      </c>
      <c r="E1165" s="1">
        <v>6</v>
      </c>
      <c r="F1165" s="1">
        <v>5</v>
      </c>
      <c r="G1165" s="1">
        <v>48.03</v>
      </c>
      <c r="H1165" s="1" t="s">
        <v>57</v>
      </c>
      <c r="I1165" s="1" t="s">
        <v>39</v>
      </c>
      <c r="J1165" s="1">
        <v>178</v>
      </c>
      <c r="K1165" s="1">
        <v>1.4</v>
      </c>
      <c r="L1165" s="4">
        <v>167.89</v>
      </c>
      <c r="M1165" s="1">
        <v>1.19</v>
      </c>
      <c r="N1165" s="1">
        <v>1</v>
      </c>
      <c r="O1165" s="1">
        <v>0.7</v>
      </c>
      <c r="P1165" s="1">
        <v>359</v>
      </c>
      <c r="Q1165" s="1">
        <v>10.79</v>
      </c>
      <c r="R1165" s="1">
        <v>0.91</v>
      </c>
      <c r="S1165" s="2">
        <v>45354</v>
      </c>
      <c r="T1165" s="1">
        <v>126.94</v>
      </c>
      <c r="U1165" s="1">
        <v>0.72699999999999998</v>
      </c>
      <c r="V1165" s="6">
        <f t="shared" si="54"/>
        <v>26190.839999999997</v>
      </c>
      <c r="W1165" s="6" t="str">
        <f t="shared" si="55"/>
        <v>Sufficient</v>
      </c>
      <c r="X1165" s="8" t="str">
        <f t="shared" si="56"/>
        <v>Medium</v>
      </c>
    </row>
    <row r="1166" spans="1:24">
      <c r="A1166" s="7" t="s">
        <v>1296</v>
      </c>
      <c r="B1166" s="1" t="s">
        <v>25</v>
      </c>
      <c r="C1166" s="1">
        <v>357</v>
      </c>
      <c r="D1166" s="1">
        <v>17</v>
      </c>
      <c r="E1166" s="1">
        <v>3</v>
      </c>
      <c r="F1166" s="1">
        <v>8</v>
      </c>
      <c r="G1166" s="1">
        <v>32.020000000000003</v>
      </c>
      <c r="H1166" s="1" t="s">
        <v>350</v>
      </c>
      <c r="I1166" s="1" t="s">
        <v>27</v>
      </c>
      <c r="J1166" s="1">
        <v>112</v>
      </c>
      <c r="K1166" s="1">
        <v>3.75</v>
      </c>
      <c r="L1166" s="4">
        <v>70.3</v>
      </c>
      <c r="M1166" s="1">
        <v>1.33</v>
      </c>
      <c r="N1166" s="1">
        <v>3</v>
      </c>
      <c r="O1166" s="1">
        <v>0.77</v>
      </c>
      <c r="P1166" s="1">
        <v>162</v>
      </c>
      <c r="Q1166" s="1">
        <v>9.8000000000000007</v>
      </c>
      <c r="R1166" s="1">
        <v>0.62</v>
      </c>
      <c r="S1166" s="2">
        <v>45313</v>
      </c>
      <c r="T1166" s="1">
        <v>116.13</v>
      </c>
      <c r="U1166" s="1">
        <v>0.61599999999999999</v>
      </c>
      <c r="V1166" s="6">
        <f t="shared" si="54"/>
        <v>25097.1</v>
      </c>
      <c r="W1166" s="6" t="str">
        <f t="shared" si="55"/>
        <v>Sufficient</v>
      </c>
      <c r="X1166" s="8" t="str">
        <f t="shared" si="56"/>
        <v>High</v>
      </c>
    </row>
    <row r="1167" spans="1:24">
      <c r="A1167" s="7" t="s">
        <v>1297</v>
      </c>
      <c r="B1167" s="1" t="s">
        <v>41</v>
      </c>
      <c r="C1167" s="1">
        <v>75</v>
      </c>
      <c r="D1167" s="1">
        <v>20</v>
      </c>
      <c r="E1167" s="1">
        <v>3</v>
      </c>
      <c r="F1167" s="1">
        <v>6</v>
      </c>
      <c r="G1167" s="1">
        <v>28.16</v>
      </c>
      <c r="H1167" s="1" t="s">
        <v>119</v>
      </c>
      <c r="I1167" s="1" t="s">
        <v>31</v>
      </c>
      <c r="J1167" s="1">
        <v>95</v>
      </c>
      <c r="K1167" s="1">
        <v>2.5099999999999998</v>
      </c>
      <c r="L1167" s="4">
        <v>194.57</v>
      </c>
      <c r="M1167" s="1">
        <v>0.65</v>
      </c>
      <c r="N1167" s="1">
        <v>2</v>
      </c>
      <c r="O1167" s="1">
        <v>0.79</v>
      </c>
      <c r="P1167" s="1">
        <v>319</v>
      </c>
      <c r="Q1167" s="1">
        <v>8.02</v>
      </c>
      <c r="R1167" s="1">
        <v>0.52</v>
      </c>
      <c r="S1167" s="2">
        <v>45528</v>
      </c>
      <c r="T1167" s="1">
        <v>57.64</v>
      </c>
      <c r="U1167" s="1">
        <v>0.66400000000000003</v>
      </c>
      <c r="V1167" s="6">
        <f t="shared" si="54"/>
        <v>14592.75</v>
      </c>
      <c r="W1167" s="6" t="str">
        <f t="shared" si="55"/>
        <v>Sufficient</v>
      </c>
      <c r="X1167" s="8" t="str">
        <f t="shared" si="56"/>
        <v>LOW</v>
      </c>
    </row>
    <row r="1168" spans="1:24">
      <c r="A1168" s="7" t="s">
        <v>1298</v>
      </c>
      <c r="B1168" s="1" t="s">
        <v>41</v>
      </c>
      <c r="C1168" s="1">
        <v>206</v>
      </c>
      <c r="D1168" s="1">
        <v>62</v>
      </c>
      <c r="E1168" s="1">
        <v>14</v>
      </c>
      <c r="F1168" s="1">
        <v>8</v>
      </c>
      <c r="G1168" s="1">
        <v>35.56</v>
      </c>
      <c r="H1168" s="1" t="s">
        <v>411</v>
      </c>
      <c r="I1168" s="1" t="s">
        <v>27</v>
      </c>
      <c r="J1168" s="1">
        <v>170</v>
      </c>
      <c r="K1168" s="1">
        <v>4.99</v>
      </c>
      <c r="L1168" s="4">
        <v>27.76</v>
      </c>
      <c r="M1168" s="1">
        <v>0.53</v>
      </c>
      <c r="N1168" s="1">
        <v>6</v>
      </c>
      <c r="O1168" s="1">
        <v>0.93</v>
      </c>
      <c r="P1168" s="1">
        <v>369</v>
      </c>
      <c r="Q1168" s="1">
        <v>14.65</v>
      </c>
      <c r="R1168" s="1">
        <v>0.26</v>
      </c>
      <c r="S1168" s="2">
        <v>45317</v>
      </c>
      <c r="T1168" s="1">
        <v>183.66</v>
      </c>
      <c r="U1168" s="1">
        <v>0.66</v>
      </c>
      <c r="V1168" s="6">
        <f t="shared" si="54"/>
        <v>5718.56</v>
      </c>
      <c r="W1168" s="6" t="str">
        <f t="shared" si="55"/>
        <v>Sufficient</v>
      </c>
      <c r="X1168" s="8" t="str">
        <f t="shared" si="56"/>
        <v>Medium</v>
      </c>
    </row>
    <row r="1169" spans="1:24">
      <c r="A1169" s="7" t="s">
        <v>1299</v>
      </c>
      <c r="B1169" s="1" t="s">
        <v>29</v>
      </c>
      <c r="C1169" s="1">
        <v>360</v>
      </c>
      <c r="D1169" s="1">
        <v>19</v>
      </c>
      <c r="E1169" s="1">
        <v>14</v>
      </c>
      <c r="F1169" s="1">
        <v>4</v>
      </c>
      <c r="G1169" s="1">
        <v>21.46</v>
      </c>
      <c r="H1169" s="1" t="s">
        <v>394</v>
      </c>
      <c r="I1169" s="1" t="s">
        <v>31</v>
      </c>
      <c r="J1169" s="1">
        <v>114</v>
      </c>
      <c r="K1169" s="1">
        <v>3.25</v>
      </c>
      <c r="L1169" s="4">
        <v>121.26</v>
      </c>
      <c r="M1169" s="1">
        <v>1.45</v>
      </c>
      <c r="N1169" s="1">
        <v>1</v>
      </c>
      <c r="O1169" s="1">
        <v>0.8</v>
      </c>
      <c r="P1169" s="1">
        <v>995</v>
      </c>
      <c r="Q1169" s="1">
        <v>3.77</v>
      </c>
      <c r="R1169" s="1">
        <v>0.36</v>
      </c>
      <c r="S1169" s="2">
        <v>45378</v>
      </c>
      <c r="T1169" s="1">
        <v>276.38</v>
      </c>
      <c r="U1169" s="1">
        <v>0.51700000000000002</v>
      </c>
      <c r="V1169" s="6">
        <f t="shared" si="54"/>
        <v>43653.599999999999</v>
      </c>
      <c r="W1169" s="6" t="str">
        <f t="shared" si="55"/>
        <v>Sufficient</v>
      </c>
      <c r="X1169" s="8" t="str">
        <f t="shared" si="56"/>
        <v>High</v>
      </c>
    </row>
    <row r="1170" spans="1:24">
      <c r="A1170" s="7" t="s">
        <v>1300</v>
      </c>
      <c r="B1170" s="1" t="s">
        <v>29</v>
      </c>
      <c r="C1170" s="1">
        <v>277</v>
      </c>
      <c r="D1170" s="1">
        <v>94</v>
      </c>
      <c r="E1170" s="1">
        <v>6</v>
      </c>
      <c r="F1170" s="1">
        <v>4</v>
      </c>
      <c r="G1170" s="1">
        <v>38.15</v>
      </c>
      <c r="H1170" s="1" t="s">
        <v>205</v>
      </c>
      <c r="I1170" s="1" t="s">
        <v>39</v>
      </c>
      <c r="J1170" s="1">
        <v>51</v>
      </c>
      <c r="K1170" s="1">
        <v>0.97</v>
      </c>
      <c r="L1170" s="4">
        <v>160.08000000000001</v>
      </c>
      <c r="M1170" s="1">
        <v>1.38</v>
      </c>
      <c r="N1170" s="1">
        <v>2</v>
      </c>
      <c r="O1170" s="1">
        <v>0.77</v>
      </c>
      <c r="P1170" s="1">
        <v>224</v>
      </c>
      <c r="Q1170" s="1">
        <v>11.99</v>
      </c>
      <c r="R1170" s="1">
        <v>0.38</v>
      </c>
      <c r="S1170" s="2">
        <v>45585</v>
      </c>
      <c r="T1170" s="1">
        <v>158.97999999999999</v>
      </c>
      <c r="U1170" s="1">
        <v>0.61199999999999999</v>
      </c>
      <c r="V1170" s="6">
        <f t="shared" si="54"/>
        <v>44342.16</v>
      </c>
      <c r="W1170" s="6" t="str">
        <f t="shared" si="55"/>
        <v>Sufficient</v>
      </c>
      <c r="X1170" s="8" t="str">
        <f t="shared" si="56"/>
        <v>High</v>
      </c>
    </row>
    <row r="1171" spans="1:24">
      <c r="A1171" s="7" t="s">
        <v>1301</v>
      </c>
      <c r="B1171" s="1" t="s">
        <v>41</v>
      </c>
      <c r="C1171" s="1">
        <v>464</v>
      </c>
      <c r="D1171" s="1">
        <v>93</v>
      </c>
      <c r="E1171" s="1">
        <v>4</v>
      </c>
      <c r="F1171" s="1">
        <v>3</v>
      </c>
      <c r="G1171" s="1">
        <v>20.27</v>
      </c>
      <c r="H1171" s="1" t="s">
        <v>176</v>
      </c>
      <c r="I1171" s="1" t="s">
        <v>45</v>
      </c>
      <c r="J1171" s="1">
        <v>27</v>
      </c>
      <c r="K1171" s="1">
        <v>2.39</v>
      </c>
      <c r="L1171" s="4">
        <v>164.67</v>
      </c>
      <c r="M1171" s="1">
        <v>0.33</v>
      </c>
      <c r="N1171" s="1">
        <v>8</v>
      </c>
      <c r="O1171" s="1">
        <v>0.89</v>
      </c>
      <c r="P1171" s="1">
        <v>871</v>
      </c>
      <c r="Q1171" s="1">
        <v>10.45</v>
      </c>
      <c r="R1171" s="1">
        <v>0.25</v>
      </c>
      <c r="S1171" s="2">
        <v>45513</v>
      </c>
      <c r="T1171" s="1">
        <v>292.14</v>
      </c>
      <c r="U1171" s="1">
        <v>0.57399999999999995</v>
      </c>
      <c r="V1171" s="6">
        <f t="shared" si="54"/>
        <v>76406.87999999999</v>
      </c>
      <c r="W1171" s="6" t="str">
        <f t="shared" si="55"/>
        <v>Sufficient</v>
      </c>
      <c r="X1171" s="8" t="str">
        <f t="shared" si="56"/>
        <v>High</v>
      </c>
    </row>
    <row r="1172" spans="1:24">
      <c r="A1172" s="7" t="s">
        <v>1302</v>
      </c>
      <c r="B1172" s="1" t="s">
        <v>29</v>
      </c>
      <c r="C1172" s="1">
        <v>77</v>
      </c>
      <c r="D1172" s="1">
        <v>17</v>
      </c>
      <c r="E1172" s="1">
        <v>5</v>
      </c>
      <c r="F1172" s="1">
        <v>8</v>
      </c>
      <c r="G1172" s="1">
        <v>41.49</v>
      </c>
      <c r="H1172" s="1" t="s">
        <v>50</v>
      </c>
      <c r="I1172" s="1" t="s">
        <v>45</v>
      </c>
      <c r="J1172" s="1">
        <v>87</v>
      </c>
      <c r="K1172" s="1">
        <v>0.8</v>
      </c>
      <c r="L1172" s="4">
        <v>47.67</v>
      </c>
      <c r="M1172" s="1">
        <v>0.55000000000000004</v>
      </c>
      <c r="N1172" s="1">
        <v>7</v>
      </c>
      <c r="O1172" s="1">
        <v>0.71</v>
      </c>
      <c r="P1172" s="1">
        <v>68</v>
      </c>
      <c r="Q1172" s="1">
        <v>14.64</v>
      </c>
      <c r="R1172" s="1">
        <v>0.32</v>
      </c>
      <c r="S1172" s="2">
        <v>45494</v>
      </c>
      <c r="T1172" s="1">
        <v>65.319999999999993</v>
      </c>
      <c r="U1172" s="1">
        <v>0.60599999999999998</v>
      </c>
      <c r="V1172" s="6">
        <f t="shared" si="54"/>
        <v>3670.59</v>
      </c>
      <c r="W1172" s="6" t="str">
        <f t="shared" si="55"/>
        <v>Sufficient</v>
      </c>
      <c r="X1172" s="8" t="str">
        <f t="shared" si="56"/>
        <v>LOW</v>
      </c>
    </row>
    <row r="1173" spans="1:24">
      <c r="A1173" s="7" t="s">
        <v>1303</v>
      </c>
      <c r="B1173" s="1" t="s">
        <v>33</v>
      </c>
      <c r="C1173" s="1">
        <v>382</v>
      </c>
      <c r="D1173" s="1">
        <v>45</v>
      </c>
      <c r="E1173" s="1">
        <v>13</v>
      </c>
      <c r="F1173" s="1">
        <v>9</v>
      </c>
      <c r="G1173" s="1">
        <v>14.1</v>
      </c>
      <c r="H1173" s="1" t="s">
        <v>99</v>
      </c>
      <c r="I1173" s="1" t="s">
        <v>45</v>
      </c>
      <c r="J1173" s="1">
        <v>101</v>
      </c>
      <c r="K1173" s="1">
        <v>1.79</v>
      </c>
      <c r="L1173" s="4">
        <v>86.31</v>
      </c>
      <c r="M1173" s="1">
        <v>1.9</v>
      </c>
      <c r="N1173" s="1">
        <v>1</v>
      </c>
      <c r="O1173" s="1">
        <v>0.75</v>
      </c>
      <c r="P1173" s="1">
        <v>252</v>
      </c>
      <c r="Q1173" s="1">
        <v>14.08</v>
      </c>
      <c r="R1173" s="1">
        <v>0.91</v>
      </c>
      <c r="S1173" s="2">
        <v>45546</v>
      </c>
      <c r="T1173" s="1">
        <v>256.07</v>
      </c>
      <c r="U1173" s="1">
        <v>0.71</v>
      </c>
      <c r="V1173" s="6">
        <f t="shared" si="54"/>
        <v>32970.42</v>
      </c>
      <c r="W1173" s="6" t="str">
        <f t="shared" si="55"/>
        <v>Sufficient</v>
      </c>
      <c r="X1173" s="8" t="str">
        <f t="shared" si="56"/>
        <v>High</v>
      </c>
    </row>
    <row r="1174" spans="1:24">
      <c r="A1174" s="7" t="s">
        <v>1304</v>
      </c>
      <c r="B1174" s="1" t="s">
        <v>41</v>
      </c>
      <c r="C1174" s="1">
        <v>142</v>
      </c>
      <c r="D1174" s="1">
        <v>85</v>
      </c>
      <c r="E1174" s="1">
        <v>11</v>
      </c>
      <c r="F1174" s="1">
        <v>9</v>
      </c>
      <c r="G1174" s="1">
        <v>14.6</v>
      </c>
      <c r="H1174" s="1" t="s">
        <v>394</v>
      </c>
      <c r="I1174" s="1" t="s">
        <v>27</v>
      </c>
      <c r="J1174" s="1">
        <v>20</v>
      </c>
      <c r="K1174" s="1">
        <v>2.04</v>
      </c>
      <c r="L1174" s="4">
        <v>128.6</v>
      </c>
      <c r="M1174" s="1">
        <v>0.68</v>
      </c>
      <c r="N1174" s="1">
        <v>5</v>
      </c>
      <c r="O1174" s="1">
        <v>0.82</v>
      </c>
      <c r="P1174" s="1">
        <v>984</v>
      </c>
      <c r="Q1174" s="1">
        <v>2.8</v>
      </c>
      <c r="R1174" s="1">
        <v>0.64</v>
      </c>
      <c r="S1174" s="2">
        <v>45307</v>
      </c>
      <c r="T1174" s="1">
        <v>84.5</v>
      </c>
      <c r="U1174" s="1">
        <v>0.56100000000000005</v>
      </c>
      <c r="V1174" s="6">
        <f t="shared" si="54"/>
        <v>18261.2</v>
      </c>
      <c r="W1174" s="6" t="str">
        <f t="shared" si="55"/>
        <v>Sufficient</v>
      </c>
      <c r="X1174" s="8" t="str">
        <f t="shared" si="56"/>
        <v>Medium</v>
      </c>
    </row>
    <row r="1175" spans="1:24">
      <c r="A1175" s="7" t="s">
        <v>1305</v>
      </c>
      <c r="B1175" s="1" t="s">
        <v>29</v>
      </c>
      <c r="C1175" s="1">
        <v>207</v>
      </c>
      <c r="D1175" s="1">
        <v>23</v>
      </c>
      <c r="E1175" s="1">
        <v>4</v>
      </c>
      <c r="F1175" s="1">
        <v>2</v>
      </c>
      <c r="G1175" s="1">
        <v>26.6</v>
      </c>
      <c r="H1175" s="1" t="s">
        <v>411</v>
      </c>
      <c r="I1175" s="1" t="s">
        <v>45</v>
      </c>
      <c r="J1175" s="1">
        <v>161</v>
      </c>
      <c r="K1175" s="1">
        <v>4.34</v>
      </c>
      <c r="L1175" s="4">
        <v>70.02</v>
      </c>
      <c r="M1175" s="1">
        <v>0.15</v>
      </c>
      <c r="N1175" s="1">
        <v>2</v>
      </c>
      <c r="O1175" s="1">
        <v>0.81</v>
      </c>
      <c r="P1175" s="1">
        <v>175</v>
      </c>
      <c r="Q1175" s="1">
        <v>5.31</v>
      </c>
      <c r="R1175" s="1">
        <v>0.81</v>
      </c>
      <c r="S1175" s="2">
        <v>45487</v>
      </c>
      <c r="T1175" s="1">
        <v>82.66</v>
      </c>
      <c r="U1175" s="1">
        <v>0.74</v>
      </c>
      <c r="V1175" s="6">
        <f t="shared" si="54"/>
        <v>14494.14</v>
      </c>
      <c r="W1175" s="6" t="str">
        <f t="shared" si="55"/>
        <v>Sufficient</v>
      </c>
      <c r="X1175" s="8" t="str">
        <f t="shared" si="56"/>
        <v>Medium</v>
      </c>
    </row>
    <row r="1176" spans="1:24">
      <c r="A1176" s="7" t="s">
        <v>1306</v>
      </c>
      <c r="B1176" s="1" t="s">
        <v>41</v>
      </c>
      <c r="C1176" s="1">
        <v>249</v>
      </c>
      <c r="D1176" s="1">
        <v>63</v>
      </c>
      <c r="E1176" s="1">
        <v>6</v>
      </c>
      <c r="F1176" s="1">
        <v>9</v>
      </c>
      <c r="G1176" s="1">
        <v>22.11</v>
      </c>
      <c r="H1176" s="1" t="s">
        <v>200</v>
      </c>
      <c r="I1176" s="1" t="s">
        <v>27</v>
      </c>
      <c r="J1176" s="1">
        <v>173</v>
      </c>
      <c r="K1176" s="1">
        <v>4.2699999999999996</v>
      </c>
      <c r="L1176" s="4">
        <v>135.08000000000001</v>
      </c>
      <c r="M1176" s="1">
        <v>0.22</v>
      </c>
      <c r="N1176" s="1">
        <v>5</v>
      </c>
      <c r="O1176" s="1">
        <v>0.8</v>
      </c>
      <c r="P1176" s="1">
        <v>516</v>
      </c>
      <c r="Q1176" s="1">
        <v>12.91</v>
      </c>
      <c r="R1176" s="1">
        <v>0.42</v>
      </c>
      <c r="S1176" s="2">
        <v>45641</v>
      </c>
      <c r="T1176" s="1">
        <v>44.13</v>
      </c>
      <c r="U1176" s="1">
        <v>0.69399999999999995</v>
      </c>
      <c r="V1176" s="6">
        <f t="shared" si="54"/>
        <v>33634.920000000006</v>
      </c>
      <c r="W1176" s="6" t="str">
        <f t="shared" si="55"/>
        <v>Sufficient</v>
      </c>
      <c r="X1176" s="8" t="str">
        <f t="shared" si="56"/>
        <v>Medium</v>
      </c>
    </row>
    <row r="1177" spans="1:24">
      <c r="A1177" s="7" t="s">
        <v>1307</v>
      </c>
      <c r="B1177" s="1" t="s">
        <v>25</v>
      </c>
      <c r="C1177" s="1">
        <v>187</v>
      </c>
      <c r="D1177" s="1">
        <v>94</v>
      </c>
      <c r="E1177" s="1">
        <v>3</v>
      </c>
      <c r="F1177" s="1">
        <v>4</v>
      </c>
      <c r="G1177" s="1">
        <v>32.76</v>
      </c>
      <c r="H1177" s="1" t="s">
        <v>227</v>
      </c>
      <c r="I1177" s="1" t="s">
        <v>39</v>
      </c>
      <c r="J1177" s="1">
        <v>135</v>
      </c>
      <c r="K1177" s="1">
        <v>0.55000000000000004</v>
      </c>
      <c r="L1177" s="4">
        <v>81.97</v>
      </c>
      <c r="M1177" s="1">
        <v>1.57</v>
      </c>
      <c r="N1177" s="1">
        <v>4</v>
      </c>
      <c r="O1177" s="1">
        <v>0.73</v>
      </c>
      <c r="P1177" s="1">
        <v>303</v>
      </c>
      <c r="Q1177" s="1">
        <v>4.2</v>
      </c>
      <c r="R1177" s="1">
        <v>0.31</v>
      </c>
      <c r="S1177" s="2">
        <v>45510</v>
      </c>
      <c r="T1177" s="1">
        <v>260.45</v>
      </c>
      <c r="U1177" s="1">
        <v>0.42699999999999999</v>
      </c>
      <c r="V1177" s="6">
        <f t="shared" si="54"/>
        <v>15328.39</v>
      </c>
      <c r="W1177" s="6" t="str">
        <f t="shared" si="55"/>
        <v>Sufficient</v>
      </c>
      <c r="X1177" s="8" t="str">
        <f t="shared" si="56"/>
        <v>Medium</v>
      </c>
    </row>
    <row r="1178" spans="1:24">
      <c r="A1178" s="7" t="s">
        <v>1308</v>
      </c>
      <c r="B1178" s="1" t="s">
        <v>66</v>
      </c>
      <c r="C1178" s="1">
        <v>439</v>
      </c>
      <c r="D1178" s="1">
        <v>95</v>
      </c>
      <c r="E1178" s="1">
        <v>4</v>
      </c>
      <c r="F1178" s="1">
        <v>4</v>
      </c>
      <c r="G1178" s="1">
        <v>18.850000000000001</v>
      </c>
      <c r="H1178" s="1" t="s">
        <v>470</v>
      </c>
      <c r="I1178" s="1" t="s">
        <v>31</v>
      </c>
      <c r="J1178" s="1">
        <v>106</v>
      </c>
      <c r="K1178" s="1">
        <v>2.9</v>
      </c>
      <c r="L1178" s="4">
        <v>76.66</v>
      </c>
      <c r="M1178" s="1">
        <v>1.54</v>
      </c>
      <c r="N1178" s="1">
        <v>9</v>
      </c>
      <c r="O1178" s="1">
        <v>0.81</v>
      </c>
      <c r="P1178" s="1">
        <v>877</v>
      </c>
      <c r="Q1178" s="1">
        <v>6.3</v>
      </c>
      <c r="R1178" s="1">
        <v>0.5</v>
      </c>
      <c r="S1178" s="2">
        <v>45380</v>
      </c>
      <c r="T1178" s="1">
        <v>220.27</v>
      </c>
      <c r="U1178" s="1">
        <v>0.41199999999999998</v>
      </c>
      <c r="V1178" s="6">
        <f t="shared" si="54"/>
        <v>33653.74</v>
      </c>
      <c r="W1178" s="6" t="str">
        <f t="shared" si="55"/>
        <v>Sufficient</v>
      </c>
      <c r="X1178" s="8" t="str">
        <f t="shared" si="56"/>
        <v>High</v>
      </c>
    </row>
    <row r="1179" spans="1:24">
      <c r="A1179" s="7" t="s">
        <v>1309</v>
      </c>
      <c r="B1179" s="1" t="s">
        <v>41</v>
      </c>
      <c r="C1179" s="1">
        <v>133</v>
      </c>
      <c r="D1179" s="1">
        <v>30</v>
      </c>
      <c r="E1179" s="1">
        <v>7</v>
      </c>
      <c r="F1179" s="1">
        <v>9</v>
      </c>
      <c r="G1179" s="1">
        <v>12.3</v>
      </c>
      <c r="H1179" s="1" t="s">
        <v>156</v>
      </c>
      <c r="I1179" s="1" t="s">
        <v>45</v>
      </c>
      <c r="J1179" s="1">
        <v>62</v>
      </c>
      <c r="K1179" s="1">
        <v>1.51</v>
      </c>
      <c r="L1179" s="4">
        <v>30.53</v>
      </c>
      <c r="M1179" s="1">
        <v>0.83</v>
      </c>
      <c r="N1179" s="1">
        <v>3</v>
      </c>
      <c r="O1179" s="1">
        <v>0.94</v>
      </c>
      <c r="P1179" s="1">
        <v>978</v>
      </c>
      <c r="Q1179" s="1">
        <v>9.76</v>
      </c>
      <c r="R1179" s="1">
        <v>0.83</v>
      </c>
      <c r="S1179" s="2">
        <v>45473</v>
      </c>
      <c r="T1179" s="1">
        <v>109.08</v>
      </c>
      <c r="U1179" s="1">
        <v>0.74099999999999999</v>
      </c>
      <c r="V1179" s="6">
        <f t="shared" si="54"/>
        <v>4060.4900000000002</v>
      </c>
      <c r="W1179" s="6" t="str">
        <f t="shared" si="55"/>
        <v>Sufficient</v>
      </c>
      <c r="X1179" s="8" t="str">
        <f t="shared" si="56"/>
        <v>Medium</v>
      </c>
    </row>
    <row r="1180" spans="1:24">
      <c r="A1180" s="7" t="s">
        <v>1310</v>
      </c>
      <c r="B1180" s="1" t="s">
        <v>66</v>
      </c>
      <c r="C1180" s="1">
        <v>271</v>
      </c>
      <c r="D1180" s="1">
        <v>59</v>
      </c>
      <c r="E1180" s="1">
        <v>12</v>
      </c>
      <c r="F1180" s="1">
        <v>6</v>
      </c>
      <c r="G1180" s="1">
        <v>24.02</v>
      </c>
      <c r="H1180" s="1" t="s">
        <v>216</v>
      </c>
      <c r="I1180" s="1" t="s">
        <v>27</v>
      </c>
      <c r="J1180" s="1">
        <v>92</v>
      </c>
      <c r="K1180" s="1">
        <v>1.94</v>
      </c>
      <c r="L1180" s="4">
        <v>17.46</v>
      </c>
      <c r="M1180" s="1">
        <v>0.39</v>
      </c>
      <c r="N1180" s="1">
        <v>6</v>
      </c>
      <c r="O1180" s="1">
        <v>0.82</v>
      </c>
      <c r="P1180" s="1">
        <v>816</v>
      </c>
      <c r="Q1180" s="1">
        <v>8.8800000000000008</v>
      </c>
      <c r="R1180" s="1">
        <v>0.44</v>
      </c>
      <c r="S1180" s="2">
        <v>45401</v>
      </c>
      <c r="T1180" s="1">
        <v>111.33</v>
      </c>
      <c r="U1180" s="1">
        <v>0.61099999999999999</v>
      </c>
      <c r="V1180" s="6">
        <f t="shared" si="54"/>
        <v>4731.66</v>
      </c>
      <c r="W1180" s="6" t="str">
        <f t="shared" si="55"/>
        <v>Sufficient</v>
      </c>
      <c r="X1180" s="8" t="str">
        <f t="shared" si="56"/>
        <v>High</v>
      </c>
    </row>
    <row r="1181" spans="1:24">
      <c r="A1181" s="7" t="s">
        <v>1311</v>
      </c>
      <c r="B1181" s="1" t="s">
        <v>29</v>
      </c>
      <c r="C1181" s="1">
        <v>126</v>
      </c>
      <c r="D1181" s="1">
        <v>48</v>
      </c>
      <c r="E1181" s="1">
        <v>3</v>
      </c>
      <c r="F1181" s="1">
        <v>6</v>
      </c>
      <c r="G1181" s="1">
        <v>28.49</v>
      </c>
      <c r="H1181" s="1" t="s">
        <v>97</v>
      </c>
      <c r="I1181" s="1" t="s">
        <v>39</v>
      </c>
      <c r="J1181" s="1">
        <v>56</v>
      </c>
      <c r="K1181" s="1">
        <v>0.6</v>
      </c>
      <c r="L1181" s="4">
        <v>168.7</v>
      </c>
      <c r="M1181" s="1">
        <v>1.05</v>
      </c>
      <c r="N1181" s="1">
        <v>9</v>
      </c>
      <c r="O1181" s="1">
        <v>0.88</v>
      </c>
      <c r="P1181" s="1">
        <v>849</v>
      </c>
      <c r="Q1181" s="1">
        <v>9.9700000000000006</v>
      </c>
      <c r="R1181" s="1">
        <v>0.36</v>
      </c>
      <c r="S1181" s="2">
        <v>45387</v>
      </c>
      <c r="T1181" s="1">
        <v>254.99</v>
      </c>
      <c r="U1181" s="1">
        <v>0.496</v>
      </c>
      <c r="V1181" s="6">
        <f t="shared" si="54"/>
        <v>21256.199999999997</v>
      </c>
      <c r="W1181" s="6" t="str">
        <f t="shared" si="55"/>
        <v>Sufficient</v>
      </c>
      <c r="X1181" s="8" t="str">
        <f t="shared" si="56"/>
        <v>Medium</v>
      </c>
    </row>
    <row r="1182" spans="1:24">
      <c r="A1182" s="7" t="s">
        <v>1312</v>
      </c>
      <c r="B1182" s="1" t="s">
        <v>66</v>
      </c>
      <c r="C1182" s="1">
        <v>56</v>
      </c>
      <c r="D1182" s="1">
        <v>29</v>
      </c>
      <c r="E1182" s="1">
        <v>13</v>
      </c>
      <c r="F1182" s="1">
        <v>9</v>
      </c>
      <c r="G1182" s="1">
        <v>7.99</v>
      </c>
      <c r="H1182" s="1" t="s">
        <v>137</v>
      </c>
      <c r="I1182" s="1" t="s">
        <v>39</v>
      </c>
      <c r="J1182" s="1">
        <v>61</v>
      </c>
      <c r="K1182" s="1">
        <v>3.87</v>
      </c>
      <c r="L1182" s="4">
        <v>103.01</v>
      </c>
      <c r="M1182" s="1">
        <v>0.73</v>
      </c>
      <c r="N1182" s="1">
        <v>6</v>
      </c>
      <c r="O1182" s="1">
        <v>0.75</v>
      </c>
      <c r="P1182" s="1">
        <v>341</v>
      </c>
      <c r="Q1182" s="1">
        <v>10.99</v>
      </c>
      <c r="R1182" s="1">
        <v>0.22</v>
      </c>
      <c r="S1182" s="2">
        <v>45432</v>
      </c>
      <c r="T1182" s="1">
        <v>279</v>
      </c>
      <c r="U1182" s="1">
        <v>0.54800000000000004</v>
      </c>
      <c r="V1182" s="6">
        <f t="shared" si="54"/>
        <v>5768.56</v>
      </c>
      <c r="W1182" s="6" t="str">
        <f t="shared" si="55"/>
        <v>Sufficient</v>
      </c>
      <c r="X1182" s="8" t="str">
        <f t="shared" si="56"/>
        <v>LOW</v>
      </c>
    </row>
    <row r="1183" spans="1:24">
      <c r="A1183" s="7" t="s">
        <v>1313</v>
      </c>
      <c r="B1183" s="1" t="s">
        <v>41</v>
      </c>
      <c r="C1183" s="1">
        <v>354</v>
      </c>
      <c r="D1183" s="1">
        <v>97</v>
      </c>
      <c r="E1183" s="1">
        <v>9</v>
      </c>
      <c r="F1183" s="1">
        <v>3</v>
      </c>
      <c r="G1183" s="1">
        <v>28.28</v>
      </c>
      <c r="H1183" s="1" t="s">
        <v>63</v>
      </c>
      <c r="I1183" s="1" t="s">
        <v>45</v>
      </c>
      <c r="J1183" s="1">
        <v>66</v>
      </c>
      <c r="K1183" s="1">
        <v>4.78</v>
      </c>
      <c r="L1183" s="4">
        <v>116.95</v>
      </c>
      <c r="M1183" s="1">
        <v>0.81</v>
      </c>
      <c r="N1183" s="1">
        <v>3</v>
      </c>
      <c r="O1183" s="1">
        <v>0.72</v>
      </c>
      <c r="P1183" s="1">
        <v>201</v>
      </c>
      <c r="Q1183" s="1">
        <v>11.2</v>
      </c>
      <c r="R1183" s="1">
        <v>0.7</v>
      </c>
      <c r="S1183" s="2">
        <v>45435</v>
      </c>
      <c r="T1183" s="1">
        <v>184.7</v>
      </c>
      <c r="U1183" s="1">
        <v>0.69199999999999995</v>
      </c>
      <c r="V1183" s="6">
        <f t="shared" si="54"/>
        <v>41400.300000000003</v>
      </c>
      <c r="W1183" s="6" t="str">
        <f t="shared" si="55"/>
        <v>Sufficient</v>
      </c>
      <c r="X1183" s="8" t="str">
        <f t="shared" si="56"/>
        <v>High</v>
      </c>
    </row>
    <row r="1184" spans="1:24">
      <c r="A1184" s="7" t="s">
        <v>1314</v>
      </c>
      <c r="B1184" s="1" t="s">
        <v>25</v>
      </c>
      <c r="C1184" s="1">
        <v>111</v>
      </c>
      <c r="D1184" s="1">
        <v>96</v>
      </c>
      <c r="E1184" s="1">
        <v>6</v>
      </c>
      <c r="F1184" s="1">
        <v>7</v>
      </c>
      <c r="G1184" s="1">
        <v>16.64</v>
      </c>
      <c r="H1184" s="1" t="s">
        <v>128</v>
      </c>
      <c r="I1184" s="1" t="s">
        <v>39</v>
      </c>
      <c r="J1184" s="1">
        <v>84</v>
      </c>
      <c r="K1184" s="1">
        <v>1.49</v>
      </c>
      <c r="L1184" s="4">
        <v>80.72</v>
      </c>
      <c r="M1184" s="1">
        <v>0.6</v>
      </c>
      <c r="N1184" s="1">
        <v>2</v>
      </c>
      <c r="O1184" s="1">
        <v>0.96</v>
      </c>
      <c r="P1184" s="1">
        <v>988</v>
      </c>
      <c r="Q1184" s="1">
        <v>11.33</v>
      </c>
      <c r="R1184" s="1">
        <v>0.55000000000000004</v>
      </c>
      <c r="S1184" s="2">
        <v>45520</v>
      </c>
      <c r="T1184" s="1">
        <v>127.98</v>
      </c>
      <c r="U1184" s="1">
        <v>0.753</v>
      </c>
      <c r="V1184" s="6">
        <f t="shared" si="54"/>
        <v>8959.92</v>
      </c>
      <c r="W1184" s="6" t="str">
        <f t="shared" si="55"/>
        <v>Sufficient</v>
      </c>
      <c r="X1184" s="8" t="str">
        <f t="shared" si="56"/>
        <v>Medium</v>
      </c>
    </row>
    <row r="1185" spans="1:24">
      <c r="A1185" s="7" t="s">
        <v>1315</v>
      </c>
      <c r="B1185" s="1" t="s">
        <v>29</v>
      </c>
      <c r="C1185" s="1">
        <v>37</v>
      </c>
      <c r="D1185" s="1">
        <v>16</v>
      </c>
      <c r="E1185" s="1">
        <v>8</v>
      </c>
      <c r="F1185" s="1">
        <v>3</v>
      </c>
      <c r="G1185" s="1">
        <v>20.23</v>
      </c>
      <c r="H1185" s="1" t="s">
        <v>57</v>
      </c>
      <c r="I1185" s="1" t="s">
        <v>39</v>
      </c>
      <c r="J1185" s="1">
        <v>160</v>
      </c>
      <c r="K1185" s="1">
        <v>2.04</v>
      </c>
      <c r="L1185" s="4">
        <v>35.979999999999997</v>
      </c>
      <c r="M1185" s="1">
        <v>0.22</v>
      </c>
      <c r="N1185" s="1">
        <v>3</v>
      </c>
      <c r="O1185" s="1">
        <v>0.8</v>
      </c>
      <c r="P1185" s="1">
        <v>248</v>
      </c>
      <c r="Q1185" s="1">
        <v>14.88</v>
      </c>
      <c r="R1185" s="1">
        <v>0.41</v>
      </c>
      <c r="S1185" s="2">
        <v>45368</v>
      </c>
      <c r="T1185" s="1">
        <v>25.41</v>
      </c>
      <c r="U1185" s="1">
        <v>0.75800000000000001</v>
      </c>
      <c r="V1185" s="6">
        <f t="shared" si="54"/>
        <v>1331.26</v>
      </c>
      <c r="W1185" s="6" t="str">
        <f t="shared" si="55"/>
        <v>Sufficient</v>
      </c>
      <c r="X1185" s="8" t="str">
        <f t="shared" si="56"/>
        <v>LOW</v>
      </c>
    </row>
    <row r="1186" spans="1:24">
      <c r="A1186" s="7" t="s">
        <v>1316</v>
      </c>
      <c r="B1186" s="1" t="s">
        <v>41</v>
      </c>
      <c r="C1186" s="1">
        <v>373</v>
      </c>
      <c r="D1186" s="1">
        <v>18</v>
      </c>
      <c r="E1186" s="1">
        <v>10</v>
      </c>
      <c r="F1186" s="1">
        <v>3</v>
      </c>
      <c r="G1186" s="1">
        <v>14.69</v>
      </c>
      <c r="H1186" s="1" t="s">
        <v>214</v>
      </c>
      <c r="I1186" s="1" t="s">
        <v>39</v>
      </c>
      <c r="J1186" s="1">
        <v>68</v>
      </c>
      <c r="K1186" s="1">
        <v>1.43</v>
      </c>
      <c r="L1186" s="4">
        <v>95.42</v>
      </c>
      <c r="M1186" s="1">
        <v>1.6</v>
      </c>
      <c r="N1186" s="1">
        <v>1</v>
      </c>
      <c r="O1186" s="1">
        <v>0.81</v>
      </c>
      <c r="P1186" s="1">
        <v>248</v>
      </c>
      <c r="Q1186" s="1">
        <v>5.99</v>
      </c>
      <c r="R1186" s="1">
        <v>0.62</v>
      </c>
      <c r="S1186" s="2">
        <v>45309</v>
      </c>
      <c r="T1186" s="1">
        <v>46.7</v>
      </c>
      <c r="U1186" s="1">
        <v>0.58599999999999997</v>
      </c>
      <c r="V1186" s="6">
        <f t="shared" si="54"/>
        <v>35591.660000000003</v>
      </c>
      <c r="W1186" s="6" t="str">
        <f t="shared" si="55"/>
        <v>Sufficient</v>
      </c>
      <c r="X1186" s="8" t="str">
        <f t="shared" si="56"/>
        <v>High</v>
      </c>
    </row>
    <row r="1187" spans="1:24">
      <c r="A1187" s="7" t="s">
        <v>1317</v>
      </c>
      <c r="B1187" s="1" t="s">
        <v>29</v>
      </c>
      <c r="C1187" s="1">
        <v>82</v>
      </c>
      <c r="D1187" s="1">
        <v>10</v>
      </c>
      <c r="E1187" s="1">
        <v>8</v>
      </c>
      <c r="F1187" s="1">
        <v>9</v>
      </c>
      <c r="G1187" s="1">
        <v>46.64</v>
      </c>
      <c r="H1187" s="1" t="s">
        <v>276</v>
      </c>
      <c r="I1187" s="1" t="s">
        <v>27</v>
      </c>
      <c r="J1187" s="1">
        <v>78</v>
      </c>
      <c r="K1187" s="1">
        <v>4.6900000000000004</v>
      </c>
      <c r="L1187" s="4">
        <v>53.5</v>
      </c>
      <c r="M1187" s="1">
        <v>1.27</v>
      </c>
      <c r="N1187" s="1">
        <v>3</v>
      </c>
      <c r="O1187" s="1">
        <v>0.96</v>
      </c>
      <c r="P1187" s="1">
        <v>863</v>
      </c>
      <c r="Q1187" s="1">
        <v>1.62</v>
      </c>
      <c r="R1187" s="1">
        <v>0.76</v>
      </c>
      <c r="S1187" s="2">
        <v>45606</v>
      </c>
      <c r="T1187" s="1">
        <v>51.12</v>
      </c>
      <c r="U1187" s="1">
        <v>0.57899999999999996</v>
      </c>
      <c r="V1187" s="6">
        <f t="shared" si="54"/>
        <v>4387</v>
      </c>
      <c r="W1187" s="6" t="str">
        <f t="shared" si="55"/>
        <v>Sufficient</v>
      </c>
      <c r="X1187" s="8" t="str">
        <f t="shared" si="56"/>
        <v>LOW</v>
      </c>
    </row>
    <row r="1188" spans="1:24">
      <c r="A1188" s="7" t="s">
        <v>1318</v>
      </c>
      <c r="B1188" s="1" t="s">
        <v>33</v>
      </c>
      <c r="C1188" s="1">
        <v>169</v>
      </c>
      <c r="D1188" s="1">
        <v>35</v>
      </c>
      <c r="E1188" s="1">
        <v>4</v>
      </c>
      <c r="F1188" s="1">
        <v>6</v>
      </c>
      <c r="G1188" s="1">
        <v>34.479999999999997</v>
      </c>
      <c r="H1188" s="1" t="s">
        <v>205</v>
      </c>
      <c r="I1188" s="1" t="s">
        <v>39</v>
      </c>
      <c r="J1188" s="1">
        <v>95</v>
      </c>
      <c r="K1188" s="1">
        <v>0.54</v>
      </c>
      <c r="L1188" s="4">
        <v>169.16</v>
      </c>
      <c r="M1188" s="1">
        <v>1.69</v>
      </c>
      <c r="N1188" s="1">
        <v>3</v>
      </c>
      <c r="O1188" s="1">
        <v>0.91</v>
      </c>
      <c r="P1188" s="1">
        <v>736</v>
      </c>
      <c r="Q1188" s="1">
        <v>5.88</v>
      </c>
      <c r="R1188" s="1">
        <v>0.4</v>
      </c>
      <c r="S1188" s="2">
        <v>45609</v>
      </c>
      <c r="T1188" s="1">
        <v>90.27</v>
      </c>
      <c r="U1188" s="1">
        <v>0.51100000000000001</v>
      </c>
      <c r="V1188" s="6">
        <f t="shared" si="54"/>
        <v>28588.04</v>
      </c>
      <c r="W1188" s="6" t="str">
        <f t="shared" si="55"/>
        <v>Sufficient</v>
      </c>
      <c r="X1188" s="8" t="str">
        <f t="shared" si="56"/>
        <v>Medium</v>
      </c>
    </row>
    <row r="1189" spans="1:24">
      <c r="A1189" s="7" t="s">
        <v>1319</v>
      </c>
      <c r="B1189" s="1" t="s">
        <v>66</v>
      </c>
      <c r="C1189" s="1">
        <v>158</v>
      </c>
      <c r="D1189" s="1">
        <v>47</v>
      </c>
      <c r="E1189" s="1">
        <v>3</v>
      </c>
      <c r="F1189" s="1">
        <v>8</v>
      </c>
      <c r="G1189" s="1">
        <v>13.86</v>
      </c>
      <c r="H1189" s="1" t="s">
        <v>30</v>
      </c>
      <c r="I1189" s="1" t="s">
        <v>39</v>
      </c>
      <c r="J1189" s="1">
        <v>179</v>
      </c>
      <c r="K1189" s="1">
        <v>3.13</v>
      </c>
      <c r="L1189" s="4">
        <v>197.49</v>
      </c>
      <c r="M1189" s="1">
        <v>1.06</v>
      </c>
      <c r="N1189" s="1">
        <v>4</v>
      </c>
      <c r="O1189" s="1">
        <v>0.93</v>
      </c>
      <c r="P1189" s="1">
        <v>502</v>
      </c>
      <c r="Q1189" s="1">
        <v>13.76</v>
      </c>
      <c r="R1189" s="1">
        <v>0.69</v>
      </c>
      <c r="S1189" s="2">
        <v>45607</v>
      </c>
      <c r="T1189" s="1">
        <v>84.54</v>
      </c>
      <c r="U1189" s="1">
        <v>0.72099999999999997</v>
      </c>
      <c r="V1189" s="6">
        <f t="shared" si="54"/>
        <v>31203.420000000002</v>
      </c>
      <c r="W1189" s="6" t="str">
        <f t="shared" si="55"/>
        <v>Sufficient</v>
      </c>
      <c r="X1189" s="8" t="str">
        <f t="shared" si="56"/>
        <v>Medium</v>
      </c>
    </row>
    <row r="1190" spans="1:24">
      <c r="A1190" s="7" t="s">
        <v>1320</v>
      </c>
      <c r="B1190" s="1" t="s">
        <v>33</v>
      </c>
      <c r="C1190" s="1">
        <v>205</v>
      </c>
      <c r="D1190" s="1">
        <v>47</v>
      </c>
      <c r="E1190" s="1">
        <v>10</v>
      </c>
      <c r="F1190" s="1">
        <v>8</v>
      </c>
      <c r="G1190" s="1">
        <v>32.61</v>
      </c>
      <c r="H1190" s="1" t="s">
        <v>159</v>
      </c>
      <c r="I1190" s="1" t="s">
        <v>39</v>
      </c>
      <c r="J1190" s="1">
        <v>155</v>
      </c>
      <c r="K1190" s="1">
        <v>4.42</v>
      </c>
      <c r="L1190" s="4">
        <v>178.93</v>
      </c>
      <c r="M1190" s="1">
        <v>1.97</v>
      </c>
      <c r="N1190" s="1">
        <v>0</v>
      </c>
      <c r="O1190" s="1">
        <v>0.9</v>
      </c>
      <c r="P1190" s="1">
        <v>831</v>
      </c>
      <c r="Q1190" s="1">
        <v>2.17</v>
      </c>
      <c r="R1190" s="1">
        <v>0.41</v>
      </c>
      <c r="S1190" s="2">
        <v>45417</v>
      </c>
      <c r="T1190" s="1">
        <v>167.44</v>
      </c>
      <c r="U1190" s="1">
        <v>0.49399999999999999</v>
      </c>
      <c r="V1190" s="6">
        <f t="shared" si="54"/>
        <v>36680.65</v>
      </c>
      <c r="W1190" s="6" t="str">
        <f t="shared" si="55"/>
        <v>Sufficient</v>
      </c>
      <c r="X1190" s="8" t="str">
        <f t="shared" si="56"/>
        <v>Medium</v>
      </c>
    </row>
    <row r="1191" spans="1:24">
      <c r="A1191" s="7" t="s">
        <v>1321</v>
      </c>
      <c r="B1191" s="1" t="s">
        <v>41</v>
      </c>
      <c r="C1191" s="1">
        <v>204</v>
      </c>
      <c r="D1191" s="1">
        <v>70</v>
      </c>
      <c r="E1191" s="1">
        <v>10</v>
      </c>
      <c r="F1191" s="1">
        <v>9</v>
      </c>
      <c r="G1191" s="1">
        <v>42.58</v>
      </c>
      <c r="H1191" s="1" t="s">
        <v>216</v>
      </c>
      <c r="I1191" s="1" t="s">
        <v>39</v>
      </c>
      <c r="J1191" s="1">
        <v>80</v>
      </c>
      <c r="K1191" s="1">
        <v>1.34</v>
      </c>
      <c r="L1191" s="4">
        <v>110.37</v>
      </c>
      <c r="M1191" s="1">
        <v>1.93</v>
      </c>
      <c r="N1191" s="1">
        <v>1</v>
      </c>
      <c r="O1191" s="1">
        <v>0.73</v>
      </c>
      <c r="P1191" s="1">
        <v>990</v>
      </c>
      <c r="Q1191" s="1">
        <v>10.06</v>
      </c>
      <c r="R1191" s="1">
        <v>0.99</v>
      </c>
      <c r="S1191" s="2">
        <v>45623</v>
      </c>
      <c r="T1191" s="1">
        <v>283.79000000000002</v>
      </c>
      <c r="U1191" s="1">
        <v>0.66500000000000004</v>
      </c>
      <c r="V1191" s="6">
        <f t="shared" si="54"/>
        <v>22515.48</v>
      </c>
      <c r="W1191" s="6" t="str">
        <f t="shared" si="55"/>
        <v>Sufficient</v>
      </c>
      <c r="X1191" s="8" t="str">
        <f t="shared" si="56"/>
        <v>Medium</v>
      </c>
    </row>
    <row r="1192" spans="1:24">
      <c r="A1192" s="7" t="s">
        <v>1322</v>
      </c>
      <c r="B1192" s="1" t="s">
        <v>25</v>
      </c>
      <c r="C1192" s="1">
        <v>224</v>
      </c>
      <c r="D1192" s="1">
        <v>53</v>
      </c>
      <c r="E1192" s="1">
        <v>11</v>
      </c>
      <c r="F1192" s="1">
        <v>8</v>
      </c>
      <c r="G1192" s="1">
        <v>20.68</v>
      </c>
      <c r="H1192" s="1" t="s">
        <v>252</v>
      </c>
      <c r="I1192" s="1" t="s">
        <v>39</v>
      </c>
      <c r="J1192" s="1">
        <v>42</v>
      </c>
      <c r="K1192" s="1">
        <v>3.15</v>
      </c>
      <c r="L1192" s="4">
        <v>129.35</v>
      </c>
      <c r="M1192" s="1">
        <v>0.62</v>
      </c>
      <c r="N1192" s="1">
        <v>7</v>
      </c>
      <c r="O1192" s="1">
        <v>0.99</v>
      </c>
      <c r="P1192" s="1">
        <v>229</v>
      </c>
      <c r="Q1192" s="1">
        <v>6.92</v>
      </c>
      <c r="R1192" s="1">
        <v>0.79</v>
      </c>
      <c r="S1192" s="2">
        <v>45443</v>
      </c>
      <c r="T1192" s="1">
        <v>259.88</v>
      </c>
      <c r="U1192" s="1">
        <v>0.64600000000000002</v>
      </c>
      <c r="V1192" s="6">
        <f t="shared" si="54"/>
        <v>28974.399999999998</v>
      </c>
      <c r="W1192" s="6" t="str">
        <f t="shared" si="55"/>
        <v>Sufficient</v>
      </c>
      <c r="X1192" s="8" t="str">
        <f t="shared" si="56"/>
        <v>Medium</v>
      </c>
    </row>
    <row r="1193" spans="1:24">
      <c r="A1193" s="7" t="s">
        <v>1323</v>
      </c>
      <c r="B1193" s="1" t="s">
        <v>29</v>
      </c>
      <c r="C1193" s="1">
        <v>279</v>
      </c>
      <c r="D1193" s="1">
        <v>95</v>
      </c>
      <c r="E1193" s="1">
        <v>8</v>
      </c>
      <c r="F1193" s="1">
        <v>7</v>
      </c>
      <c r="G1193" s="1">
        <v>41.67</v>
      </c>
      <c r="H1193" s="1" t="s">
        <v>95</v>
      </c>
      <c r="I1193" s="1" t="s">
        <v>27</v>
      </c>
      <c r="J1193" s="1">
        <v>12</v>
      </c>
      <c r="K1193" s="1">
        <v>0.73</v>
      </c>
      <c r="L1193" s="4">
        <v>190.14</v>
      </c>
      <c r="M1193" s="1">
        <v>0.84</v>
      </c>
      <c r="N1193" s="1">
        <v>7</v>
      </c>
      <c r="O1193" s="1">
        <v>0.97</v>
      </c>
      <c r="P1193" s="1">
        <v>267</v>
      </c>
      <c r="Q1193" s="1">
        <v>13.9</v>
      </c>
      <c r="R1193" s="1">
        <v>0.68</v>
      </c>
      <c r="S1193" s="2">
        <v>45547</v>
      </c>
      <c r="T1193" s="1">
        <v>157.66</v>
      </c>
      <c r="U1193" s="1">
        <v>0.69099999999999995</v>
      </c>
      <c r="V1193" s="6">
        <f t="shared" si="54"/>
        <v>53049.06</v>
      </c>
      <c r="W1193" s="6" t="str">
        <f t="shared" si="55"/>
        <v>Sufficient</v>
      </c>
      <c r="X1193" s="8" t="str">
        <f t="shared" si="56"/>
        <v>High</v>
      </c>
    </row>
    <row r="1194" spans="1:24">
      <c r="A1194" s="7" t="s">
        <v>1324</v>
      </c>
      <c r="B1194" s="1" t="s">
        <v>66</v>
      </c>
      <c r="C1194" s="1">
        <v>233</v>
      </c>
      <c r="D1194" s="1">
        <v>53</v>
      </c>
      <c r="E1194" s="1">
        <v>14</v>
      </c>
      <c r="F1194" s="1">
        <v>6</v>
      </c>
      <c r="G1194" s="1">
        <v>8.57</v>
      </c>
      <c r="H1194" s="1" t="s">
        <v>156</v>
      </c>
      <c r="I1194" s="1" t="s">
        <v>39</v>
      </c>
      <c r="J1194" s="1">
        <v>37</v>
      </c>
      <c r="K1194" s="1">
        <v>4.17</v>
      </c>
      <c r="L1194" s="4">
        <v>112.35</v>
      </c>
      <c r="M1194" s="1">
        <v>1.53</v>
      </c>
      <c r="N1194" s="1">
        <v>7</v>
      </c>
      <c r="O1194" s="1">
        <v>0.77</v>
      </c>
      <c r="P1194" s="1">
        <v>679</v>
      </c>
      <c r="Q1194" s="1">
        <v>14</v>
      </c>
      <c r="R1194" s="1">
        <v>0.34</v>
      </c>
      <c r="S1194" s="2">
        <v>45502</v>
      </c>
      <c r="T1194" s="1">
        <v>15.02</v>
      </c>
      <c r="U1194" s="1">
        <v>0.51600000000000001</v>
      </c>
      <c r="V1194" s="6">
        <f t="shared" si="54"/>
        <v>26177.55</v>
      </c>
      <c r="W1194" s="6" t="str">
        <f t="shared" si="55"/>
        <v>Sufficient</v>
      </c>
      <c r="X1194" s="8" t="str">
        <f t="shared" si="56"/>
        <v>Medium</v>
      </c>
    </row>
    <row r="1195" spans="1:24">
      <c r="A1195" s="7" t="s">
        <v>1325</v>
      </c>
      <c r="B1195" s="1" t="s">
        <v>29</v>
      </c>
      <c r="C1195" s="1">
        <v>275</v>
      </c>
      <c r="D1195" s="1">
        <v>83</v>
      </c>
      <c r="E1195" s="1">
        <v>3</v>
      </c>
      <c r="F1195" s="1">
        <v>9</v>
      </c>
      <c r="G1195" s="1">
        <v>41.32</v>
      </c>
      <c r="H1195" s="1" t="s">
        <v>55</v>
      </c>
      <c r="I1195" s="1" t="s">
        <v>39</v>
      </c>
      <c r="J1195" s="1">
        <v>10</v>
      </c>
      <c r="K1195" s="1">
        <v>1.73</v>
      </c>
      <c r="L1195" s="4">
        <v>131.33000000000001</v>
      </c>
      <c r="M1195" s="1">
        <v>1.58</v>
      </c>
      <c r="N1195" s="1">
        <v>4</v>
      </c>
      <c r="O1195" s="1">
        <v>0.94</v>
      </c>
      <c r="P1195" s="1">
        <v>867</v>
      </c>
      <c r="Q1195" s="1">
        <v>11.99</v>
      </c>
      <c r="R1195" s="1">
        <v>0.67</v>
      </c>
      <c r="S1195" s="2">
        <v>45573</v>
      </c>
      <c r="T1195" s="1">
        <v>29.84</v>
      </c>
      <c r="U1195" s="1">
        <v>0.64400000000000002</v>
      </c>
      <c r="V1195" s="6">
        <f t="shared" si="54"/>
        <v>36115.75</v>
      </c>
      <c r="W1195" s="6" t="str">
        <f t="shared" si="55"/>
        <v>Sufficient</v>
      </c>
      <c r="X1195" s="8" t="str">
        <f t="shared" si="56"/>
        <v>High</v>
      </c>
    </row>
    <row r="1196" spans="1:24">
      <c r="A1196" s="7" t="s">
        <v>1326</v>
      </c>
      <c r="B1196" s="1" t="s">
        <v>41</v>
      </c>
      <c r="C1196" s="1">
        <v>154</v>
      </c>
      <c r="D1196" s="1">
        <v>71</v>
      </c>
      <c r="E1196" s="1">
        <v>11</v>
      </c>
      <c r="F1196" s="1">
        <v>2</v>
      </c>
      <c r="G1196" s="1">
        <v>27.47</v>
      </c>
      <c r="H1196" s="1" t="s">
        <v>195</v>
      </c>
      <c r="I1196" s="1" t="s">
        <v>31</v>
      </c>
      <c r="J1196" s="1">
        <v>135</v>
      </c>
      <c r="K1196" s="1">
        <v>4.95</v>
      </c>
      <c r="L1196" s="4">
        <v>129.55000000000001</v>
      </c>
      <c r="M1196" s="1">
        <v>1.83</v>
      </c>
      <c r="N1196" s="1">
        <v>7</v>
      </c>
      <c r="O1196" s="1">
        <v>0.82</v>
      </c>
      <c r="P1196" s="1">
        <v>882</v>
      </c>
      <c r="Q1196" s="1">
        <v>2.38</v>
      </c>
      <c r="R1196" s="1">
        <v>0.84</v>
      </c>
      <c r="S1196" s="2">
        <v>45537</v>
      </c>
      <c r="T1196" s="1">
        <v>259.5</v>
      </c>
      <c r="U1196" s="1">
        <v>0.441</v>
      </c>
      <c r="V1196" s="6">
        <f t="shared" si="54"/>
        <v>19950.7</v>
      </c>
      <c r="W1196" s="6" t="str">
        <f t="shared" si="55"/>
        <v>Sufficient</v>
      </c>
      <c r="X1196" s="8" t="str">
        <f t="shared" si="56"/>
        <v>Medium</v>
      </c>
    </row>
    <row r="1197" spans="1:24">
      <c r="A1197" s="7" t="s">
        <v>1327</v>
      </c>
      <c r="B1197" s="1" t="s">
        <v>29</v>
      </c>
      <c r="C1197" s="1">
        <v>80</v>
      </c>
      <c r="D1197" s="1">
        <v>15</v>
      </c>
      <c r="E1197" s="1">
        <v>14</v>
      </c>
      <c r="F1197" s="1">
        <v>5</v>
      </c>
      <c r="G1197" s="1">
        <v>11.93</v>
      </c>
      <c r="H1197" s="1" t="s">
        <v>411</v>
      </c>
      <c r="I1197" s="1" t="s">
        <v>39</v>
      </c>
      <c r="J1197" s="1">
        <v>122</v>
      </c>
      <c r="K1197" s="1">
        <v>4.6500000000000004</v>
      </c>
      <c r="L1197" s="4">
        <v>144.54</v>
      </c>
      <c r="M1197" s="1">
        <v>1.34</v>
      </c>
      <c r="N1197" s="1">
        <v>8</v>
      </c>
      <c r="O1197" s="1">
        <v>0.91</v>
      </c>
      <c r="P1197" s="1">
        <v>894</v>
      </c>
      <c r="Q1197" s="1">
        <v>1.35</v>
      </c>
      <c r="R1197" s="1">
        <v>0.79</v>
      </c>
      <c r="S1197" s="2">
        <v>45323</v>
      </c>
      <c r="T1197" s="1">
        <v>92.25</v>
      </c>
      <c r="U1197" s="1">
        <v>0.46400000000000002</v>
      </c>
      <c r="V1197" s="6">
        <f t="shared" si="54"/>
        <v>11563.199999999999</v>
      </c>
      <c r="W1197" s="6" t="str">
        <f t="shared" si="55"/>
        <v>Sufficient</v>
      </c>
      <c r="X1197" s="8" t="str">
        <f t="shared" si="56"/>
        <v>LOW</v>
      </c>
    </row>
    <row r="1198" spans="1:24">
      <c r="A1198" s="7" t="s">
        <v>1328</v>
      </c>
      <c r="B1198" s="1" t="s">
        <v>66</v>
      </c>
      <c r="C1198" s="1">
        <v>382</v>
      </c>
      <c r="D1198" s="1">
        <v>26</v>
      </c>
      <c r="E1198" s="1">
        <v>5</v>
      </c>
      <c r="F1198" s="1">
        <v>5</v>
      </c>
      <c r="G1198" s="1">
        <v>20.95</v>
      </c>
      <c r="H1198" s="1" t="s">
        <v>258</v>
      </c>
      <c r="I1198" s="1" t="s">
        <v>39</v>
      </c>
      <c r="J1198" s="1">
        <v>56</v>
      </c>
      <c r="K1198" s="1">
        <v>3.8</v>
      </c>
      <c r="L1198" s="4">
        <v>131.65</v>
      </c>
      <c r="M1198" s="1">
        <v>1</v>
      </c>
      <c r="N1198" s="1">
        <v>3</v>
      </c>
      <c r="O1198" s="1">
        <v>0.75</v>
      </c>
      <c r="P1198" s="1">
        <v>369</v>
      </c>
      <c r="Q1198" s="1">
        <v>2.91</v>
      </c>
      <c r="R1198" s="1">
        <v>0.82</v>
      </c>
      <c r="S1198" s="2">
        <v>45336</v>
      </c>
      <c r="T1198" s="1">
        <v>102.25</v>
      </c>
      <c r="U1198" s="1">
        <v>0.59299999999999997</v>
      </c>
      <c r="V1198" s="6">
        <f t="shared" si="54"/>
        <v>50290.3</v>
      </c>
      <c r="W1198" s="6" t="str">
        <f t="shared" si="55"/>
        <v>Sufficient</v>
      </c>
      <c r="X1198" s="8" t="str">
        <f t="shared" si="56"/>
        <v>High</v>
      </c>
    </row>
    <row r="1199" spans="1:24">
      <c r="A1199" s="7" t="s">
        <v>1329</v>
      </c>
      <c r="B1199" s="1" t="s">
        <v>41</v>
      </c>
      <c r="C1199" s="1">
        <v>329</v>
      </c>
      <c r="D1199" s="1">
        <v>60</v>
      </c>
      <c r="E1199" s="1">
        <v>13</v>
      </c>
      <c r="F1199" s="1">
        <v>9</v>
      </c>
      <c r="G1199" s="1">
        <v>49.41</v>
      </c>
      <c r="H1199" s="1" t="s">
        <v>149</v>
      </c>
      <c r="I1199" s="1" t="s">
        <v>27</v>
      </c>
      <c r="J1199" s="1">
        <v>46</v>
      </c>
      <c r="K1199" s="1">
        <v>2.74</v>
      </c>
      <c r="L1199" s="4">
        <v>137.43</v>
      </c>
      <c r="M1199" s="1">
        <v>0.82</v>
      </c>
      <c r="N1199" s="1">
        <v>3</v>
      </c>
      <c r="O1199" s="1">
        <v>0.86</v>
      </c>
      <c r="P1199" s="1">
        <v>72</v>
      </c>
      <c r="Q1199" s="1">
        <v>5.51</v>
      </c>
      <c r="R1199" s="1">
        <v>0.45</v>
      </c>
      <c r="S1199" s="2">
        <v>45435</v>
      </c>
      <c r="T1199" s="1">
        <v>50.54</v>
      </c>
      <c r="U1199" s="1">
        <v>0.59299999999999997</v>
      </c>
      <c r="V1199" s="6">
        <f t="shared" si="54"/>
        <v>45214.47</v>
      </c>
      <c r="W1199" s="6" t="str">
        <f t="shared" si="55"/>
        <v>Sufficient</v>
      </c>
      <c r="X1199" s="8" t="str">
        <f t="shared" si="56"/>
        <v>High</v>
      </c>
    </row>
    <row r="1200" spans="1:24">
      <c r="A1200" s="7" t="s">
        <v>1330</v>
      </c>
      <c r="B1200" s="1" t="s">
        <v>29</v>
      </c>
      <c r="C1200" s="1">
        <v>107</v>
      </c>
      <c r="D1200" s="1">
        <v>47</v>
      </c>
      <c r="E1200" s="1">
        <v>8</v>
      </c>
      <c r="F1200" s="1">
        <v>9</v>
      </c>
      <c r="G1200" s="1">
        <v>39.39</v>
      </c>
      <c r="H1200" s="1" t="s">
        <v>372</v>
      </c>
      <c r="I1200" s="1" t="s">
        <v>39</v>
      </c>
      <c r="J1200" s="1">
        <v>95</v>
      </c>
      <c r="K1200" s="1">
        <v>3.95</v>
      </c>
      <c r="L1200" s="4">
        <v>147.91999999999999</v>
      </c>
      <c r="M1200" s="1">
        <v>0.9</v>
      </c>
      <c r="N1200" s="1">
        <v>6</v>
      </c>
      <c r="O1200" s="1">
        <v>0.74</v>
      </c>
      <c r="P1200" s="1">
        <v>686</v>
      </c>
      <c r="Q1200" s="1">
        <v>4.38</v>
      </c>
      <c r="R1200" s="1">
        <v>0.46</v>
      </c>
      <c r="S1200" s="2">
        <v>45488</v>
      </c>
      <c r="T1200" s="1">
        <v>74.7</v>
      </c>
      <c r="U1200" s="1">
        <v>0.48799999999999999</v>
      </c>
      <c r="V1200" s="6">
        <f t="shared" si="54"/>
        <v>15827.439999999999</v>
      </c>
      <c r="W1200" s="6" t="str">
        <f t="shared" si="55"/>
        <v>Sufficient</v>
      </c>
      <c r="X1200" s="8" t="str">
        <f t="shared" si="56"/>
        <v>Medium</v>
      </c>
    </row>
    <row r="1201" spans="1:24">
      <c r="A1201" s="7" t="s">
        <v>1331</v>
      </c>
      <c r="B1201" s="1" t="s">
        <v>25</v>
      </c>
      <c r="C1201" s="1">
        <v>343</v>
      </c>
      <c r="D1201" s="1">
        <v>33</v>
      </c>
      <c r="E1201" s="1">
        <v>12</v>
      </c>
      <c r="F1201" s="1">
        <v>2</v>
      </c>
      <c r="G1201" s="1">
        <v>29.18</v>
      </c>
      <c r="H1201" s="1" t="s">
        <v>145</v>
      </c>
      <c r="I1201" s="1" t="s">
        <v>27</v>
      </c>
      <c r="J1201" s="1">
        <v>57</v>
      </c>
      <c r="K1201" s="1">
        <v>1.0900000000000001</v>
      </c>
      <c r="L1201" s="4">
        <v>163.72999999999999</v>
      </c>
      <c r="M1201" s="1">
        <v>1.72</v>
      </c>
      <c r="N1201" s="1">
        <v>4</v>
      </c>
      <c r="O1201" s="1">
        <v>0.86</v>
      </c>
      <c r="P1201" s="1">
        <v>133</v>
      </c>
      <c r="Q1201" s="1">
        <v>6.18</v>
      </c>
      <c r="R1201" s="1">
        <v>0.63</v>
      </c>
      <c r="S1201" s="2">
        <v>45362</v>
      </c>
      <c r="T1201" s="1">
        <v>81.680000000000007</v>
      </c>
      <c r="U1201" s="1">
        <v>0.52800000000000002</v>
      </c>
      <c r="V1201" s="6">
        <f t="shared" si="54"/>
        <v>56159.39</v>
      </c>
      <c r="W1201" s="6" t="str">
        <f t="shared" si="55"/>
        <v>Sufficient</v>
      </c>
      <c r="X1201" s="8" t="str">
        <f t="shared" si="56"/>
        <v>High</v>
      </c>
    </row>
    <row r="1202" spans="1:24">
      <c r="A1202" s="7" t="s">
        <v>1332</v>
      </c>
      <c r="B1202" s="1" t="s">
        <v>41</v>
      </c>
      <c r="C1202" s="1">
        <v>495</v>
      </c>
      <c r="D1202" s="1">
        <v>60</v>
      </c>
      <c r="E1202" s="1">
        <v>12</v>
      </c>
      <c r="F1202" s="1">
        <v>8</v>
      </c>
      <c r="G1202" s="1">
        <v>6.64</v>
      </c>
      <c r="H1202" s="1" t="s">
        <v>143</v>
      </c>
      <c r="I1202" s="1" t="s">
        <v>45</v>
      </c>
      <c r="J1202" s="1">
        <v>117</v>
      </c>
      <c r="K1202" s="1">
        <v>1.9</v>
      </c>
      <c r="L1202" s="4">
        <v>86.58</v>
      </c>
      <c r="M1202" s="1">
        <v>1.96</v>
      </c>
      <c r="N1202" s="1">
        <v>9</v>
      </c>
      <c r="O1202" s="1">
        <v>0.77</v>
      </c>
      <c r="P1202" s="1">
        <v>760</v>
      </c>
      <c r="Q1202" s="1">
        <v>3</v>
      </c>
      <c r="R1202" s="1">
        <v>0.42</v>
      </c>
      <c r="S1202" s="2">
        <v>45506</v>
      </c>
      <c r="T1202" s="1">
        <v>129.51</v>
      </c>
      <c r="U1202" s="1">
        <v>0.30199999999999999</v>
      </c>
      <c r="V1202" s="6">
        <f t="shared" si="54"/>
        <v>42857.1</v>
      </c>
      <c r="W1202" s="6" t="str">
        <f t="shared" si="55"/>
        <v>Sufficient</v>
      </c>
      <c r="X1202" s="8" t="str">
        <f t="shared" si="56"/>
        <v>High</v>
      </c>
    </row>
    <row r="1203" spans="1:24">
      <c r="A1203" s="7" t="s">
        <v>1333</v>
      </c>
      <c r="B1203" s="1" t="s">
        <v>41</v>
      </c>
      <c r="C1203" s="1">
        <v>226</v>
      </c>
      <c r="D1203" s="1">
        <v>19</v>
      </c>
      <c r="E1203" s="1">
        <v>13</v>
      </c>
      <c r="F1203" s="1">
        <v>5</v>
      </c>
      <c r="G1203" s="1">
        <v>21.47</v>
      </c>
      <c r="H1203" s="1" t="s">
        <v>256</v>
      </c>
      <c r="I1203" s="1" t="s">
        <v>39</v>
      </c>
      <c r="J1203" s="1">
        <v>28</v>
      </c>
      <c r="K1203" s="1">
        <v>0.62</v>
      </c>
      <c r="L1203" s="4">
        <v>151.71</v>
      </c>
      <c r="M1203" s="1">
        <v>0.2</v>
      </c>
      <c r="N1203" s="1">
        <v>0</v>
      </c>
      <c r="O1203" s="1">
        <v>0.84</v>
      </c>
      <c r="P1203" s="1">
        <v>375</v>
      </c>
      <c r="Q1203" s="1">
        <v>11.54</v>
      </c>
      <c r="R1203" s="1">
        <v>0.28999999999999998</v>
      </c>
      <c r="S1203" s="2">
        <v>45394</v>
      </c>
      <c r="T1203" s="1">
        <v>190.71</v>
      </c>
      <c r="U1203" s="1">
        <v>0.76</v>
      </c>
      <c r="V1203" s="6">
        <f t="shared" si="54"/>
        <v>34286.46</v>
      </c>
      <c r="W1203" s="6" t="str">
        <f t="shared" si="55"/>
        <v>Sufficient</v>
      </c>
      <c r="X1203" s="8" t="str">
        <f t="shared" si="56"/>
        <v>Medium</v>
      </c>
    </row>
    <row r="1204" spans="1:24">
      <c r="A1204" s="7" t="s">
        <v>1334</v>
      </c>
      <c r="B1204" s="1" t="s">
        <v>25</v>
      </c>
      <c r="C1204" s="1">
        <v>148</v>
      </c>
      <c r="D1204" s="1">
        <v>81</v>
      </c>
      <c r="E1204" s="1">
        <v>14</v>
      </c>
      <c r="F1204" s="1">
        <v>7</v>
      </c>
      <c r="G1204" s="1">
        <v>13.89</v>
      </c>
      <c r="H1204" s="1" t="s">
        <v>227</v>
      </c>
      <c r="I1204" s="1" t="s">
        <v>31</v>
      </c>
      <c r="J1204" s="1">
        <v>151</v>
      </c>
      <c r="K1204" s="1">
        <v>3.4</v>
      </c>
      <c r="L1204" s="4">
        <v>29.04</v>
      </c>
      <c r="M1204" s="1">
        <v>1.2</v>
      </c>
      <c r="N1204" s="1">
        <v>7</v>
      </c>
      <c r="O1204" s="1">
        <v>0.9</v>
      </c>
      <c r="P1204" s="1">
        <v>748</v>
      </c>
      <c r="Q1204" s="1">
        <v>12.83</v>
      </c>
      <c r="R1204" s="1">
        <v>0.56999999999999995</v>
      </c>
      <c r="S1204" s="2">
        <v>45621</v>
      </c>
      <c r="T1204" s="1">
        <v>112.42</v>
      </c>
      <c r="U1204" s="1">
        <v>0.60499999999999998</v>
      </c>
      <c r="V1204" s="6">
        <f t="shared" si="54"/>
        <v>4297.92</v>
      </c>
      <c r="W1204" s="6" t="str">
        <f t="shared" si="55"/>
        <v>Sufficient</v>
      </c>
      <c r="X1204" s="8" t="str">
        <f t="shared" si="56"/>
        <v>Medium</v>
      </c>
    </row>
    <row r="1205" spans="1:24">
      <c r="A1205" s="7" t="s">
        <v>1335</v>
      </c>
      <c r="B1205" s="1" t="s">
        <v>33</v>
      </c>
      <c r="C1205" s="1">
        <v>330</v>
      </c>
      <c r="D1205" s="1">
        <v>30</v>
      </c>
      <c r="E1205" s="1">
        <v>11</v>
      </c>
      <c r="F1205" s="1">
        <v>9</v>
      </c>
      <c r="G1205" s="1">
        <v>4.4800000000000004</v>
      </c>
      <c r="H1205" s="1" t="s">
        <v>141</v>
      </c>
      <c r="I1205" s="1" t="s">
        <v>27</v>
      </c>
      <c r="J1205" s="1">
        <v>92</v>
      </c>
      <c r="K1205" s="1">
        <v>4.12</v>
      </c>
      <c r="L1205" s="4">
        <v>176.48</v>
      </c>
      <c r="M1205" s="1">
        <v>1.0900000000000001</v>
      </c>
      <c r="N1205" s="1">
        <v>3</v>
      </c>
      <c r="O1205" s="1">
        <v>0.96</v>
      </c>
      <c r="P1205" s="1">
        <v>378</v>
      </c>
      <c r="Q1205" s="1">
        <v>7.83</v>
      </c>
      <c r="R1205" s="1">
        <v>0.2</v>
      </c>
      <c r="S1205" s="2">
        <v>45561</v>
      </c>
      <c r="T1205" s="1">
        <v>140.46</v>
      </c>
      <c r="U1205" s="1">
        <v>0.56699999999999995</v>
      </c>
      <c r="V1205" s="6">
        <f t="shared" si="54"/>
        <v>58238.399999999994</v>
      </c>
      <c r="W1205" s="6" t="str">
        <f t="shared" si="55"/>
        <v>Sufficient</v>
      </c>
      <c r="X1205" s="8" t="str">
        <f t="shared" si="56"/>
        <v>High</v>
      </c>
    </row>
    <row r="1206" spans="1:24">
      <c r="A1206" s="7" t="s">
        <v>1336</v>
      </c>
      <c r="B1206" s="1" t="s">
        <v>66</v>
      </c>
      <c r="C1206" s="1">
        <v>22</v>
      </c>
      <c r="D1206" s="1">
        <v>79</v>
      </c>
      <c r="E1206" s="1">
        <v>13</v>
      </c>
      <c r="F1206" s="1">
        <v>6</v>
      </c>
      <c r="G1206" s="1">
        <v>27.57</v>
      </c>
      <c r="H1206" s="1" t="s">
        <v>370</v>
      </c>
      <c r="I1206" s="1" t="s">
        <v>45</v>
      </c>
      <c r="J1206" s="1">
        <v>74</v>
      </c>
      <c r="K1206" s="1">
        <v>4.76</v>
      </c>
      <c r="L1206" s="4">
        <v>65.11</v>
      </c>
      <c r="M1206" s="1">
        <v>0.81</v>
      </c>
      <c r="N1206" s="1">
        <v>7</v>
      </c>
      <c r="O1206" s="1">
        <v>0.75</v>
      </c>
      <c r="P1206" s="1">
        <v>653</v>
      </c>
      <c r="Q1206" s="1">
        <v>14.39</v>
      </c>
      <c r="R1206" s="1">
        <v>0.81</v>
      </c>
      <c r="S1206" s="2">
        <v>45419</v>
      </c>
      <c r="T1206" s="1">
        <v>62.75</v>
      </c>
      <c r="U1206" s="1">
        <v>0.68300000000000005</v>
      </c>
      <c r="V1206" s="6">
        <f t="shared" si="54"/>
        <v>1432.42</v>
      </c>
      <c r="W1206" s="6" t="str">
        <f t="shared" si="55"/>
        <v>Reorder Required</v>
      </c>
      <c r="X1206" s="8" t="str">
        <f t="shared" si="56"/>
        <v>LOW</v>
      </c>
    </row>
    <row r="1207" spans="1:24">
      <c r="A1207" s="7" t="s">
        <v>1337</v>
      </c>
      <c r="B1207" s="1" t="s">
        <v>33</v>
      </c>
      <c r="C1207" s="1">
        <v>481</v>
      </c>
      <c r="D1207" s="1">
        <v>94</v>
      </c>
      <c r="E1207" s="1">
        <v>5</v>
      </c>
      <c r="F1207" s="1">
        <v>5</v>
      </c>
      <c r="G1207" s="1">
        <v>44.57</v>
      </c>
      <c r="H1207" s="1" t="s">
        <v>97</v>
      </c>
      <c r="I1207" s="1" t="s">
        <v>31</v>
      </c>
      <c r="J1207" s="1">
        <v>35</v>
      </c>
      <c r="K1207" s="1">
        <v>3.59</v>
      </c>
      <c r="L1207" s="4">
        <v>86.66</v>
      </c>
      <c r="M1207" s="1">
        <v>1.72</v>
      </c>
      <c r="N1207" s="1">
        <v>1</v>
      </c>
      <c r="O1207" s="1">
        <v>0.97</v>
      </c>
      <c r="P1207" s="1">
        <v>379</v>
      </c>
      <c r="Q1207" s="1">
        <v>2.68</v>
      </c>
      <c r="R1207" s="1">
        <v>0.8</v>
      </c>
      <c r="S1207" s="2">
        <v>45614</v>
      </c>
      <c r="T1207" s="1">
        <v>26.35</v>
      </c>
      <c r="U1207" s="1">
        <v>0.59799999999999998</v>
      </c>
      <c r="V1207" s="6">
        <f t="shared" si="54"/>
        <v>41683.46</v>
      </c>
      <c r="W1207" s="6" t="str">
        <f t="shared" si="55"/>
        <v>Sufficient</v>
      </c>
      <c r="X1207" s="8" t="str">
        <f t="shared" si="56"/>
        <v>High</v>
      </c>
    </row>
    <row r="1208" spans="1:24">
      <c r="A1208" s="7" t="s">
        <v>1338</v>
      </c>
      <c r="B1208" s="1" t="s">
        <v>29</v>
      </c>
      <c r="C1208" s="1">
        <v>441</v>
      </c>
      <c r="D1208" s="1">
        <v>66</v>
      </c>
      <c r="E1208" s="1">
        <v>7</v>
      </c>
      <c r="F1208" s="1">
        <v>7</v>
      </c>
      <c r="G1208" s="1">
        <v>34.1</v>
      </c>
      <c r="H1208" s="1" t="s">
        <v>258</v>
      </c>
      <c r="I1208" s="1" t="s">
        <v>27</v>
      </c>
      <c r="J1208" s="1">
        <v>147</v>
      </c>
      <c r="K1208" s="1">
        <v>3.79</v>
      </c>
      <c r="L1208" s="4">
        <v>162.69</v>
      </c>
      <c r="M1208" s="1">
        <v>1.19</v>
      </c>
      <c r="N1208" s="1">
        <v>3</v>
      </c>
      <c r="O1208" s="1">
        <v>0.82</v>
      </c>
      <c r="P1208" s="1">
        <v>743</v>
      </c>
      <c r="Q1208" s="1">
        <v>2.48</v>
      </c>
      <c r="R1208" s="1">
        <v>0.64</v>
      </c>
      <c r="S1208" s="2">
        <v>45570</v>
      </c>
      <c r="T1208" s="1">
        <v>110.99</v>
      </c>
      <c r="U1208" s="1">
        <v>0.54600000000000004</v>
      </c>
      <c r="V1208" s="6">
        <f t="shared" si="54"/>
        <v>71746.289999999994</v>
      </c>
      <c r="W1208" s="6" t="str">
        <f t="shared" si="55"/>
        <v>Sufficient</v>
      </c>
      <c r="X1208" s="8" t="str">
        <f t="shared" si="56"/>
        <v>High</v>
      </c>
    </row>
    <row r="1209" spans="1:24">
      <c r="A1209" s="7" t="s">
        <v>1339</v>
      </c>
      <c r="B1209" s="1" t="s">
        <v>25</v>
      </c>
      <c r="C1209" s="1">
        <v>261</v>
      </c>
      <c r="D1209" s="1">
        <v>48</v>
      </c>
      <c r="E1209" s="1">
        <v>7</v>
      </c>
      <c r="F1209" s="1">
        <v>6</v>
      </c>
      <c r="G1209" s="1">
        <v>13.23</v>
      </c>
      <c r="H1209" s="1" t="s">
        <v>174</v>
      </c>
      <c r="I1209" s="1" t="s">
        <v>45</v>
      </c>
      <c r="J1209" s="1">
        <v>108</v>
      </c>
      <c r="K1209" s="1">
        <v>4.53</v>
      </c>
      <c r="L1209" s="4">
        <v>131.03</v>
      </c>
      <c r="M1209" s="1">
        <v>0.69</v>
      </c>
      <c r="N1209" s="1">
        <v>1</v>
      </c>
      <c r="O1209" s="1">
        <v>0.95</v>
      </c>
      <c r="P1209" s="1">
        <v>788</v>
      </c>
      <c r="Q1209" s="1">
        <v>3.81</v>
      </c>
      <c r="R1209" s="1">
        <v>0.8</v>
      </c>
      <c r="S1209" s="2">
        <v>45301</v>
      </c>
      <c r="T1209" s="1">
        <v>28.12</v>
      </c>
      <c r="U1209" s="1">
        <v>0.71199999999999997</v>
      </c>
      <c r="V1209" s="6">
        <f t="shared" si="54"/>
        <v>34198.83</v>
      </c>
      <c r="W1209" s="6" t="str">
        <f t="shared" si="55"/>
        <v>Sufficient</v>
      </c>
      <c r="X1209" s="8" t="str">
        <f t="shared" si="56"/>
        <v>High</v>
      </c>
    </row>
    <row r="1210" spans="1:24">
      <c r="A1210" s="7" t="s">
        <v>1340</v>
      </c>
      <c r="B1210" s="1" t="s">
        <v>33</v>
      </c>
      <c r="C1210" s="1">
        <v>140</v>
      </c>
      <c r="D1210" s="1">
        <v>97</v>
      </c>
      <c r="E1210" s="1">
        <v>12</v>
      </c>
      <c r="F1210" s="1">
        <v>9</v>
      </c>
      <c r="G1210" s="1">
        <v>29.11</v>
      </c>
      <c r="H1210" s="1" t="s">
        <v>178</v>
      </c>
      <c r="I1210" s="1" t="s">
        <v>31</v>
      </c>
      <c r="J1210" s="1">
        <v>86</v>
      </c>
      <c r="K1210" s="1">
        <v>4.71</v>
      </c>
      <c r="L1210" s="4">
        <v>68.64</v>
      </c>
      <c r="M1210" s="1">
        <v>0.94</v>
      </c>
      <c r="N1210" s="1">
        <v>4</v>
      </c>
      <c r="O1210" s="1">
        <v>0.85</v>
      </c>
      <c r="P1210" s="1">
        <v>760</v>
      </c>
      <c r="Q1210" s="1">
        <v>14.75</v>
      </c>
      <c r="R1210" s="1">
        <v>0.7</v>
      </c>
      <c r="S1210" s="2">
        <v>45487</v>
      </c>
      <c r="T1210" s="1">
        <v>96.92</v>
      </c>
      <c r="U1210" s="1">
        <v>0.73299999999999998</v>
      </c>
      <c r="V1210" s="6">
        <f t="shared" si="54"/>
        <v>9609.6</v>
      </c>
      <c r="W1210" s="6" t="str">
        <f t="shared" si="55"/>
        <v>Sufficient</v>
      </c>
      <c r="X1210" s="8" t="str">
        <f t="shared" si="56"/>
        <v>Medium</v>
      </c>
    </row>
    <row r="1211" spans="1:24">
      <c r="A1211" s="7" t="s">
        <v>1341</v>
      </c>
      <c r="B1211" s="1" t="s">
        <v>41</v>
      </c>
      <c r="C1211" s="1">
        <v>404</v>
      </c>
      <c r="D1211" s="1">
        <v>42</v>
      </c>
      <c r="E1211" s="1">
        <v>9</v>
      </c>
      <c r="F1211" s="1">
        <v>7</v>
      </c>
      <c r="G1211" s="1">
        <v>47.22</v>
      </c>
      <c r="H1211" s="1" t="s">
        <v>137</v>
      </c>
      <c r="I1211" s="1" t="s">
        <v>39</v>
      </c>
      <c r="J1211" s="1">
        <v>79</v>
      </c>
      <c r="K1211" s="1">
        <v>2.71</v>
      </c>
      <c r="L1211" s="4">
        <v>52.83</v>
      </c>
      <c r="M1211" s="1">
        <v>0.78</v>
      </c>
      <c r="N1211" s="1">
        <v>9</v>
      </c>
      <c r="O1211" s="1">
        <v>0.96</v>
      </c>
      <c r="P1211" s="1">
        <v>522</v>
      </c>
      <c r="Q1211" s="1">
        <v>6.83</v>
      </c>
      <c r="R1211" s="1">
        <v>0.76</v>
      </c>
      <c r="S1211" s="2">
        <v>45475</v>
      </c>
      <c r="T1211" s="1">
        <v>252.9</v>
      </c>
      <c r="U1211" s="1">
        <v>0.57699999999999996</v>
      </c>
      <c r="V1211" s="6">
        <f t="shared" si="54"/>
        <v>21343.32</v>
      </c>
      <c r="W1211" s="6" t="str">
        <f t="shared" si="55"/>
        <v>Sufficient</v>
      </c>
      <c r="X1211" s="8" t="str">
        <f t="shared" si="56"/>
        <v>High</v>
      </c>
    </row>
    <row r="1212" spans="1:24">
      <c r="A1212" s="7" t="s">
        <v>1342</v>
      </c>
      <c r="B1212" s="1" t="s">
        <v>29</v>
      </c>
      <c r="C1212" s="1">
        <v>121</v>
      </c>
      <c r="D1212" s="1">
        <v>68</v>
      </c>
      <c r="E1212" s="1">
        <v>6</v>
      </c>
      <c r="F1212" s="1">
        <v>2</v>
      </c>
      <c r="G1212" s="1">
        <v>36.42</v>
      </c>
      <c r="H1212" s="1" t="s">
        <v>346</v>
      </c>
      <c r="I1212" s="1" t="s">
        <v>31</v>
      </c>
      <c r="J1212" s="1">
        <v>52</v>
      </c>
      <c r="K1212" s="1">
        <v>0.99</v>
      </c>
      <c r="L1212" s="4">
        <v>191.97</v>
      </c>
      <c r="M1212" s="1">
        <v>0.92</v>
      </c>
      <c r="N1212" s="1">
        <v>9</v>
      </c>
      <c r="O1212" s="1">
        <v>0.9</v>
      </c>
      <c r="P1212" s="1">
        <v>527</v>
      </c>
      <c r="Q1212" s="1">
        <v>13.94</v>
      </c>
      <c r="R1212" s="1">
        <v>0.25</v>
      </c>
      <c r="S1212" s="2">
        <v>45537</v>
      </c>
      <c r="T1212" s="1">
        <v>116.41</v>
      </c>
      <c r="U1212" s="1">
        <v>0.54400000000000004</v>
      </c>
      <c r="V1212" s="6">
        <f t="shared" si="54"/>
        <v>23228.37</v>
      </c>
      <c r="W1212" s="6" t="str">
        <f t="shared" si="55"/>
        <v>Sufficient</v>
      </c>
      <c r="X1212" s="8" t="str">
        <f t="shared" si="56"/>
        <v>Medium</v>
      </c>
    </row>
    <row r="1213" spans="1:24">
      <c r="A1213" s="7" t="s">
        <v>1343</v>
      </c>
      <c r="B1213" s="1" t="s">
        <v>29</v>
      </c>
      <c r="C1213" s="1">
        <v>57</v>
      </c>
      <c r="D1213" s="1">
        <v>27</v>
      </c>
      <c r="E1213" s="1">
        <v>13</v>
      </c>
      <c r="F1213" s="1">
        <v>9</v>
      </c>
      <c r="G1213" s="1">
        <v>34.78</v>
      </c>
      <c r="H1213" s="1" t="s">
        <v>470</v>
      </c>
      <c r="I1213" s="1" t="s">
        <v>31</v>
      </c>
      <c r="J1213" s="1">
        <v>79</v>
      </c>
      <c r="K1213" s="1">
        <v>2.6</v>
      </c>
      <c r="L1213" s="4">
        <v>26.68</v>
      </c>
      <c r="M1213" s="1">
        <v>0.24</v>
      </c>
      <c r="N1213" s="1">
        <v>7</v>
      </c>
      <c r="O1213" s="1">
        <v>0.85</v>
      </c>
      <c r="P1213" s="1">
        <v>284</v>
      </c>
      <c r="Q1213" s="1">
        <v>3.83</v>
      </c>
      <c r="R1213" s="1">
        <v>0.91</v>
      </c>
      <c r="S1213" s="2">
        <v>45570</v>
      </c>
      <c r="T1213" s="1">
        <v>66.05</v>
      </c>
      <c r="U1213" s="1">
        <v>0.63900000000000001</v>
      </c>
      <c r="V1213" s="6">
        <f t="shared" si="54"/>
        <v>1520.76</v>
      </c>
      <c r="W1213" s="6" t="str">
        <f t="shared" si="55"/>
        <v>Sufficient</v>
      </c>
      <c r="X1213" s="8" t="str">
        <f t="shared" si="56"/>
        <v>LOW</v>
      </c>
    </row>
    <row r="1214" spans="1:24">
      <c r="A1214" s="7" t="s">
        <v>1344</v>
      </c>
      <c r="B1214" s="1" t="s">
        <v>33</v>
      </c>
      <c r="C1214" s="1">
        <v>360</v>
      </c>
      <c r="D1214" s="1">
        <v>65</v>
      </c>
      <c r="E1214" s="1">
        <v>6</v>
      </c>
      <c r="F1214" s="1">
        <v>3</v>
      </c>
      <c r="G1214" s="1">
        <v>48.44</v>
      </c>
      <c r="H1214" s="1" t="s">
        <v>370</v>
      </c>
      <c r="I1214" s="1" t="s">
        <v>31</v>
      </c>
      <c r="J1214" s="1">
        <v>68</v>
      </c>
      <c r="K1214" s="1">
        <v>3</v>
      </c>
      <c r="L1214" s="4">
        <v>10.82</v>
      </c>
      <c r="M1214" s="1">
        <v>0.31</v>
      </c>
      <c r="N1214" s="1">
        <v>6</v>
      </c>
      <c r="O1214" s="1">
        <v>0.79</v>
      </c>
      <c r="P1214" s="1">
        <v>971</v>
      </c>
      <c r="Q1214" s="1">
        <v>12.85</v>
      </c>
      <c r="R1214" s="1">
        <v>0.72</v>
      </c>
      <c r="S1214" s="2">
        <v>45540</v>
      </c>
      <c r="T1214" s="1">
        <v>271.60000000000002</v>
      </c>
      <c r="U1214" s="1">
        <v>0.72199999999999998</v>
      </c>
      <c r="V1214" s="6">
        <f t="shared" si="54"/>
        <v>3895.2000000000003</v>
      </c>
      <c r="W1214" s="6" t="str">
        <f t="shared" si="55"/>
        <v>Sufficient</v>
      </c>
      <c r="X1214" s="8" t="str">
        <f t="shared" si="56"/>
        <v>High</v>
      </c>
    </row>
    <row r="1215" spans="1:24">
      <c r="A1215" s="7" t="s">
        <v>1345</v>
      </c>
      <c r="B1215" s="1" t="s">
        <v>33</v>
      </c>
      <c r="C1215" s="1">
        <v>432</v>
      </c>
      <c r="D1215" s="1">
        <v>66</v>
      </c>
      <c r="E1215" s="1">
        <v>9</v>
      </c>
      <c r="F1215" s="1">
        <v>2</v>
      </c>
      <c r="G1215" s="1">
        <v>40.14</v>
      </c>
      <c r="H1215" s="1" t="s">
        <v>85</v>
      </c>
      <c r="I1215" s="1" t="s">
        <v>27</v>
      </c>
      <c r="J1215" s="1">
        <v>12</v>
      </c>
      <c r="K1215" s="1">
        <v>3.34</v>
      </c>
      <c r="L1215" s="4">
        <v>137.86000000000001</v>
      </c>
      <c r="M1215" s="1">
        <v>1.29</v>
      </c>
      <c r="N1215" s="1">
        <v>4</v>
      </c>
      <c r="O1215" s="1">
        <v>0.99</v>
      </c>
      <c r="P1215" s="1">
        <v>605</v>
      </c>
      <c r="Q1215" s="1">
        <v>5.34</v>
      </c>
      <c r="R1215" s="1">
        <v>0.69</v>
      </c>
      <c r="S1215" s="2">
        <v>45468</v>
      </c>
      <c r="T1215" s="1">
        <v>195.41</v>
      </c>
      <c r="U1215" s="1">
        <v>0.59799999999999998</v>
      </c>
      <c r="V1215" s="6">
        <f t="shared" si="54"/>
        <v>59555.520000000004</v>
      </c>
      <c r="W1215" s="6" t="str">
        <f t="shared" si="55"/>
        <v>Sufficient</v>
      </c>
      <c r="X1215" s="8" t="str">
        <f t="shared" si="56"/>
        <v>High</v>
      </c>
    </row>
    <row r="1216" spans="1:24">
      <c r="A1216" s="7" t="s">
        <v>1346</v>
      </c>
      <c r="B1216" s="1" t="s">
        <v>25</v>
      </c>
      <c r="C1216" s="1">
        <v>152</v>
      </c>
      <c r="D1216" s="1">
        <v>85</v>
      </c>
      <c r="E1216" s="1">
        <v>11</v>
      </c>
      <c r="F1216" s="1">
        <v>5</v>
      </c>
      <c r="G1216" s="1">
        <v>7.69</v>
      </c>
      <c r="H1216" s="1" t="s">
        <v>325</v>
      </c>
      <c r="I1216" s="1" t="s">
        <v>39</v>
      </c>
      <c r="J1216" s="1">
        <v>142</v>
      </c>
      <c r="K1216" s="1">
        <v>4.95</v>
      </c>
      <c r="L1216" s="4">
        <v>126.75</v>
      </c>
      <c r="M1216" s="1">
        <v>1.4</v>
      </c>
      <c r="N1216" s="1">
        <v>6</v>
      </c>
      <c r="O1216" s="1">
        <v>0.94</v>
      </c>
      <c r="P1216" s="1">
        <v>637</v>
      </c>
      <c r="Q1216" s="1">
        <v>11.28</v>
      </c>
      <c r="R1216" s="1">
        <v>0.51</v>
      </c>
      <c r="S1216" s="2">
        <v>45581</v>
      </c>
      <c r="T1216" s="1">
        <v>296.58999999999997</v>
      </c>
      <c r="U1216" s="1">
        <v>0.57999999999999996</v>
      </c>
      <c r="V1216" s="6">
        <f t="shared" si="54"/>
        <v>19266</v>
      </c>
      <c r="W1216" s="6" t="str">
        <f t="shared" si="55"/>
        <v>Sufficient</v>
      </c>
      <c r="X1216" s="8" t="str">
        <f t="shared" si="56"/>
        <v>Medium</v>
      </c>
    </row>
    <row r="1217" spans="1:24">
      <c r="A1217" s="7" t="s">
        <v>1347</v>
      </c>
      <c r="B1217" s="1" t="s">
        <v>66</v>
      </c>
      <c r="C1217" s="1">
        <v>221</v>
      </c>
      <c r="D1217" s="1">
        <v>57</v>
      </c>
      <c r="E1217" s="1">
        <v>13</v>
      </c>
      <c r="F1217" s="1">
        <v>6</v>
      </c>
      <c r="G1217" s="1">
        <v>18.03</v>
      </c>
      <c r="H1217" s="1" t="s">
        <v>132</v>
      </c>
      <c r="I1217" s="1" t="s">
        <v>39</v>
      </c>
      <c r="J1217" s="1">
        <v>94</v>
      </c>
      <c r="K1217" s="1">
        <v>4.63</v>
      </c>
      <c r="L1217" s="4">
        <v>150.15</v>
      </c>
      <c r="M1217" s="1">
        <v>1.31</v>
      </c>
      <c r="N1217" s="1">
        <v>4</v>
      </c>
      <c r="O1217" s="1">
        <v>0.81</v>
      </c>
      <c r="P1217" s="1">
        <v>702</v>
      </c>
      <c r="Q1217" s="1">
        <v>14.64</v>
      </c>
      <c r="R1217" s="1">
        <v>0.22</v>
      </c>
      <c r="S1217" s="2">
        <v>45549</v>
      </c>
      <c r="T1217" s="1">
        <v>97.07</v>
      </c>
      <c r="U1217" s="1">
        <v>0.59</v>
      </c>
      <c r="V1217" s="6">
        <f t="shared" si="54"/>
        <v>33183.15</v>
      </c>
      <c r="W1217" s="6" t="str">
        <f t="shared" si="55"/>
        <v>Sufficient</v>
      </c>
      <c r="X1217" s="8" t="str">
        <f t="shared" si="56"/>
        <v>Medium</v>
      </c>
    </row>
    <row r="1218" spans="1:24">
      <c r="A1218" s="7" t="s">
        <v>1348</v>
      </c>
      <c r="B1218" s="1" t="s">
        <v>33</v>
      </c>
      <c r="C1218" s="1">
        <v>367</v>
      </c>
      <c r="D1218" s="1">
        <v>51</v>
      </c>
      <c r="E1218" s="1">
        <v>6</v>
      </c>
      <c r="F1218" s="1">
        <v>7</v>
      </c>
      <c r="G1218" s="1">
        <v>48.29</v>
      </c>
      <c r="H1218" s="1" t="s">
        <v>34</v>
      </c>
      <c r="I1218" s="1" t="s">
        <v>27</v>
      </c>
      <c r="J1218" s="1">
        <v>104</v>
      </c>
      <c r="K1218" s="1">
        <v>2.2799999999999998</v>
      </c>
      <c r="L1218" s="4">
        <v>149.01</v>
      </c>
      <c r="M1218" s="1">
        <v>1.55</v>
      </c>
      <c r="N1218" s="1">
        <v>6</v>
      </c>
      <c r="O1218" s="1">
        <v>0.75</v>
      </c>
      <c r="P1218" s="1">
        <v>743</v>
      </c>
      <c r="Q1218" s="1">
        <v>14.06</v>
      </c>
      <c r="R1218" s="1">
        <v>0.92</v>
      </c>
      <c r="S1218" s="2">
        <v>45456</v>
      </c>
      <c r="T1218" s="1">
        <v>68.11</v>
      </c>
      <c r="U1218" s="1">
        <v>0.64600000000000002</v>
      </c>
      <c r="V1218" s="6">
        <f t="shared" si="54"/>
        <v>54686.67</v>
      </c>
      <c r="W1218" s="6" t="str">
        <f t="shared" si="55"/>
        <v>Sufficient</v>
      </c>
      <c r="X1218" s="8" t="str">
        <f t="shared" si="56"/>
        <v>High</v>
      </c>
    </row>
    <row r="1219" spans="1:24">
      <c r="A1219" s="7" t="s">
        <v>1349</v>
      </c>
      <c r="B1219" s="1" t="s">
        <v>33</v>
      </c>
      <c r="C1219" s="1">
        <v>40</v>
      </c>
      <c r="D1219" s="1">
        <v>36</v>
      </c>
      <c r="E1219" s="1">
        <v>6</v>
      </c>
      <c r="F1219" s="1">
        <v>5</v>
      </c>
      <c r="G1219" s="1">
        <v>25</v>
      </c>
      <c r="H1219" s="1" t="s">
        <v>141</v>
      </c>
      <c r="I1219" s="1" t="s">
        <v>31</v>
      </c>
      <c r="J1219" s="1">
        <v>87</v>
      </c>
      <c r="K1219" s="1">
        <v>1.01</v>
      </c>
      <c r="L1219" s="4">
        <v>174.02</v>
      </c>
      <c r="M1219" s="1">
        <v>1.89</v>
      </c>
      <c r="N1219" s="1">
        <v>3</v>
      </c>
      <c r="O1219" s="1">
        <v>0.93</v>
      </c>
      <c r="P1219" s="1">
        <v>168</v>
      </c>
      <c r="Q1219" s="1">
        <v>12.64</v>
      </c>
      <c r="R1219" s="1">
        <v>0.99</v>
      </c>
      <c r="S1219" s="2">
        <v>45490</v>
      </c>
      <c r="T1219" s="1">
        <v>96.4</v>
      </c>
      <c r="U1219" s="1">
        <v>0.70399999999999996</v>
      </c>
      <c r="V1219" s="6">
        <f t="shared" si="54"/>
        <v>6960.8</v>
      </c>
      <c r="W1219" s="6" t="str">
        <f t="shared" si="55"/>
        <v>Sufficient</v>
      </c>
      <c r="X1219" s="8" t="str">
        <f t="shared" si="56"/>
        <v>LOW</v>
      </c>
    </row>
    <row r="1220" spans="1:24">
      <c r="A1220" s="7" t="s">
        <v>1350</v>
      </c>
      <c r="B1220" s="1" t="s">
        <v>41</v>
      </c>
      <c r="C1220" s="1">
        <v>261</v>
      </c>
      <c r="D1220" s="1">
        <v>83</v>
      </c>
      <c r="E1220" s="1">
        <v>8</v>
      </c>
      <c r="F1220" s="1">
        <v>5</v>
      </c>
      <c r="G1220" s="1">
        <v>6.47</v>
      </c>
      <c r="H1220" s="1" t="s">
        <v>74</v>
      </c>
      <c r="I1220" s="1" t="s">
        <v>39</v>
      </c>
      <c r="J1220" s="1">
        <v>110</v>
      </c>
      <c r="K1220" s="1">
        <v>1.47</v>
      </c>
      <c r="L1220" s="4">
        <v>185.2</v>
      </c>
      <c r="M1220" s="1">
        <v>1.74</v>
      </c>
      <c r="N1220" s="1">
        <v>3</v>
      </c>
      <c r="O1220" s="1">
        <v>1</v>
      </c>
      <c r="P1220" s="1">
        <v>89</v>
      </c>
      <c r="Q1220" s="1">
        <v>1.7</v>
      </c>
      <c r="R1220" s="1">
        <v>0.85</v>
      </c>
      <c r="S1220" s="2">
        <v>45430</v>
      </c>
      <c r="T1220" s="1">
        <v>245.62</v>
      </c>
      <c r="U1220" s="1">
        <v>0.55900000000000005</v>
      </c>
      <c r="V1220" s="6">
        <f t="shared" ref="V1220:V1283" si="57">C1220*L1220</f>
        <v>48337.2</v>
      </c>
      <c r="W1220" s="6" t="str">
        <f t="shared" ref="W1220:W1283" si="58">IF(C1220&lt;=D1220,"Reorder Required","Sufficient")</f>
        <v>Sufficient</v>
      </c>
      <c r="X1220" s="8" t="str">
        <f t="shared" ref="X1220:X1283" si="59">IF(C1220&lt;100,"LOW",IF(C1220&lt;250,"Medium","High"))</f>
        <v>High</v>
      </c>
    </row>
    <row r="1221" spans="1:24">
      <c r="A1221" s="7" t="s">
        <v>1351</v>
      </c>
      <c r="B1221" s="1" t="s">
        <v>29</v>
      </c>
      <c r="C1221" s="1">
        <v>474</v>
      </c>
      <c r="D1221" s="1">
        <v>61</v>
      </c>
      <c r="E1221" s="1">
        <v>8</v>
      </c>
      <c r="F1221" s="1">
        <v>9</v>
      </c>
      <c r="G1221" s="1">
        <v>23.47</v>
      </c>
      <c r="H1221" s="1" t="s">
        <v>333</v>
      </c>
      <c r="I1221" s="1" t="s">
        <v>31</v>
      </c>
      <c r="J1221" s="1">
        <v>92</v>
      </c>
      <c r="K1221" s="1">
        <v>1.28</v>
      </c>
      <c r="L1221" s="4">
        <v>157.25</v>
      </c>
      <c r="M1221" s="1">
        <v>0.9</v>
      </c>
      <c r="N1221" s="1">
        <v>9</v>
      </c>
      <c r="O1221" s="1">
        <v>0.78</v>
      </c>
      <c r="P1221" s="1">
        <v>309</v>
      </c>
      <c r="Q1221" s="1">
        <v>9.51</v>
      </c>
      <c r="R1221" s="1">
        <v>0.93</v>
      </c>
      <c r="S1221" s="2">
        <v>45384</v>
      </c>
      <c r="T1221" s="1">
        <v>53.94</v>
      </c>
      <c r="U1221" s="1">
        <v>0.59899999999999998</v>
      </c>
      <c r="V1221" s="6">
        <f t="shared" si="57"/>
        <v>74536.5</v>
      </c>
      <c r="W1221" s="6" t="str">
        <f t="shared" si="58"/>
        <v>Sufficient</v>
      </c>
      <c r="X1221" s="8" t="str">
        <f t="shared" si="59"/>
        <v>High</v>
      </c>
    </row>
    <row r="1222" spans="1:24">
      <c r="A1222" s="7" t="s">
        <v>1352</v>
      </c>
      <c r="B1222" s="1" t="s">
        <v>66</v>
      </c>
      <c r="C1222" s="1">
        <v>470</v>
      </c>
      <c r="D1222" s="1">
        <v>51</v>
      </c>
      <c r="E1222" s="1">
        <v>9</v>
      </c>
      <c r="F1222" s="1">
        <v>3</v>
      </c>
      <c r="G1222" s="1">
        <v>35.15</v>
      </c>
      <c r="H1222" s="1" t="s">
        <v>151</v>
      </c>
      <c r="I1222" s="1" t="s">
        <v>39</v>
      </c>
      <c r="J1222" s="1">
        <v>174</v>
      </c>
      <c r="K1222" s="1">
        <v>2.1</v>
      </c>
      <c r="L1222" s="4">
        <v>54.14</v>
      </c>
      <c r="M1222" s="1">
        <v>0.51</v>
      </c>
      <c r="N1222" s="1">
        <v>3</v>
      </c>
      <c r="O1222" s="1">
        <v>0.97</v>
      </c>
      <c r="P1222" s="1">
        <v>998</v>
      </c>
      <c r="Q1222" s="1">
        <v>12.7</v>
      </c>
      <c r="R1222" s="1">
        <v>0.3</v>
      </c>
      <c r="S1222" s="2">
        <v>45305</v>
      </c>
      <c r="T1222" s="1">
        <v>79.91</v>
      </c>
      <c r="U1222" s="1">
        <v>0.71199999999999997</v>
      </c>
      <c r="V1222" s="6">
        <f t="shared" si="57"/>
        <v>25445.8</v>
      </c>
      <c r="W1222" s="6" t="str">
        <f t="shared" si="58"/>
        <v>Sufficient</v>
      </c>
      <c r="X1222" s="8" t="str">
        <f t="shared" si="59"/>
        <v>High</v>
      </c>
    </row>
    <row r="1223" spans="1:24">
      <c r="A1223" s="7" t="s">
        <v>1353</v>
      </c>
      <c r="B1223" s="1" t="s">
        <v>41</v>
      </c>
      <c r="C1223" s="1">
        <v>128</v>
      </c>
      <c r="D1223" s="1">
        <v>41</v>
      </c>
      <c r="E1223" s="1">
        <v>3</v>
      </c>
      <c r="F1223" s="1">
        <v>8</v>
      </c>
      <c r="G1223" s="1">
        <v>49.88</v>
      </c>
      <c r="H1223" s="1" t="s">
        <v>99</v>
      </c>
      <c r="I1223" s="1" t="s">
        <v>27</v>
      </c>
      <c r="J1223" s="1">
        <v>93</v>
      </c>
      <c r="K1223" s="1">
        <v>4.4400000000000004</v>
      </c>
      <c r="L1223" s="4">
        <v>98.06</v>
      </c>
      <c r="M1223" s="1">
        <v>0.69</v>
      </c>
      <c r="N1223" s="1">
        <v>7</v>
      </c>
      <c r="O1223" s="1">
        <v>0.74</v>
      </c>
      <c r="P1223" s="1">
        <v>805</v>
      </c>
      <c r="Q1223" s="1">
        <v>6.59</v>
      </c>
      <c r="R1223" s="1">
        <v>0.3</v>
      </c>
      <c r="S1223" s="2">
        <v>45455</v>
      </c>
      <c r="T1223" s="1">
        <v>213.47</v>
      </c>
      <c r="U1223" s="1">
        <v>0.48699999999999999</v>
      </c>
      <c r="V1223" s="6">
        <f t="shared" si="57"/>
        <v>12551.68</v>
      </c>
      <c r="W1223" s="6" t="str">
        <f t="shared" si="58"/>
        <v>Sufficient</v>
      </c>
      <c r="X1223" s="8" t="str">
        <f t="shared" si="59"/>
        <v>Medium</v>
      </c>
    </row>
    <row r="1224" spans="1:24">
      <c r="A1224" s="7" t="s">
        <v>1354</v>
      </c>
      <c r="B1224" s="1" t="s">
        <v>25</v>
      </c>
      <c r="C1224" s="1">
        <v>322</v>
      </c>
      <c r="D1224" s="1">
        <v>35</v>
      </c>
      <c r="E1224" s="1">
        <v>13</v>
      </c>
      <c r="F1224" s="1">
        <v>5</v>
      </c>
      <c r="G1224" s="1">
        <v>16.87</v>
      </c>
      <c r="H1224" s="1" t="s">
        <v>331</v>
      </c>
      <c r="I1224" s="1" t="s">
        <v>45</v>
      </c>
      <c r="J1224" s="1">
        <v>130</v>
      </c>
      <c r="K1224" s="1">
        <v>2.4700000000000002</v>
      </c>
      <c r="L1224" s="4">
        <v>131.93</v>
      </c>
      <c r="M1224" s="1">
        <v>1.22</v>
      </c>
      <c r="N1224" s="1">
        <v>0</v>
      </c>
      <c r="O1224" s="1">
        <v>0.99</v>
      </c>
      <c r="P1224" s="1">
        <v>690</v>
      </c>
      <c r="Q1224" s="1">
        <v>11.24</v>
      </c>
      <c r="R1224" s="1">
        <v>0.9</v>
      </c>
      <c r="S1224" s="2">
        <v>45597</v>
      </c>
      <c r="T1224" s="1">
        <v>224.02</v>
      </c>
      <c r="U1224" s="1">
        <v>0.80600000000000005</v>
      </c>
      <c r="V1224" s="6">
        <f t="shared" si="57"/>
        <v>42481.46</v>
      </c>
      <c r="W1224" s="6" t="str">
        <f t="shared" si="58"/>
        <v>Sufficient</v>
      </c>
      <c r="X1224" s="8" t="str">
        <f t="shared" si="59"/>
        <v>High</v>
      </c>
    </row>
    <row r="1225" spans="1:24">
      <c r="A1225" s="7" t="s">
        <v>1355</v>
      </c>
      <c r="B1225" s="1" t="s">
        <v>25</v>
      </c>
      <c r="C1225" s="1">
        <v>103</v>
      </c>
      <c r="D1225" s="1">
        <v>34</v>
      </c>
      <c r="E1225" s="1">
        <v>5</v>
      </c>
      <c r="F1225" s="1">
        <v>3</v>
      </c>
      <c r="G1225" s="1">
        <v>26.19</v>
      </c>
      <c r="H1225" s="1" t="s">
        <v>137</v>
      </c>
      <c r="I1225" s="1" t="s">
        <v>31</v>
      </c>
      <c r="J1225" s="1">
        <v>144</v>
      </c>
      <c r="K1225" s="1">
        <v>3.05</v>
      </c>
      <c r="L1225" s="4">
        <v>112.48</v>
      </c>
      <c r="M1225" s="1">
        <v>1.73</v>
      </c>
      <c r="N1225" s="1">
        <v>9</v>
      </c>
      <c r="O1225" s="1">
        <v>0.92</v>
      </c>
      <c r="P1225" s="1">
        <v>55</v>
      </c>
      <c r="Q1225" s="1">
        <v>2.93</v>
      </c>
      <c r="R1225" s="1">
        <v>0.25</v>
      </c>
      <c r="S1225" s="2">
        <v>45404</v>
      </c>
      <c r="T1225" s="1">
        <v>288.06</v>
      </c>
      <c r="U1225" s="1">
        <v>0.32</v>
      </c>
      <c r="V1225" s="6">
        <f t="shared" si="57"/>
        <v>11585.44</v>
      </c>
      <c r="W1225" s="6" t="str">
        <f t="shared" si="58"/>
        <v>Sufficient</v>
      </c>
      <c r="X1225" s="8" t="str">
        <f t="shared" si="59"/>
        <v>Medium</v>
      </c>
    </row>
    <row r="1226" spans="1:24">
      <c r="A1226" s="7" t="s">
        <v>1356</v>
      </c>
      <c r="B1226" s="1" t="s">
        <v>33</v>
      </c>
      <c r="C1226" s="1">
        <v>102</v>
      </c>
      <c r="D1226" s="1">
        <v>84</v>
      </c>
      <c r="E1226" s="1">
        <v>11</v>
      </c>
      <c r="F1226" s="1">
        <v>6</v>
      </c>
      <c r="G1226" s="1">
        <v>44.1</v>
      </c>
      <c r="H1226" s="1" t="s">
        <v>279</v>
      </c>
      <c r="I1226" s="1" t="s">
        <v>39</v>
      </c>
      <c r="J1226" s="1">
        <v>62</v>
      </c>
      <c r="K1226" s="1">
        <v>1.31</v>
      </c>
      <c r="L1226" s="4">
        <v>40.19</v>
      </c>
      <c r="M1226" s="1">
        <v>1.43</v>
      </c>
      <c r="N1226" s="1">
        <v>4</v>
      </c>
      <c r="O1226" s="1">
        <v>0.8</v>
      </c>
      <c r="P1226" s="1">
        <v>360</v>
      </c>
      <c r="Q1226" s="1">
        <v>3.47</v>
      </c>
      <c r="R1226" s="1">
        <v>0.27</v>
      </c>
      <c r="S1226" s="2">
        <v>45307</v>
      </c>
      <c r="T1226" s="1">
        <v>294.24</v>
      </c>
      <c r="U1226" s="1">
        <v>0.437</v>
      </c>
      <c r="V1226" s="6">
        <f t="shared" si="57"/>
        <v>4099.38</v>
      </c>
      <c r="W1226" s="6" t="str">
        <f t="shared" si="58"/>
        <v>Sufficient</v>
      </c>
      <c r="X1226" s="8" t="str">
        <f t="shared" si="59"/>
        <v>Medium</v>
      </c>
    </row>
    <row r="1227" spans="1:24">
      <c r="A1227" s="7" t="s">
        <v>1357</v>
      </c>
      <c r="B1227" s="1" t="s">
        <v>33</v>
      </c>
      <c r="C1227" s="1">
        <v>310</v>
      </c>
      <c r="D1227" s="1">
        <v>32</v>
      </c>
      <c r="E1227" s="1">
        <v>8</v>
      </c>
      <c r="F1227" s="1">
        <v>6</v>
      </c>
      <c r="G1227" s="1">
        <v>18.41</v>
      </c>
      <c r="H1227" s="1" t="s">
        <v>137</v>
      </c>
      <c r="I1227" s="1" t="s">
        <v>39</v>
      </c>
      <c r="J1227" s="1">
        <v>123</v>
      </c>
      <c r="K1227" s="1">
        <v>2.72</v>
      </c>
      <c r="L1227" s="4">
        <v>121.96</v>
      </c>
      <c r="M1227" s="1">
        <v>1.1299999999999999</v>
      </c>
      <c r="N1227" s="1">
        <v>9</v>
      </c>
      <c r="O1227" s="1">
        <v>0.79</v>
      </c>
      <c r="P1227" s="1">
        <v>115</v>
      </c>
      <c r="Q1227" s="1">
        <v>10.01</v>
      </c>
      <c r="R1227" s="1">
        <v>0.85</v>
      </c>
      <c r="S1227" s="2">
        <v>45435</v>
      </c>
      <c r="T1227" s="1">
        <v>202.42</v>
      </c>
      <c r="U1227" s="1">
        <v>0.56799999999999995</v>
      </c>
      <c r="V1227" s="6">
        <f t="shared" si="57"/>
        <v>37807.599999999999</v>
      </c>
      <c r="W1227" s="6" t="str">
        <f t="shared" si="58"/>
        <v>Sufficient</v>
      </c>
      <c r="X1227" s="8" t="str">
        <f t="shared" si="59"/>
        <v>High</v>
      </c>
    </row>
    <row r="1228" spans="1:24">
      <c r="A1228" s="7" t="s">
        <v>1358</v>
      </c>
      <c r="B1228" s="1" t="s">
        <v>25</v>
      </c>
      <c r="C1228" s="1">
        <v>471</v>
      </c>
      <c r="D1228" s="1">
        <v>66</v>
      </c>
      <c r="E1228" s="1">
        <v>8</v>
      </c>
      <c r="F1228" s="1">
        <v>7</v>
      </c>
      <c r="G1228" s="1">
        <v>6.35</v>
      </c>
      <c r="H1228" s="1" t="s">
        <v>411</v>
      </c>
      <c r="I1228" s="1" t="s">
        <v>39</v>
      </c>
      <c r="J1228" s="1">
        <v>15</v>
      </c>
      <c r="K1228" s="1">
        <v>4.43</v>
      </c>
      <c r="L1228" s="4">
        <v>178.44</v>
      </c>
      <c r="M1228" s="1">
        <v>1.24</v>
      </c>
      <c r="N1228" s="1">
        <v>1</v>
      </c>
      <c r="O1228" s="1">
        <v>0.89</v>
      </c>
      <c r="P1228" s="1">
        <v>423</v>
      </c>
      <c r="Q1228" s="1">
        <v>7.12</v>
      </c>
      <c r="R1228" s="1">
        <v>0.65</v>
      </c>
      <c r="S1228" s="2">
        <v>45321</v>
      </c>
      <c r="T1228" s="1">
        <v>115.21</v>
      </c>
      <c r="U1228" s="1">
        <v>0.65900000000000003</v>
      </c>
      <c r="V1228" s="6">
        <f t="shared" si="57"/>
        <v>84045.24</v>
      </c>
      <c r="W1228" s="6" t="str">
        <f t="shared" si="58"/>
        <v>Sufficient</v>
      </c>
      <c r="X1228" s="8" t="str">
        <f t="shared" si="59"/>
        <v>High</v>
      </c>
    </row>
    <row r="1229" spans="1:24">
      <c r="A1229" s="7" t="s">
        <v>1359</v>
      </c>
      <c r="B1229" s="1" t="s">
        <v>33</v>
      </c>
      <c r="C1229" s="1">
        <v>88</v>
      </c>
      <c r="D1229" s="1">
        <v>61</v>
      </c>
      <c r="E1229" s="1">
        <v>7</v>
      </c>
      <c r="F1229" s="1">
        <v>8</v>
      </c>
      <c r="G1229" s="1">
        <v>47.5</v>
      </c>
      <c r="H1229" s="1" t="s">
        <v>57</v>
      </c>
      <c r="I1229" s="1" t="s">
        <v>27</v>
      </c>
      <c r="J1229" s="1">
        <v>144</v>
      </c>
      <c r="K1229" s="1">
        <v>3.98</v>
      </c>
      <c r="L1229" s="4">
        <v>89.52</v>
      </c>
      <c r="M1229" s="1">
        <v>1.1000000000000001</v>
      </c>
      <c r="N1229" s="1">
        <v>9</v>
      </c>
      <c r="O1229" s="1">
        <v>0.88</v>
      </c>
      <c r="P1229" s="1">
        <v>780</v>
      </c>
      <c r="Q1229" s="1">
        <v>4.0599999999999996</v>
      </c>
      <c r="R1229" s="1">
        <v>0.51</v>
      </c>
      <c r="S1229" s="2">
        <v>45533</v>
      </c>
      <c r="T1229" s="1">
        <v>141.37</v>
      </c>
      <c r="U1229" s="1">
        <v>0.442</v>
      </c>
      <c r="V1229" s="6">
        <f t="shared" si="57"/>
        <v>7877.7599999999993</v>
      </c>
      <c r="W1229" s="6" t="str">
        <f t="shared" si="58"/>
        <v>Sufficient</v>
      </c>
      <c r="X1229" s="8" t="str">
        <f t="shared" si="59"/>
        <v>LOW</v>
      </c>
    </row>
    <row r="1230" spans="1:24">
      <c r="A1230" s="7" t="s">
        <v>1360</v>
      </c>
      <c r="B1230" s="1" t="s">
        <v>66</v>
      </c>
      <c r="C1230" s="1">
        <v>148</v>
      </c>
      <c r="D1230" s="1">
        <v>96</v>
      </c>
      <c r="E1230" s="1">
        <v>13</v>
      </c>
      <c r="F1230" s="1">
        <v>3</v>
      </c>
      <c r="G1230" s="1">
        <v>24.93</v>
      </c>
      <c r="H1230" s="1" t="s">
        <v>44</v>
      </c>
      <c r="I1230" s="1" t="s">
        <v>27</v>
      </c>
      <c r="J1230" s="1">
        <v>27</v>
      </c>
      <c r="K1230" s="1">
        <v>0.87</v>
      </c>
      <c r="L1230" s="4">
        <v>137.1</v>
      </c>
      <c r="M1230" s="1">
        <v>1.95</v>
      </c>
      <c r="N1230" s="1">
        <v>3</v>
      </c>
      <c r="O1230" s="1">
        <v>0.98</v>
      </c>
      <c r="P1230" s="1">
        <v>195</v>
      </c>
      <c r="Q1230" s="1">
        <v>4.96</v>
      </c>
      <c r="R1230" s="1">
        <v>0.64</v>
      </c>
      <c r="S1230" s="2">
        <v>45563</v>
      </c>
      <c r="T1230" s="1">
        <v>137.38999999999999</v>
      </c>
      <c r="U1230" s="1">
        <v>0.53500000000000003</v>
      </c>
      <c r="V1230" s="6">
        <f t="shared" si="57"/>
        <v>20290.8</v>
      </c>
      <c r="W1230" s="6" t="str">
        <f t="shared" si="58"/>
        <v>Sufficient</v>
      </c>
      <c r="X1230" s="8" t="str">
        <f t="shared" si="59"/>
        <v>Medium</v>
      </c>
    </row>
    <row r="1231" spans="1:24">
      <c r="A1231" s="7" t="s">
        <v>1361</v>
      </c>
      <c r="B1231" s="1" t="s">
        <v>33</v>
      </c>
      <c r="C1231" s="1">
        <v>215</v>
      </c>
      <c r="D1231" s="1">
        <v>40</v>
      </c>
      <c r="E1231" s="1">
        <v>5</v>
      </c>
      <c r="F1231" s="1">
        <v>2</v>
      </c>
      <c r="G1231" s="1">
        <v>25.64</v>
      </c>
      <c r="H1231" s="1" t="s">
        <v>30</v>
      </c>
      <c r="I1231" s="1" t="s">
        <v>45</v>
      </c>
      <c r="J1231" s="1">
        <v>63</v>
      </c>
      <c r="K1231" s="1">
        <v>4.38</v>
      </c>
      <c r="L1231" s="4">
        <v>127.03</v>
      </c>
      <c r="M1231" s="1">
        <v>1.65</v>
      </c>
      <c r="N1231" s="1">
        <v>4</v>
      </c>
      <c r="O1231" s="1">
        <v>0.93</v>
      </c>
      <c r="P1231" s="1">
        <v>283</v>
      </c>
      <c r="Q1231" s="1">
        <v>9.66</v>
      </c>
      <c r="R1231" s="1">
        <v>0.9</v>
      </c>
      <c r="S1231" s="2">
        <v>45475</v>
      </c>
      <c r="T1231" s="1">
        <v>122.34</v>
      </c>
      <c r="U1231" s="1">
        <v>0.65</v>
      </c>
      <c r="V1231" s="6">
        <f t="shared" si="57"/>
        <v>27311.45</v>
      </c>
      <c r="W1231" s="6" t="str">
        <f t="shared" si="58"/>
        <v>Sufficient</v>
      </c>
      <c r="X1231" s="8" t="str">
        <f t="shared" si="59"/>
        <v>Medium</v>
      </c>
    </row>
    <row r="1232" spans="1:24">
      <c r="A1232" s="7" t="s">
        <v>1362</v>
      </c>
      <c r="B1232" s="1" t="s">
        <v>29</v>
      </c>
      <c r="C1232" s="1">
        <v>159</v>
      </c>
      <c r="D1232" s="1">
        <v>73</v>
      </c>
      <c r="E1232" s="1">
        <v>13</v>
      </c>
      <c r="F1232" s="1">
        <v>6</v>
      </c>
      <c r="G1232" s="1">
        <v>31.44</v>
      </c>
      <c r="H1232" s="1" t="s">
        <v>195</v>
      </c>
      <c r="I1232" s="1" t="s">
        <v>27</v>
      </c>
      <c r="J1232" s="1">
        <v>136</v>
      </c>
      <c r="K1232" s="1">
        <v>1.73</v>
      </c>
      <c r="L1232" s="4">
        <v>81.64</v>
      </c>
      <c r="M1232" s="1">
        <v>1.58</v>
      </c>
      <c r="N1232" s="1">
        <v>7</v>
      </c>
      <c r="O1232" s="1">
        <v>0.86</v>
      </c>
      <c r="P1232" s="1">
        <v>78</v>
      </c>
      <c r="Q1232" s="1">
        <v>11.16</v>
      </c>
      <c r="R1232" s="1">
        <v>0.81</v>
      </c>
      <c r="S1232" s="2">
        <v>45591</v>
      </c>
      <c r="T1232" s="1">
        <v>108.09</v>
      </c>
      <c r="U1232" s="1">
        <v>0.58499999999999996</v>
      </c>
      <c r="V1232" s="6">
        <f t="shared" si="57"/>
        <v>12980.76</v>
      </c>
      <c r="W1232" s="6" t="str">
        <f t="shared" si="58"/>
        <v>Sufficient</v>
      </c>
      <c r="X1232" s="8" t="str">
        <f t="shared" si="59"/>
        <v>Medium</v>
      </c>
    </row>
    <row r="1233" spans="1:24">
      <c r="A1233" s="7" t="s">
        <v>1363</v>
      </c>
      <c r="B1233" s="1" t="s">
        <v>33</v>
      </c>
      <c r="C1233" s="1">
        <v>463</v>
      </c>
      <c r="D1233" s="1">
        <v>80</v>
      </c>
      <c r="E1233" s="1">
        <v>7</v>
      </c>
      <c r="F1233" s="1">
        <v>9</v>
      </c>
      <c r="G1233" s="1">
        <v>1.17</v>
      </c>
      <c r="H1233" s="1" t="s">
        <v>132</v>
      </c>
      <c r="I1233" s="1" t="s">
        <v>31</v>
      </c>
      <c r="J1233" s="1">
        <v>166</v>
      </c>
      <c r="K1233" s="1">
        <v>3.5</v>
      </c>
      <c r="L1233" s="4">
        <v>117.4</v>
      </c>
      <c r="M1233" s="1">
        <v>1.08</v>
      </c>
      <c r="N1233" s="1">
        <v>1</v>
      </c>
      <c r="O1233" s="1">
        <v>0.98</v>
      </c>
      <c r="P1233" s="1">
        <v>870</v>
      </c>
      <c r="Q1233" s="1">
        <v>3.91</v>
      </c>
      <c r="R1233" s="1">
        <v>0.75</v>
      </c>
      <c r="S1233" s="2">
        <v>45411</v>
      </c>
      <c r="T1233" s="1">
        <v>58.69</v>
      </c>
      <c r="U1233" s="1">
        <v>0.67</v>
      </c>
      <c r="V1233" s="6">
        <f t="shared" si="57"/>
        <v>54356.200000000004</v>
      </c>
      <c r="W1233" s="6" t="str">
        <f t="shared" si="58"/>
        <v>Sufficient</v>
      </c>
      <c r="X1233" s="8" t="str">
        <f t="shared" si="59"/>
        <v>High</v>
      </c>
    </row>
    <row r="1234" spans="1:24">
      <c r="A1234" s="7" t="s">
        <v>1364</v>
      </c>
      <c r="B1234" s="1" t="s">
        <v>41</v>
      </c>
      <c r="C1234" s="1">
        <v>302</v>
      </c>
      <c r="D1234" s="1">
        <v>42</v>
      </c>
      <c r="E1234" s="1">
        <v>3</v>
      </c>
      <c r="F1234" s="1">
        <v>8</v>
      </c>
      <c r="G1234" s="1">
        <v>46.63</v>
      </c>
      <c r="H1234" s="1" t="s">
        <v>183</v>
      </c>
      <c r="I1234" s="1" t="s">
        <v>27</v>
      </c>
      <c r="J1234" s="1">
        <v>34</v>
      </c>
      <c r="K1234" s="1">
        <v>1.1599999999999999</v>
      </c>
      <c r="L1234" s="4">
        <v>49.94</v>
      </c>
      <c r="M1234" s="1">
        <v>0.73</v>
      </c>
      <c r="N1234" s="1">
        <v>1</v>
      </c>
      <c r="O1234" s="1">
        <v>0.88</v>
      </c>
      <c r="P1234" s="1">
        <v>722</v>
      </c>
      <c r="Q1234" s="1">
        <v>14.37</v>
      </c>
      <c r="R1234" s="1">
        <v>0.98</v>
      </c>
      <c r="S1234" s="2">
        <v>45373</v>
      </c>
      <c r="T1234" s="1">
        <v>116.19</v>
      </c>
      <c r="U1234" s="1">
        <v>0.871</v>
      </c>
      <c r="V1234" s="6">
        <f t="shared" si="57"/>
        <v>15081.88</v>
      </c>
      <c r="W1234" s="6" t="str">
        <f t="shared" si="58"/>
        <v>Sufficient</v>
      </c>
      <c r="X1234" s="8" t="str">
        <f t="shared" si="59"/>
        <v>High</v>
      </c>
    </row>
    <row r="1235" spans="1:24">
      <c r="A1235" s="7" t="s">
        <v>1365</v>
      </c>
      <c r="B1235" s="1" t="s">
        <v>66</v>
      </c>
      <c r="C1235" s="1">
        <v>331</v>
      </c>
      <c r="D1235" s="1">
        <v>94</v>
      </c>
      <c r="E1235" s="1">
        <v>5</v>
      </c>
      <c r="F1235" s="1">
        <v>7</v>
      </c>
      <c r="G1235" s="1">
        <v>18.71</v>
      </c>
      <c r="H1235" s="1" t="s">
        <v>106</v>
      </c>
      <c r="I1235" s="1" t="s">
        <v>39</v>
      </c>
      <c r="J1235" s="1">
        <v>72</v>
      </c>
      <c r="K1235" s="1">
        <v>3.54</v>
      </c>
      <c r="L1235" s="4">
        <v>113.76</v>
      </c>
      <c r="M1235" s="1">
        <v>0.14000000000000001</v>
      </c>
      <c r="N1235" s="1">
        <v>1</v>
      </c>
      <c r="O1235" s="1">
        <v>0.95</v>
      </c>
      <c r="P1235" s="1">
        <v>692</v>
      </c>
      <c r="Q1235" s="1">
        <v>1.1100000000000001</v>
      </c>
      <c r="R1235" s="1">
        <v>0.62</v>
      </c>
      <c r="S1235" s="2">
        <v>45343</v>
      </c>
      <c r="T1235" s="1">
        <v>291.08</v>
      </c>
      <c r="U1235" s="1">
        <v>0.69499999999999995</v>
      </c>
      <c r="V1235" s="6">
        <f t="shared" si="57"/>
        <v>37654.560000000005</v>
      </c>
      <c r="W1235" s="6" t="str">
        <f t="shared" si="58"/>
        <v>Sufficient</v>
      </c>
      <c r="X1235" s="8" t="str">
        <f t="shared" si="59"/>
        <v>High</v>
      </c>
    </row>
    <row r="1236" spans="1:24">
      <c r="A1236" s="7" t="s">
        <v>1366</v>
      </c>
      <c r="B1236" s="1" t="s">
        <v>41</v>
      </c>
      <c r="C1236" s="1">
        <v>253</v>
      </c>
      <c r="D1236" s="1">
        <v>11</v>
      </c>
      <c r="E1236" s="1">
        <v>6</v>
      </c>
      <c r="F1236" s="1">
        <v>2</v>
      </c>
      <c r="G1236" s="1">
        <v>20.45</v>
      </c>
      <c r="H1236" s="1" t="s">
        <v>227</v>
      </c>
      <c r="I1236" s="1" t="s">
        <v>31</v>
      </c>
      <c r="J1236" s="1">
        <v>124</v>
      </c>
      <c r="K1236" s="1">
        <v>0.66</v>
      </c>
      <c r="L1236" s="4">
        <v>161.78</v>
      </c>
      <c r="M1236" s="1">
        <v>0.18</v>
      </c>
      <c r="N1236" s="1">
        <v>7</v>
      </c>
      <c r="O1236" s="1">
        <v>0.95</v>
      </c>
      <c r="P1236" s="1">
        <v>709</v>
      </c>
      <c r="Q1236" s="1">
        <v>10.8</v>
      </c>
      <c r="R1236" s="1">
        <v>0.21</v>
      </c>
      <c r="S1236" s="2">
        <v>45418</v>
      </c>
      <c r="T1236" s="1">
        <v>265.83</v>
      </c>
      <c r="U1236" s="1">
        <v>0.61799999999999999</v>
      </c>
      <c r="V1236" s="6">
        <f t="shared" si="57"/>
        <v>40930.340000000004</v>
      </c>
      <c r="W1236" s="6" t="str">
        <f t="shared" si="58"/>
        <v>Sufficient</v>
      </c>
      <c r="X1236" s="8" t="str">
        <f t="shared" si="59"/>
        <v>High</v>
      </c>
    </row>
    <row r="1237" spans="1:24">
      <c r="A1237" s="7" t="s">
        <v>1367</v>
      </c>
      <c r="B1237" s="1" t="s">
        <v>41</v>
      </c>
      <c r="C1237" s="1">
        <v>42</v>
      </c>
      <c r="D1237" s="1">
        <v>27</v>
      </c>
      <c r="E1237" s="1">
        <v>7</v>
      </c>
      <c r="F1237" s="1">
        <v>6</v>
      </c>
      <c r="G1237" s="1">
        <v>9.5299999999999994</v>
      </c>
      <c r="H1237" s="1" t="s">
        <v>81</v>
      </c>
      <c r="I1237" s="1" t="s">
        <v>27</v>
      </c>
      <c r="J1237" s="1">
        <v>150</v>
      </c>
      <c r="K1237" s="1">
        <v>3.2</v>
      </c>
      <c r="L1237" s="4">
        <v>154.19999999999999</v>
      </c>
      <c r="M1237" s="1">
        <v>0.16</v>
      </c>
      <c r="N1237" s="1">
        <v>2</v>
      </c>
      <c r="O1237" s="1">
        <v>0.98</v>
      </c>
      <c r="P1237" s="1">
        <v>949</v>
      </c>
      <c r="Q1237" s="1">
        <v>5.07</v>
      </c>
      <c r="R1237" s="1">
        <v>0.54</v>
      </c>
      <c r="S1237" s="2">
        <v>45628</v>
      </c>
      <c r="T1237" s="1">
        <v>189.02</v>
      </c>
      <c r="U1237" s="1">
        <v>0.71599999999999997</v>
      </c>
      <c r="V1237" s="6">
        <f t="shared" si="57"/>
        <v>6476.4</v>
      </c>
      <c r="W1237" s="6" t="str">
        <f t="shared" si="58"/>
        <v>Sufficient</v>
      </c>
      <c r="X1237" s="8" t="str">
        <f t="shared" si="59"/>
        <v>LOW</v>
      </c>
    </row>
    <row r="1238" spans="1:24">
      <c r="A1238" s="7" t="s">
        <v>1368</v>
      </c>
      <c r="B1238" s="1" t="s">
        <v>29</v>
      </c>
      <c r="C1238" s="1">
        <v>172</v>
      </c>
      <c r="D1238" s="1">
        <v>56</v>
      </c>
      <c r="E1238" s="1">
        <v>12</v>
      </c>
      <c r="F1238" s="1">
        <v>6</v>
      </c>
      <c r="G1238" s="1">
        <v>19.53</v>
      </c>
      <c r="H1238" s="1" t="s">
        <v>139</v>
      </c>
      <c r="I1238" s="1" t="s">
        <v>31</v>
      </c>
      <c r="J1238" s="1">
        <v>169</v>
      </c>
      <c r="K1238" s="1">
        <v>3.41</v>
      </c>
      <c r="L1238" s="4">
        <v>78.010000000000005</v>
      </c>
      <c r="M1238" s="1">
        <v>1.96</v>
      </c>
      <c r="N1238" s="1">
        <v>4</v>
      </c>
      <c r="O1238" s="1">
        <v>0.72</v>
      </c>
      <c r="P1238" s="1">
        <v>643</v>
      </c>
      <c r="Q1238" s="1">
        <v>7.7</v>
      </c>
      <c r="R1238" s="1">
        <v>0.28000000000000003</v>
      </c>
      <c r="S1238" s="2">
        <v>45415</v>
      </c>
      <c r="T1238" s="1">
        <v>65.91</v>
      </c>
      <c r="U1238" s="1">
        <v>0.42699999999999999</v>
      </c>
      <c r="V1238" s="6">
        <f t="shared" si="57"/>
        <v>13417.720000000001</v>
      </c>
      <c r="W1238" s="6" t="str">
        <f t="shared" si="58"/>
        <v>Sufficient</v>
      </c>
      <c r="X1238" s="8" t="str">
        <f t="shared" si="59"/>
        <v>Medium</v>
      </c>
    </row>
    <row r="1239" spans="1:24">
      <c r="A1239" s="7" t="s">
        <v>1369</v>
      </c>
      <c r="B1239" s="1" t="s">
        <v>66</v>
      </c>
      <c r="C1239" s="1">
        <v>296</v>
      </c>
      <c r="D1239" s="1">
        <v>42</v>
      </c>
      <c r="E1239" s="1">
        <v>11</v>
      </c>
      <c r="F1239" s="1">
        <v>7</v>
      </c>
      <c r="G1239" s="1">
        <v>40.39</v>
      </c>
      <c r="H1239" s="1" t="s">
        <v>252</v>
      </c>
      <c r="I1239" s="1" t="s">
        <v>31</v>
      </c>
      <c r="J1239" s="1">
        <v>164</v>
      </c>
      <c r="K1239" s="1">
        <v>1.6</v>
      </c>
      <c r="L1239" s="4">
        <v>31.3</v>
      </c>
      <c r="M1239" s="1">
        <v>0.32</v>
      </c>
      <c r="N1239" s="1">
        <v>1</v>
      </c>
      <c r="O1239" s="1">
        <v>0.88</v>
      </c>
      <c r="P1239" s="1">
        <v>953</v>
      </c>
      <c r="Q1239" s="1">
        <v>8.98</v>
      </c>
      <c r="R1239" s="1">
        <v>0.28999999999999998</v>
      </c>
      <c r="S1239" s="2">
        <v>45428</v>
      </c>
      <c r="T1239" s="1">
        <v>264.81</v>
      </c>
      <c r="U1239" s="1">
        <v>0.70199999999999996</v>
      </c>
      <c r="V1239" s="6">
        <f t="shared" si="57"/>
        <v>9264.8000000000011</v>
      </c>
      <c r="W1239" s="6" t="str">
        <f t="shared" si="58"/>
        <v>Sufficient</v>
      </c>
      <c r="X1239" s="8" t="str">
        <f t="shared" si="59"/>
        <v>High</v>
      </c>
    </row>
    <row r="1240" spans="1:24">
      <c r="A1240" s="7" t="s">
        <v>1370</v>
      </c>
      <c r="B1240" s="1" t="s">
        <v>66</v>
      </c>
      <c r="C1240" s="1">
        <v>80</v>
      </c>
      <c r="D1240" s="1">
        <v>93</v>
      </c>
      <c r="E1240" s="1">
        <v>6</v>
      </c>
      <c r="F1240" s="1">
        <v>7</v>
      </c>
      <c r="G1240" s="1">
        <v>40.200000000000003</v>
      </c>
      <c r="H1240" s="1" t="s">
        <v>151</v>
      </c>
      <c r="I1240" s="1" t="s">
        <v>27</v>
      </c>
      <c r="J1240" s="1">
        <v>60</v>
      </c>
      <c r="K1240" s="1">
        <v>4.72</v>
      </c>
      <c r="L1240" s="4">
        <v>161.99</v>
      </c>
      <c r="M1240" s="1">
        <v>0.37</v>
      </c>
      <c r="N1240" s="1">
        <v>5</v>
      </c>
      <c r="O1240" s="1">
        <v>0.84</v>
      </c>
      <c r="P1240" s="1">
        <v>519</v>
      </c>
      <c r="Q1240" s="1">
        <v>8.86</v>
      </c>
      <c r="R1240" s="1">
        <v>0.4</v>
      </c>
      <c r="S1240" s="2">
        <v>45565</v>
      </c>
      <c r="T1240" s="1">
        <v>100.44</v>
      </c>
      <c r="U1240" s="1">
        <v>0.629</v>
      </c>
      <c r="V1240" s="6">
        <f t="shared" si="57"/>
        <v>12959.2</v>
      </c>
      <c r="W1240" s="6" t="str">
        <f t="shared" si="58"/>
        <v>Reorder Required</v>
      </c>
      <c r="X1240" s="8" t="str">
        <f t="shared" si="59"/>
        <v>LOW</v>
      </c>
    </row>
    <row r="1241" spans="1:24">
      <c r="A1241" s="7" t="s">
        <v>1371</v>
      </c>
      <c r="B1241" s="1" t="s">
        <v>66</v>
      </c>
      <c r="C1241" s="1">
        <v>338</v>
      </c>
      <c r="D1241" s="1">
        <v>44</v>
      </c>
      <c r="E1241" s="1">
        <v>5</v>
      </c>
      <c r="F1241" s="1">
        <v>4</v>
      </c>
      <c r="G1241" s="1">
        <v>46.85</v>
      </c>
      <c r="H1241" s="1" t="s">
        <v>178</v>
      </c>
      <c r="I1241" s="1" t="s">
        <v>31</v>
      </c>
      <c r="J1241" s="1">
        <v>171</v>
      </c>
      <c r="K1241" s="1">
        <v>0.71</v>
      </c>
      <c r="L1241" s="4">
        <v>60.36</v>
      </c>
      <c r="M1241" s="1">
        <v>1.02</v>
      </c>
      <c r="N1241" s="1">
        <v>9</v>
      </c>
      <c r="O1241" s="1">
        <v>0.85</v>
      </c>
      <c r="P1241" s="1">
        <v>410</v>
      </c>
      <c r="Q1241" s="1">
        <v>11.87</v>
      </c>
      <c r="R1241" s="1">
        <v>0.51</v>
      </c>
      <c r="S1241" s="2">
        <v>45320</v>
      </c>
      <c r="T1241" s="1">
        <v>168.26</v>
      </c>
      <c r="U1241" s="1">
        <v>0.54800000000000004</v>
      </c>
      <c r="V1241" s="6">
        <f t="shared" si="57"/>
        <v>20401.68</v>
      </c>
      <c r="W1241" s="6" t="str">
        <f t="shared" si="58"/>
        <v>Sufficient</v>
      </c>
      <c r="X1241" s="8" t="str">
        <f t="shared" si="59"/>
        <v>High</v>
      </c>
    </row>
    <row r="1242" spans="1:24">
      <c r="A1242" s="7" t="s">
        <v>1372</v>
      </c>
      <c r="B1242" s="1" t="s">
        <v>66</v>
      </c>
      <c r="C1242" s="1">
        <v>397</v>
      </c>
      <c r="D1242" s="1">
        <v>60</v>
      </c>
      <c r="E1242" s="1">
        <v>12</v>
      </c>
      <c r="F1242" s="1">
        <v>9</v>
      </c>
      <c r="G1242" s="1">
        <v>20.76</v>
      </c>
      <c r="H1242" s="1" t="s">
        <v>88</v>
      </c>
      <c r="I1242" s="1" t="s">
        <v>39</v>
      </c>
      <c r="J1242" s="1">
        <v>37</v>
      </c>
      <c r="K1242" s="1">
        <v>4.51</v>
      </c>
      <c r="L1242" s="4">
        <v>20.079999999999998</v>
      </c>
      <c r="M1242" s="1">
        <v>1.01</v>
      </c>
      <c r="N1242" s="1">
        <v>5</v>
      </c>
      <c r="O1242" s="1">
        <v>0.84</v>
      </c>
      <c r="P1242" s="1">
        <v>903</v>
      </c>
      <c r="Q1242" s="1">
        <v>12.53</v>
      </c>
      <c r="R1242" s="1">
        <v>0.59</v>
      </c>
      <c r="S1242" s="2">
        <v>45404</v>
      </c>
      <c r="T1242" s="1">
        <v>274.42</v>
      </c>
      <c r="U1242" s="1">
        <v>0.65200000000000002</v>
      </c>
      <c r="V1242" s="6">
        <f t="shared" si="57"/>
        <v>7971.7599999999993</v>
      </c>
      <c r="W1242" s="6" t="str">
        <f t="shared" si="58"/>
        <v>Sufficient</v>
      </c>
      <c r="X1242" s="8" t="str">
        <f t="shared" si="59"/>
        <v>High</v>
      </c>
    </row>
    <row r="1243" spans="1:24">
      <c r="A1243" s="7" t="s">
        <v>1373</v>
      </c>
      <c r="B1243" s="1" t="s">
        <v>66</v>
      </c>
      <c r="C1243" s="1">
        <v>71</v>
      </c>
      <c r="D1243" s="1">
        <v>27</v>
      </c>
      <c r="E1243" s="1">
        <v>3</v>
      </c>
      <c r="F1243" s="1">
        <v>5</v>
      </c>
      <c r="G1243" s="1">
        <v>35.729999999999997</v>
      </c>
      <c r="H1243" s="1" t="s">
        <v>459</v>
      </c>
      <c r="I1243" s="1" t="s">
        <v>39</v>
      </c>
      <c r="J1243" s="1">
        <v>82</v>
      </c>
      <c r="K1243" s="1">
        <v>2.2200000000000002</v>
      </c>
      <c r="L1243" s="4">
        <v>94.59</v>
      </c>
      <c r="M1243" s="1">
        <v>1.85</v>
      </c>
      <c r="N1243" s="1">
        <v>1</v>
      </c>
      <c r="O1243" s="1">
        <v>0.95</v>
      </c>
      <c r="P1243" s="1">
        <v>644</v>
      </c>
      <c r="Q1243" s="1">
        <v>2.0299999999999998</v>
      </c>
      <c r="R1243" s="1">
        <v>0.34</v>
      </c>
      <c r="S1243" s="2">
        <v>45586</v>
      </c>
      <c r="T1243" s="1">
        <v>107.06</v>
      </c>
      <c r="U1243" s="1">
        <v>0.48</v>
      </c>
      <c r="V1243" s="6">
        <f t="shared" si="57"/>
        <v>6715.89</v>
      </c>
      <c r="W1243" s="6" t="str">
        <f t="shared" si="58"/>
        <v>Sufficient</v>
      </c>
      <c r="X1243" s="8" t="str">
        <f t="shared" si="59"/>
        <v>LOW</v>
      </c>
    </row>
    <row r="1244" spans="1:24">
      <c r="A1244" s="7" t="s">
        <v>1374</v>
      </c>
      <c r="B1244" s="1" t="s">
        <v>29</v>
      </c>
      <c r="C1244" s="1">
        <v>363</v>
      </c>
      <c r="D1244" s="1">
        <v>97</v>
      </c>
      <c r="E1244" s="1">
        <v>12</v>
      </c>
      <c r="F1244" s="1">
        <v>5</v>
      </c>
      <c r="G1244" s="1">
        <v>25.85</v>
      </c>
      <c r="H1244" s="1" t="s">
        <v>350</v>
      </c>
      <c r="I1244" s="1" t="s">
        <v>27</v>
      </c>
      <c r="J1244" s="1">
        <v>81</v>
      </c>
      <c r="K1244" s="1">
        <v>3.71</v>
      </c>
      <c r="L1244" s="4">
        <v>150.5</v>
      </c>
      <c r="M1244" s="1">
        <v>0.24</v>
      </c>
      <c r="N1244" s="1">
        <v>3</v>
      </c>
      <c r="O1244" s="1">
        <v>0.8</v>
      </c>
      <c r="P1244" s="1">
        <v>973</v>
      </c>
      <c r="Q1244" s="1">
        <v>10.84</v>
      </c>
      <c r="R1244" s="1">
        <v>0.45</v>
      </c>
      <c r="S1244" s="2">
        <v>45490</v>
      </c>
      <c r="T1244" s="1">
        <v>274.87</v>
      </c>
      <c r="U1244" s="1">
        <v>0.71099999999999997</v>
      </c>
      <c r="V1244" s="6">
        <f t="shared" si="57"/>
        <v>54631.5</v>
      </c>
      <c r="W1244" s="6" t="str">
        <f t="shared" si="58"/>
        <v>Sufficient</v>
      </c>
      <c r="X1244" s="8" t="str">
        <f t="shared" si="59"/>
        <v>High</v>
      </c>
    </row>
    <row r="1245" spans="1:24">
      <c r="A1245" s="7" t="s">
        <v>1375</v>
      </c>
      <c r="B1245" s="1" t="s">
        <v>33</v>
      </c>
      <c r="C1245" s="1">
        <v>172</v>
      </c>
      <c r="D1245" s="1">
        <v>81</v>
      </c>
      <c r="E1245" s="1">
        <v>8</v>
      </c>
      <c r="F1245" s="1">
        <v>2</v>
      </c>
      <c r="G1245" s="1">
        <v>40.4</v>
      </c>
      <c r="H1245" s="1" t="s">
        <v>42</v>
      </c>
      <c r="I1245" s="1" t="s">
        <v>27</v>
      </c>
      <c r="J1245" s="1">
        <v>94</v>
      </c>
      <c r="K1245" s="1">
        <v>3.43</v>
      </c>
      <c r="L1245" s="4">
        <v>163.61000000000001</v>
      </c>
      <c r="M1245" s="1">
        <v>1.92</v>
      </c>
      <c r="N1245" s="1">
        <v>1</v>
      </c>
      <c r="O1245" s="1">
        <v>0.84</v>
      </c>
      <c r="P1245" s="1">
        <v>634</v>
      </c>
      <c r="Q1245" s="1">
        <v>6.59</v>
      </c>
      <c r="R1245" s="1">
        <v>0.42</v>
      </c>
      <c r="S1245" s="2">
        <v>45473</v>
      </c>
      <c r="T1245" s="1">
        <v>78.19</v>
      </c>
      <c r="U1245" s="1">
        <v>0.52800000000000002</v>
      </c>
      <c r="V1245" s="6">
        <f t="shared" si="57"/>
        <v>28140.920000000002</v>
      </c>
      <c r="W1245" s="6" t="str">
        <f t="shared" si="58"/>
        <v>Sufficient</v>
      </c>
      <c r="X1245" s="8" t="str">
        <f t="shared" si="59"/>
        <v>Medium</v>
      </c>
    </row>
    <row r="1246" spans="1:24">
      <c r="A1246" s="7" t="s">
        <v>1376</v>
      </c>
      <c r="B1246" s="1" t="s">
        <v>41</v>
      </c>
      <c r="C1246" s="1">
        <v>256</v>
      </c>
      <c r="D1246" s="1">
        <v>39</v>
      </c>
      <c r="E1246" s="1">
        <v>9</v>
      </c>
      <c r="F1246" s="1">
        <v>5</v>
      </c>
      <c r="G1246" s="1">
        <v>35.909999999999997</v>
      </c>
      <c r="H1246" s="1" t="s">
        <v>128</v>
      </c>
      <c r="I1246" s="1" t="s">
        <v>39</v>
      </c>
      <c r="J1246" s="1">
        <v>119</v>
      </c>
      <c r="K1246" s="1">
        <v>1.26</v>
      </c>
      <c r="L1246" s="4">
        <v>196.62</v>
      </c>
      <c r="M1246" s="1">
        <v>0.51</v>
      </c>
      <c r="N1246" s="1">
        <v>9</v>
      </c>
      <c r="O1246" s="1">
        <v>0.76</v>
      </c>
      <c r="P1246" s="1">
        <v>404</v>
      </c>
      <c r="Q1246" s="1">
        <v>12.46</v>
      </c>
      <c r="R1246" s="1">
        <v>0.49</v>
      </c>
      <c r="S1246" s="2">
        <v>45380</v>
      </c>
      <c r="T1246" s="1">
        <v>279.32</v>
      </c>
      <c r="U1246" s="1">
        <v>0.58499999999999996</v>
      </c>
      <c r="V1246" s="6">
        <f t="shared" si="57"/>
        <v>50334.720000000001</v>
      </c>
      <c r="W1246" s="6" t="str">
        <f t="shared" si="58"/>
        <v>Sufficient</v>
      </c>
      <c r="X1246" s="8" t="str">
        <f t="shared" si="59"/>
        <v>High</v>
      </c>
    </row>
    <row r="1247" spans="1:24">
      <c r="A1247" s="7" t="s">
        <v>1377</v>
      </c>
      <c r="B1247" s="1" t="s">
        <v>66</v>
      </c>
      <c r="C1247" s="1">
        <v>330</v>
      </c>
      <c r="D1247" s="1">
        <v>53</v>
      </c>
      <c r="E1247" s="1">
        <v>12</v>
      </c>
      <c r="F1247" s="1">
        <v>2</v>
      </c>
      <c r="G1247" s="1">
        <v>19.03</v>
      </c>
      <c r="H1247" s="1" t="s">
        <v>137</v>
      </c>
      <c r="I1247" s="1" t="s">
        <v>27</v>
      </c>
      <c r="J1247" s="1">
        <v>39</v>
      </c>
      <c r="K1247" s="1">
        <v>1.94</v>
      </c>
      <c r="L1247" s="4">
        <v>45.99</v>
      </c>
      <c r="M1247" s="1">
        <v>1.94</v>
      </c>
      <c r="N1247" s="1">
        <v>3</v>
      </c>
      <c r="O1247" s="1">
        <v>0.78</v>
      </c>
      <c r="P1247" s="1">
        <v>775</v>
      </c>
      <c r="Q1247" s="1">
        <v>9.52</v>
      </c>
      <c r="R1247" s="1">
        <v>0.28999999999999998</v>
      </c>
      <c r="S1247" s="2">
        <v>45382</v>
      </c>
      <c r="T1247" s="1">
        <v>114.01</v>
      </c>
      <c r="U1247" s="1">
        <v>0.48699999999999999</v>
      </c>
      <c r="V1247" s="6">
        <f t="shared" si="57"/>
        <v>15176.7</v>
      </c>
      <c r="W1247" s="6" t="str">
        <f t="shared" si="58"/>
        <v>Sufficient</v>
      </c>
      <c r="X1247" s="8" t="str">
        <f t="shared" si="59"/>
        <v>High</v>
      </c>
    </row>
    <row r="1248" spans="1:24">
      <c r="A1248" s="7" t="s">
        <v>1378</v>
      </c>
      <c r="B1248" s="1" t="s">
        <v>33</v>
      </c>
      <c r="C1248" s="1">
        <v>321</v>
      </c>
      <c r="D1248" s="1">
        <v>62</v>
      </c>
      <c r="E1248" s="1">
        <v>10</v>
      </c>
      <c r="F1248" s="1">
        <v>8</v>
      </c>
      <c r="G1248" s="1">
        <v>17.5</v>
      </c>
      <c r="H1248" s="1" t="s">
        <v>233</v>
      </c>
      <c r="I1248" s="1" t="s">
        <v>39</v>
      </c>
      <c r="J1248" s="1">
        <v>18</v>
      </c>
      <c r="K1248" s="1">
        <v>2.88</v>
      </c>
      <c r="L1248" s="4">
        <v>65.819999999999993</v>
      </c>
      <c r="M1248" s="1">
        <v>1.1299999999999999</v>
      </c>
      <c r="N1248" s="1">
        <v>6</v>
      </c>
      <c r="O1248" s="1">
        <v>0.9</v>
      </c>
      <c r="P1248" s="1">
        <v>75</v>
      </c>
      <c r="Q1248" s="1">
        <v>1.1399999999999999</v>
      </c>
      <c r="R1248" s="1">
        <v>0.52</v>
      </c>
      <c r="S1248" s="2">
        <v>45413</v>
      </c>
      <c r="T1248" s="1">
        <v>118.63</v>
      </c>
      <c r="U1248" s="1">
        <v>0.46600000000000003</v>
      </c>
      <c r="V1248" s="6">
        <f t="shared" si="57"/>
        <v>21128.219999999998</v>
      </c>
      <c r="W1248" s="6" t="str">
        <f t="shared" si="58"/>
        <v>Sufficient</v>
      </c>
      <c r="X1248" s="8" t="str">
        <f t="shared" si="59"/>
        <v>High</v>
      </c>
    </row>
    <row r="1249" spans="1:24">
      <c r="A1249" s="7" t="s">
        <v>1379</v>
      </c>
      <c r="B1249" s="1" t="s">
        <v>33</v>
      </c>
      <c r="C1249" s="1">
        <v>51</v>
      </c>
      <c r="D1249" s="1">
        <v>19</v>
      </c>
      <c r="E1249" s="1">
        <v>14</v>
      </c>
      <c r="F1249" s="1">
        <v>6</v>
      </c>
      <c r="G1249" s="1">
        <v>13.37</v>
      </c>
      <c r="H1249" s="1" t="s">
        <v>269</v>
      </c>
      <c r="I1249" s="1" t="s">
        <v>31</v>
      </c>
      <c r="J1249" s="1">
        <v>150</v>
      </c>
      <c r="K1249" s="1">
        <v>4.3099999999999996</v>
      </c>
      <c r="L1249" s="4">
        <v>125.8</v>
      </c>
      <c r="M1249" s="1">
        <v>1.34</v>
      </c>
      <c r="N1249" s="1">
        <v>4</v>
      </c>
      <c r="O1249" s="1">
        <v>0.74</v>
      </c>
      <c r="P1249" s="1">
        <v>339</v>
      </c>
      <c r="Q1249" s="1">
        <v>10.33</v>
      </c>
      <c r="R1249" s="1">
        <v>0.64</v>
      </c>
      <c r="S1249" s="2">
        <v>45595</v>
      </c>
      <c r="T1249" s="1">
        <v>170.37</v>
      </c>
      <c r="U1249" s="1">
        <v>0.6</v>
      </c>
      <c r="V1249" s="6">
        <f t="shared" si="57"/>
        <v>6415.8</v>
      </c>
      <c r="W1249" s="6" t="str">
        <f t="shared" si="58"/>
        <v>Sufficient</v>
      </c>
      <c r="X1249" s="8" t="str">
        <f t="shared" si="59"/>
        <v>LOW</v>
      </c>
    </row>
    <row r="1250" spans="1:24">
      <c r="A1250" s="7" t="s">
        <v>1380</v>
      </c>
      <c r="B1250" s="1" t="s">
        <v>41</v>
      </c>
      <c r="C1250" s="1">
        <v>74</v>
      </c>
      <c r="D1250" s="1">
        <v>96</v>
      </c>
      <c r="E1250" s="1">
        <v>3</v>
      </c>
      <c r="F1250" s="1">
        <v>4</v>
      </c>
      <c r="G1250" s="1">
        <v>29.25</v>
      </c>
      <c r="H1250" s="1" t="s">
        <v>149</v>
      </c>
      <c r="I1250" s="1" t="s">
        <v>27</v>
      </c>
      <c r="J1250" s="1">
        <v>91</v>
      </c>
      <c r="K1250" s="1">
        <v>4.8</v>
      </c>
      <c r="L1250" s="4">
        <v>164.16</v>
      </c>
      <c r="M1250" s="1">
        <v>0.7</v>
      </c>
      <c r="N1250" s="1">
        <v>9</v>
      </c>
      <c r="O1250" s="1">
        <v>0.76</v>
      </c>
      <c r="P1250" s="1">
        <v>120</v>
      </c>
      <c r="Q1250" s="1">
        <v>13.96</v>
      </c>
      <c r="R1250" s="1">
        <v>0.28000000000000003</v>
      </c>
      <c r="S1250" s="2">
        <v>45454</v>
      </c>
      <c r="T1250" s="1">
        <v>110.64</v>
      </c>
      <c r="U1250" s="1">
        <v>0.54400000000000004</v>
      </c>
      <c r="V1250" s="6">
        <f t="shared" si="57"/>
        <v>12147.84</v>
      </c>
      <c r="W1250" s="6" t="str">
        <f t="shared" si="58"/>
        <v>Reorder Required</v>
      </c>
      <c r="X1250" s="8" t="str">
        <f t="shared" si="59"/>
        <v>LOW</v>
      </c>
    </row>
    <row r="1251" spans="1:24">
      <c r="A1251" s="7" t="s">
        <v>1381</v>
      </c>
      <c r="B1251" s="1" t="s">
        <v>29</v>
      </c>
      <c r="C1251" s="1">
        <v>371</v>
      </c>
      <c r="D1251" s="1">
        <v>61</v>
      </c>
      <c r="E1251" s="1">
        <v>14</v>
      </c>
      <c r="F1251" s="1">
        <v>4</v>
      </c>
      <c r="G1251" s="1">
        <v>48.23</v>
      </c>
      <c r="H1251" s="1" t="s">
        <v>266</v>
      </c>
      <c r="I1251" s="1" t="s">
        <v>45</v>
      </c>
      <c r="J1251" s="1">
        <v>73</v>
      </c>
      <c r="K1251" s="1">
        <v>0.59</v>
      </c>
      <c r="L1251" s="4">
        <v>54.47</v>
      </c>
      <c r="M1251" s="1">
        <v>1.26</v>
      </c>
      <c r="N1251" s="1">
        <v>3</v>
      </c>
      <c r="O1251" s="1">
        <v>0.86</v>
      </c>
      <c r="P1251" s="1">
        <v>911</v>
      </c>
      <c r="Q1251" s="1">
        <v>2.16</v>
      </c>
      <c r="R1251" s="1">
        <v>0.62</v>
      </c>
      <c r="S1251" s="2">
        <v>45649</v>
      </c>
      <c r="T1251" s="1">
        <v>140.49</v>
      </c>
      <c r="U1251" s="1">
        <v>0.53900000000000003</v>
      </c>
      <c r="V1251" s="6">
        <f t="shared" si="57"/>
        <v>20208.37</v>
      </c>
      <c r="W1251" s="6" t="str">
        <f t="shared" si="58"/>
        <v>Sufficient</v>
      </c>
      <c r="X1251" s="8" t="str">
        <f t="shared" si="59"/>
        <v>High</v>
      </c>
    </row>
    <row r="1252" spans="1:24">
      <c r="A1252" s="7" t="s">
        <v>1382</v>
      </c>
      <c r="B1252" s="1" t="s">
        <v>25</v>
      </c>
      <c r="C1252" s="1">
        <v>408</v>
      </c>
      <c r="D1252" s="1">
        <v>58</v>
      </c>
      <c r="E1252" s="1">
        <v>6</v>
      </c>
      <c r="F1252" s="1">
        <v>9</v>
      </c>
      <c r="G1252" s="1">
        <v>10.8</v>
      </c>
      <c r="H1252" s="1" t="s">
        <v>252</v>
      </c>
      <c r="I1252" s="1" t="s">
        <v>39</v>
      </c>
      <c r="J1252" s="1">
        <v>47</v>
      </c>
      <c r="K1252" s="1">
        <v>2.09</v>
      </c>
      <c r="L1252" s="4">
        <v>87.88</v>
      </c>
      <c r="M1252" s="1">
        <v>1.45</v>
      </c>
      <c r="N1252" s="1">
        <v>9</v>
      </c>
      <c r="O1252" s="1">
        <v>0.71</v>
      </c>
      <c r="P1252" s="1">
        <v>738</v>
      </c>
      <c r="Q1252" s="1">
        <v>7.92</v>
      </c>
      <c r="R1252" s="1">
        <v>0.8</v>
      </c>
      <c r="S1252" s="2">
        <v>45475</v>
      </c>
      <c r="T1252" s="1">
        <v>155.38</v>
      </c>
      <c r="U1252" s="1">
        <v>0.48299999999999998</v>
      </c>
      <c r="V1252" s="6">
        <f t="shared" si="57"/>
        <v>35855.040000000001</v>
      </c>
      <c r="W1252" s="6" t="str">
        <f t="shared" si="58"/>
        <v>Sufficient</v>
      </c>
      <c r="X1252" s="8" t="str">
        <f t="shared" si="59"/>
        <v>High</v>
      </c>
    </row>
    <row r="1253" spans="1:24">
      <c r="A1253" s="7" t="s">
        <v>1383</v>
      </c>
      <c r="B1253" s="1" t="s">
        <v>25</v>
      </c>
      <c r="C1253" s="1">
        <v>55</v>
      </c>
      <c r="D1253" s="1">
        <v>20</v>
      </c>
      <c r="E1253" s="1">
        <v>13</v>
      </c>
      <c r="F1253" s="1">
        <v>9</v>
      </c>
      <c r="G1253" s="1">
        <v>5.67</v>
      </c>
      <c r="H1253" s="1" t="s">
        <v>238</v>
      </c>
      <c r="I1253" s="1" t="s">
        <v>39</v>
      </c>
      <c r="J1253" s="1">
        <v>128</v>
      </c>
      <c r="K1253" s="1">
        <v>3.51</v>
      </c>
      <c r="L1253" s="4">
        <v>87.6</v>
      </c>
      <c r="M1253" s="1">
        <v>0.12</v>
      </c>
      <c r="N1253" s="1">
        <v>9</v>
      </c>
      <c r="O1253" s="1">
        <v>0.74</v>
      </c>
      <c r="P1253" s="1">
        <v>138</v>
      </c>
      <c r="Q1253" s="1">
        <v>9.76</v>
      </c>
      <c r="R1253" s="1">
        <v>0.21</v>
      </c>
      <c r="S1253" s="2">
        <v>45594</v>
      </c>
      <c r="T1253" s="1">
        <v>152.4</v>
      </c>
      <c r="U1253" s="1">
        <v>0.52800000000000002</v>
      </c>
      <c r="V1253" s="6">
        <f t="shared" si="57"/>
        <v>4818</v>
      </c>
      <c r="W1253" s="6" t="str">
        <f t="shared" si="58"/>
        <v>Sufficient</v>
      </c>
      <c r="X1253" s="8" t="str">
        <f t="shared" si="59"/>
        <v>LOW</v>
      </c>
    </row>
    <row r="1254" spans="1:24">
      <c r="A1254" s="7" t="s">
        <v>1384</v>
      </c>
      <c r="B1254" s="1" t="s">
        <v>33</v>
      </c>
      <c r="C1254" s="1">
        <v>129</v>
      </c>
      <c r="D1254" s="1">
        <v>75</v>
      </c>
      <c r="E1254" s="1">
        <v>7</v>
      </c>
      <c r="F1254" s="1">
        <v>6</v>
      </c>
      <c r="G1254" s="1">
        <v>6.85</v>
      </c>
      <c r="H1254" s="1" t="s">
        <v>47</v>
      </c>
      <c r="I1254" s="1" t="s">
        <v>31</v>
      </c>
      <c r="J1254" s="1">
        <v>31</v>
      </c>
      <c r="K1254" s="1">
        <v>2.87</v>
      </c>
      <c r="L1254" s="4">
        <v>156.86000000000001</v>
      </c>
      <c r="M1254" s="1">
        <v>0.17</v>
      </c>
      <c r="N1254" s="1">
        <v>2</v>
      </c>
      <c r="O1254" s="1">
        <v>0.96</v>
      </c>
      <c r="P1254" s="1">
        <v>226</v>
      </c>
      <c r="Q1254" s="1">
        <v>3.74</v>
      </c>
      <c r="R1254" s="1">
        <v>0.24</v>
      </c>
      <c r="S1254" s="2">
        <v>45306</v>
      </c>
      <c r="T1254" s="1">
        <v>288.72000000000003</v>
      </c>
      <c r="U1254" s="1">
        <v>0.63300000000000001</v>
      </c>
      <c r="V1254" s="6">
        <f t="shared" si="57"/>
        <v>20234.940000000002</v>
      </c>
      <c r="W1254" s="6" t="str">
        <f t="shared" si="58"/>
        <v>Sufficient</v>
      </c>
      <c r="X1254" s="8" t="str">
        <f t="shared" si="59"/>
        <v>Medium</v>
      </c>
    </row>
    <row r="1255" spans="1:24">
      <c r="A1255" s="7" t="s">
        <v>1385</v>
      </c>
      <c r="B1255" s="1" t="s">
        <v>41</v>
      </c>
      <c r="C1255" s="1">
        <v>196</v>
      </c>
      <c r="D1255" s="1">
        <v>67</v>
      </c>
      <c r="E1255" s="1">
        <v>4</v>
      </c>
      <c r="F1255" s="1">
        <v>7</v>
      </c>
      <c r="G1255" s="1">
        <v>39.369999999999997</v>
      </c>
      <c r="H1255" s="1" t="s">
        <v>153</v>
      </c>
      <c r="I1255" s="1" t="s">
        <v>45</v>
      </c>
      <c r="J1255" s="1">
        <v>168</v>
      </c>
      <c r="K1255" s="1">
        <v>4.74</v>
      </c>
      <c r="L1255" s="4">
        <v>55.78</v>
      </c>
      <c r="M1255" s="1">
        <v>1.97</v>
      </c>
      <c r="N1255" s="1">
        <v>5</v>
      </c>
      <c r="O1255" s="1">
        <v>0.95</v>
      </c>
      <c r="P1255" s="1">
        <v>76</v>
      </c>
      <c r="Q1255" s="1">
        <v>10.11</v>
      </c>
      <c r="R1255" s="1">
        <v>0.56999999999999995</v>
      </c>
      <c r="S1255" s="2">
        <v>45652</v>
      </c>
      <c r="T1255" s="1">
        <v>91.72</v>
      </c>
      <c r="U1255" s="1">
        <v>0.54200000000000004</v>
      </c>
      <c r="V1255" s="6">
        <f t="shared" si="57"/>
        <v>10932.880000000001</v>
      </c>
      <c r="W1255" s="6" t="str">
        <f t="shared" si="58"/>
        <v>Sufficient</v>
      </c>
      <c r="X1255" s="8" t="str">
        <f t="shared" si="59"/>
        <v>Medium</v>
      </c>
    </row>
    <row r="1256" spans="1:24">
      <c r="A1256" s="7" t="s">
        <v>1386</v>
      </c>
      <c r="B1256" s="1" t="s">
        <v>25</v>
      </c>
      <c r="C1256" s="1">
        <v>381</v>
      </c>
      <c r="D1256" s="1">
        <v>99</v>
      </c>
      <c r="E1256" s="1">
        <v>3</v>
      </c>
      <c r="F1256" s="1">
        <v>9</v>
      </c>
      <c r="G1256" s="1">
        <v>18.16</v>
      </c>
      <c r="H1256" s="1" t="s">
        <v>38</v>
      </c>
      <c r="I1256" s="1" t="s">
        <v>45</v>
      </c>
      <c r="J1256" s="1">
        <v>108</v>
      </c>
      <c r="K1256" s="1">
        <v>0.57999999999999996</v>
      </c>
      <c r="L1256" s="4">
        <v>194.06</v>
      </c>
      <c r="M1256" s="1">
        <v>0.97</v>
      </c>
      <c r="N1256" s="1">
        <v>1</v>
      </c>
      <c r="O1256" s="1">
        <v>0.8</v>
      </c>
      <c r="P1256" s="1">
        <v>338</v>
      </c>
      <c r="Q1256" s="1">
        <v>1.7</v>
      </c>
      <c r="R1256" s="1">
        <v>0.9</v>
      </c>
      <c r="S1256" s="2">
        <v>45650</v>
      </c>
      <c r="T1256" s="1">
        <v>92.53</v>
      </c>
      <c r="U1256" s="1">
        <v>0.64600000000000002</v>
      </c>
      <c r="V1256" s="6">
        <f t="shared" si="57"/>
        <v>73936.86</v>
      </c>
      <c r="W1256" s="6" t="str">
        <f t="shared" si="58"/>
        <v>Sufficient</v>
      </c>
      <c r="X1256" s="8" t="str">
        <f t="shared" si="59"/>
        <v>High</v>
      </c>
    </row>
    <row r="1257" spans="1:24">
      <c r="A1257" s="7" t="s">
        <v>1387</v>
      </c>
      <c r="B1257" s="1" t="s">
        <v>33</v>
      </c>
      <c r="C1257" s="1">
        <v>333</v>
      </c>
      <c r="D1257" s="1">
        <v>45</v>
      </c>
      <c r="E1257" s="1">
        <v>10</v>
      </c>
      <c r="F1257" s="1">
        <v>9</v>
      </c>
      <c r="G1257" s="1">
        <v>11.99</v>
      </c>
      <c r="H1257" s="1" t="s">
        <v>159</v>
      </c>
      <c r="I1257" s="1" t="s">
        <v>45</v>
      </c>
      <c r="J1257" s="1">
        <v>179</v>
      </c>
      <c r="K1257" s="1">
        <v>2.4700000000000002</v>
      </c>
      <c r="L1257" s="4">
        <v>106.99</v>
      </c>
      <c r="M1257" s="1">
        <v>1.88</v>
      </c>
      <c r="N1257" s="1">
        <v>3</v>
      </c>
      <c r="O1257" s="1">
        <v>0.8</v>
      </c>
      <c r="P1257" s="1">
        <v>889</v>
      </c>
      <c r="Q1257" s="1">
        <v>13.68</v>
      </c>
      <c r="R1257" s="1">
        <v>1</v>
      </c>
      <c r="S1257" s="2">
        <v>45472</v>
      </c>
      <c r="T1257" s="1">
        <v>253</v>
      </c>
      <c r="U1257" s="1">
        <v>0.69399999999999995</v>
      </c>
      <c r="V1257" s="6">
        <f t="shared" si="57"/>
        <v>35627.67</v>
      </c>
      <c r="W1257" s="6" t="str">
        <f t="shared" si="58"/>
        <v>Sufficient</v>
      </c>
      <c r="X1257" s="8" t="str">
        <f t="shared" si="59"/>
        <v>High</v>
      </c>
    </row>
    <row r="1258" spans="1:24">
      <c r="A1258" s="7" t="s">
        <v>1388</v>
      </c>
      <c r="B1258" s="1" t="s">
        <v>29</v>
      </c>
      <c r="C1258" s="1">
        <v>314</v>
      </c>
      <c r="D1258" s="1">
        <v>42</v>
      </c>
      <c r="E1258" s="1">
        <v>8</v>
      </c>
      <c r="F1258" s="1">
        <v>3</v>
      </c>
      <c r="G1258" s="1">
        <v>18.29</v>
      </c>
      <c r="H1258" s="1" t="s">
        <v>88</v>
      </c>
      <c r="I1258" s="1" t="s">
        <v>39</v>
      </c>
      <c r="J1258" s="1">
        <v>115</v>
      </c>
      <c r="K1258" s="1">
        <v>3.51</v>
      </c>
      <c r="L1258" s="4">
        <v>63.59</v>
      </c>
      <c r="M1258" s="1">
        <v>1.49</v>
      </c>
      <c r="N1258" s="1">
        <v>7</v>
      </c>
      <c r="O1258" s="1">
        <v>0.98</v>
      </c>
      <c r="P1258" s="1">
        <v>866</v>
      </c>
      <c r="Q1258" s="1">
        <v>11.68</v>
      </c>
      <c r="R1258" s="1">
        <v>0.27</v>
      </c>
      <c r="S1258" s="2">
        <v>45582</v>
      </c>
      <c r="T1258" s="1">
        <v>123.68</v>
      </c>
      <c r="U1258" s="1">
        <v>0.51700000000000002</v>
      </c>
      <c r="V1258" s="6">
        <f t="shared" si="57"/>
        <v>19967.260000000002</v>
      </c>
      <c r="W1258" s="6" t="str">
        <f t="shared" si="58"/>
        <v>Sufficient</v>
      </c>
      <c r="X1258" s="8" t="str">
        <f t="shared" si="59"/>
        <v>High</v>
      </c>
    </row>
    <row r="1259" spans="1:24">
      <c r="A1259" s="7" t="s">
        <v>1389</v>
      </c>
      <c r="B1259" s="1" t="s">
        <v>25</v>
      </c>
      <c r="C1259" s="1">
        <v>355</v>
      </c>
      <c r="D1259" s="1">
        <v>56</v>
      </c>
      <c r="E1259" s="1">
        <v>7</v>
      </c>
      <c r="F1259" s="1">
        <v>3</v>
      </c>
      <c r="G1259" s="1">
        <v>32.619999999999997</v>
      </c>
      <c r="H1259" s="1" t="s">
        <v>103</v>
      </c>
      <c r="I1259" s="1" t="s">
        <v>39</v>
      </c>
      <c r="J1259" s="1">
        <v>73</v>
      </c>
      <c r="K1259" s="1">
        <v>1.48</v>
      </c>
      <c r="L1259" s="4">
        <v>64.010000000000005</v>
      </c>
      <c r="M1259" s="1">
        <v>0.81</v>
      </c>
      <c r="N1259" s="1">
        <v>1</v>
      </c>
      <c r="O1259" s="1">
        <v>0.71</v>
      </c>
      <c r="P1259" s="1">
        <v>624</v>
      </c>
      <c r="Q1259" s="1">
        <v>14.17</v>
      </c>
      <c r="R1259" s="1">
        <v>0.21</v>
      </c>
      <c r="S1259" s="2">
        <v>45580</v>
      </c>
      <c r="T1259" s="1">
        <v>31.23</v>
      </c>
      <c r="U1259" s="1">
        <v>0.67200000000000004</v>
      </c>
      <c r="V1259" s="6">
        <f t="shared" si="57"/>
        <v>22723.550000000003</v>
      </c>
      <c r="W1259" s="6" t="str">
        <f t="shared" si="58"/>
        <v>Sufficient</v>
      </c>
      <c r="X1259" s="8" t="str">
        <f t="shared" si="59"/>
        <v>High</v>
      </c>
    </row>
    <row r="1260" spans="1:24">
      <c r="A1260" s="7" t="s">
        <v>1390</v>
      </c>
      <c r="B1260" s="1" t="s">
        <v>33</v>
      </c>
      <c r="C1260" s="1">
        <v>116</v>
      </c>
      <c r="D1260" s="1">
        <v>22</v>
      </c>
      <c r="E1260" s="1">
        <v>11</v>
      </c>
      <c r="F1260" s="1">
        <v>5</v>
      </c>
      <c r="G1260" s="1">
        <v>27.79</v>
      </c>
      <c r="H1260" s="1" t="s">
        <v>72</v>
      </c>
      <c r="I1260" s="1" t="s">
        <v>45</v>
      </c>
      <c r="J1260" s="1">
        <v>18</v>
      </c>
      <c r="K1260" s="1">
        <v>3.77</v>
      </c>
      <c r="L1260" s="4">
        <v>13.48</v>
      </c>
      <c r="M1260" s="1">
        <v>0.39</v>
      </c>
      <c r="N1260" s="1">
        <v>8</v>
      </c>
      <c r="O1260" s="1">
        <v>0.87</v>
      </c>
      <c r="P1260" s="1">
        <v>977</v>
      </c>
      <c r="Q1260" s="1">
        <v>6.86</v>
      </c>
      <c r="R1260" s="1">
        <v>0.38</v>
      </c>
      <c r="S1260" s="2">
        <v>45364</v>
      </c>
      <c r="T1260" s="1">
        <v>149.56</v>
      </c>
      <c r="U1260" s="1">
        <v>0.54200000000000004</v>
      </c>
      <c r="V1260" s="6">
        <f t="shared" si="57"/>
        <v>1563.68</v>
      </c>
      <c r="W1260" s="6" t="str">
        <f t="shared" si="58"/>
        <v>Sufficient</v>
      </c>
      <c r="X1260" s="8" t="str">
        <f t="shared" si="59"/>
        <v>Medium</v>
      </c>
    </row>
    <row r="1261" spans="1:24">
      <c r="A1261" s="7" t="s">
        <v>1391</v>
      </c>
      <c r="B1261" s="1" t="s">
        <v>33</v>
      </c>
      <c r="C1261" s="1">
        <v>388</v>
      </c>
      <c r="D1261" s="1">
        <v>49</v>
      </c>
      <c r="E1261" s="1">
        <v>13</v>
      </c>
      <c r="F1261" s="1">
        <v>7</v>
      </c>
      <c r="G1261" s="1">
        <v>37.44</v>
      </c>
      <c r="H1261" s="1" t="s">
        <v>178</v>
      </c>
      <c r="I1261" s="1" t="s">
        <v>27</v>
      </c>
      <c r="J1261" s="1">
        <v>135</v>
      </c>
      <c r="K1261" s="1">
        <v>0.87</v>
      </c>
      <c r="L1261" s="4">
        <v>141.56</v>
      </c>
      <c r="M1261" s="1">
        <v>1.96</v>
      </c>
      <c r="N1261" s="1">
        <v>1</v>
      </c>
      <c r="O1261" s="1">
        <v>0.88</v>
      </c>
      <c r="P1261" s="1">
        <v>580</v>
      </c>
      <c r="Q1261" s="1">
        <v>1.48</v>
      </c>
      <c r="R1261" s="1">
        <v>0.56999999999999995</v>
      </c>
      <c r="S1261" s="2">
        <v>45580</v>
      </c>
      <c r="T1261" s="1">
        <v>169.57</v>
      </c>
      <c r="U1261" s="1">
        <v>0.49399999999999999</v>
      </c>
      <c r="V1261" s="6">
        <f t="shared" si="57"/>
        <v>54925.279999999999</v>
      </c>
      <c r="W1261" s="6" t="str">
        <f t="shared" si="58"/>
        <v>Sufficient</v>
      </c>
      <c r="X1261" s="8" t="str">
        <f t="shared" si="59"/>
        <v>High</v>
      </c>
    </row>
    <row r="1262" spans="1:24">
      <c r="A1262" s="7" t="s">
        <v>1392</v>
      </c>
      <c r="B1262" s="1" t="s">
        <v>66</v>
      </c>
      <c r="C1262" s="1">
        <v>232</v>
      </c>
      <c r="D1262" s="1">
        <v>98</v>
      </c>
      <c r="E1262" s="1">
        <v>13</v>
      </c>
      <c r="F1262" s="1">
        <v>2</v>
      </c>
      <c r="G1262" s="1">
        <v>17.61</v>
      </c>
      <c r="H1262" s="1" t="s">
        <v>95</v>
      </c>
      <c r="I1262" s="1" t="s">
        <v>45</v>
      </c>
      <c r="J1262" s="1">
        <v>104</v>
      </c>
      <c r="K1262" s="1">
        <v>2.5299999999999998</v>
      </c>
      <c r="L1262" s="4">
        <v>157.43</v>
      </c>
      <c r="M1262" s="1">
        <v>1.21</v>
      </c>
      <c r="N1262" s="1">
        <v>7</v>
      </c>
      <c r="O1262" s="1">
        <v>0.94</v>
      </c>
      <c r="P1262" s="1">
        <v>533</v>
      </c>
      <c r="Q1262" s="1">
        <v>5.78</v>
      </c>
      <c r="R1262" s="1">
        <v>0.66</v>
      </c>
      <c r="S1262" s="2">
        <v>45388</v>
      </c>
      <c r="T1262" s="1">
        <v>189.13</v>
      </c>
      <c r="U1262" s="1">
        <v>0.53600000000000003</v>
      </c>
      <c r="V1262" s="6">
        <f t="shared" si="57"/>
        <v>36523.760000000002</v>
      </c>
      <c r="W1262" s="6" t="str">
        <f t="shared" si="58"/>
        <v>Sufficient</v>
      </c>
      <c r="X1262" s="8" t="str">
        <f t="shared" si="59"/>
        <v>Medium</v>
      </c>
    </row>
    <row r="1263" spans="1:24">
      <c r="A1263" s="7" t="s">
        <v>1393</v>
      </c>
      <c r="B1263" s="1" t="s">
        <v>29</v>
      </c>
      <c r="C1263" s="1">
        <v>336</v>
      </c>
      <c r="D1263" s="1">
        <v>77</v>
      </c>
      <c r="E1263" s="1">
        <v>4</v>
      </c>
      <c r="F1263" s="1">
        <v>8</v>
      </c>
      <c r="G1263" s="1">
        <v>23.15</v>
      </c>
      <c r="H1263" s="1" t="s">
        <v>470</v>
      </c>
      <c r="I1263" s="1" t="s">
        <v>31</v>
      </c>
      <c r="J1263" s="1">
        <v>177</v>
      </c>
      <c r="K1263" s="1">
        <v>3.54</v>
      </c>
      <c r="L1263" s="4">
        <v>16.16</v>
      </c>
      <c r="M1263" s="1">
        <v>0.47</v>
      </c>
      <c r="N1263" s="1">
        <v>7</v>
      </c>
      <c r="O1263" s="1">
        <v>0.99</v>
      </c>
      <c r="P1263" s="1">
        <v>483</v>
      </c>
      <c r="Q1263" s="1">
        <v>8.2200000000000006</v>
      </c>
      <c r="R1263" s="1">
        <v>0.98</v>
      </c>
      <c r="S1263" s="2">
        <v>45544</v>
      </c>
      <c r="T1263" s="1">
        <v>78.180000000000007</v>
      </c>
      <c r="U1263" s="1">
        <v>0.71699999999999997</v>
      </c>
      <c r="V1263" s="6">
        <f t="shared" si="57"/>
        <v>5429.76</v>
      </c>
      <c r="W1263" s="6" t="str">
        <f t="shared" si="58"/>
        <v>Sufficient</v>
      </c>
      <c r="X1263" s="8" t="str">
        <f t="shared" si="59"/>
        <v>High</v>
      </c>
    </row>
    <row r="1264" spans="1:24">
      <c r="A1264" s="7" t="s">
        <v>1394</v>
      </c>
      <c r="B1264" s="1" t="s">
        <v>66</v>
      </c>
      <c r="C1264" s="1">
        <v>156</v>
      </c>
      <c r="D1264" s="1">
        <v>51</v>
      </c>
      <c r="E1264" s="1">
        <v>12</v>
      </c>
      <c r="F1264" s="1">
        <v>4</v>
      </c>
      <c r="G1264" s="1">
        <v>6</v>
      </c>
      <c r="H1264" s="1" t="s">
        <v>282</v>
      </c>
      <c r="I1264" s="1" t="s">
        <v>45</v>
      </c>
      <c r="J1264" s="1">
        <v>97</v>
      </c>
      <c r="K1264" s="1">
        <v>1.7</v>
      </c>
      <c r="L1264" s="4">
        <v>121.33</v>
      </c>
      <c r="M1264" s="1">
        <v>1.4</v>
      </c>
      <c r="N1264" s="1">
        <v>6</v>
      </c>
      <c r="O1264" s="1">
        <v>0.81</v>
      </c>
      <c r="P1264" s="1">
        <v>542</v>
      </c>
      <c r="Q1264" s="1">
        <v>14.1</v>
      </c>
      <c r="R1264" s="1">
        <v>0.91</v>
      </c>
      <c r="S1264" s="2">
        <v>45569</v>
      </c>
      <c r="T1264" s="1">
        <v>292.25</v>
      </c>
      <c r="U1264" s="1">
        <v>0.67200000000000004</v>
      </c>
      <c r="V1264" s="6">
        <f t="shared" si="57"/>
        <v>18927.48</v>
      </c>
      <c r="W1264" s="6" t="str">
        <f t="shared" si="58"/>
        <v>Sufficient</v>
      </c>
      <c r="X1264" s="8" t="str">
        <f t="shared" si="59"/>
        <v>Medium</v>
      </c>
    </row>
    <row r="1265" spans="1:24">
      <c r="A1265" s="7" t="s">
        <v>1395</v>
      </c>
      <c r="B1265" s="1" t="s">
        <v>41</v>
      </c>
      <c r="C1265" s="1">
        <v>25</v>
      </c>
      <c r="D1265" s="1">
        <v>28</v>
      </c>
      <c r="E1265" s="1">
        <v>14</v>
      </c>
      <c r="F1265" s="1">
        <v>5</v>
      </c>
      <c r="G1265" s="1">
        <v>4.58</v>
      </c>
      <c r="H1265" s="1" t="s">
        <v>309</v>
      </c>
      <c r="I1265" s="1" t="s">
        <v>45</v>
      </c>
      <c r="J1265" s="1">
        <v>178</v>
      </c>
      <c r="K1265" s="1">
        <v>0.83</v>
      </c>
      <c r="L1265" s="4">
        <v>158.52000000000001</v>
      </c>
      <c r="M1265" s="1">
        <v>0.27</v>
      </c>
      <c r="N1265" s="1">
        <v>9</v>
      </c>
      <c r="O1265" s="1">
        <v>0.83</v>
      </c>
      <c r="P1265" s="1">
        <v>327</v>
      </c>
      <c r="Q1265" s="1">
        <v>13.36</v>
      </c>
      <c r="R1265" s="1">
        <v>0.65</v>
      </c>
      <c r="S1265" s="2">
        <v>45450</v>
      </c>
      <c r="T1265" s="1">
        <v>223.74</v>
      </c>
      <c r="U1265" s="1">
        <v>0.66700000000000004</v>
      </c>
      <c r="V1265" s="6">
        <f t="shared" si="57"/>
        <v>3963.0000000000005</v>
      </c>
      <c r="W1265" s="6" t="str">
        <f t="shared" si="58"/>
        <v>Reorder Required</v>
      </c>
      <c r="X1265" s="8" t="str">
        <f t="shared" si="59"/>
        <v>LOW</v>
      </c>
    </row>
    <row r="1266" spans="1:24">
      <c r="A1266" s="7" t="s">
        <v>1396</v>
      </c>
      <c r="B1266" s="1" t="s">
        <v>66</v>
      </c>
      <c r="C1266" s="1">
        <v>128</v>
      </c>
      <c r="D1266" s="1">
        <v>91</v>
      </c>
      <c r="E1266" s="1">
        <v>10</v>
      </c>
      <c r="F1266" s="1">
        <v>9</v>
      </c>
      <c r="G1266" s="1">
        <v>23.65</v>
      </c>
      <c r="H1266" s="1" t="s">
        <v>59</v>
      </c>
      <c r="I1266" s="1" t="s">
        <v>45</v>
      </c>
      <c r="J1266" s="1">
        <v>122</v>
      </c>
      <c r="K1266" s="1">
        <v>4.8099999999999996</v>
      </c>
      <c r="L1266" s="4">
        <v>81.489999999999995</v>
      </c>
      <c r="M1266" s="1">
        <v>1.75</v>
      </c>
      <c r="N1266" s="1">
        <v>5</v>
      </c>
      <c r="O1266" s="1">
        <v>0.9</v>
      </c>
      <c r="P1266" s="1">
        <v>395</v>
      </c>
      <c r="Q1266" s="1">
        <v>9.32</v>
      </c>
      <c r="R1266" s="1">
        <v>0.49</v>
      </c>
      <c r="S1266" s="2">
        <v>45381</v>
      </c>
      <c r="T1266" s="1">
        <v>218.84</v>
      </c>
      <c r="U1266" s="1">
        <v>0.52700000000000002</v>
      </c>
      <c r="V1266" s="6">
        <f t="shared" si="57"/>
        <v>10430.719999999999</v>
      </c>
      <c r="W1266" s="6" t="str">
        <f t="shared" si="58"/>
        <v>Sufficient</v>
      </c>
      <c r="X1266" s="8" t="str">
        <f t="shared" si="59"/>
        <v>Medium</v>
      </c>
    </row>
    <row r="1267" spans="1:24">
      <c r="A1267" s="7" t="s">
        <v>1397</v>
      </c>
      <c r="B1267" s="1" t="s">
        <v>66</v>
      </c>
      <c r="C1267" s="1">
        <v>54</v>
      </c>
      <c r="D1267" s="1">
        <v>28</v>
      </c>
      <c r="E1267" s="1">
        <v>13</v>
      </c>
      <c r="F1267" s="1">
        <v>6</v>
      </c>
      <c r="G1267" s="1">
        <v>15.78</v>
      </c>
      <c r="H1267" s="1" t="s">
        <v>244</v>
      </c>
      <c r="I1267" s="1" t="s">
        <v>27</v>
      </c>
      <c r="J1267" s="1">
        <v>81</v>
      </c>
      <c r="K1267" s="1">
        <v>4.6100000000000003</v>
      </c>
      <c r="L1267" s="4">
        <v>92.22</v>
      </c>
      <c r="M1267" s="1">
        <v>0.27</v>
      </c>
      <c r="N1267" s="1">
        <v>0</v>
      </c>
      <c r="O1267" s="1">
        <v>0.99</v>
      </c>
      <c r="P1267" s="1">
        <v>628</v>
      </c>
      <c r="Q1267" s="1">
        <v>11.22</v>
      </c>
      <c r="R1267" s="1">
        <v>0.46</v>
      </c>
      <c r="S1267" s="2">
        <v>45543</v>
      </c>
      <c r="T1267" s="1">
        <v>263.13</v>
      </c>
      <c r="U1267" s="1">
        <v>0.81299999999999994</v>
      </c>
      <c r="V1267" s="6">
        <f t="shared" si="57"/>
        <v>4979.88</v>
      </c>
      <c r="W1267" s="6" t="str">
        <f t="shared" si="58"/>
        <v>Sufficient</v>
      </c>
      <c r="X1267" s="8" t="str">
        <f t="shared" si="59"/>
        <v>LOW</v>
      </c>
    </row>
    <row r="1268" spans="1:24">
      <c r="A1268" s="7" t="s">
        <v>1398</v>
      </c>
      <c r="B1268" s="1" t="s">
        <v>25</v>
      </c>
      <c r="C1268" s="1">
        <v>58</v>
      </c>
      <c r="D1268" s="1">
        <v>67</v>
      </c>
      <c r="E1268" s="1">
        <v>12</v>
      </c>
      <c r="F1268" s="1">
        <v>7</v>
      </c>
      <c r="G1268" s="1">
        <v>31.03</v>
      </c>
      <c r="H1268" s="1" t="s">
        <v>156</v>
      </c>
      <c r="I1268" s="1" t="s">
        <v>45</v>
      </c>
      <c r="J1268" s="1">
        <v>59</v>
      </c>
      <c r="K1268" s="1">
        <v>4.67</v>
      </c>
      <c r="L1268" s="4">
        <v>78.709999999999994</v>
      </c>
      <c r="M1268" s="1">
        <v>0.55000000000000004</v>
      </c>
      <c r="N1268" s="1">
        <v>1</v>
      </c>
      <c r="O1268" s="1">
        <v>0.97</v>
      </c>
      <c r="P1268" s="1">
        <v>287</v>
      </c>
      <c r="Q1268" s="1">
        <v>14.35</v>
      </c>
      <c r="R1268" s="1">
        <v>0.66</v>
      </c>
      <c r="S1268" s="2">
        <v>45311</v>
      </c>
      <c r="T1268" s="1">
        <v>17.579999999999998</v>
      </c>
      <c r="U1268" s="1">
        <v>0.84199999999999997</v>
      </c>
      <c r="V1268" s="6">
        <f t="shared" si="57"/>
        <v>4565.1799999999994</v>
      </c>
      <c r="W1268" s="6" t="str">
        <f t="shared" si="58"/>
        <v>Reorder Required</v>
      </c>
      <c r="X1268" s="8" t="str">
        <f t="shared" si="59"/>
        <v>LOW</v>
      </c>
    </row>
    <row r="1269" spans="1:24">
      <c r="A1269" s="7" t="s">
        <v>1399</v>
      </c>
      <c r="B1269" s="1" t="s">
        <v>33</v>
      </c>
      <c r="C1269" s="1">
        <v>169</v>
      </c>
      <c r="D1269" s="1">
        <v>32</v>
      </c>
      <c r="E1269" s="1">
        <v>11</v>
      </c>
      <c r="F1269" s="1">
        <v>9</v>
      </c>
      <c r="G1269" s="1">
        <v>3.11</v>
      </c>
      <c r="H1269" s="1" t="s">
        <v>325</v>
      </c>
      <c r="I1269" s="1" t="s">
        <v>45</v>
      </c>
      <c r="J1269" s="1">
        <v>157</v>
      </c>
      <c r="K1269" s="1">
        <v>4.9000000000000004</v>
      </c>
      <c r="L1269" s="4">
        <v>69.97</v>
      </c>
      <c r="M1269" s="1">
        <v>0.27</v>
      </c>
      <c r="N1269" s="1">
        <v>6</v>
      </c>
      <c r="O1269" s="1">
        <v>0.9</v>
      </c>
      <c r="P1269" s="1">
        <v>186</v>
      </c>
      <c r="Q1269" s="1">
        <v>12.91</v>
      </c>
      <c r="R1269" s="1">
        <v>0.78</v>
      </c>
      <c r="S1269" s="2">
        <v>45338</v>
      </c>
      <c r="T1269" s="1">
        <v>187.81</v>
      </c>
      <c r="U1269" s="1">
        <v>0.76100000000000001</v>
      </c>
      <c r="V1269" s="6">
        <f t="shared" si="57"/>
        <v>11824.93</v>
      </c>
      <c r="W1269" s="6" t="str">
        <f t="shared" si="58"/>
        <v>Sufficient</v>
      </c>
      <c r="X1269" s="8" t="str">
        <f t="shared" si="59"/>
        <v>Medium</v>
      </c>
    </row>
    <row r="1270" spans="1:24">
      <c r="A1270" s="7" t="s">
        <v>1400</v>
      </c>
      <c r="B1270" s="1" t="s">
        <v>29</v>
      </c>
      <c r="C1270" s="1">
        <v>444</v>
      </c>
      <c r="D1270" s="1">
        <v>63</v>
      </c>
      <c r="E1270" s="1">
        <v>3</v>
      </c>
      <c r="F1270" s="1">
        <v>4</v>
      </c>
      <c r="G1270" s="1">
        <v>6.97</v>
      </c>
      <c r="H1270" s="1" t="s">
        <v>106</v>
      </c>
      <c r="I1270" s="1" t="s">
        <v>39</v>
      </c>
      <c r="J1270" s="1">
        <v>90</v>
      </c>
      <c r="K1270" s="1">
        <v>1.33</v>
      </c>
      <c r="L1270" s="4">
        <v>103.32</v>
      </c>
      <c r="M1270" s="1">
        <v>0.3</v>
      </c>
      <c r="N1270" s="1">
        <v>3</v>
      </c>
      <c r="O1270" s="1">
        <v>0.96</v>
      </c>
      <c r="P1270" s="1">
        <v>212</v>
      </c>
      <c r="Q1270" s="1">
        <v>10.220000000000001</v>
      </c>
      <c r="R1270" s="1">
        <v>0.59</v>
      </c>
      <c r="S1270" s="2">
        <v>45320</v>
      </c>
      <c r="T1270" s="1">
        <v>247.17</v>
      </c>
      <c r="U1270" s="1">
        <v>0.75600000000000001</v>
      </c>
      <c r="V1270" s="6">
        <f t="shared" si="57"/>
        <v>45874.079999999994</v>
      </c>
      <c r="W1270" s="6" t="str">
        <f t="shared" si="58"/>
        <v>Sufficient</v>
      </c>
      <c r="X1270" s="8" t="str">
        <f t="shared" si="59"/>
        <v>High</v>
      </c>
    </row>
    <row r="1271" spans="1:24">
      <c r="A1271" s="7" t="s">
        <v>1401</v>
      </c>
      <c r="B1271" s="1" t="s">
        <v>66</v>
      </c>
      <c r="C1271" s="1">
        <v>137</v>
      </c>
      <c r="D1271" s="1">
        <v>89</v>
      </c>
      <c r="E1271" s="1">
        <v>9</v>
      </c>
      <c r="F1271" s="1">
        <v>2</v>
      </c>
      <c r="G1271" s="1">
        <v>43.39</v>
      </c>
      <c r="H1271" s="1" t="s">
        <v>91</v>
      </c>
      <c r="I1271" s="1" t="s">
        <v>45</v>
      </c>
      <c r="J1271" s="1">
        <v>179</v>
      </c>
      <c r="K1271" s="1">
        <v>1.21</v>
      </c>
      <c r="L1271" s="4">
        <v>41.56</v>
      </c>
      <c r="M1271" s="1">
        <v>1.1000000000000001</v>
      </c>
      <c r="N1271" s="1">
        <v>8</v>
      </c>
      <c r="O1271" s="1">
        <v>0.73</v>
      </c>
      <c r="P1271" s="1">
        <v>888</v>
      </c>
      <c r="Q1271" s="1">
        <v>8.56</v>
      </c>
      <c r="R1271" s="1">
        <v>0.44</v>
      </c>
      <c r="S1271" s="2">
        <v>45411</v>
      </c>
      <c r="T1271" s="1">
        <v>19.97</v>
      </c>
      <c r="U1271" s="1">
        <v>0.47799999999999998</v>
      </c>
      <c r="V1271" s="6">
        <f t="shared" si="57"/>
        <v>5693.72</v>
      </c>
      <c r="W1271" s="6" t="str">
        <f t="shared" si="58"/>
        <v>Sufficient</v>
      </c>
      <c r="X1271" s="8" t="str">
        <f t="shared" si="59"/>
        <v>Medium</v>
      </c>
    </row>
    <row r="1272" spans="1:24">
      <c r="A1272" s="7" t="s">
        <v>1402</v>
      </c>
      <c r="B1272" s="1" t="s">
        <v>29</v>
      </c>
      <c r="C1272" s="1">
        <v>280</v>
      </c>
      <c r="D1272" s="1">
        <v>74</v>
      </c>
      <c r="E1272" s="1">
        <v>10</v>
      </c>
      <c r="F1272" s="1">
        <v>2</v>
      </c>
      <c r="G1272" s="1">
        <v>28.75</v>
      </c>
      <c r="H1272" s="1" t="s">
        <v>130</v>
      </c>
      <c r="I1272" s="1" t="s">
        <v>31</v>
      </c>
      <c r="J1272" s="1">
        <v>42</v>
      </c>
      <c r="K1272" s="1">
        <v>0.65</v>
      </c>
      <c r="L1272" s="4">
        <v>93.73</v>
      </c>
      <c r="M1272" s="1">
        <v>1.41</v>
      </c>
      <c r="N1272" s="1">
        <v>2</v>
      </c>
      <c r="O1272" s="1">
        <v>0.81</v>
      </c>
      <c r="P1272" s="1">
        <v>896</v>
      </c>
      <c r="Q1272" s="1">
        <v>7.66</v>
      </c>
      <c r="R1272" s="1">
        <v>0.69</v>
      </c>
      <c r="S1272" s="2">
        <v>45600</v>
      </c>
      <c r="T1272" s="1">
        <v>229.28</v>
      </c>
      <c r="U1272" s="1">
        <v>0.621</v>
      </c>
      <c r="V1272" s="6">
        <f t="shared" si="57"/>
        <v>26244.400000000001</v>
      </c>
      <c r="W1272" s="6" t="str">
        <f t="shared" si="58"/>
        <v>Sufficient</v>
      </c>
      <c r="X1272" s="8" t="str">
        <f t="shared" si="59"/>
        <v>High</v>
      </c>
    </row>
    <row r="1273" spans="1:24">
      <c r="A1273" s="7" t="s">
        <v>1403</v>
      </c>
      <c r="B1273" s="1" t="s">
        <v>66</v>
      </c>
      <c r="C1273" s="1">
        <v>445</v>
      </c>
      <c r="D1273" s="1">
        <v>21</v>
      </c>
      <c r="E1273" s="1">
        <v>5</v>
      </c>
      <c r="F1273" s="1">
        <v>3</v>
      </c>
      <c r="G1273" s="1">
        <v>35.89</v>
      </c>
      <c r="H1273" s="1" t="s">
        <v>459</v>
      </c>
      <c r="I1273" s="1" t="s">
        <v>39</v>
      </c>
      <c r="J1273" s="1">
        <v>72</v>
      </c>
      <c r="K1273" s="1">
        <v>4.51</v>
      </c>
      <c r="L1273" s="4">
        <v>188.95</v>
      </c>
      <c r="M1273" s="1">
        <v>1.6</v>
      </c>
      <c r="N1273" s="1">
        <v>3</v>
      </c>
      <c r="O1273" s="1">
        <v>0.7</v>
      </c>
      <c r="P1273" s="1">
        <v>949</v>
      </c>
      <c r="Q1273" s="1">
        <v>11.59</v>
      </c>
      <c r="R1273" s="1">
        <v>0.65</v>
      </c>
      <c r="S1273" s="2">
        <v>45404</v>
      </c>
      <c r="T1273" s="1">
        <v>297.01</v>
      </c>
      <c r="U1273" s="1">
        <v>0.60499999999999998</v>
      </c>
      <c r="V1273" s="6">
        <f t="shared" si="57"/>
        <v>84082.75</v>
      </c>
      <c r="W1273" s="6" t="str">
        <f t="shared" si="58"/>
        <v>Sufficient</v>
      </c>
      <c r="X1273" s="8" t="str">
        <f t="shared" si="59"/>
        <v>High</v>
      </c>
    </row>
    <row r="1274" spans="1:24">
      <c r="A1274" s="7" t="s">
        <v>1404</v>
      </c>
      <c r="B1274" s="1" t="s">
        <v>41</v>
      </c>
      <c r="C1274" s="1">
        <v>106</v>
      </c>
      <c r="D1274" s="1">
        <v>33</v>
      </c>
      <c r="E1274" s="1">
        <v>6</v>
      </c>
      <c r="F1274" s="1">
        <v>5</v>
      </c>
      <c r="G1274" s="1">
        <v>42.26</v>
      </c>
      <c r="H1274" s="1" t="s">
        <v>119</v>
      </c>
      <c r="I1274" s="1" t="s">
        <v>27</v>
      </c>
      <c r="J1274" s="1">
        <v>114</v>
      </c>
      <c r="K1274" s="1">
        <v>3.89</v>
      </c>
      <c r="L1274" s="4">
        <v>15.21</v>
      </c>
      <c r="M1274" s="1">
        <v>1.42</v>
      </c>
      <c r="N1274" s="1">
        <v>2</v>
      </c>
      <c r="O1274" s="1">
        <v>0.75</v>
      </c>
      <c r="P1274" s="1">
        <v>342</v>
      </c>
      <c r="Q1274" s="1">
        <v>12.32</v>
      </c>
      <c r="R1274" s="1">
        <v>0.54</v>
      </c>
      <c r="S1274" s="2">
        <v>45302</v>
      </c>
      <c r="T1274" s="1">
        <v>182.09</v>
      </c>
      <c r="U1274" s="1">
        <v>0.64</v>
      </c>
      <c r="V1274" s="6">
        <f t="shared" si="57"/>
        <v>1612.26</v>
      </c>
      <c r="W1274" s="6" t="str">
        <f t="shared" si="58"/>
        <v>Sufficient</v>
      </c>
      <c r="X1274" s="8" t="str">
        <f t="shared" si="59"/>
        <v>Medium</v>
      </c>
    </row>
    <row r="1275" spans="1:24">
      <c r="A1275" s="7" t="s">
        <v>1405</v>
      </c>
      <c r="B1275" s="1" t="s">
        <v>66</v>
      </c>
      <c r="C1275" s="1">
        <v>484</v>
      </c>
      <c r="D1275" s="1">
        <v>43</v>
      </c>
      <c r="E1275" s="1">
        <v>5</v>
      </c>
      <c r="F1275" s="1">
        <v>9</v>
      </c>
      <c r="G1275" s="1">
        <v>23.73</v>
      </c>
      <c r="H1275" s="1" t="s">
        <v>394</v>
      </c>
      <c r="I1275" s="1" t="s">
        <v>39</v>
      </c>
      <c r="J1275" s="1">
        <v>108</v>
      </c>
      <c r="K1275" s="1">
        <v>3.35</v>
      </c>
      <c r="L1275" s="4">
        <v>41.3</v>
      </c>
      <c r="M1275" s="1">
        <v>0.79</v>
      </c>
      <c r="N1275" s="1">
        <v>6</v>
      </c>
      <c r="O1275" s="1">
        <v>0.89</v>
      </c>
      <c r="P1275" s="1">
        <v>77</v>
      </c>
      <c r="Q1275" s="1">
        <v>4.05</v>
      </c>
      <c r="R1275" s="1">
        <v>0.8</v>
      </c>
      <c r="S1275" s="2">
        <v>45561</v>
      </c>
      <c r="T1275" s="1">
        <v>133.16</v>
      </c>
      <c r="U1275" s="1">
        <v>0.59299999999999997</v>
      </c>
      <c r="V1275" s="6">
        <f t="shared" si="57"/>
        <v>19989.199999999997</v>
      </c>
      <c r="W1275" s="6" t="str">
        <f t="shared" si="58"/>
        <v>Sufficient</v>
      </c>
      <c r="X1275" s="8" t="str">
        <f t="shared" si="59"/>
        <v>High</v>
      </c>
    </row>
    <row r="1276" spans="1:24">
      <c r="A1276" s="7" t="s">
        <v>1406</v>
      </c>
      <c r="B1276" s="1" t="s">
        <v>25</v>
      </c>
      <c r="C1276" s="1">
        <v>95</v>
      </c>
      <c r="D1276" s="1">
        <v>62</v>
      </c>
      <c r="E1276" s="1">
        <v>9</v>
      </c>
      <c r="F1276" s="1">
        <v>6</v>
      </c>
      <c r="G1276" s="1">
        <v>38.29</v>
      </c>
      <c r="H1276" s="1" t="s">
        <v>137</v>
      </c>
      <c r="I1276" s="1" t="s">
        <v>27</v>
      </c>
      <c r="J1276" s="1">
        <v>15</v>
      </c>
      <c r="K1276" s="1">
        <v>4.67</v>
      </c>
      <c r="L1276" s="4">
        <v>157.76</v>
      </c>
      <c r="M1276" s="1">
        <v>1.1599999999999999</v>
      </c>
      <c r="N1276" s="1">
        <v>1</v>
      </c>
      <c r="O1276" s="1">
        <v>0.97</v>
      </c>
      <c r="P1276" s="1">
        <v>305</v>
      </c>
      <c r="Q1276" s="1">
        <v>7.64</v>
      </c>
      <c r="R1276" s="1">
        <v>0.43</v>
      </c>
      <c r="S1276" s="2">
        <v>45536</v>
      </c>
      <c r="T1276" s="1">
        <v>141.55000000000001</v>
      </c>
      <c r="U1276" s="1">
        <v>0.64600000000000002</v>
      </c>
      <c r="V1276" s="6">
        <f t="shared" si="57"/>
        <v>14987.199999999999</v>
      </c>
      <c r="W1276" s="6" t="str">
        <f t="shared" si="58"/>
        <v>Sufficient</v>
      </c>
      <c r="X1276" s="8" t="str">
        <f t="shared" si="59"/>
        <v>LOW</v>
      </c>
    </row>
    <row r="1277" spans="1:24">
      <c r="A1277" s="7" t="s">
        <v>1407</v>
      </c>
      <c r="B1277" s="1" t="s">
        <v>33</v>
      </c>
      <c r="C1277" s="1">
        <v>490</v>
      </c>
      <c r="D1277" s="1">
        <v>17</v>
      </c>
      <c r="E1277" s="1">
        <v>11</v>
      </c>
      <c r="F1277" s="1">
        <v>4</v>
      </c>
      <c r="G1277" s="1">
        <v>26.7</v>
      </c>
      <c r="H1277" s="1" t="s">
        <v>97</v>
      </c>
      <c r="I1277" s="1" t="s">
        <v>27</v>
      </c>
      <c r="J1277" s="1">
        <v>144</v>
      </c>
      <c r="K1277" s="1">
        <v>3.09</v>
      </c>
      <c r="L1277" s="4">
        <v>35.090000000000003</v>
      </c>
      <c r="M1277" s="1">
        <v>1.86</v>
      </c>
      <c r="N1277" s="1">
        <v>9</v>
      </c>
      <c r="O1277" s="1">
        <v>0.89</v>
      </c>
      <c r="P1277" s="1">
        <v>954</v>
      </c>
      <c r="Q1277" s="1">
        <v>11.8</v>
      </c>
      <c r="R1277" s="1">
        <v>0.59</v>
      </c>
      <c r="S1277" s="2">
        <v>45292</v>
      </c>
      <c r="T1277" s="1">
        <v>207.05</v>
      </c>
      <c r="U1277" s="1">
        <v>0.48699999999999999</v>
      </c>
      <c r="V1277" s="6">
        <f t="shared" si="57"/>
        <v>17194.100000000002</v>
      </c>
      <c r="W1277" s="6" t="str">
        <f t="shared" si="58"/>
        <v>Sufficient</v>
      </c>
      <c r="X1277" s="8" t="str">
        <f t="shared" si="59"/>
        <v>High</v>
      </c>
    </row>
    <row r="1278" spans="1:24">
      <c r="A1278" s="7" t="s">
        <v>1408</v>
      </c>
      <c r="B1278" s="1" t="s">
        <v>41</v>
      </c>
      <c r="C1278" s="1">
        <v>483</v>
      </c>
      <c r="D1278" s="1">
        <v>27</v>
      </c>
      <c r="E1278" s="1">
        <v>5</v>
      </c>
      <c r="F1278" s="1">
        <v>9</v>
      </c>
      <c r="G1278" s="1">
        <v>11.91</v>
      </c>
      <c r="H1278" s="1" t="s">
        <v>55</v>
      </c>
      <c r="I1278" s="1" t="s">
        <v>31</v>
      </c>
      <c r="J1278" s="1">
        <v>18</v>
      </c>
      <c r="K1278" s="1">
        <v>1.08</v>
      </c>
      <c r="L1278" s="4">
        <v>61.54</v>
      </c>
      <c r="M1278" s="1">
        <v>0.84</v>
      </c>
      <c r="N1278" s="1">
        <v>1</v>
      </c>
      <c r="O1278" s="1">
        <v>0.9</v>
      </c>
      <c r="P1278" s="1">
        <v>852</v>
      </c>
      <c r="Q1278" s="1">
        <v>10.46</v>
      </c>
      <c r="R1278" s="1">
        <v>0.95</v>
      </c>
      <c r="S1278" s="2">
        <v>45461</v>
      </c>
      <c r="T1278" s="1">
        <v>175.29</v>
      </c>
      <c r="U1278" s="1">
        <v>0.80500000000000005</v>
      </c>
      <c r="V1278" s="6">
        <f t="shared" si="57"/>
        <v>29723.82</v>
      </c>
      <c r="W1278" s="6" t="str">
        <f t="shared" si="58"/>
        <v>Sufficient</v>
      </c>
      <c r="X1278" s="8" t="str">
        <f t="shared" si="59"/>
        <v>High</v>
      </c>
    </row>
    <row r="1279" spans="1:24">
      <c r="A1279" s="7" t="s">
        <v>1409</v>
      </c>
      <c r="B1279" s="1" t="s">
        <v>66</v>
      </c>
      <c r="C1279" s="1">
        <v>470</v>
      </c>
      <c r="D1279" s="1">
        <v>66</v>
      </c>
      <c r="E1279" s="1">
        <v>8</v>
      </c>
      <c r="F1279" s="1">
        <v>8</v>
      </c>
      <c r="G1279" s="1">
        <v>17.55</v>
      </c>
      <c r="H1279" s="1" t="s">
        <v>113</v>
      </c>
      <c r="I1279" s="1" t="s">
        <v>45</v>
      </c>
      <c r="J1279" s="1">
        <v>110</v>
      </c>
      <c r="K1279" s="1">
        <v>1.3</v>
      </c>
      <c r="L1279" s="4">
        <v>96.42</v>
      </c>
      <c r="M1279" s="1">
        <v>0.57999999999999996</v>
      </c>
      <c r="N1279" s="1">
        <v>1</v>
      </c>
      <c r="O1279" s="1">
        <v>0.73</v>
      </c>
      <c r="P1279" s="1">
        <v>673</v>
      </c>
      <c r="Q1279" s="1">
        <v>9.2799999999999994</v>
      </c>
      <c r="R1279" s="1">
        <v>0.78</v>
      </c>
      <c r="S1279" s="2">
        <v>45606</v>
      </c>
      <c r="T1279" s="1">
        <v>238.4</v>
      </c>
      <c r="U1279" s="1">
        <v>0.748</v>
      </c>
      <c r="V1279" s="6">
        <f t="shared" si="57"/>
        <v>45317.4</v>
      </c>
      <c r="W1279" s="6" t="str">
        <f t="shared" si="58"/>
        <v>Sufficient</v>
      </c>
      <c r="X1279" s="8" t="str">
        <f t="shared" si="59"/>
        <v>High</v>
      </c>
    </row>
    <row r="1280" spans="1:24">
      <c r="A1280" s="7" t="s">
        <v>1410</v>
      </c>
      <c r="B1280" s="1" t="s">
        <v>29</v>
      </c>
      <c r="C1280" s="1">
        <v>433</v>
      </c>
      <c r="D1280" s="1">
        <v>14</v>
      </c>
      <c r="E1280" s="1">
        <v>10</v>
      </c>
      <c r="F1280" s="1">
        <v>2</v>
      </c>
      <c r="G1280" s="1">
        <v>25.03</v>
      </c>
      <c r="H1280" s="1" t="s">
        <v>128</v>
      </c>
      <c r="I1280" s="1" t="s">
        <v>31</v>
      </c>
      <c r="J1280" s="1">
        <v>70</v>
      </c>
      <c r="K1280" s="1">
        <v>1.0900000000000001</v>
      </c>
      <c r="L1280" s="4">
        <v>189.2</v>
      </c>
      <c r="M1280" s="1">
        <v>1.0900000000000001</v>
      </c>
      <c r="N1280" s="1">
        <v>3</v>
      </c>
      <c r="O1280" s="1">
        <v>0.9</v>
      </c>
      <c r="P1280" s="1">
        <v>801</v>
      </c>
      <c r="Q1280" s="1">
        <v>5.53</v>
      </c>
      <c r="R1280" s="1">
        <v>0.51</v>
      </c>
      <c r="S1280" s="2">
        <v>45395</v>
      </c>
      <c r="T1280" s="1">
        <v>132.27000000000001</v>
      </c>
      <c r="U1280" s="1">
        <v>0.58699999999999997</v>
      </c>
      <c r="V1280" s="6">
        <f t="shared" si="57"/>
        <v>81923.599999999991</v>
      </c>
      <c r="W1280" s="6" t="str">
        <f t="shared" si="58"/>
        <v>Sufficient</v>
      </c>
      <c r="X1280" s="8" t="str">
        <f t="shared" si="59"/>
        <v>High</v>
      </c>
    </row>
    <row r="1281" spans="1:24">
      <c r="A1281" s="7" t="s">
        <v>1411</v>
      </c>
      <c r="B1281" s="1" t="s">
        <v>41</v>
      </c>
      <c r="C1281" s="1">
        <v>332</v>
      </c>
      <c r="D1281" s="1">
        <v>35</v>
      </c>
      <c r="E1281" s="1">
        <v>8</v>
      </c>
      <c r="F1281" s="1">
        <v>9</v>
      </c>
      <c r="G1281" s="1">
        <v>16.53</v>
      </c>
      <c r="H1281" s="1" t="s">
        <v>205</v>
      </c>
      <c r="I1281" s="1" t="s">
        <v>39</v>
      </c>
      <c r="J1281" s="1">
        <v>171</v>
      </c>
      <c r="K1281" s="1">
        <v>1.88</v>
      </c>
      <c r="L1281" s="4">
        <v>44.87</v>
      </c>
      <c r="M1281" s="1">
        <v>0.66</v>
      </c>
      <c r="N1281" s="1">
        <v>7</v>
      </c>
      <c r="O1281" s="1">
        <v>0.84</v>
      </c>
      <c r="P1281" s="1">
        <v>804</v>
      </c>
      <c r="Q1281" s="1">
        <v>9.5299999999999994</v>
      </c>
      <c r="R1281" s="1">
        <v>0.64</v>
      </c>
      <c r="S1281" s="2">
        <v>45358</v>
      </c>
      <c r="T1281" s="1">
        <v>131.02000000000001</v>
      </c>
      <c r="U1281" s="1">
        <v>0.61699999999999999</v>
      </c>
      <c r="V1281" s="6">
        <f t="shared" si="57"/>
        <v>14896.839999999998</v>
      </c>
      <c r="W1281" s="6" t="str">
        <f t="shared" si="58"/>
        <v>Sufficient</v>
      </c>
      <c r="X1281" s="8" t="str">
        <f t="shared" si="59"/>
        <v>High</v>
      </c>
    </row>
    <row r="1282" spans="1:24">
      <c r="A1282" s="7" t="s">
        <v>1412</v>
      </c>
      <c r="B1282" s="1" t="s">
        <v>41</v>
      </c>
      <c r="C1282" s="1">
        <v>402</v>
      </c>
      <c r="D1282" s="1">
        <v>39</v>
      </c>
      <c r="E1282" s="1">
        <v>4</v>
      </c>
      <c r="F1282" s="1">
        <v>4</v>
      </c>
      <c r="G1282" s="1">
        <v>17.440000000000001</v>
      </c>
      <c r="H1282" s="1" t="s">
        <v>149</v>
      </c>
      <c r="I1282" s="1" t="s">
        <v>27</v>
      </c>
      <c r="J1282" s="1">
        <v>172</v>
      </c>
      <c r="K1282" s="1">
        <v>2.21</v>
      </c>
      <c r="L1282" s="4">
        <v>185.39</v>
      </c>
      <c r="M1282" s="1">
        <v>0.6</v>
      </c>
      <c r="N1282" s="1">
        <v>7</v>
      </c>
      <c r="O1282" s="1">
        <v>0.9</v>
      </c>
      <c r="P1282" s="1">
        <v>714</v>
      </c>
      <c r="Q1282" s="1">
        <v>9.57</v>
      </c>
      <c r="R1282" s="1">
        <v>0.52</v>
      </c>
      <c r="S1282" s="2">
        <v>45466</v>
      </c>
      <c r="T1282" s="1">
        <v>226.33</v>
      </c>
      <c r="U1282" s="1">
        <v>0.61199999999999999</v>
      </c>
      <c r="V1282" s="6">
        <f t="shared" si="57"/>
        <v>74526.78</v>
      </c>
      <c r="W1282" s="6" t="str">
        <f t="shared" si="58"/>
        <v>Sufficient</v>
      </c>
      <c r="X1282" s="8" t="str">
        <f t="shared" si="59"/>
        <v>High</v>
      </c>
    </row>
    <row r="1283" spans="1:24">
      <c r="A1283" s="7" t="s">
        <v>1413</v>
      </c>
      <c r="B1283" s="1" t="s">
        <v>66</v>
      </c>
      <c r="C1283" s="1">
        <v>233</v>
      </c>
      <c r="D1283" s="1">
        <v>63</v>
      </c>
      <c r="E1283" s="1">
        <v>9</v>
      </c>
      <c r="F1283" s="1">
        <v>6</v>
      </c>
      <c r="G1283" s="1">
        <v>17.53</v>
      </c>
      <c r="H1283" s="1" t="s">
        <v>85</v>
      </c>
      <c r="I1283" s="1" t="s">
        <v>39</v>
      </c>
      <c r="J1283" s="1">
        <v>108</v>
      </c>
      <c r="K1283" s="1">
        <v>4.09</v>
      </c>
      <c r="L1283" s="4">
        <v>146.52000000000001</v>
      </c>
      <c r="M1283" s="1">
        <v>1.58</v>
      </c>
      <c r="N1283" s="1">
        <v>7</v>
      </c>
      <c r="O1283" s="1">
        <v>0.8</v>
      </c>
      <c r="P1283" s="1">
        <v>314</v>
      </c>
      <c r="Q1283" s="1">
        <v>7.05</v>
      </c>
      <c r="R1283" s="1">
        <v>0.28999999999999998</v>
      </c>
      <c r="S1283" s="2">
        <v>45382</v>
      </c>
      <c r="T1283" s="1">
        <v>197.2</v>
      </c>
      <c r="U1283" s="1">
        <v>0.41399999999999998</v>
      </c>
      <c r="V1283" s="6">
        <f t="shared" si="57"/>
        <v>34139.160000000003</v>
      </c>
      <c r="W1283" s="6" t="str">
        <f t="shared" si="58"/>
        <v>Sufficient</v>
      </c>
      <c r="X1283" s="8" t="str">
        <f t="shared" si="59"/>
        <v>Medium</v>
      </c>
    </row>
    <row r="1284" spans="1:24">
      <c r="A1284" s="7" t="s">
        <v>1414</v>
      </c>
      <c r="B1284" s="1" t="s">
        <v>41</v>
      </c>
      <c r="C1284" s="1">
        <v>476</v>
      </c>
      <c r="D1284" s="1">
        <v>22</v>
      </c>
      <c r="E1284" s="1">
        <v>4</v>
      </c>
      <c r="F1284" s="1">
        <v>4</v>
      </c>
      <c r="G1284" s="1">
        <v>7.02</v>
      </c>
      <c r="H1284" s="1" t="s">
        <v>333</v>
      </c>
      <c r="I1284" s="1" t="s">
        <v>27</v>
      </c>
      <c r="J1284" s="1">
        <v>157</v>
      </c>
      <c r="K1284" s="1">
        <v>1.36</v>
      </c>
      <c r="L1284" s="4">
        <v>137.52000000000001</v>
      </c>
      <c r="M1284" s="1">
        <v>1.79</v>
      </c>
      <c r="N1284" s="1">
        <v>7</v>
      </c>
      <c r="O1284" s="1">
        <v>0.87</v>
      </c>
      <c r="P1284" s="1">
        <v>613</v>
      </c>
      <c r="Q1284" s="1">
        <v>14.44</v>
      </c>
      <c r="R1284" s="1">
        <v>0.47</v>
      </c>
      <c r="S1284" s="2">
        <v>45457</v>
      </c>
      <c r="T1284" s="1">
        <v>235.65</v>
      </c>
      <c r="U1284" s="1">
        <v>0.54200000000000004</v>
      </c>
      <c r="V1284" s="6">
        <f t="shared" ref="V1284:V1347" si="60">C1284*L1284</f>
        <v>65459.520000000004</v>
      </c>
      <c r="W1284" s="6" t="str">
        <f t="shared" ref="W1284:W1347" si="61">IF(C1284&lt;=D1284,"Reorder Required","Sufficient")</f>
        <v>Sufficient</v>
      </c>
      <c r="X1284" s="8" t="str">
        <f t="shared" ref="X1284:X1347" si="62">IF(C1284&lt;100,"LOW",IF(C1284&lt;250,"Medium","High"))</f>
        <v>High</v>
      </c>
    </row>
    <row r="1285" spans="1:24">
      <c r="A1285" s="7" t="s">
        <v>1415</v>
      </c>
      <c r="B1285" s="1" t="s">
        <v>29</v>
      </c>
      <c r="C1285" s="1">
        <v>304</v>
      </c>
      <c r="D1285" s="1">
        <v>92</v>
      </c>
      <c r="E1285" s="1">
        <v>4</v>
      </c>
      <c r="F1285" s="1">
        <v>5</v>
      </c>
      <c r="G1285" s="1">
        <v>5.15</v>
      </c>
      <c r="H1285" s="1" t="s">
        <v>147</v>
      </c>
      <c r="I1285" s="1" t="s">
        <v>39</v>
      </c>
      <c r="J1285" s="1">
        <v>67</v>
      </c>
      <c r="K1285" s="1">
        <v>3.76</v>
      </c>
      <c r="L1285" s="4">
        <v>147.47</v>
      </c>
      <c r="M1285" s="1">
        <v>1.05</v>
      </c>
      <c r="N1285" s="1">
        <v>6</v>
      </c>
      <c r="O1285" s="1">
        <v>0.83</v>
      </c>
      <c r="P1285" s="1">
        <v>530</v>
      </c>
      <c r="Q1285" s="1">
        <v>10.14</v>
      </c>
      <c r="R1285" s="1">
        <v>0.89</v>
      </c>
      <c r="S1285" s="2">
        <v>45322</v>
      </c>
      <c r="T1285" s="1">
        <v>267.27999999999997</v>
      </c>
      <c r="U1285" s="1">
        <v>0.65400000000000003</v>
      </c>
      <c r="V1285" s="6">
        <f t="shared" si="60"/>
        <v>44830.879999999997</v>
      </c>
      <c r="W1285" s="6" t="str">
        <f t="shared" si="61"/>
        <v>Sufficient</v>
      </c>
      <c r="X1285" s="8" t="str">
        <f t="shared" si="62"/>
        <v>High</v>
      </c>
    </row>
    <row r="1286" spans="1:24">
      <c r="A1286" s="7" t="s">
        <v>1416</v>
      </c>
      <c r="B1286" s="1" t="s">
        <v>41</v>
      </c>
      <c r="C1286" s="1">
        <v>258</v>
      </c>
      <c r="D1286" s="1">
        <v>38</v>
      </c>
      <c r="E1286" s="1">
        <v>4</v>
      </c>
      <c r="F1286" s="1">
        <v>3</v>
      </c>
      <c r="G1286" s="1">
        <v>3.28</v>
      </c>
      <c r="H1286" s="1" t="s">
        <v>269</v>
      </c>
      <c r="I1286" s="1" t="s">
        <v>27</v>
      </c>
      <c r="J1286" s="1">
        <v>69</v>
      </c>
      <c r="K1286" s="1">
        <v>2.71</v>
      </c>
      <c r="L1286" s="4">
        <v>15.94</v>
      </c>
      <c r="M1286" s="1">
        <v>1.58</v>
      </c>
      <c r="N1286" s="1">
        <v>5</v>
      </c>
      <c r="O1286" s="1">
        <v>0.87</v>
      </c>
      <c r="P1286" s="1">
        <v>450</v>
      </c>
      <c r="Q1286" s="1">
        <v>12.91</v>
      </c>
      <c r="R1286" s="1">
        <v>0.56999999999999995</v>
      </c>
      <c r="S1286" s="2">
        <v>45303</v>
      </c>
      <c r="T1286" s="1">
        <v>86.39</v>
      </c>
      <c r="U1286" s="1">
        <v>0.60199999999999998</v>
      </c>
      <c r="V1286" s="6">
        <f t="shared" si="60"/>
        <v>4112.5199999999995</v>
      </c>
      <c r="W1286" s="6" t="str">
        <f t="shared" si="61"/>
        <v>Sufficient</v>
      </c>
      <c r="X1286" s="8" t="str">
        <f t="shared" si="62"/>
        <v>High</v>
      </c>
    </row>
    <row r="1287" spans="1:24">
      <c r="A1287" s="7" t="s">
        <v>1417</v>
      </c>
      <c r="B1287" s="1" t="s">
        <v>29</v>
      </c>
      <c r="C1287" s="1">
        <v>184</v>
      </c>
      <c r="D1287" s="1">
        <v>12</v>
      </c>
      <c r="E1287" s="1">
        <v>13</v>
      </c>
      <c r="F1287" s="1">
        <v>4</v>
      </c>
      <c r="G1287" s="1">
        <v>6.44</v>
      </c>
      <c r="H1287" s="1" t="s">
        <v>70</v>
      </c>
      <c r="I1287" s="1" t="s">
        <v>31</v>
      </c>
      <c r="J1287" s="1">
        <v>44</v>
      </c>
      <c r="K1287" s="1">
        <v>5</v>
      </c>
      <c r="L1287" s="4">
        <v>28.79</v>
      </c>
      <c r="M1287" s="1">
        <v>0.46</v>
      </c>
      <c r="N1287" s="1">
        <v>6</v>
      </c>
      <c r="O1287" s="1">
        <v>0.74</v>
      </c>
      <c r="P1287" s="1">
        <v>509</v>
      </c>
      <c r="Q1287" s="1">
        <v>2.81</v>
      </c>
      <c r="R1287" s="1">
        <v>0.67</v>
      </c>
      <c r="S1287" s="2">
        <v>45367</v>
      </c>
      <c r="T1287" s="1">
        <v>101.36</v>
      </c>
      <c r="U1287" s="1">
        <v>0.55300000000000005</v>
      </c>
      <c r="V1287" s="6">
        <f t="shared" si="60"/>
        <v>5297.36</v>
      </c>
      <c r="W1287" s="6" t="str">
        <f t="shared" si="61"/>
        <v>Sufficient</v>
      </c>
      <c r="X1287" s="8" t="str">
        <f t="shared" si="62"/>
        <v>Medium</v>
      </c>
    </row>
    <row r="1288" spans="1:24">
      <c r="A1288" s="7" t="s">
        <v>1418</v>
      </c>
      <c r="B1288" s="1" t="s">
        <v>66</v>
      </c>
      <c r="C1288" s="1">
        <v>106</v>
      </c>
      <c r="D1288" s="1">
        <v>99</v>
      </c>
      <c r="E1288" s="1">
        <v>3</v>
      </c>
      <c r="F1288" s="1">
        <v>7</v>
      </c>
      <c r="G1288" s="1">
        <v>17.84</v>
      </c>
      <c r="H1288" s="1" t="s">
        <v>208</v>
      </c>
      <c r="I1288" s="1" t="s">
        <v>27</v>
      </c>
      <c r="J1288" s="1">
        <v>56</v>
      </c>
      <c r="K1288" s="1">
        <v>3.99</v>
      </c>
      <c r="L1288" s="4">
        <v>73.62</v>
      </c>
      <c r="M1288" s="1">
        <v>1.1399999999999999</v>
      </c>
      <c r="N1288" s="1">
        <v>4</v>
      </c>
      <c r="O1288" s="1">
        <v>0.82</v>
      </c>
      <c r="P1288" s="1">
        <v>826</v>
      </c>
      <c r="Q1288" s="1">
        <v>11.59</v>
      </c>
      <c r="R1288" s="1">
        <v>0.35</v>
      </c>
      <c r="S1288" s="2">
        <v>45592</v>
      </c>
      <c r="T1288" s="1">
        <v>162.82</v>
      </c>
      <c r="U1288" s="1">
        <v>0.59499999999999997</v>
      </c>
      <c r="V1288" s="6">
        <f t="shared" si="60"/>
        <v>7803.72</v>
      </c>
      <c r="W1288" s="6" t="str">
        <f t="shared" si="61"/>
        <v>Sufficient</v>
      </c>
      <c r="X1288" s="8" t="str">
        <f t="shared" si="62"/>
        <v>Medium</v>
      </c>
    </row>
    <row r="1289" spans="1:24">
      <c r="A1289" s="7" t="s">
        <v>1419</v>
      </c>
      <c r="B1289" s="1" t="s">
        <v>33</v>
      </c>
      <c r="C1289" s="1">
        <v>160</v>
      </c>
      <c r="D1289" s="1">
        <v>67</v>
      </c>
      <c r="E1289" s="1">
        <v>13</v>
      </c>
      <c r="F1289" s="1">
        <v>9</v>
      </c>
      <c r="G1289" s="1">
        <v>30.1</v>
      </c>
      <c r="H1289" s="1" t="s">
        <v>411</v>
      </c>
      <c r="I1289" s="1" t="s">
        <v>45</v>
      </c>
      <c r="J1289" s="1">
        <v>55</v>
      </c>
      <c r="K1289" s="1">
        <v>4.8600000000000003</v>
      </c>
      <c r="L1289" s="4">
        <v>24.05</v>
      </c>
      <c r="M1289" s="1">
        <v>1.31</v>
      </c>
      <c r="N1289" s="1">
        <v>7</v>
      </c>
      <c r="O1289" s="1">
        <v>0.81</v>
      </c>
      <c r="P1289" s="1">
        <v>615</v>
      </c>
      <c r="Q1289" s="1">
        <v>9.43</v>
      </c>
      <c r="R1289" s="1">
        <v>0.48</v>
      </c>
      <c r="S1289" s="2">
        <v>45652</v>
      </c>
      <c r="T1289" s="1">
        <v>279.83</v>
      </c>
      <c r="U1289" s="1">
        <v>0.51300000000000001</v>
      </c>
      <c r="V1289" s="6">
        <f t="shared" si="60"/>
        <v>3848</v>
      </c>
      <c r="W1289" s="6" t="str">
        <f t="shared" si="61"/>
        <v>Sufficient</v>
      </c>
      <c r="X1289" s="8" t="str">
        <f t="shared" si="62"/>
        <v>Medium</v>
      </c>
    </row>
    <row r="1290" spans="1:24">
      <c r="A1290" s="7" t="s">
        <v>1420</v>
      </c>
      <c r="B1290" s="1" t="s">
        <v>41</v>
      </c>
      <c r="C1290" s="1">
        <v>179</v>
      </c>
      <c r="D1290" s="1">
        <v>85</v>
      </c>
      <c r="E1290" s="1">
        <v>3</v>
      </c>
      <c r="F1290" s="1">
        <v>3</v>
      </c>
      <c r="G1290" s="1">
        <v>10.220000000000001</v>
      </c>
      <c r="H1290" s="1" t="s">
        <v>124</v>
      </c>
      <c r="I1290" s="1" t="s">
        <v>31</v>
      </c>
      <c r="J1290" s="1">
        <v>96</v>
      </c>
      <c r="K1290" s="1">
        <v>2.04</v>
      </c>
      <c r="L1290" s="4">
        <v>197.64</v>
      </c>
      <c r="M1290" s="1">
        <v>1.03</v>
      </c>
      <c r="N1290" s="1">
        <v>1</v>
      </c>
      <c r="O1290" s="1">
        <v>0.92</v>
      </c>
      <c r="P1290" s="1">
        <v>182</v>
      </c>
      <c r="Q1290" s="1">
        <v>5.32</v>
      </c>
      <c r="R1290" s="1">
        <v>0.94</v>
      </c>
      <c r="S1290" s="2">
        <v>45364</v>
      </c>
      <c r="T1290" s="1">
        <v>252.06</v>
      </c>
      <c r="U1290" s="1">
        <v>0.72</v>
      </c>
      <c r="V1290" s="6">
        <f t="shared" si="60"/>
        <v>35377.56</v>
      </c>
      <c r="W1290" s="6" t="str">
        <f t="shared" si="61"/>
        <v>Sufficient</v>
      </c>
      <c r="X1290" s="8" t="str">
        <f t="shared" si="62"/>
        <v>Medium</v>
      </c>
    </row>
    <row r="1291" spans="1:24">
      <c r="A1291" s="7" t="s">
        <v>1421</v>
      </c>
      <c r="B1291" s="1" t="s">
        <v>33</v>
      </c>
      <c r="C1291" s="1">
        <v>65</v>
      </c>
      <c r="D1291" s="1">
        <v>11</v>
      </c>
      <c r="E1291" s="1">
        <v>9</v>
      </c>
      <c r="F1291" s="1">
        <v>6</v>
      </c>
      <c r="G1291" s="1">
        <v>44.51</v>
      </c>
      <c r="H1291" s="1" t="s">
        <v>214</v>
      </c>
      <c r="I1291" s="1" t="s">
        <v>45</v>
      </c>
      <c r="J1291" s="1">
        <v>13</v>
      </c>
      <c r="K1291" s="1">
        <v>1.05</v>
      </c>
      <c r="L1291" s="4">
        <v>120.28</v>
      </c>
      <c r="M1291" s="1">
        <v>0.32</v>
      </c>
      <c r="N1291" s="1">
        <v>4</v>
      </c>
      <c r="O1291" s="1">
        <v>0.91</v>
      </c>
      <c r="P1291" s="1">
        <v>240</v>
      </c>
      <c r="Q1291" s="1">
        <v>2.91</v>
      </c>
      <c r="R1291" s="1">
        <v>0.45</v>
      </c>
      <c r="S1291" s="2">
        <v>45348</v>
      </c>
      <c r="T1291" s="1">
        <v>145.85</v>
      </c>
      <c r="U1291" s="1">
        <v>0.59899999999999998</v>
      </c>
      <c r="V1291" s="6">
        <f t="shared" si="60"/>
        <v>7818.2</v>
      </c>
      <c r="W1291" s="6" t="str">
        <f t="shared" si="61"/>
        <v>Sufficient</v>
      </c>
      <c r="X1291" s="8" t="str">
        <f t="shared" si="62"/>
        <v>LOW</v>
      </c>
    </row>
    <row r="1292" spans="1:24">
      <c r="A1292" s="7" t="s">
        <v>1422</v>
      </c>
      <c r="B1292" s="1" t="s">
        <v>29</v>
      </c>
      <c r="C1292" s="1">
        <v>391</v>
      </c>
      <c r="D1292" s="1">
        <v>84</v>
      </c>
      <c r="E1292" s="1">
        <v>14</v>
      </c>
      <c r="F1292" s="1">
        <v>3</v>
      </c>
      <c r="G1292" s="1">
        <v>40.61</v>
      </c>
      <c r="H1292" s="1" t="s">
        <v>238</v>
      </c>
      <c r="I1292" s="1" t="s">
        <v>39</v>
      </c>
      <c r="J1292" s="1">
        <v>19</v>
      </c>
      <c r="K1292" s="1">
        <v>2.78</v>
      </c>
      <c r="L1292" s="4">
        <v>102.6</v>
      </c>
      <c r="M1292" s="1">
        <v>1.49</v>
      </c>
      <c r="N1292" s="1">
        <v>6</v>
      </c>
      <c r="O1292" s="1">
        <v>0.97</v>
      </c>
      <c r="P1292" s="1">
        <v>173</v>
      </c>
      <c r="Q1292" s="1">
        <v>6.32</v>
      </c>
      <c r="R1292" s="1">
        <v>0.4</v>
      </c>
      <c r="S1292" s="2">
        <v>45561</v>
      </c>
      <c r="T1292" s="1">
        <v>176.2</v>
      </c>
      <c r="U1292" s="1">
        <v>0.48899999999999999</v>
      </c>
      <c r="V1292" s="6">
        <f t="shared" si="60"/>
        <v>40116.6</v>
      </c>
      <c r="W1292" s="6" t="str">
        <f t="shared" si="61"/>
        <v>Sufficient</v>
      </c>
      <c r="X1292" s="8" t="str">
        <f t="shared" si="62"/>
        <v>High</v>
      </c>
    </row>
    <row r="1293" spans="1:24">
      <c r="A1293" s="7" t="s">
        <v>1423</v>
      </c>
      <c r="B1293" s="1" t="s">
        <v>41</v>
      </c>
      <c r="C1293" s="1">
        <v>131</v>
      </c>
      <c r="D1293" s="1">
        <v>37</v>
      </c>
      <c r="E1293" s="1">
        <v>7</v>
      </c>
      <c r="F1293" s="1">
        <v>4</v>
      </c>
      <c r="G1293" s="1">
        <v>26.51</v>
      </c>
      <c r="H1293" s="1" t="s">
        <v>350</v>
      </c>
      <c r="I1293" s="1" t="s">
        <v>39</v>
      </c>
      <c r="J1293" s="1">
        <v>116</v>
      </c>
      <c r="K1293" s="1">
        <v>1.06</v>
      </c>
      <c r="L1293" s="4">
        <v>159.25</v>
      </c>
      <c r="M1293" s="1">
        <v>1.69</v>
      </c>
      <c r="N1293" s="1">
        <v>8</v>
      </c>
      <c r="O1293" s="1">
        <v>0.89</v>
      </c>
      <c r="P1293" s="1">
        <v>480</v>
      </c>
      <c r="Q1293" s="1">
        <v>7.18</v>
      </c>
      <c r="R1293" s="1">
        <v>0.24</v>
      </c>
      <c r="S1293" s="2">
        <v>45478</v>
      </c>
      <c r="T1293" s="1">
        <v>216.57</v>
      </c>
      <c r="U1293" s="1">
        <v>0.39300000000000002</v>
      </c>
      <c r="V1293" s="6">
        <f t="shared" si="60"/>
        <v>20861.75</v>
      </c>
      <c r="W1293" s="6" t="str">
        <f t="shared" si="61"/>
        <v>Sufficient</v>
      </c>
      <c r="X1293" s="8" t="str">
        <f t="shared" si="62"/>
        <v>Medium</v>
      </c>
    </row>
    <row r="1294" spans="1:24">
      <c r="A1294" s="7" t="s">
        <v>1424</v>
      </c>
      <c r="B1294" s="1" t="s">
        <v>25</v>
      </c>
      <c r="C1294" s="1">
        <v>426</v>
      </c>
      <c r="D1294" s="1">
        <v>91</v>
      </c>
      <c r="E1294" s="1">
        <v>13</v>
      </c>
      <c r="F1294" s="1">
        <v>4</v>
      </c>
      <c r="G1294" s="1">
        <v>36.49</v>
      </c>
      <c r="H1294" s="1" t="s">
        <v>151</v>
      </c>
      <c r="I1294" s="1" t="s">
        <v>27</v>
      </c>
      <c r="J1294" s="1">
        <v>84</v>
      </c>
      <c r="K1294" s="1">
        <v>2.72</v>
      </c>
      <c r="L1294" s="4">
        <v>195.62</v>
      </c>
      <c r="M1294" s="1">
        <v>1.31</v>
      </c>
      <c r="N1294" s="1">
        <v>9</v>
      </c>
      <c r="O1294" s="1">
        <v>0.79</v>
      </c>
      <c r="P1294" s="1">
        <v>267</v>
      </c>
      <c r="Q1294" s="1">
        <v>2.97</v>
      </c>
      <c r="R1294" s="1">
        <v>0.28000000000000003</v>
      </c>
      <c r="S1294" s="2">
        <v>45329</v>
      </c>
      <c r="T1294" s="1">
        <v>161.58000000000001</v>
      </c>
      <c r="U1294" s="1">
        <v>0.34300000000000003</v>
      </c>
      <c r="V1294" s="6">
        <f t="shared" si="60"/>
        <v>83334.12</v>
      </c>
      <c r="W1294" s="6" t="str">
        <f t="shared" si="61"/>
        <v>Sufficient</v>
      </c>
      <c r="X1294" s="8" t="str">
        <f t="shared" si="62"/>
        <v>High</v>
      </c>
    </row>
    <row r="1295" spans="1:24">
      <c r="A1295" s="7" t="s">
        <v>1425</v>
      </c>
      <c r="B1295" s="1" t="s">
        <v>33</v>
      </c>
      <c r="C1295" s="1">
        <v>64</v>
      </c>
      <c r="D1295" s="1">
        <v>86</v>
      </c>
      <c r="E1295" s="1">
        <v>5</v>
      </c>
      <c r="F1295" s="1">
        <v>7</v>
      </c>
      <c r="G1295" s="1">
        <v>18.95</v>
      </c>
      <c r="H1295" s="1" t="s">
        <v>113</v>
      </c>
      <c r="I1295" s="1" t="s">
        <v>27</v>
      </c>
      <c r="J1295" s="1">
        <v>49</v>
      </c>
      <c r="K1295" s="1">
        <v>1.71</v>
      </c>
      <c r="L1295" s="4">
        <v>191.47</v>
      </c>
      <c r="M1295" s="1">
        <v>0.42</v>
      </c>
      <c r="N1295" s="1">
        <v>0</v>
      </c>
      <c r="O1295" s="1">
        <v>0.93</v>
      </c>
      <c r="P1295" s="1">
        <v>926</v>
      </c>
      <c r="Q1295" s="1">
        <v>10.38</v>
      </c>
      <c r="R1295" s="1">
        <v>0.67</v>
      </c>
      <c r="S1295" s="2">
        <v>45483</v>
      </c>
      <c r="T1295" s="1">
        <v>38.549999999999997</v>
      </c>
      <c r="U1295" s="1">
        <v>0.81599999999999995</v>
      </c>
      <c r="V1295" s="6">
        <f t="shared" si="60"/>
        <v>12254.08</v>
      </c>
      <c r="W1295" s="6" t="str">
        <f t="shared" si="61"/>
        <v>Reorder Required</v>
      </c>
      <c r="X1295" s="8" t="str">
        <f t="shared" si="62"/>
        <v>LOW</v>
      </c>
    </row>
    <row r="1296" spans="1:24">
      <c r="A1296" s="7" t="s">
        <v>1426</v>
      </c>
      <c r="B1296" s="1" t="s">
        <v>41</v>
      </c>
      <c r="C1296" s="1">
        <v>420</v>
      </c>
      <c r="D1296" s="1">
        <v>95</v>
      </c>
      <c r="E1296" s="1">
        <v>3</v>
      </c>
      <c r="F1296" s="1">
        <v>2</v>
      </c>
      <c r="G1296" s="1">
        <v>2.8</v>
      </c>
      <c r="H1296" s="1" t="s">
        <v>269</v>
      </c>
      <c r="I1296" s="1" t="s">
        <v>39</v>
      </c>
      <c r="J1296" s="1">
        <v>136</v>
      </c>
      <c r="K1296" s="1">
        <v>2.71</v>
      </c>
      <c r="L1296" s="4">
        <v>160.68</v>
      </c>
      <c r="M1296" s="1">
        <v>0.24</v>
      </c>
      <c r="N1296" s="1">
        <v>8</v>
      </c>
      <c r="O1296" s="1">
        <v>0.85</v>
      </c>
      <c r="P1296" s="1">
        <v>452</v>
      </c>
      <c r="Q1296" s="1">
        <v>5.3</v>
      </c>
      <c r="R1296" s="1">
        <v>0.73</v>
      </c>
      <c r="S1296" s="2">
        <v>45652</v>
      </c>
      <c r="T1296" s="1">
        <v>112.29</v>
      </c>
      <c r="U1296" s="1">
        <v>0.60299999999999998</v>
      </c>
      <c r="V1296" s="6">
        <f t="shared" si="60"/>
        <v>67485.600000000006</v>
      </c>
      <c r="W1296" s="6" t="str">
        <f t="shared" si="61"/>
        <v>Sufficient</v>
      </c>
      <c r="X1296" s="8" t="str">
        <f t="shared" si="62"/>
        <v>High</v>
      </c>
    </row>
    <row r="1297" spans="1:24">
      <c r="A1297" s="7" t="s">
        <v>1427</v>
      </c>
      <c r="B1297" s="1" t="s">
        <v>33</v>
      </c>
      <c r="C1297" s="1">
        <v>266</v>
      </c>
      <c r="D1297" s="1">
        <v>85</v>
      </c>
      <c r="E1297" s="1">
        <v>13</v>
      </c>
      <c r="F1297" s="1">
        <v>9</v>
      </c>
      <c r="G1297" s="1">
        <v>45.31</v>
      </c>
      <c r="H1297" s="1" t="s">
        <v>156</v>
      </c>
      <c r="I1297" s="1" t="s">
        <v>31</v>
      </c>
      <c r="J1297" s="1">
        <v>128</v>
      </c>
      <c r="K1297" s="1">
        <v>4.7699999999999996</v>
      </c>
      <c r="L1297" s="4">
        <v>81.66</v>
      </c>
      <c r="M1297" s="1">
        <v>0.67</v>
      </c>
      <c r="N1297" s="1">
        <v>2</v>
      </c>
      <c r="O1297" s="1">
        <v>0.76</v>
      </c>
      <c r="P1297" s="1">
        <v>371</v>
      </c>
      <c r="Q1297" s="1">
        <v>12.28</v>
      </c>
      <c r="R1297" s="1">
        <v>0.71</v>
      </c>
      <c r="S1297" s="2">
        <v>45631</v>
      </c>
      <c r="T1297" s="1">
        <v>23.81</v>
      </c>
      <c r="U1297" s="1">
        <v>0.751</v>
      </c>
      <c r="V1297" s="6">
        <f t="shared" si="60"/>
        <v>21721.559999999998</v>
      </c>
      <c r="W1297" s="6" t="str">
        <f t="shared" si="61"/>
        <v>Sufficient</v>
      </c>
      <c r="X1297" s="8" t="str">
        <f t="shared" si="62"/>
        <v>High</v>
      </c>
    </row>
    <row r="1298" spans="1:24">
      <c r="A1298" s="7" t="s">
        <v>1428</v>
      </c>
      <c r="B1298" s="1" t="s">
        <v>41</v>
      </c>
      <c r="C1298" s="1">
        <v>123</v>
      </c>
      <c r="D1298" s="1">
        <v>11</v>
      </c>
      <c r="E1298" s="1">
        <v>12</v>
      </c>
      <c r="F1298" s="1">
        <v>7</v>
      </c>
      <c r="G1298" s="1">
        <v>7.26</v>
      </c>
      <c r="H1298" s="1" t="s">
        <v>83</v>
      </c>
      <c r="I1298" s="1" t="s">
        <v>45</v>
      </c>
      <c r="J1298" s="1">
        <v>82</v>
      </c>
      <c r="K1298" s="1">
        <v>1.8</v>
      </c>
      <c r="L1298" s="4">
        <v>22.53</v>
      </c>
      <c r="M1298" s="1">
        <v>0.17</v>
      </c>
      <c r="N1298" s="1">
        <v>0</v>
      </c>
      <c r="O1298" s="1">
        <v>0.92</v>
      </c>
      <c r="P1298" s="1">
        <v>350</v>
      </c>
      <c r="Q1298" s="1">
        <v>10.08</v>
      </c>
      <c r="R1298" s="1">
        <v>0.63</v>
      </c>
      <c r="S1298" s="2">
        <v>45494</v>
      </c>
      <c r="T1298" s="1">
        <v>204.26</v>
      </c>
      <c r="U1298" s="1">
        <v>0.82699999999999996</v>
      </c>
      <c r="V1298" s="6">
        <f t="shared" si="60"/>
        <v>2771.19</v>
      </c>
      <c r="W1298" s="6" t="str">
        <f t="shared" si="61"/>
        <v>Sufficient</v>
      </c>
      <c r="X1298" s="8" t="str">
        <f t="shared" si="62"/>
        <v>Medium</v>
      </c>
    </row>
    <row r="1299" spans="1:24">
      <c r="A1299" s="7" t="s">
        <v>1429</v>
      </c>
      <c r="B1299" s="1" t="s">
        <v>66</v>
      </c>
      <c r="C1299" s="1">
        <v>104</v>
      </c>
      <c r="D1299" s="1">
        <v>16</v>
      </c>
      <c r="E1299" s="1">
        <v>8</v>
      </c>
      <c r="F1299" s="1">
        <v>4</v>
      </c>
      <c r="G1299" s="1">
        <v>47.45</v>
      </c>
      <c r="H1299" s="1" t="s">
        <v>106</v>
      </c>
      <c r="I1299" s="1" t="s">
        <v>39</v>
      </c>
      <c r="J1299" s="1">
        <v>49</v>
      </c>
      <c r="K1299" s="1">
        <v>4.97</v>
      </c>
      <c r="L1299" s="4">
        <v>28.69</v>
      </c>
      <c r="M1299" s="1">
        <v>1.69</v>
      </c>
      <c r="N1299" s="1">
        <v>6</v>
      </c>
      <c r="O1299" s="1">
        <v>0.74</v>
      </c>
      <c r="P1299" s="1">
        <v>120</v>
      </c>
      <c r="Q1299" s="1">
        <v>5.35</v>
      </c>
      <c r="R1299" s="1">
        <v>0.59</v>
      </c>
      <c r="S1299" s="2">
        <v>45592</v>
      </c>
      <c r="T1299" s="1">
        <v>107.77</v>
      </c>
      <c r="U1299" s="1">
        <v>0.44800000000000001</v>
      </c>
      <c r="V1299" s="6">
        <f t="shared" si="60"/>
        <v>2983.76</v>
      </c>
      <c r="W1299" s="6" t="str">
        <f t="shared" si="61"/>
        <v>Sufficient</v>
      </c>
      <c r="X1299" s="8" t="str">
        <f t="shared" si="62"/>
        <v>Medium</v>
      </c>
    </row>
    <row r="1300" spans="1:24">
      <c r="A1300" s="7" t="s">
        <v>1430</v>
      </c>
      <c r="B1300" s="1" t="s">
        <v>33</v>
      </c>
      <c r="C1300" s="1">
        <v>469</v>
      </c>
      <c r="D1300" s="1">
        <v>35</v>
      </c>
      <c r="E1300" s="1">
        <v>13</v>
      </c>
      <c r="F1300" s="1">
        <v>8</v>
      </c>
      <c r="G1300" s="1">
        <v>29.02</v>
      </c>
      <c r="H1300" s="1" t="s">
        <v>227</v>
      </c>
      <c r="I1300" s="1" t="s">
        <v>31</v>
      </c>
      <c r="J1300" s="1">
        <v>105</v>
      </c>
      <c r="K1300" s="1">
        <v>1.53</v>
      </c>
      <c r="L1300" s="4">
        <v>10.220000000000001</v>
      </c>
      <c r="M1300" s="1">
        <v>1.44</v>
      </c>
      <c r="N1300" s="1">
        <v>2</v>
      </c>
      <c r="O1300" s="1">
        <v>0.75</v>
      </c>
      <c r="P1300" s="1">
        <v>263</v>
      </c>
      <c r="Q1300" s="1">
        <v>6.04</v>
      </c>
      <c r="R1300" s="1">
        <v>0.26</v>
      </c>
      <c r="S1300" s="2">
        <v>45343</v>
      </c>
      <c r="T1300" s="1">
        <v>224.13</v>
      </c>
      <c r="U1300" s="1">
        <v>0.499</v>
      </c>
      <c r="V1300" s="6">
        <f t="shared" si="60"/>
        <v>4793.18</v>
      </c>
      <c r="W1300" s="6" t="str">
        <f t="shared" si="61"/>
        <v>Sufficient</v>
      </c>
      <c r="X1300" s="8" t="str">
        <f t="shared" si="62"/>
        <v>High</v>
      </c>
    </row>
    <row r="1301" spans="1:24">
      <c r="A1301" s="7" t="s">
        <v>1431</v>
      </c>
      <c r="B1301" s="1" t="s">
        <v>25</v>
      </c>
      <c r="C1301" s="1">
        <v>153</v>
      </c>
      <c r="D1301" s="1">
        <v>99</v>
      </c>
      <c r="E1301" s="1">
        <v>3</v>
      </c>
      <c r="F1301" s="1">
        <v>3</v>
      </c>
      <c r="G1301" s="1">
        <v>15.97</v>
      </c>
      <c r="H1301" s="1" t="s">
        <v>63</v>
      </c>
      <c r="I1301" s="1" t="s">
        <v>45</v>
      </c>
      <c r="J1301" s="1">
        <v>32</v>
      </c>
      <c r="K1301" s="1">
        <v>1.44</v>
      </c>
      <c r="L1301" s="4">
        <v>10.36</v>
      </c>
      <c r="M1301" s="1">
        <v>1.17</v>
      </c>
      <c r="N1301" s="1">
        <v>7</v>
      </c>
      <c r="O1301" s="1">
        <v>0.93</v>
      </c>
      <c r="P1301" s="1">
        <v>923</v>
      </c>
      <c r="Q1301" s="1">
        <v>14.19</v>
      </c>
      <c r="R1301" s="1">
        <v>0.87</v>
      </c>
      <c r="S1301" s="2">
        <v>45464</v>
      </c>
      <c r="T1301" s="1">
        <v>134.62</v>
      </c>
      <c r="U1301" s="1">
        <v>0.69199999999999995</v>
      </c>
      <c r="V1301" s="6">
        <f t="shared" si="60"/>
        <v>1585.08</v>
      </c>
      <c r="W1301" s="6" t="str">
        <f t="shared" si="61"/>
        <v>Sufficient</v>
      </c>
      <c r="X1301" s="8" t="str">
        <f t="shared" si="62"/>
        <v>Medium</v>
      </c>
    </row>
    <row r="1302" spans="1:24">
      <c r="A1302" s="7" t="s">
        <v>1432</v>
      </c>
      <c r="B1302" s="1" t="s">
        <v>25</v>
      </c>
      <c r="C1302" s="1">
        <v>127</v>
      </c>
      <c r="D1302" s="1">
        <v>97</v>
      </c>
      <c r="E1302" s="1">
        <v>11</v>
      </c>
      <c r="F1302" s="1">
        <v>7</v>
      </c>
      <c r="G1302" s="1">
        <v>25.28</v>
      </c>
      <c r="H1302" s="1" t="s">
        <v>346</v>
      </c>
      <c r="I1302" s="1" t="s">
        <v>27</v>
      </c>
      <c r="J1302" s="1">
        <v>152</v>
      </c>
      <c r="K1302" s="1">
        <v>2.95</v>
      </c>
      <c r="L1302" s="4">
        <v>187.92</v>
      </c>
      <c r="M1302" s="1">
        <v>1.79</v>
      </c>
      <c r="N1302" s="1">
        <v>1</v>
      </c>
      <c r="O1302" s="1">
        <v>0.93</v>
      </c>
      <c r="P1302" s="1">
        <v>594</v>
      </c>
      <c r="Q1302" s="1">
        <v>14.27</v>
      </c>
      <c r="R1302" s="1">
        <v>0.61</v>
      </c>
      <c r="S1302" s="2">
        <v>45446</v>
      </c>
      <c r="T1302" s="1">
        <v>23.22</v>
      </c>
      <c r="U1302" s="1">
        <v>0.69899999999999995</v>
      </c>
      <c r="V1302" s="6">
        <f t="shared" si="60"/>
        <v>23865.84</v>
      </c>
      <c r="W1302" s="6" t="str">
        <f t="shared" si="61"/>
        <v>Sufficient</v>
      </c>
      <c r="X1302" s="8" t="str">
        <f t="shared" si="62"/>
        <v>Medium</v>
      </c>
    </row>
    <row r="1303" spans="1:24">
      <c r="A1303" s="7" t="s">
        <v>1433</v>
      </c>
      <c r="B1303" s="1" t="s">
        <v>29</v>
      </c>
      <c r="C1303" s="1">
        <v>37</v>
      </c>
      <c r="D1303" s="1">
        <v>85</v>
      </c>
      <c r="E1303" s="1">
        <v>4</v>
      </c>
      <c r="F1303" s="1">
        <v>7</v>
      </c>
      <c r="G1303" s="1">
        <v>25.58</v>
      </c>
      <c r="H1303" s="1" t="s">
        <v>72</v>
      </c>
      <c r="I1303" s="1" t="s">
        <v>31</v>
      </c>
      <c r="J1303" s="1">
        <v>124</v>
      </c>
      <c r="K1303" s="1">
        <v>4.29</v>
      </c>
      <c r="L1303" s="4">
        <v>186.13</v>
      </c>
      <c r="M1303" s="1">
        <v>0.31</v>
      </c>
      <c r="N1303" s="1">
        <v>3</v>
      </c>
      <c r="O1303" s="1">
        <v>0.94</v>
      </c>
      <c r="P1303" s="1">
        <v>423</v>
      </c>
      <c r="Q1303" s="1">
        <v>6.86</v>
      </c>
      <c r="R1303" s="1">
        <v>0.31</v>
      </c>
      <c r="S1303" s="2">
        <v>45457</v>
      </c>
      <c r="T1303" s="1">
        <v>120.09</v>
      </c>
      <c r="U1303" s="1">
        <v>0.65</v>
      </c>
      <c r="V1303" s="6">
        <f t="shared" si="60"/>
        <v>6886.8099999999995</v>
      </c>
      <c r="W1303" s="6" t="str">
        <f t="shared" si="61"/>
        <v>Reorder Required</v>
      </c>
      <c r="X1303" s="8" t="str">
        <f t="shared" si="62"/>
        <v>LOW</v>
      </c>
    </row>
    <row r="1304" spans="1:24">
      <c r="A1304" s="7" t="s">
        <v>1434</v>
      </c>
      <c r="B1304" s="1" t="s">
        <v>41</v>
      </c>
      <c r="C1304" s="1">
        <v>113</v>
      </c>
      <c r="D1304" s="1">
        <v>25</v>
      </c>
      <c r="E1304" s="1">
        <v>3</v>
      </c>
      <c r="F1304" s="1">
        <v>9</v>
      </c>
      <c r="G1304" s="1">
        <v>2.14</v>
      </c>
      <c r="H1304" s="1" t="s">
        <v>59</v>
      </c>
      <c r="I1304" s="1" t="s">
        <v>31</v>
      </c>
      <c r="J1304" s="1">
        <v>125</v>
      </c>
      <c r="K1304" s="1">
        <v>3.87</v>
      </c>
      <c r="L1304" s="4">
        <v>136.84</v>
      </c>
      <c r="M1304" s="1">
        <v>1.46</v>
      </c>
      <c r="N1304" s="1">
        <v>1</v>
      </c>
      <c r="O1304" s="1">
        <v>0.79</v>
      </c>
      <c r="P1304" s="1">
        <v>385</v>
      </c>
      <c r="Q1304" s="1">
        <v>10.51</v>
      </c>
      <c r="R1304" s="1">
        <v>0.31</v>
      </c>
      <c r="S1304" s="2">
        <v>45361</v>
      </c>
      <c r="T1304" s="1">
        <v>73.42</v>
      </c>
      <c r="U1304" s="1">
        <v>0.59399999999999997</v>
      </c>
      <c r="V1304" s="6">
        <f t="shared" si="60"/>
        <v>15462.92</v>
      </c>
      <c r="W1304" s="6" t="str">
        <f t="shared" si="61"/>
        <v>Sufficient</v>
      </c>
      <c r="X1304" s="8" t="str">
        <f t="shared" si="62"/>
        <v>Medium</v>
      </c>
    </row>
    <row r="1305" spans="1:24">
      <c r="A1305" s="7" t="s">
        <v>1435</v>
      </c>
      <c r="B1305" s="1" t="s">
        <v>33</v>
      </c>
      <c r="C1305" s="1">
        <v>169</v>
      </c>
      <c r="D1305" s="1">
        <v>32</v>
      </c>
      <c r="E1305" s="1">
        <v>14</v>
      </c>
      <c r="F1305" s="1">
        <v>8</v>
      </c>
      <c r="G1305" s="1">
        <v>18.420000000000002</v>
      </c>
      <c r="H1305" s="1" t="s">
        <v>394</v>
      </c>
      <c r="I1305" s="1" t="s">
        <v>39</v>
      </c>
      <c r="J1305" s="1">
        <v>142</v>
      </c>
      <c r="K1305" s="1">
        <v>3.76</v>
      </c>
      <c r="L1305" s="4">
        <v>148.07</v>
      </c>
      <c r="M1305" s="1">
        <v>0.38</v>
      </c>
      <c r="N1305" s="1">
        <v>3</v>
      </c>
      <c r="O1305" s="1">
        <v>0.96</v>
      </c>
      <c r="P1305" s="1">
        <v>220</v>
      </c>
      <c r="Q1305" s="1">
        <v>14.72</v>
      </c>
      <c r="R1305" s="1">
        <v>0.61</v>
      </c>
      <c r="S1305" s="2">
        <v>45372</v>
      </c>
      <c r="T1305" s="1">
        <v>72.14</v>
      </c>
      <c r="U1305" s="1">
        <v>0.81200000000000006</v>
      </c>
      <c r="V1305" s="6">
        <f t="shared" si="60"/>
        <v>25023.829999999998</v>
      </c>
      <c r="W1305" s="6" t="str">
        <f t="shared" si="61"/>
        <v>Sufficient</v>
      </c>
      <c r="X1305" s="8" t="str">
        <f t="shared" si="62"/>
        <v>Medium</v>
      </c>
    </row>
    <row r="1306" spans="1:24">
      <c r="A1306" s="7" t="s">
        <v>1436</v>
      </c>
      <c r="B1306" s="1" t="s">
        <v>29</v>
      </c>
      <c r="C1306" s="1">
        <v>265</v>
      </c>
      <c r="D1306" s="1">
        <v>49</v>
      </c>
      <c r="E1306" s="1">
        <v>9</v>
      </c>
      <c r="F1306" s="1">
        <v>8</v>
      </c>
      <c r="G1306" s="1">
        <v>37.25</v>
      </c>
      <c r="H1306" s="1" t="s">
        <v>115</v>
      </c>
      <c r="I1306" s="1" t="s">
        <v>45</v>
      </c>
      <c r="J1306" s="1">
        <v>177</v>
      </c>
      <c r="K1306" s="1">
        <v>1.77</v>
      </c>
      <c r="L1306" s="4">
        <v>107.51</v>
      </c>
      <c r="M1306" s="1">
        <v>0.22</v>
      </c>
      <c r="N1306" s="1">
        <v>0</v>
      </c>
      <c r="O1306" s="1">
        <v>0.92</v>
      </c>
      <c r="P1306" s="1">
        <v>393</v>
      </c>
      <c r="Q1306" s="1">
        <v>14.92</v>
      </c>
      <c r="R1306" s="1">
        <v>0.4</v>
      </c>
      <c r="S1306" s="2">
        <v>45515</v>
      </c>
      <c r="T1306" s="1">
        <v>119.51</v>
      </c>
      <c r="U1306" s="1">
        <v>0.84099999999999997</v>
      </c>
      <c r="V1306" s="6">
        <f t="shared" si="60"/>
        <v>28490.15</v>
      </c>
      <c r="W1306" s="6" t="str">
        <f t="shared" si="61"/>
        <v>Sufficient</v>
      </c>
      <c r="X1306" s="8" t="str">
        <f t="shared" si="62"/>
        <v>High</v>
      </c>
    </row>
    <row r="1307" spans="1:24">
      <c r="A1307" s="7" t="s">
        <v>1437</v>
      </c>
      <c r="B1307" s="1" t="s">
        <v>33</v>
      </c>
      <c r="C1307" s="1">
        <v>308</v>
      </c>
      <c r="D1307" s="1">
        <v>69</v>
      </c>
      <c r="E1307" s="1">
        <v>8</v>
      </c>
      <c r="F1307" s="1">
        <v>8</v>
      </c>
      <c r="G1307" s="1">
        <v>25.99</v>
      </c>
      <c r="H1307" s="1" t="s">
        <v>370</v>
      </c>
      <c r="I1307" s="1" t="s">
        <v>39</v>
      </c>
      <c r="J1307" s="1">
        <v>155</v>
      </c>
      <c r="K1307" s="1">
        <v>0.6</v>
      </c>
      <c r="L1307" s="4">
        <v>55.19</v>
      </c>
      <c r="M1307" s="1">
        <v>0.35</v>
      </c>
      <c r="N1307" s="1">
        <v>9</v>
      </c>
      <c r="O1307" s="1">
        <v>0.95</v>
      </c>
      <c r="P1307" s="1">
        <v>505</v>
      </c>
      <c r="Q1307" s="1">
        <v>2.0099999999999998</v>
      </c>
      <c r="R1307" s="1">
        <v>0.94</v>
      </c>
      <c r="S1307" s="2">
        <v>45619</v>
      </c>
      <c r="T1307" s="1">
        <v>293.70999999999998</v>
      </c>
      <c r="U1307" s="1">
        <v>0.59</v>
      </c>
      <c r="V1307" s="6">
        <f t="shared" si="60"/>
        <v>16998.52</v>
      </c>
      <c r="W1307" s="6" t="str">
        <f t="shared" si="61"/>
        <v>Sufficient</v>
      </c>
      <c r="X1307" s="8" t="str">
        <f t="shared" si="62"/>
        <v>High</v>
      </c>
    </row>
    <row r="1308" spans="1:24">
      <c r="A1308" s="7" t="s">
        <v>1438</v>
      </c>
      <c r="B1308" s="1" t="s">
        <v>41</v>
      </c>
      <c r="C1308" s="1">
        <v>433</v>
      </c>
      <c r="D1308" s="1">
        <v>82</v>
      </c>
      <c r="E1308" s="1">
        <v>8</v>
      </c>
      <c r="F1308" s="1">
        <v>9</v>
      </c>
      <c r="G1308" s="1">
        <v>12.97</v>
      </c>
      <c r="H1308" s="1" t="s">
        <v>115</v>
      </c>
      <c r="I1308" s="1" t="s">
        <v>27</v>
      </c>
      <c r="J1308" s="1">
        <v>30</v>
      </c>
      <c r="K1308" s="1">
        <v>1.23</v>
      </c>
      <c r="L1308" s="4">
        <v>183.73</v>
      </c>
      <c r="M1308" s="1">
        <v>1.91</v>
      </c>
      <c r="N1308" s="1">
        <v>4</v>
      </c>
      <c r="O1308" s="1">
        <v>0.91</v>
      </c>
      <c r="P1308" s="1">
        <v>911</v>
      </c>
      <c r="Q1308" s="1">
        <v>8.75</v>
      </c>
      <c r="R1308" s="1">
        <v>0.6</v>
      </c>
      <c r="S1308" s="2">
        <v>45541</v>
      </c>
      <c r="T1308" s="1">
        <v>288.42</v>
      </c>
      <c r="U1308" s="1">
        <v>0.54800000000000004</v>
      </c>
      <c r="V1308" s="6">
        <f t="shared" si="60"/>
        <v>79555.09</v>
      </c>
      <c r="W1308" s="6" t="str">
        <f t="shared" si="61"/>
        <v>Sufficient</v>
      </c>
      <c r="X1308" s="8" t="str">
        <f t="shared" si="62"/>
        <v>High</v>
      </c>
    </row>
    <row r="1309" spans="1:24">
      <c r="A1309" s="7" t="s">
        <v>1439</v>
      </c>
      <c r="B1309" s="1" t="s">
        <v>25</v>
      </c>
      <c r="C1309" s="1">
        <v>228</v>
      </c>
      <c r="D1309" s="1">
        <v>41</v>
      </c>
      <c r="E1309" s="1">
        <v>7</v>
      </c>
      <c r="F1309" s="1">
        <v>2</v>
      </c>
      <c r="G1309" s="1">
        <v>17.420000000000002</v>
      </c>
      <c r="H1309" s="1" t="s">
        <v>274</v>
      </c>
      <c r="I1309" s="1" t="s">
        <v>27</v>
      </c>
      <c r="J1309" s="1">
        <v>12</v>
      </c>
      <c r="K1309" s="1">
        <v>2.0699999999999998</v>
      </c>
      <c r="L1309" s="4">
        <v>62.76</v>
      </c>
      <c r="M1309" s="1">
        <v>0.94</v>
      </c>
      <c r="N1309" s="1">
        <v>2</v>
      </c>
      <c r="O1309" s="1">
        <v>0.87</v>
      </c>
      <c r="P1309" s="1">
        <v>459</v>
      </c>
      <c r="Q1309" s="1">
        <v>11.17</v>
      </c>
      <c r="R1309" s="1">
        <v>0.98</v>
      </c>
      <c r="S1309" s="2">
        <v>45624</v>
      </c>
      <c r="T1309" s="1">
        <v>243</v>
      </c>
      <c r="U1309" s="1">
        <v>0.78500000000000003</v>
      </c>
      <c r="V1309" s="6">
        <f t="shared" si="60"/>
        <v>14309.279999999999</v>
      </c>
      <c r="W1309" s="6" t="str">
        <f t="shared" si="61"/>
        <v>Sufficient</v>
      </c>
      <c r="X1309" s="8" t="str">
        <f t="shared" si="62"/>
        <v>Medium</v>
      </c>
    </row>
    <row r="1310" spans="1:24">
      <c r="A1310" s="7" t="s">
        <v>1440</v>
      </c>
      <c r="B1310" s="1" t="s">
        <v>66</v>
      </c>
      <c r="C1310" s="1">
        <v>145</v>
      </c>
      <c r="D1310" s="1">
        <v>24</v>
      </c>
      <c r="E1310" s="1">
        <v>13</v>
      </c>
      <c r="F1310" s="1">
        <v>4</v>
      </c>
      <c r="G1310" s="1">
        <v>43.29</v>
      </c>
      <c r="H1310" s="1" t="s">
        <v>128</v>
      </c>
      <c r="I1310" s="1" t="s">
        <v>45</v>
      </c>
      <c r="J1310" s="1">
        <v>55</v>
      </c>
      <c r="K1310" s="1">
        <v>4.87</v>
      </c>
      <c r="L1310" s="4">
        <v>150.54</v>
      </c>
      <c r="M1310" s="1">
        <v>0.19</v>
      </c>
      <c r="N1310" s="1">
        <v>8</v>
      </c>
      <c r="O1310" s="1">
        <v>0.73</v>
      </c>
      <c r="P1310" s="1">
        <v>350</v>
      </c>
      <c r="Q1310" s="1">
        <v>3.62</v>
      </c>
      <c r="R1310" s="1">
        <v>0.79</v>
      </c>
      <c r="S1310" s="2">
        <v>45454</v>
      </c>
      <c r="T1310" s="1">
        <v>81.19</v>
      </c>
      <c r="U1310" s="1">
        <v>0.57299999999999995</v>
      </c>
      <c r="V1310" s="6">
        <f t="shared" si="60"/>
        <v>21828.3</v>
      </c>
      <c r="W1310" s="6" t="str">
        <f t="shared" si="61"/>
        <v>Sufficient</v>
      </c>
      <c r="X1310" s="8" t="str">
        <f t="shared" si="62"/>
        <v>Medium</v>
      </c>
    </row>
    <row r="1311" spans="1:24">
      <c r="A1311" s="7" t="s">
        <v>1441</v>
      </c>
      <c r="B1311" s="1" t="s">
        <v>25</v>
      </c>
      <c r="C1311" s="1">
        <v>254</v>
      </c>
      <c r="D1311" s="1">
        <v>22</v>
      </c>
      <c r="E1311" s="1">
        <v>6</v>
      </c>
      <c r="F1311" s="1">
        <v>4</v>
      </c>
      <c r="G1311" s="1">
        <v>26.75</v>
      </c>
      <c r="H1311" s="1" t="s">
        <v>279</v>
      </c>
      <c r="I1311" s="1" t="s">
        <v>45</v>
      </c>
      <c r="J1311" s="1">
        <v>99</v>
      </c>
      <c r="K1311" s="1">
        <v>4.6399999999999997</v>
      </c>
      <c r="L1311" s="4">
        <v>56.63</v>
      </c>
      <c r="M1311" s="1">
        <v>1.21</v>
      </c>
      <c r="N1311" s="1">
        <v>3</v>
      </c>
      <c r="O1311" s="1">
        <v>0.91</v>
      </c>
      <c r="P1311" s="1">
        <v>545</v>
      </c>
      <c r="Q1311" s="1">
        <v>12.51</v>
      </c>
      <c r="R1311" s="1">
        <v>0.85</v>
      </c>
      <c r="S1311" s="2">
        <v>45381</v>
      </c>
      <c r="T1311" s="1">
        <v>231.54</v>
      </c>
      <c r="U1311" s="1">
        <v>0.73799999999999999</v>
      </c>
      <c r="V1311" s="6">
        <f t="shared" si="60"/>
        <v>14384.02</v>
      </c>
      <c r="W1311" s="6" t="str">
        <f t="shared" si="61"/>
        <v>Sufficient</v>
      </c>
      <c r="X1311" s="8" t="str">
        <f t="shared" si="62"/>
        <v>High</v>
      </c>
    </row>
    <row r="1312" spans="1:24">
      <c r="A1312" s="7" t="s">
        <v>1442</v>
      </c>
      <c r="B1312" s="1" t="s">
        <v>29</v>
      </c>
      <c r="C1312" s="1">
        <v>435</v>
      </c>
      <c r="D1312" s="1">
        <v>14</v>
      </c>
      <c r="E1312" s="1">
        <v>13</v>
      </c>
      <c r="F1312" s="1">
        <v>6</v>
      </c>
      <c r="G1312" s="1">
        <v>26.89</v>
      </c>
      <c r="H1312" s="1" t="s">
        <v>282</v>
      </c>
      <c r="I1312" s="1" t="s">
        <v>45</v>
      </c>
      <c r="J1312" s="1">
        <v>88</v>
      </c>
      <c r="K1312" s="1">
        <v>1.4</v>
      </c>
      <c r="L1312" s="4">
        <v>175.33</v>
      </c>
      <c r="M1312" s="1">
        <v>0.48</v>
      </c>
      <c r="N1312" s="1">
        <v>5</v>
      </c>
      <c r="O1312" s="1">
        <v>0.91</v>
      </c>
      <c r="P1312" s="1">
        <v>340</v>
      </c>
      <c r="Q1312" s="1">
        <v>7.56</v>
      </c>
      <c r="R1312" s="1">
        <v>0.51</v>
      </c>
      <c r="S1312" s="2">
        <v>45654</v>
      </c>
      <c r="T1312" s="1">
        <v>14.46</v>
      </c>
      <c r="U1312" s="1">
        <v>0.63700000000000001</v>
      </c>
      <c r="V1312" s="6">
        <f t="shared" si="60"/>
        <v>76268.55</v>
      </c>
      <c r="W1312" s="6" t="str">
        <f t="shared" si="61"/>
        <v>Sufficient</v>
      </c>
      <c r="X1312" s="8" t="str">
        <f t="shared" si="62"/>
        <v>High</v>
      </c>
    </row>
    <row r="1313" spans="1:24">
      <c r="A1313" s="7" t="s">
        <v>1443</v>
      </c>
      <c r="B1313" s="1" t="s">
        <v>66</v>
      </c>
      <c r="C1313" s="1">
        <v>445</v>
      </c>
      <c r="D1313" s="1">
        <v>84</v>
      </c>
      <c r="E1313" s="1">
        <v>6</v>
      </c>
      <c r="F1313" s="1">
        <v>9</v>
      </c>
      <c r="G1313" s="1">
        <v>48.11</v>
      </c>
      <c r="H1313" s="1" t="s">
        <v>233</v>
      </c>
      <c r="I1313" s="1" t="s">
        <v>39</v>
      </c>
      <c r="J1313" s="1">
        <v>136</v>
      </c>
      <c r="K1313" s="1">
        <v>3.77</v>
      </c>
      <c r="L1313" s="4">
        <v>133.74</v>
      </c>
      <c r="M1313" s="1">
        <v>0.11</v>
      </c>
      <c r="N1313" s="1">
        <v>8</v>
      </c>
      <c r="O1313" s="1">
        <v>0.79</v>
      </c>
      <c r="P1313" s="1">
        <v>798</v>
      </c>
      <c r="Q1313" s="1">
        <v>7.97</v>
      </c>
      <c r="R1313" s="1">
        <v>0.31</v>
      </c>
      <c r="S1313" s="2">
        <v>45579</v>
      </c>
      <c r="T1313" s="1">
        <v>26.34</v>
      </c>
      <c r="U1313" s="1">
        <v>0.55500000000000005</v>
      </c>
      <c r="V1313" s="6">
        <f t="shared" si="60"/>
        <v>59514.3</v>
      </c>
      <c r="W1313" s="6" t="str">
        <f t="shared" si="61"/>
        <v>Sufficient</v>
      </c>
      <c r="X1313" s="8" t="str">
        <f t="shared" si="62"/>
        <v>High</v>
      </c>
    </row>
    <row r="1314" spans="1:24">
      <c r="A1314" s="7" t="s">
        <v>1444</v>
      </c>
      <c r="B1314" s="1" t="s">
        <v>29</v>
      </c>
      <c r="C1314" s="1">
        <v>481</v>
      </c>
      <c r="D1314" s="1">
        <v>83</v>
      </c>
      <c r="E1314" s="1">
        <v>5</v>
      </c>
      <c r="F1314" s="1">
        <v>2</v>
      </c>
      <c r="G1314" s="1">
        <v>16.72</v>
      </c>
      <c r="H1314" s="1" t="s">
        <v>411</v>
      </c>
      <c r="I1314" s="1" t="s">
        <v>45</v>
      </c>
      <c r="J1314" s="1">
        <v>62</v>
      </c>
      <c r="K1314" s="1">
        <v>3.11</v>
      </c>
      <c r="L1314" s="4">
        <v>132.11000000000001</v>
      </c>
      <c r="M1314" s="1">
        <v>1.54</v>
      </c>
      <c r="N1314" s="1">
        <v>1</v>
      </c>
      <c r="O1314" s="1">
        <v>0.92</v>
      </c>
      <c r="P1314" s="1">
        <v>898</v>
      </c>
      <c r="Q1314" s="1">
        <v>4.84</v>
      </c>
      <c r="R1314" s="1">
        <v>0.75</v>
      </c>
      <c r="S1314" s="2">
        <v>45647</v>
      </c>
      <c r="T1314" s="1">
        <v>252.36</v>
      </c>
      <c r="U1314" s="1">
        <v>0.625</v>
      </c>
      <c r="V1314" s="6">
        <f t="shared" si="60"/>
        <v>63544.91</v>
      </c>
      <c r="W1314" s="6" t="str">
        <f t="shared" si="61"/>
        <v>Sufficient</v>
      </c>
      <c r="X1314" s="8" t="str">
        <f t="shared" si="62"/>
        <v>High</v>
      </c>
    </row>
    <row r="1315" spans="1:24">
      <c r="A1315" s="7" t="s">
        <v>1445</v>
      </c>
      <c r="B1315" s="1" t="s">
        <v>41</v>
      </c>
      <c r="C1315" s="1">
        <v>141</v>
      </c>
      <c r="D1315" s="1">
        <v>61</v>
      </c>
      <c r="E1315" s="1">
        <v>12</v>
      </c>
      <c r="F1315" s="1">
        <v>6</v>
      </c>
      <c r="G1315" s="1">
        <v>24.5</v>
      </c>
      <c r="H1315" s="1" t="s">
        <v>83</v>
      </c>
      <c r="I1315" s="1" t="s">
        <v>45</v>
      </c>
      <c r="J1315" s="1">
        <v>157</v>
      </c>
      <c r="K1315" s="1">
        <v>0.72</v>
      </c>
      <c r="L1315" s="4">
        <v>28.5</v>
      </c>
      <c r="M1315" s="1">
        <v>0.39</v>
      </c>
      <c r="N1315" s="1">
        <v>6</v>
      </c>
      <c r="O1315" s="1">
        <v>0.87</v>
      </c>
      <c r="P1315" s="1">
        <v>486</v>
      </c>
      <c r="Q1315" s="1">
        <v>5.2</v>
      </c>
      <c r="R1315" s="1">
        <v>0.53</v>
      </c>
      <c r="S1315" s="2">
        <v>45606</v>
      </c>
      <c r="T1315" s="1">
        <v>173.63</v>
      </c>
      <c r="U1315" s="1">
        <v>0.59</v>
      </c>
      <c r="V1315" s="6">
        <f t="shared" si="60"/>
        <v>4018.5</v>
      </c>
      <c r="W1315" s="6" t="str">
        <f t="shared" si="61"/>
        <v>Sufficient</v>
      </c>
      <c r="X1315" s="8" t="str">
        <f t="shared" si="62"/>
        <v>Medium</v>
      </c>
    </row>
    <row r="1316" spans="1:24">
      <c r="A1316" s="7" t="s">
        <v>1446</v>
      </c>
      <c r="B1316" s="1" t="s">
        <v>66</v>
      </c>
      <c r="C1316" s="1">
        <v>157</v>
      </c>
      <c r="D1316" s="1">
        <v>86</v>
      </c>
      <c r="E1316" s="1">
        <v>10</v>
      </c>
      <c r="F1316" s="1">
        <v>6</v>
      </c>
      <c r="G1316" s="1">
        <v>40.770000000000003</v>
      </c>
      <c r="H1316" s="1" t="s">
        <v>106</v>
      </c>
      <c r="I1316" s="1" t="s">
        <v>39</v>
      </c>
      <c r="J1316" s="1">
        <v>30</v>
      </c>
      <c r="K1316" s="1">
        <v>2.17</v>
      </c>
      <c r="L1316" s="4">
        <v>89.7</v>
      </c>
      <c r="M1316" s="1">
        <v>1.89</v>
      </c>
      <c r="N1316" s="1">
        <v>2</v>
      </c>
      <c r="O1316" s="1">
        <v>0.87</v>
      </c>
      <c r="P1316" s="1">
        <v>151</v>
      </c>
      <c r="Q1316" s="1">
        <v>2.1800000000000002</v>
      </c>
      <c r="R1316" s="1">
        <v>0.96</v>
      </c>
      <c r="S1316" s="2">
        <v>45474</v>
      </c>
      <c r="T1316" s="1">
        <v>118.26</v>
      </c>
      <c r="U1316" s="1">
        <v>0.56599999999999995</v>
      </c>
      <c r="V1316" s="6">
        <f t="shared" si="60"/>
        <v>14082.9</v>
      </c>
      <c r="W1316" s="6" t="str">
        <f t="shared" si="61"/>
        <v>Sufficient</v>
      </c>
      <c r="X1316" s="8" t="str">
        <f t="shared" si="62"/>
        <v>Medium</v>
      </c>
    </row>
    <row r="1317" spans="1:24">
      <c r="A1317" s="7" t="s">
        <v>1447</v>
      </c>
      <c r="B1317" s="1" t="s">
        <v>29</v>
      </c>
      <c r="C1317" s="1">
        <v>134</v>
      </c>
      <c r="D1317" s="1">
        <v>50</v>
      </c>
      <c r="E1317" s="1">
        <v>9</v>
      </c>
      <c r="F1317" s="1">
        <v>6</v>
      </c>
      <c r="G1317" s="1">
        <v>38.19</v>
      </c>
      <c r="H1317" s="1" t="s">
        <v>185</v>
      </c>
      <c r="I1317" s="1" t="s">
        <v>27</v>
      </c>
      <c r="J1317" s="1">
        <v>99</v>
      </c>
      <c r="K1317" s="1">
        <v>2.69</v>
      </c>
      <c r="L1317" s="4">
        <v>109.73</v>
      </c>
      <c r="M1317" s="1">
        <v>1.23</v>
      </c>
      <c r="N1317" s="1">
        <v>0</v>
      </c>
      <c r="O1317" s="1">
        <v>0.81</v>
      </c>
      <c r="P1317" s="1">
        <v>59</v>
      </c>
      <c r="Q1317" s="1">
        <v>14.04</v>
      </c>
      <c r="R1317" s="1">
        <v>0.35</v>
      </c>
      <c r="S1317" s="2">
        <v>45406</v>
      </c>
      <c r="T1317" s="1">
        <v>224.73</v>
      </c>
      <c r="U1317" s="1">
        <v>0.69599999999999995</v>
      </c>
      <c r="V1317" s="6">
        <f t="shared" si="60"/>
        <v>14703.82</v>
      </c>
      <c r="W1317" s="6" t="str">
        <f t="shared" si="61"/>
        <v>Sufficient</v>
      </c>
      <c r="X1317" s="8" t="str">
        <f t="shared" si="62"/>
        <v>Medium</v>
      </c>
    </row>
    <row r="1318" spans="1:24">
      <c r="A1318" s="7" t="s">
        <v>1448</v>
      </c>
      <c r="B1318" s="1" t="s">
        <v>41</v>
      </c>
      <c r="C1318" s="1">
        <v>439</v>
      </c>
      <c r="D1318" s="1">
        <v>62</v>
      </c>
      <c r="E1318" s="1">
        <v>11</v>
      </c>
      <c r="F1318" s="1">
        <v>9</v>
      </c>
      <c r="G1318" s="1">
        <v>14.02</v>
      </c>
      <c r="H1318" s="1" t="s">
        <v>350</v>
      </c>
      <c r="I1318" s="1" t="s">
        <v>27</v>
      </c>
      <c r="J1318" s="1">
        <v>122</v>
      </c>
      <c r="K1318" s="1">
        <v>3.5</v>
      </c>
      <c r="L1318" s="4">
        <v>65.87</v>
      </c>
      <c r="M1318" s="1">
        <v>0.27</v>
      </c>
      <c r="N1318" s="1">
        <v>8</v>
      </c>
      <c r="O1318" s="1">
        <v>0.74</v>
      </c>
      <c r="P1318" s="1">
        <v>90</v>
      </c>
      <c r="Q1318" s="1">
        <v>6.35</v>
      </c>
      <c r="R1318" s="1">
        <v>0.7</v>
      </c>
      <c r="S1318" s="2">
        <v>45632</v>
      </c>
      <c r="T1318" s="1">
        <v>43.17</v>
      </c>
      <c r="U1318" s="1">
        <v>0.58599999999999997</v>
      </c>
      <c r="V1318" s="6">
        <f t="shared" si="60"/>
        <v>28916.93</v>
      </c>
      <c r="W1318" s="6" t="str">
        <f t="shared" si="61"/>
        <v>Sufficient</v>
      </c>
      <c r="X1318" s="8" t="str">
        <f t="shared" si="62"/>
        <v>High</v>
      </c>
    </row>
    <row r="1319" spans="1:24">
      <c r="A1319" s="7" t="s">
        <v>1449</v>
      </c>
      <c r="B1319" s="1" t="s">
        <v>25</v>
      </c>
      <c r="C1319" s="1">
        <v>181</v>
      </c>
      <c r="D1319" s="1">
        <v>59</v>
      </c>
      <c r="E1319" s="1">
        <v>3</v>
      </c>
      <c r="F1319" s="1">
        <v>5</v>
      </c>
      <c r="G1319" s="1">
        <v>8.4</v>
      </c>
      <c r="H1319" s="1" t="s">
        <v>122</v>
      </c>
      <c r="I1319" s="1" t="s">
        <v>31</v>
      </c>
      <c r="J1319" s="1">
        <v>60</v>
      </c>
      <c r="K1319" s="1">
        <v>1.83</v>
      </c>
      <c r="L1319" s="4">
        <v>177.39</v>
      </c>
      <c r="M1319" s="1">
        <v>0.51</v>
      </c>
      <c r="N1319" s="1">
        <v>8</v>
      </c>
      <c r="O1319" s="1">
        <v>0.77</v>
      </c>
      <c r="P1319" s="1">
        <v>419</v>
      </c>
      <c r="Q1319" s="1">
        <v>3.27</v>
      </c>
      <c r="R1319" s="1">
        <v>0.89</v>
      </c>
      <c r="S1319" s="2">
        <v>45593</v>
      </c>
      <c r="T1319" s="1">
        <v>93.14</v>
      </c>
      <c r="U1319" s="1">
        <v>0.56499999999999995</v>
      </c>
      <c r="V1319" s="6">
        <f t="shared" si="60"/>
        <v>32107.589999999997</v>
      </c>
      <c r="W1319" s="6" t="str">
        <f t="shared" si="61"/>
        <v>Sufficient</v>
      </c>
      <c r="X1319" s="8" t="str">
        <f t="shared" si="62"/>
        <v>Medium</v>
      </c>
    </row>
    <row r="1320" spans="1:24">
      <c r="A1320" s="7" t="s">
        <v>1450</v>
      </c>
      <c r="B1320" s="1" t="s">
        <v>41</v>
      </c>
      <c r="C1320" s="1">
        <v>220</v>
      </c>
      <c r="D1320" s="1">
        <v>24</v>
      </c>
      <c r="E1320" s="1">
        <v>9</v>
      </c>
      <c r="F1320" s="1">
        <v>6</v>
      </c>
      <c r="G1320" s="1">
        <v>35.33</v>
      </c>
      <c r="H1320" s="1" t="s">
        <v>103</v>
      </c>
      <c r="I1320" s="1" t="s">
        <v>27</v>
      </c>
      <c r="J1320" s="1">
        <v>162</v>
      </c>
      <c r="K1320" s="1">
        <v>4.7</v>
      </c>
      <c r="L1320" s="4">
        <v>169.16</v>
      </c>
      <c r="M1320" s="1">
        <v>1.26</v>
      </c>
      <c r="N1320" s="1">
        <v>3</v>
      </c>
      <c r="O1320" s="1">
        <v>0.93</v>
      </c>
      <c r="P1320" s="1">
        <v>175</v>
      </c>
      <c r="Q1320" s="1">
        <v>2.99</v>
      </c>
      <c r="R1320" s="1">
        <v>0.52</v>
      </c>
      <c r="S1320" s="2">
        <v>45381</v>
      </c>
      <c r="T1320" s="1">
        <v>221.01</v>
      </c>
      <c r="U1320" s="1">
        <v>0.54400000000000004</v>
      </c>
      <c r="V1320" s="6">
        <f t="shared" si="60"/>
        <v>37215.199999999997</v>
      </c>
      <c r="W1320" s="6" t="str">
        <f t="shared" si="61"/>
        <v>Sufficient</v>
      </c>
      <c r="X1320" s="8" t="str">
        <f t="shared" si="62"/>
        <v>Medium</v>
      </c>
    </row>
    <row r="1321" spans="1:24">
      <c r="A1321" s="7" t="s">
        <v>1451</v>
      </c>
      <c r="B1321" s="1" t="s">
        <v>33</v>
      </c>
      <c r="C1321" s="1">
        <v>253</v>
      </c>
      <c r="D1321" s="1">
        <v>16</v>
      </c>
      <c r="E1321" s="1">
        <v>12</v>
      </c>
      <c r="F1321" s="1">
        <v>7</v>
      </c>
      <c r="G1321" s="1">
        <v>13.63</v>
      </c>
      <c r="H1321" s="1" t="s">
        <v>143</v>
      </c>
      <c r="I1321" s="1" t="s">
        <v>45</v>
      </c>
      <c r="J1321" s="1">
        <v>77</v>
      </c>
      <c r="K1321" s="1">
        <v>2.5299999999999998</v>
      </c>
      <c r="L1321" s="4">
        <v>103.79</v>
      </c>
      <c r="M1321" s="1">
        <v>0.74</v>
      </c>
      <c r="N1321" s="1">
        <v>8</v>
      </c>
      <c r="O1321" s="1">
        <v>0.78</v>
      </c>
      <c r="P1321" s="1">
        <v>834</v>
      </c>
      <c r="Q1321" s="1">
        <v>6.7</v>
      </c>
      <c r="R1321" s="1">
        <v>0.96</v>
      </c>
      <c r="S1321" s="2">
        <v>45485</v>
      </c>
      <c r="T1321" s="1">
        <v>70.08</v>
      </c>
      <c r="U1321" s="1">
        <v>0.60299999999999998</v>
      </c>
      <c r="V1321" s="6">
        <f t="shared" si="60"/>
        <v>26258.870000000003</v>
      </c>
      <c r="W1321" s="6" t="str">
        <f t="shared" si="61"/>
        <v>Sufficient</v>
      </c>
      <c r="X1321" s="8" t="str">
        <f t="shared" si="62"/>
        <v>High</v>
      </c>
    </row>
    <row r="1322" spans="1:24">
      <c r="A1322" s="7" t="s">
        <v>1452</v>
      </c>
      <c r="B1322" s="1" t="s">
        <v>41</v>
      </c>
      <c r="C1322" s="1">
        <v>47</v>
      </c>
      <c r="D1322" s="1">
        <v>49</v>
      </c>
      <c r="E1322" s="1">
        <v>6</v>
      </c>
      <c r="F1322" s="1">
        <v>3</v>
      </c>
      <c r="G1322" s="1">
        <v>46.21</v>
      </c>
      <c r="H1322" s="1" t="s">
        <v>200</v>
      </c>
      <c r="I1322" s="1" t="s">
        <v>27</v>
      </c>
      <c r="J1322" s="1">
        <v>125</v>
      </c>
      <c r="K1322" s="1">
        <v>1.62</v>
      </c>
      <c r="L1322" s="4">
        <v>74.61</v>
      </c>
      <c r="M1322" s="1">
        <v>1.1100000000000001</v>
      </c>
      <c r="N1322" s="1">
        <v>6</v>
      </c>
      <c r="O1322" s="1">
        <v>0.7</v>
      </c>
      <c r="P1322" s="1">
        <v>432</v>
      </c>
      <c r="Q1322" s="1">
        <v>9.85</v>
      </c>
      <c r="R1322" s="1">
        <v>0.26</v>
      </c>
      <c r="S1322" s="2">
        <v>45449</v>
      </c>
      <c r="T1322" s="1">
        <v>184.19</v>
      </c>
      <c r="U1322" s="1">
        <v>0.49199999999999999</v>
      </c>
      <c r="V1322" s="6">
        <f t="shared" si="60"/>
        <v>3506.67</v>
      </c>
      <c r="W1322" s="6" t="str">
        <f t="shared" si="61"/>
        <v>Reorder Required</v>
      </c>
      <c r="X1322" s="8" t="str">
        <f t="shared" si="62"/>
        <v>LOW</v>
      </c>
    </row>
    <row r="1323" spans="1:24">
      <c r="A1323" s="7" t="s">
        <v>1453</v>
      </c>
      <c r="B1323" s="1" t="s">
        <v>41</v>
      </c>
      <c r="C1323" s="1">
        <v>30</v>
      </c>
      <c r="D1323" s="1">
        <v>37</v>
      </c>
      <c r="E1323" s="1">
        <v>9</v>
      </c>
      <c r="F1323" s="1">
        <v>7</v>
      </c>
      <c r="G1323" s="1">
        <v>7.33</v>
      </c>
      <c r="H1323" s="1" t="s">
        <v>229</v>
      </c>
      <c r="I1323" s="1" t="s">
        <v>39</v>
      </c>
      <c r="J1323" s="1">
        <v>147</v>
      </c>
      <c r="K1323" s="1">
        <v>1.92</v>
      </c>
      <c r="L1323" s="4">
        <v>162.29</v>
      </c>
      <c r="M1323" s="1">
        <v>1.62</v>
      </c>
      <c r="N1323" s="1">
        <v>3</v>
      </c>
      <c r="O1323" s="1">
        <v>1</v>
      </c>
      <c r="P1323" s="1">
        <v>376</v>
      </c>
      <c r="Q1323" s="1">
        <v>11.89</v>
      </c>
      <c r="R1323" s="1">
        <v>0.67</v>
      </c>
      <c r="S1323" s="2">
        <v>45644</v>
      </c>
      <c r="T1323" s="1">
        <v>139.82</v>
      </c>
      <c r="U1323" s="1">
        <v>0.67100000000000004</v>
      </c>
      <c r="V1323" s="6">
        <f t="shared" si="60"/>
        <v>4868.7</v>
      </c>
      <c r="W1323" s="6" t="str">
        <f t="shared" si="61"/>
        <v>Reorder Required</v>
      </c>
      <c r="X1323" s="8" t="str">
        <f t="shared" si="62"/>
        <v>LOW</v>
      </c>
    </row>
    <row r="1324" spans="1:24">
      <c r="A1324" s="7" t="s">
        <v>1454</v>
      </c>
      <c r="B1324" s="1" t="s">
        <v>33</v>
      </c>
      <c r="C1324" s="1">
        <v>225</v>
      </c>
      <c r="D1324" s="1">
        <v>41</v>
      </c>
      <c r="E1324" s="1">
        <v>14</v>
      </c>
      <c r="F1324" s="1">
        <v>7</v>
      </c>
      <c r="G1324" s="1">
        <v>16.600000000000001</v>
      </c>
      <c r="H1324" s="1" t="s">
        <v>83</v>
      </c>
      <c r="I1324" s="1" t="s">
        <v>27</v>
      </c>
      <c r="J1324" s="1">
        <v>92</v>
      </c>
      <c r="K1324" s="1">
        <v>3.88</v>
      </c>
      <c r="L1324" s="4">
        <v>47.41</v>
      </c>
      <c r="M1324" s="1">
        <v>1.61</v>
      </c>
      <c r="N1324" s="1">
        <v>1</v>
      </c>
      <c r="O1324" s="1">
        <v>0.76</v>
      </c>
      <c r="P1324" s="1">
        <v>499</v>
      </c>
      <c r="Q1324" s="1">
        <v>13.94</v>
      </c>
      <c r="R1324" s="1">
        <v>0.82</v>
      </c>
      <c r="S1324" s="2">
        <v>45442</v>
      </c>
      <c r="T1324" s="1">
        <v>68.69</v>
      </c>
      <c r="U1324" s="1">
        <v>0.72099999999999997</v>
      </c>
      <c r="V1324" s="6">
        <f t="shared" si="60"/>
        <v>10667.25</v>
      </c>
      <c r="W1324" s="6" t="str">
        <f t="shared" si="61"/>
        <v>Sufficient</v>
      </c>
      <c r="X1324" s="8" t="str">
        <f t="shared" si="62"/>
        <v>Medium</v>
      </c>
    </row>
    <row r="1325" spans="1:24">
      <c r="A1325" s="7" t="s">
        <v>1455</v>
      </c>
      <c r="B1325" s="1" t="s">
        <v>29</v>
      </c>
      <c r="C1325" s="1">
        <v>186</v>
      </c>
      <c r="D1325" s="1">
        <v>24</v>
      </c>
      <c r="E1325" s="1">
        <v>3</v>
      </c>
      <c r="F1325" s="1">
        <v>4</v>
      </c>
      <c r="G1325" s="1">
        <v>3.68</v>
      </c>
      <c r="H1325" s="1" t="s">
        <v>135</v>
      </c>
      <c r="I1325" s="1" t="s">
        <v>27</v>
      </c>
      <c r="J1325" s="1">
        <v>104</v>
      </c>
      <c r="K1325" s="1">
        <v>3.38</v>
      </c>
      <c r="L1325" s="4">
        <v>23.59</v>
      </c>
      <c r="M1325" s="1">
        <v>1.43</v>
      </c>
      <c r="N1325" s="1">
        <v>4</v>
      </c>
      <c r="O1325" s="1">
        <v>0.9</v>
      </c>
      <c r="P1325" s="1">
        <v>572</v>
      </c>
      <c r="Q1325" s="1">
        <v>9.9</v>
      </c>
      <c r="R1325" s="1">
        <v>0.36</v>
      </c>
      <c r="S1325" s="2">
        <v>45357</v>
      </c>
      <c r="T1325" s="1">
        <v>267.63</v>
      </c>
      <c r="U1325" s="1">
        <v>0.56100000000000005</v>
      </c>
      <c r="V1325" s="6">
        <f t="shared" si="60"/>
        <v>4387.74</v>
      </c>
      <c r="W1325" s="6" t="str">
        <f t="shared" si="61"/>
        <v>Sufficient</v>
      </c>
      <c r="X1325" s="8" t="str">
        <f t="shared" si="62"/>
        <v>Medium</v>
      </c>
    </row>
    <row r="1326" spans="1:24">
      <c r="A1326" s="7" t="s">
        <v>1456</v>
      </c>
      <c r="B1326" s="1" t="s">
        <v>29</v>
      </c>
      <c r="C1326" s="1">
        <v>266</v>
      </c>
      <c r="D1326" s="1">
        <v>94</v>
      </c>
      <c r="E1326" s="1">
        <v>7</v>
      </c>
      <c r="F1326" s="1">
        <v>5</v>
      </c>
      <c r="G1326" s="1">
        <v>35.46</v>
      </c>
      <c r="H1326" s="1" t="s">
        <v>394</v>
      </c>
      <c r="I1326" s="1" t="s">
        <v>31</v>
      </c>
      <c r="J1326" s="1">
        <v>146</v>
      </c>
      <c r="K1326" s="1">
        <v>3.84</v>
      </c>
      <c r="L1326" s="4">
        <v>18.68</v>
      </c>
      <c r="M1326" s="1">
        <v>1.78</v>
      </c>
      <c r="N1326" s="1">
        <v>7</v>
      </c>
      <c r="O1326" s="1">
        <v>0.98</v>
      </c>
      <c r="P1326" s="1">
        <v>880</v>
      </c>
      <c r="Q1326" s="1">
        <v>6.89</v>
      </c>
      <c r="R1326" s="1">
        <v>0.25</v>
      </c>
      <c r="S1326" s="2">
        <v>45382</v>
      </c>
      <c r="T1326" s="1">
        <v>136.30000000000001</v>
      </c>
      <c r="U1326" s="1">
        <v>0.42</v>
      </c>
      <c r="V1326" s="6">
        <f t="shared" si="60"/>
        <v>4968.88</v>
      </c>
      <c r="W1326" s="6" t="str">
        <f t="shared" si="61"/>
        <v>Sufficient</v>
      </c>
      <c r="X1326" s="8" t="str">
        <f t="shared" si="62"/>
        <v>High</v>
      </c>
    </row>
    <row r="1327" spans="1:24">
      <c r="A1327" s="7" t="s">
        <v>1457</v>
      </c>
      <c r="B1327" s="1" t="s">
        <v>41</v>
      </c>
      <c r="C1327" s="1">
        <v>66</v>
      </c>
      <c r="D1327" s="1">
        <v>79</v>
      </c>
      <c r="E1327" s="1">
        <v>5</v>
      </c>
      <c r="F1327" s="1">
        <v>9</v>
      </c>
      <c r="G1327" s="1">
        <v>44.67</v>
      </c>
      <c r="H1327" s="1" t="s">
        <v>52</v>
      </c>
      <c r="I1327" s="1" t="s">
        <v>31</v>
      </c>
      <c r="J1327" s="1">
        <v>38</v>
      </c>
      <c r="K1327" s="1">
        <v>1.82</v>
      </c>
      <c r="L1327" s="4">
        <v>17.350000000000001</v>
      </c>
      <c r="M1327" s="1">
        <v>0.48</v>
      </c>
      <c r="N1327" s="1">
        <v>9</v>
      </c>
      <c r="O1327" s="1">
        <v>0.88</v>
      </c>
      <c r="P1327" s="1">
        <v>756</v>
      </c>
      <c r="Q1327" s="1">
        <v>6.91</v>
      </c>
      <c r="R1327" s="1">
        <v>0.26</v>
      </c>
      <c r="S1327" s="2">
        <v>45292</v>
      </c>
      <c r="T1327" s="1">
        <v>183.66</v>
      </c>
      <c r="U1327" s="1">
        <v>0.49199999999999999</v>
      </c>
      <c r="V1327" s="6">
        <f t="shared" si="60"/>
        <v>1145.1000000000001</v>
      </c>
      <c r="W1327" s="6" t="str">
        <f t="shared" si="61"/>
        <v>Reorder Required</v>
      </c>
      <c r="X1327" s="8" t="str">
        <f t="shared" si="62"/>
        <v>LOW</v>
      </c>
    </row>
    <row r="1328" spans="1:24">
      <c r="A1328" s="7" t="s">
        <v>1458</v>
      </c>
      <c r="B1328" s="1" t="s">
        <v>33</v>
      </c>
      <c r="C1328" s="1">
        <v>265</v>
      </c>
      <c r="D1328" s="1">
        <v>74</v>
      </c>
      <c r="E1328" s="1">
        <v>7</v>
      </c>
      <c r="F1328" s="1">
        <v>6</v>
      </c>
      <c r="G1328" s="1">
        <v>32.159999999999997</v>
      </c>
      <c r="H1328" s="1" t="s">
        <v>130</v>
      </c>
      <c r="I1328" s="1" t="s">
        <v>45</v>
      </c>
      <c r="J1328" s="1">
        <v>174</v>
      </c>
      <c r="K1328" s="1">
        <v>1.97</v>
      </c>
      <c r="L1328" s="4">
        <v>102.89</v>
      </c>
      <c r="M1328" s="1">
        <v>0.44</v>
      </c>
      <c r="N1328" s="1">
        <v>9</v>
      </c>
      <c r="O1328" s="1">
        <v>0.94</v>
      </c>
      <c r="P1328" s="1">
        <v>991</v>
      </c>
      <c r="Q1328" s="1">
        <v>9.0399999999999991</v>
      </c>
      <c r="R1328" s="1">
        <v>0.46</v>
      </c>
      <c r="S1328" s="2">
        <v>45651</v>
      </c>
      <c r="T1328" s="1">
        <v>83.38</v>
      </c>
      <c r="U1328" s="1">
        <v>0.57699999999999996</v>
      </c>
      <c r="V1328" s="6">
        <f t="shared" si="60"/>
        <v>27265.85</v>
      </c>
      <c r="W1328" s="6" t="str">
        <f t="shared" si="61"/>
        <v>Sufficient</v>
      </c>
      <c r="X1328" s="8" t="str">
        <f t="shared" si="62"/>
        <v>High</v>
      </c>
    </row>
    <row r="1329" spans="1:24">
      <c r="A1329" s="7" t="s">
        <v>1459</v>
      </c>
      <c r="B1329" s="1" t="s">
        <v>33</v>
      </c>
      <c r="C1329" s="1">
        <v>146</v>
      </c>
      <c r="D1329" s="1">
        <v>13</v>
      </c>
      <c r="E1329" s="1">
        <v>6</v>
      </c>
      <c r="F1329" s="1">
        <v>4</v>
      </c>
      <c r="G1329" s="1">
        <v>46.95</v>
      </c>
      <c r="H1329" s="1" t="s">
        <v>113</v>
      </c>
      <c r="I1329" s="1" t="s">
        <v>39</v>
      </c>
      <c r="J1329" s="1">
        <v>119</v>
      </c>
      <c r="K1329" s="1">
        <v>2.29</v>
      </c>
      <c r="L1329" s="4">
        <v>58.51</v>
      </c>
      <c r="M1329" s="1">
        <v>1.62</v>
      </c>
      <c r="N1329" s="1">
        <v>5</v>
      </c>
      <c r="O1329" s="1">
        <v>0.99</v>
      </c>
      <c r="P1329" s="1">
        <v>581</v>
      </c>
      <c r="Q1329" s="1">
        <v>8.5299999999999994</v>
      </c>
      <c r="R1329" s="1">
        <v>0.38</v>
      </c>
      <c r="S1329" s="2">
        <v>45585</v>
      </c>
      <c r="T1329" s="1">
        <v>110.57</v>
      </c>
      <c r="U1329" s="1">
        <v>0.52600000000000002</v>
      </c>
      <c r="V1329" s="6">
        <f t="shared" si="60"/>
        <v>8542.4599999999991</v>
      </c>
      <c r="W1329" s="6" t="str">
        <f t="shared" si="61"/>
        <v>Sufficient</v>
      </c>
      <c r="X1329" s="8" t="str">
        <f t="shared" si="62"/>
        <v>Medium</v>
      </c>
    </row>
    <row r="1330" spans="1:24">
      <c r="A1330" s="7" t="s">
        <v>1460</v>
      </c>
      <c r="B1330" s="1" t="s">
        <v>25</v>
      </c>
      <c r="C1330" s="1">
        <v>166</v>
      </c>
      <c r="D1330" s="1">
        <v>20</v>
      </c>
      <c r="E1330" s="1">
        <v>4</v>
      </c>
      <c r="F1330" s="1">
        <v>2</v>
      </c>
      <c r="G1330" s="1">
        <v>7.3</v>
      </c>
      <c r="H1330" s="1" t="s">
        <v>214</v>
      </c>
      <c r="I1330" s="1" t="s">
        <v>45</v>
      </c>
      <c r="J1330" s="1">
        <v>80</v>
      </c>
      <c r="K1330" s="1">
        <v>1.35</v>
      </c>
      <c r="L1330" s="4">
        <v>141.16999999999999</v>
      </c>
      <c r="M1330" s="1">
        <v>0.71</v>
      </c>
      <c r="N1330" s="1">
        <v>4</v>
      </c>
      <c r="O1330" s="1">
        <v>0.96</v>
      </c>
      <c r="P1330" s="1">
        <v>958</v>
      </c>
      <c r="Q1330" s="1">
        <v>9.9700000000000006</v>
      </c>
      <c r="R1330" s="1">
        <v>0.38</v>
      </c>
      <c r="S1330" s="2">
        <v>45492</v>
      </c>
      <c r="T1330" s="1">
        <v>24.21</v>
      </c>
      <c r="U1330" s="1">
        <v>0.65</v>
      </c>
      <c r="V1330" s="6">
        <f t="shared" si="60"/>
        <v>23434.219999999998</v>
      </c>
      <c r="W1330" s="6" t="str">
        <f t="shared" si="61"/>
        <v>Sufficient</v>
      </c>
      <c r="X1330" s="8" t="str">
        <f t="shared" si="62"/>
        <v>Medium</v>
      </c>
    </row>
    <row r="1331" spans="1:24">
      <c r="A1331" s="7" t="s">
        <v>1461</v>
      </c>
      <c r="B1331" s="1" t="s">
        <v>29</v>
      </c>
      <c r="C1331" s="1">
        <v>137</v>
      </c>
      <c r="D1331" s="1">
        <v>35</v>
      </c>
      <c r="E1331" s="1">
        <v>13</v>
      </c>
      <c r="F1331" s="1">
        <v>2</v>
      </c>
      <c r="G1331" s="1">
        <v>5.3</v>
      </c>
      <c r="H1331" s="1" t="s">
        <v>141</v>
      </c>
      <c r="I1331" s="1" t="s">
        <v>39</v>
      </c>
      <c r="J1331" s="1">
        <v>47</v>
      </c>
      <c r="K1331" s="1">
        <v>3.61</v>
      </c>
      <c r="L1331" s="4">
        <v>134.24</v>
      </c>
      <c r="M1331" s="1">
        <v>1.07</v>
      </c>
      <c r="N1331" s="1">
        <v>3</v>
      </c>
      <c r="O1331" s="1">
        <v>0.87</v>
      </c>
      <c r="P1331" s="1">
        <v>322</v>
      </c>
      <c r="Q1331" s="1">
        <v>8.0500000000000007</v>
      </c>
      <c r="R1331" s="1">
        <v>0.56999999999999995</v>
      </c>
      <c r="S1331" s="2">
        <v>45582</v>
      </c>
      <c r="T1331" s="1">
        <v>150.13</v>
      </c>
      <c r="U1331" s="1">
        <v>0.628</v>
      </c>
      <c r="V1331" s="6">
        <f t="shared" si="60"/>
        <v>18390.88</v>
      </c>
      <c r="W1331" s="6" t="str">
        <f t="shared" si="61"/>
        <v>Sufficient</v>
      </c>
      <c r="X1331" s="8" t="str">
        <f t="shared" si="62"/>
        <v>Medium</v>
      </c>
    </row>
    <row r="1332" spans="1:24">
      <c r="A1332" s="7" t="s">
        <v>1462</v>
      </c>
      <c r="B1332" s="1" t="s">
        <v>66</v>
      </c>
      <c r="C1332" s="1">
        <v>418</v>
      </c>
      <c r="D1332" s="1">
        <v>70</v>
      </c>
      <c r="E1332" s="1">
        <v>6</v>
      </c>
      <c r="F1332" s="1">
        <v>9</v>
      </c>
      <c r="G1332" s="1">
        <v>42.08</v>
      </c>
      <c r="H1332" s="1" t="s">
        <v>81</v>
      </c>
      <c r="I1332" s="1" t="s">
        <v>39</v>
      </c>
      <c r="J1332" s="1">
        <v>136</v>
      </c>
      <c r="K1332" s="1">
        <v>1.98</v>
      </c>
      <c r="L1332" s="4">
        <v>112.98</v>
      </c>
      <c r="M1332" s="1">
        <v>1.51</v>
      </c>
      <c r="N1332" s="1">
        <v>5</v>
      </c>
      <c r="O1332" s="1">
        <v>0.81</v>
      </c>
      <c r="P1332" s="1">
        <v>551</v>
      </c>
      <c r="Q1332" s="1">
        <v>1.83</v>
      </c>
      <c r="R1332" s="1">
        <v>0.27</v>
      </c>
      <c r="S1332" s="2">
        <v>45308</v>
      </c>
      <c r="T1332" s="1">
        <v>110.01</v>
      </c>
      <c r="U1332" s="1">
        <v>0.38900000000000001</v>
      </c>
      <c r="V1332" s="6">
        <f t="shared" si="60"/>
        <v>47225.64</v>
      </c>
      <c r="W1332" s="6" t="str">
        <f t="shared" si="61"/>
        <v>Sufficient</v>
      </c>
      <c r="X1332" s="8" t="str">
        <f t="shared" si="62"/>
        <v>High</v>
      </c>
    </row>
    <row r="1333" spans="1:24">
      <c r="A1333" s="7" t="s">
        <v>1463</v>
      </c>
      <c r="B1333" s="1" t="s">
        <v>29</v>
      </c>
      <c r="C1333" s="1">
        <v>401</v>
      </c>
      <c r="D1333" s="1">
        <v>46</v>
      </c>
      <c r="E1333" s="1">
        <v>5</v>
      </c>
      <c r="F1333" s="1">
        <v>4</v>
      </c>
      <c r="G1333" s="1">
        <v>42.92</v>
      </c>
      <c r="H1333" s="1" t="s">
        <v>97</v>
      </c>
      <c r="I1333" s="1" t="s">
        <v>31</v>
      </c>
      <c r="J1333" s="1">
        <v>81</v>
      </c>
      <c r="K1333" s="1">
        <v>1.97</v>
      </c>
      <c r="L1333" s="4">
        <v>77.040000000000006</v>
      </c>
      <c r="M1333" s="1">
        <v>0.85</v>
      </c>
      <c r="N1333" s="1">
        <v>2</v>
      </c>
      <c r="O1333" s="1">
        <v>0.84</v>
      </c>
      <c r="P1333" s="1">
        <v>796</v>
      </c>
      <c r="Q1333" s="1">
        <v>8.01</v>
      </c>
      <c r="R1333" s="1">
        <v>1</v>
      </c>
      <c r="S1333" s="2">
        <v>45385</v>
      </c>
      <c r="T1333" s="1">
        <v>105.53</v>
      </c>
      <c r="U1333" s="1">
        <v>0.75</v>
      </c>
      <c r="V1333" s="6">
        <f t="shared" si="60"/>
        <v>30893.040000000001</v>
      </c>
      <c r="W1333" s="6" t="str">
        <f t="shared" si="61"/>
        <v>Sufficient</v>
      </c>
      <c r="X1333" s="8" t="str">
        <f t="shared" si="62"/>
        <v>High</v>
      </c>
    </row>
    <row r="1334" spans="1:24">
      <c r="A1334" s="7" t="s">
        <v>1464</v>
      </c>
      <c r="B1334" s="1" t="s">
        <v>29</v>
      </c>
      <c r="C1334" s="1">
        <v>431</v>
      </c>
      <c r="D1334" s="1">
        <v>32</v>
      </c>
      <c r="E1334" s="1">
        <v>3</v>
      </c>
      <c r="F1334" s="1">
        <v>3</v>
      </c>
      <c r="G1334" s="1">
        <v>41.72</v>
      </c>
      <c r="H1334" s="1" t="s">
        <v>325</v>
      </c>
      <c r="I1334" s="1" t="s">
        <v>27</v>
      </c>
      <c r="J1334" s="1">
        <v>68</v>
      </c>
      <c r="K1334" s="1">
        <v>1.71</v>
      </c>
      <c r="L1334" s="4">
        <v>171.59</v>
      </c>
      <c r="M1334" s="1">
        <v>0.35</v>
      </c>
      <c r="N1334" s="1">
        <v>1</v>
      </c>
      <c r="O1334" s="1">
        <v>0.95</v>
      </c>
      <c r="P1334" s="1">
        <v>536</v>
      </c>
      <c r="Q1334" s="1">
        <v>1.32</v>
      </c>
      <c r="R1334" s="1">
        <v>0.76</v>
      </c>
      <c r="S1334" s="2">
        <v>45600</v>
      </c>
      <c r="T1334" s="1">
        <v>268.08</v>
      </c>
      <c r="U1334" s="1">
        <v>0.70499999999999996</v>
      </c>
      <c r="V1334" s="6">
        <f t="shared" si="60"/>
        <v>73955.290000000008</v>
      </c>
      <c r="W1334" s="6" t="str">
        <f t="shared" si="61"/>
        <v>Sufficient</v>
      </c>
      <c r="X1334" s="8" t="str">
        <f t="shared" si="62"/>
        <v>High</v>
      </c>
    </row>
    <row r="1335" spans="1:24">
      <c r="A1335" s="7" t="s">
        <v>1465</v>
      </c>
      <c r="B1335" s="1" t="s">
        <v>25</v>
      </c>
      <c r="C1335" s="1">
        <v>171</v>
      </c>
      <c r="D1335" s="1">
        <v>94</v>
      </c>
      <c r="E1335" s="1">
        <v>14</v>
      </c>
      <c r="F1335" s="1">
        <v>9</v>
      </c>
      <c r="G1335" s="1">
        <v>40.15</v>
      </c>
      <c r="H1335" s="1" t="s">
        <v>55</v>
      </c>
      <c r="I1335" s="1" t="s">
        <v>27</v>
      </c>
      <c r="J1335" s="1">
        <v>37</v>
      </c>
      <c r="K1335" s="1">
        <v>2.54</v>
      </c>
      <c r="L1335" s="4">
        <v>144.84</v>
      </c>
      <c r="M1335" s="1">
        <v>1.39</v>
      </c>
      <c r="N1335" s="1">
        <v>0</v>
      </c>
      <c r="O1335" s="1">
        <v>0.96</v>
      </c>
      <c r="P1335" s="1">
        <v>977</v>
      </c>
      <c r="Q1335" s="1">
        <v>3.53</v>
      </c>
      <c r="R1335" s="1">
        <v>0.22</v>
      </c>
      <c r="S1335" s="2">
        <v>45454</v>
      </c>
      <c r="T1335" s="1">
        <v>214.12</v>
      </c>
      <c r="U1335" s="1">
        <v>0.54400000000000004</v>
      </c>
      <c r="V1335" s="6">
        <f t="shared" si="60"/>
        <v>24767.64</v>
      </c>
      <c r="W1335" s="6" t="str">
        <f t="shared" si="61"/>
        <v>Sufficient</v>
      </c>
      <c r="X1335" s="8" t="str">
        <f t="shared" si="62"/>
        <v>Medium</v>
      </c>
    </row>
    <row r="1336" spans="1:24">
      <c r="A1336" s="7" t="s">
        <v>1466</v>
      </c>
      <c r="B1336" s="1" t="s">
        <v>66</v>
      </c>
      <c r="C1336" s="1">
        <v>91</v>
      </c>
      <c r="D1336" s="1">
        <v>49</v>
      </c>
      <c r="E1336" s="1">
        <v>12</v>
      </c>
      <c r="F1336" s="1">
        <v>4</v>
      </c>
      <c r="G1336" s="1">
        <v>18.75</v>
      </c>
      <c r="H1336" s="1" t="s">
        <v>63</v>
      </c>
      <c r="I1336" s="1" t="s">
        <v>31</v>
      </c>
      <c r="J1336" s="1">
        <v>165</v>
      </c>
      <c r="K1336" s="1">
        <v>3.97</v>
      </c>
      <c r="L1336" s="4">
        <v>61.59</v>
      </c>
      <c r="M1336" s="1">
        <v>1.65</v>
      </c>
      <c r="N1336" s="1">
        <v>8</v>
      </c>
      <c r="O1336" s="1">
        <v>0.95</v>
      </c>
      <c r="P1336" s="1">
        <v>276</v>
      </c>
      <c r="Q1336" s="1">
        <v>6.42</v>
      </c>
      <c r="R1336" s="1">
        <v>0.75</v>
      </c>
      <c r="S1336" s="2">
        <v>45605</v>
      </c>
      <c r="T1336" s="1">
        <v>142.61000000000001</v>
      </c>
      <c r="U1336" s="1">
        <v>0.501</v>
      </c>
      <c r="V1336" s="6">
        <f t="shared" si="60"/>
        <v>5604.6900000000005</v>
      </c>
      <c r="W1336" s="6" t="str">
        <f t="shared" si="61"/>
        <v>Sufficient</v>
      </c>
      <c r="X1336" s="8" t="str">
        <f t="shared" si="62"/>
        <v>LOW</v>
      </c>
    </row>
    <row r="1337" spans="1:24">
      <c r="A1337" s="7" t="s">
        <v>1467</v>
      </c>
      <c r="B1337" s="1" t="s">
        <v>25</v>
      </c>
      <c r="C1337" s="1">
        <v>382</v>
      </c>
      <c r="D1337" s="1">
        <v>86</v>
      </c>
      <c r="E1337" s="1">
        <v>10</v>
      </c>
      <c r="F1337" s="1">
        <v>4</v>
      </c>
      <c r="G1337" s="1">
        <v>11.66</v>
      </c>
      <c r="H1337" s="1" t="s">
        <v>143</v>
      </c>
      <c r="I1337" s="1" t="s">
        <v>45</v>
      </c>
      <c r="J1337" s="1">
        <v>55</v>
      </c>
      <c r="K1337" s="1">
        <v>4.26</v>
      </c>
      <c r="L1337" s="4">
        <v>105.32</v>
      </c>
      <c r="M1337" s="1">
        <v>0.12</v>
      </c>
      <c r="N1337" s="1">
        <v>0</v>
      </c>
      <c r="O1337" s="1">
        <v>0.88</v>
      </c>
      <c r="P1337" s="1">
        <v>276</v>
      </c>
      <c r="Q1337" s="1">
        <v>8.7200000000000006</v>
      </c>
      <c r="R1337" s="1">
        <v>0.83</v>
      </c>
      <c r="S1337" s="2">
        <v>45405</v>
      </c>
      <c r="T1337" s="1">
        <v>66.650000000000006</v>
      </c>
      <c r="U1337" s="1">
        <v>0.84599999999999997</v>
      </c>
      <c r="V1337" s="6">
        <f t="shared" si="60"/>
        <v>40232.239999999998</v>
      </c>
      <c r="W1337" s="6" t="str">
        <f t="shared" si="61"/>
        <v>Sufficient</v>
      </c>
      <c r="X1337" s="8" t="str">
        <f t="shared" si="62"/>
        <v>High</v>
      </c>
    </row>
    <row r="1338" spans="1:24">
      <c r="A1338" s="7" t="s">
        <v>1468</v>
      </c>
      <c r="B1338" s="1" t="s">
        <v>66</v>
      </c>
      <c r="C1338" s="1">
        <v>156</v>
      </c>
      <c r="D1338" s="1">
        <v>32</v>
      </c>
      <c r="E1338" s="1">
        <v>7</v>
      </c>
      <c r="F1338" s="1">
        <v>5</v>
      </c>
      <c r="G1338" s="1">
        <v>46.51</v>
      </c>
      <c r="H1338" s="1" t="s">
        <v>153</v>
      </c>
      <c r="I1338" s="1" t="s">
        <v>27</v>
      </c>
      <c r="J1338" s="1">
        <v>80</v>
      </c>
      <c r="K1338" s="1">
        <v>4.12</v>
      </c>
      <c r="L1338" s="4">
        <v>39.69</v>
      </c>
      <c r="M1338" s="1">
        <v>1.17</v>
      </c>
      <c r="N1338" s="1">
        <v>3</v>
      </c>
      <c r="O1338" s="1">
        <v>0.84</v>
      </c>
      <c r="P1338" s="1">
        <v>915</v>
      </c>
      <c r="Q1338" s="1">
        <v>3.59</v>
      </c>
      <c r="R1338" s="1">
        <v>0.35</v>
      </c>
      <c r="S1338" s="2">
        <v>45619</v>
      </c>
      <c r="T1338" s="1">
        <v>292.24</v>
      </c>
      <c r="U1338" s="1">
        <v>0.50900000000000001</v>
      </c>
      <c r="V1338" s="6">
        <f t="shared" si="60"/>
        <v>6191.6399999999994</v>
      </c>
      <c r="W1338" s="6" t="str">
        <f t="shared" si="61"/>
        <v>Sufficient</v>
      </c>
      <c r="X1338" s="8" t="str">
        <f t="shared" si="62"/>
        <v>Medium</v>
      </c>
    </row>
    <row r="1339" spans="1:24">
      <c r="A1339" s="7" t="s">
        <v>1469</v>
      </c>
      <c r="B1339" s="1" t="s">
        <v>41</v>
      </c>
      <c r="C1339" s="1">
        <v>194</v>
      </c>
      <c r="D1339" s="1">
        <v>25</v>
      </c>
      <c r="E1339" s="1">
        <v>6</v>
      </c>
      <c r="F1339" s="1">
        <v>9</v>
      </c>
      <c r="G1339" s="1">
        <v>16.04</v>
      </c>
      <c r="H1339" s="1" t="s">
        <v>333</v>
      </c>
      <c r="I1339" s="1" t="s">
        <v>45</v>
      </c>
      <c r="J1339" s="1">
        <v>47</v>
      </c>
      <c r="K1339" s="1">
        <v>3.3</v>
      </c>
      <c r="L1339" s="4">
        <v>72.47</v>
      </c>
      <c r="M1339" s="1">
        <v>0.99</v>
      </c>
      <c r="N1339" s="1">
        <v>5</v>
      </c>
      <c r="O1339" s="1">
        <v>0.79</v>
      </c>
      <c r="P1339" s="1">
        <v>390</v>
      </c>
      <c r="Q1339" s="1">
        <v>4.87</v>
      </c>
      <c r="R1339" s="1">
        <v>0.87</v>
      </c>
      <c r="S1339" s="2">
        <v>45581</v>
      </c>
      <c r="T1339" s="1">
        <v>31.68</v>
      </c>
      <c r="U1339" s="1">
        <v>0.59799999999999998</v>
      </c>
      <c r="V1339" s="6">
        <f t="shared" si="60"/>
        <v>14059.18</v>
      </c>
      <c r="W1339" s="6" t="str">
        <f t="shared" si="61"/>
        <v>Sufficient</v>
      </c>
      <c r="X1339" s="8" t="str">
        <f t="shared" si="62"/>
        <v>Medium</v>
      </c>
    </row>
    <row r="1340" spans="1:24">
      <c r="A1340" s="7" t="s">
        <v>1470</v>
      </c>
      <c r="B1340" s="1" t="s">
        <v>66</v>
      </c>
      <c r="C1340" s="1">
        <v>308</v>
      </c>
      <c r="D1340" s="1">
        <v>70</v>
      </c>
      <c r="E1340" s="1">
        <v>12</v>
      </c>
      <c r="F1340" s="1">
        <v>2</v>
      </c>
      <c r="G1340" s="1">
        <v>20.52</v>
      </c>
      <c r="H1340" s="1" t="s">
        <v>141</v>
      </c>
      <c r="I1340" s="1" t="s">
        <v>27</v>
      </c>
      <c r="J1340" s="1">
        <v>126</v>
      </c>
      <c r="K1340" s="1">
        <v>1.76</v>
      </c>
      <c r="L1340" s="4">
        <v>199.46</v>
      </c>
      <c r="M1340" s="1">
        <v>0.59</v>
      </c>
      <c r="N1340" s="1">
        <v>8</v>
      </c>
      <c r="O1340" s="1">
        <v>0.7</v>
      </c>
      <c r="P1340" s="1">
        <v>321</v>
      </c>
      <c r="Q1340" s="1">
        <v>6.24</v>
      </c>
      <c r="R1340" s="1">
        <v>0.69</v>
      </c>
      <c r="S1340" s="2">
        <v>45345</v>
      </c>
      <c r="T1340" s="1">
        <v>49.47</v>
      </c>
      <c r="U1340" s="1">
        <v>0.54200000000000004</v>
      </c>
      <c r="V1340" s="6">
        <f t="shared" si="60"/>
        <v>61433.68</v>
      </c>
      <c r="W1340" s="6" t="str">
        <f t="shared" si="61"/>
        <v>Sufficient</v>
      </c>
      <c r="X1340" s="8" t="str">
        <f t="shared" si="62"/>
        <v>High</v>
      </c>
    </row>
    <row r="1341" spans="1:24">
      <c r="A1341" s="7" t="s">
        <v>1471</v>
      </c>
      <c r="B1341" s="1" t="s">
        <v>25</v>
      </c>
      <c r="C1341" s="1">
        <v>465</v>
      </c>
      <c r="D1341" s="1">
        <v>77</v>
      </c>
      <c r="E1341" s="1">
        <v>14</v>
      </c>
      <c r="F1341" s="1">
        <v>2</v>
      </c>
      <c r="G1341" s="1">
        <v>35.28</v>
      </c>
      <c r="H1341" s="1" t="s">
        <v>181</v>
      </c>
      <c r="I1341" s="1" t="s">
        <v>45</v>
      </c>
      <c r="J1341" s="1">
        <v>117</v>
      </c>
      <c r="K1341" s="1">
        <v>3.81</v>
      </c>
      <c r="L1341" s="4">
        <v>52.53</v>
      </c>
      <c r="M1341" s="1">
        <v>0.41</v>
      </c>
      <c r="N1341" s="1">
        <v>3</v>
      </c>
      <c r="O1341" s="1">
        <v>0.93</v>
      </c>
      <c r="P1341" s="1">
        <v>840</v>
      </c>
      <c r="Q1341" s="1">
        <v>3.76</v>
      </c>
      <c r="R1341" s="1">
        <v>0.86</v>
      </c>
      <c r="S1341" s="2">
        <v>45546</v>
      </c>
      <c r="T1341" s="1">
        <v>88.39</v>
      </c>
      <c r="U1341" s="1">
        <v>0.70699999999999996</v>
      </c>
      <c r="V1341" s="6">
        <f t="shared" si="60"/>
        <v>24426.45</v>
      </c>
      <c r="W1341" s="6" t="str">
        <f t="shared" si="61"/>
        <v>Sufficient</v>
      </c>
      <c r="X1341" s="8" t="str">
        <f t="shared" si="62"/>
        <v>High</v>
      </c>
    </row>
    <row r="1342" spans="1:24">
      <c r="A1342" s="7" t="s">
        <v>1472</v>
      </c>
      <c r="B1342" s="1" t="s">
        <v>29</v>
      </c>
      <c r="C1342" s="1">
        <v>38</v>
      </c>
      <c r="D1342" s="1">
        <v>89</v>
      </c>
      <c r="E1342" s="1">
        <v>7</v>
      </c>
      <c r="F1342" s="1">
        <v>6</v>
      </c>
      <c r="G1342" s="1">
        <v>15.37</v>
      </c>
      <c r="H1342" s="1" t="s">
        <v>470</v>
      </c>
      <c r="I1342" s="1" t="s">
        <v>39</v>
      </c>
      <c r="J1342" s="1">
        <v>155</v>
      </c>
      <c r="K1342" s="1">
        <v>0.68</v>
      </c>
      <c r="L1342" s="4">
        <v>142.68</v>
      </c>
      <c r="M1342" s="1">
        <v>0.46</v>
      </c>
      <c r="N1342" s="1">
        <v>6</v>
      </c>
      <c r="O1342" s="1">
        <v>0.78</v>
      </c>
      <c r="P1342" s="1">
        <v>444</v>
      </c>
      <c r="Q1342" s="1">
        <v>14.98</v>
      </c>
      <c r="R1342" s="1">
        <v>0.77</v>
      </c>
      <c r="S1342" s="2">
        <v>45364</v>
      </c>
      <c r="T1342" s="1">
        <v>286.81</v>
      </c>
      <c r="U1342" s="1">
        <v>0.74399999999999999</v>
      </c>
      <c r="V1342" s="6">
        <f t="shared" si="60"/>
        <v>5421.84</v>
      </c>
      <c r="W1342" s="6" t="str">
        <f t="shared" si="61"/>
        <v>Reorder Required</v>
      </c>
      <c r="X1342" s="8" t="str">
        <f t="shared" si="62"/>
        <v>LOW</v>
      </c>
    </row>
    <row r="1343" spans="1:24">
      <c r="A1343" s="7" t="s">
        <v>1473</v>
      </c>
      <c r="B1343" s="1" t="s">
        <v>66</v>
      </c>
      <c r="C1343" s="1">
        <v>214</v>
      </c>
      <c r="D1343" s="1">
        <v>40</v>
      </c>
      <c r="E1343" s="1">
        <v>6</v>
      </c>
      <c r="F1343" s="1">
        <v>7</v>
      </c>
      <c r="G1343" s="1">
        <v>41.14</v>
      </c>
      <c r="H1343" s="1" t="s">
        <v>70</v>
      </c>
      <c r="I1343" s="1" t="s">
        <v>39</v>
      </c>
      <c r="J1343" s="1">
        <v>104</v>
      </c>
      <c r="K1343" s="1">
        <v>4.09</v>
      </c>
      <c r="L1343" s="4">
        <v>55.3</v>
      </c>
      <c r="M1343" s="1">
        <v>1.48</v>
      </c>
      <c r="N1343" s="1">
        <v>6</v>
      </c>
      <c r="O1343" s="1">
        <v>0.8</v>
      </c>
      <c r="P1343" s="1">
        <v>173</v>
      </c>
      <c r="Q1343" s="1">
        <v>12.27</v>
      </c>
      <c r="R1343" s="1">
        <v>0.76</v>
      </c>
      <c r="S1343" s="2">
        <v>45461</v>
      </c>
      <c r="T1343" s="1">
        <v>90.88</v>
      </c>
      <c r="U1343" s="1">
        <v>0.60799999999999998</v>
      </c>
      <c r="V1343" s="6">
        <f t="shared" si="60"/>
        <v>11834.199999999999</v>
      </c>
      <c r="W1343" s="6" t="str">
        <f t="shared" si="61"/>
        <v>Sufficient</v>
      </c>
      <c r="X1343" s="8" t="str">
        <f t="shared" si="62"/>
        <v>Medium</v>
      </c>
    </row>
    <row r="1344" spans="1:24">
      <c r="A1344" s="7" t="s">
        <v>1474</v>
      </c>
      <c r="B1344" s="1" t="s">
        <v>66</v>
      </c>
      <c r="C1344" s="1">
        <v>349</v>
      </c>
      <c r="D1344" s="1">
        <v>62</v>
      </c>
      <c r="E1344" s="1">
        <v>5</v>
      </c>
      <c r="F1344" s="1">
        <v>9</v>
      </c>
      <c r="G1344" s="1">
        <v>4.43</v>
      </c>
      <c r="H1344" s="1" t="s">
        <v>238</v>
      </c>
      <c r="I1344" s="1" t="s">
        <v>27</v>
      </c>
      <c r="J1344" s="1">
        <v>72</v>
      </c>
      <c r="K1344" s="1">
        <v>4.01</v>
      </c>
      <c r="L1344" s="4">
        <v>188.25</v>
      </c>
      <c r="M1344" s="1">
        <v>1.1200000000000001</v>
      </c>
      <c r="N1344" s="1">
        <v>5</v>
      </c>
      <c r="O1344" s="1">
        <v>0.95</v>
      </c>
      <c r="P1344" s="1">
        <v>959</v>
      </c>
      <c r="Q1344" s="1">
        <v>12.35</v>
      </c>
      <c r="R1344" s="1">
        <v>0.33</v>
      </c>
      <c r="S1344" s="2">
        <v>45331</v>
      </c>
      <c r="T1344" s="1">
        <v>152.51</v>
      </c>
      <c r="U1344" s="1">
        <v>0.60899999999999999</v>
      </c>
      <c r="V1344" s="6">
        <f t="shared" si="60"/>
        <v>65699.25</v>
      </c>
      <c r="W1344" s="6" t="str">
        <f t="shared" si="61"/>
        <v>Sufficient</v>
      </c>
      <c r="X1344" s="8" t="str">
        <f t="shared" si="62"/>
        <v>High</v>
      </c>
    </row>
    <row r="1345" spans="1:24">
      <c r="A1345" s="7" t="s">
        <v>1475</v>
      </c>
      <c r="B1345" s="1" t="s">
        <v>33</v>
      </c>
      <c r="C1345" s="1">
        <v>443</v>
      </c>
      <c r="D1345" s="1">
        <v>34</v>
      </c>
      <c r="E1345" s="1">
        <v>7</v>
      </c>
      <c r="F1345" s="1">
        <v>4</v>
      </c>
      <c r="G1345" s="1">
        <v>39.770000000000003</v>
      </c>
      <c r="H1345" s="1" t="s">
        <v>57</v>
      </c>
      <c r="I1345" s="1" t="s">
        <v>45</v>
      </c>
      <c r="J1345" s="1">
        <v>112</v>
      </c>
      <c r="K1345" s="1">
        <v>3.52</v>
      </c>
      <c r="L1345" s="4">
        <v>68.930000000000007</v>
      </c>
      <c r="M1345" s="1">
        <v>1.96</v>
      </c>
      <c r="N1345" s="1">
        <v>8</v>
      </c>
      <c r="O1345" s="1">
        <v>0.72</v>
      </c>
      <c r="P1345" s="1">
        <v>244</v>
      </c>
      <c r="Q1345" s="1">
        <v>8.9600000000000009</v>
      </c>
      <c r="R1345" s="1">
        <v>0.45</v>
      </c>
      <c r="S1345" s="2">
        <v>45413</v>
      </c>
      <c r="T1345" s="1">
        <v>230.74</v>
      </c>
      <c r="U1345" s="1">
        <v>0.39700000000000002</v>
      </c>
      <c r="V1345" s="6">
        <f t="shared" si="60"/>
        <v>30535.99</v>
      </c>
      <c r="W1345" s="6" t="str">
        <f t="shared" si="61"/>
        <v>Sufficient</v>
      </c>
      <c r="X1345" s="8" t="str">
        <f t="shared" si="62"/>
        <v>High</v>
      </c>
    </row>
    <row r="1346" spans="1:24">
      <c r="A1346" s="7" t="s">
        <v>1476</v>
      </c>
      <c r="B1346" s="1" t="s">
        <v>29</v>
      </c>
      <c r="C1346" s="1">
        <v>194</v>
      </c>
      <c r="D1346" s="1">
        <v>53</v>
      </c>
      <c r="E1346" s="1">
        <v>6</v>
      </c>
      <c r="F1346" s="1">
        <v>9</v>
      </c>
      <c r="G1346" s="1">
        <v>30.49</v>
      </c>
      <c r="H1346" s="1" t="s">
        <v>294</v>
      </c>
      <c r="I1346" s="1" t="s">
        <v>45</v>
      </c>
      <c r="J1346" s="1">
        <v>14</v>
      </c>
      <c r="K1346" s="1">
        <v>0.94</v>
      </c>
      <c r="L1346" s="4">
        <v>75.87</v>
      </c>
      <c r="M1346" s="1">
        <v>0.56000000000000005</v>
      </c>
      <c r="N1346" s="1">
        <v>9</v>
      </c>
      <c r="O1346" s="1">
        <v>0.98</v>
      </c>
      <c r="P1346" s="1">
        <v>632</v>
      </c>
      <c r="Q1346" s="1">
        <v>14.46</v>
      </c>
      <c r="R1346" s="1">
        <v>0.62</v>
      </c>
      <c r="S1346" s="2">
        <v>45469</v>
      </c>
      <c r="T1346" s="1">
        <v>279.45999999999998</v>
      </c>
      <c r="U1346" s="1">
        <v>0.67700000000000005</v>
      </c>
      <c r="V1346" s="6">
        <f t="shared" si="60"/>
        <v>14718.78</v>
      </c>
      <c r="W1346" s="6" t="str">
        <f t="shared" si="61"/>
        <v>Sufficient</v>
      </c>
      <c r="X1346" s="8" t="str">
        <f t="shared" si="62"/>
        <v>Medium</v>
      </c>
    </row>
    <row r="1347" spans="1:24">
      <c r="A1347" s="7" t="s">
        <v>1477</v>
      </c>
      <c r="B1347" s="1" t="s">
        <v>41</v>
      </c>
      <c r="C1347" s="1">
        <v>468</v>
      </c>
      <c r="D1347" s="1">
        <v>21</v>
      </c>
      <c r="E1347" s="1">
        <v>3</v>
      </c>
      <c r="F1347" s="1">
        <v>4</v>
      </c>
      <c r="G1347" s="1">
        <v>29.08</v>
      </c>
      <c r="H1347" s="1" t="s">
        <v>115</v>
      </c>
      <c r="I1347" s="1" t="s">
        <v>39</v>
      </c>
      <c r="J1347" s="1">
        <v>166</v>
      </c>
      <c r="K1347" s="1">
        <v>4.99</v>
      </c>
      <c r="L1347" s="4">
        <v>122.83</v>
      </c>
      <c r="M1347" s="1">
        <v>1.92</v>
      </c>
      <c r="N1347" s="1">
        <v>6</v>
      </c>
      <c r="O1347" s="1">
        <v>0.7</v>
      </c>
      <c r="P1347" s="1">
        <v>793</v>
      </c>
      <c r="Q1347" s="1">
        <v>11.25</v>
      </c>
      <c r="R1347" s="1">
        <v>0.28999999999999998</v>
      </c>
      <c r="S1347" s="2">
        <v>45455</v>
      </c>
      <c r="T1347" s="1">
        <v>185.48</v>
      </c>
      <c r="U1347" s="1">
        <v>0.436</v>
      </c>
      <c r="V1347" s="6">
        <f t="shared" si="60"/>
        <v>57484.44</v>
      </c>
      <c r="W1347" s="6" t="str">
        <f t="shared" si="61"/>
        <v>Sufficient</v>
      </c>
      <c r="X1347" s="8" t="str">
        <f t="shared" si="62"/>
        <v>High</v>
      </c>
    </row>
    <row r="1348" spans="1:24">
      <c r="A1348" s="7" t="s">
        <v>1478</v>
      </c>
      <c r="B1348" s="1" t="s">
        <v>25</v>
      </c>
      <c r="C1348" s="1">
        <v>432</v>
      </c>
      <c r="D1348" s="1">
        <v>99</v>
      </c>
      <c r="E1348" s="1">
        <v>14</v>
      </c>
      <c r="F1348" s="1">
        <v>3</v>
      </c>
      <c r="G1348" s="1">
        <v>23.46</v>
      </c>
      <c r="H1348" s="1" t="s">
        <v>97</v>
      </c>
      <c r="I1348" s="1" t="s">
        <v>45</v>
      </c>
      <c r="J1348" s="1">
        <v>116</v>
      </c>
      <c r="K1348" s="1">
        <v>3.9</v>
      </c>
      <c r="L1348" s="4">
        <v>121.74</v>
      </c>
      <c r="M1348" s="1">
        <v>1.08</v>
      </c>
      <c r="N1348" s="1">
        <v>2</v>
      </c>
      <c r="O1348" s="1">
        <v>0.98</v>
      </c>
      <c r="P1348" s="1">
        <v>222</v>
      </c>
      <c r="Q1348" s="1">
        <v>5.63</v>
      </c>
      <c r="R1348" s="1">
        <v>0.57999999999999996</v>
      </c>
      <c r="S1348" s="2">
        <v>45377</v>
      </c>
      <c r="T1348" s="1">
        <v>121.44</v>
      </c>
      <c r="U1348" s="1">
        <v>0.63900000000000001</v>
      </c>
      <c r="V1348" s="6">
        <f t="shared" ref="V1348:V1411" si="63">C1348*L1348</f>
        <v>52591.68</v>
      </c>
      <c r="W1348" s="6" t="str">
        <f t="shared" ref="W1348:W1411" si="64">IF(C1348&lt;=D1348,"Reorder Required","Sufficient")</f>
        <v>Sufficient</v>
      </c>
      <c r="X1348" s="8" t="str">
        <f t="shared" ref="X1348:X1411" si="65">IF(C1348&lt;100,"LOW",IF(C1348&lt;250,"Medium","High"))</f>
        <v>High</v>
      </c>
    </row>
    <row r="1349" spans="1:24">
      <c r="A1349" s="7" t="s">
        <v>1479</v>
      </c>
      <c r="B1349" s="1" t="s">
        <v>41</v>
      </c>
      <c r="C1349" s="1">
        <v>453</v>
      </c>
      <c r="D1349" s="1">
        <v>18</v>
      </c>
      <c r="E1349" s="1">
        <v>5</v>
      </c>
      <c r="F1349" s="1">
        <v>9</v>
      </c>
      <c r="G1349" s="1">
        <v>14.58</v>
      </c>
      <c r="H1349" s="1" t="s">
        <v>26</v>
      </c>
      <c r="I1349" s="1" t="s">
        <v>31</v>
      </c>
      <c r="J1349" s="1">
        <v>151</v>
      </c>
      <c r="K1349" s="1">
        <v>3.81</v>
      </c>
      <c r="L1349" s="4">
        <v>120.02</v>
      </c>
      <c r="M1349" s="1">
        <v>0.38</v>
      </c>
      <c r="N1349" s="1">
        <v>5</v>
      </c>
      <c r="O1349" s="1">
        <v>0.84</v>
      </c>
      <c r="P1349" s="1">
        <v>252</v>
      </c>
      <c r="Q1349" s="1">
        <v>9.5500000000000007</v>
      </c>
      <c r="R1349" s="1">
        <v>0.56000000000000005</v>
      </c>
      <c r="S1349" s="2">
        <v>45617</v>
      </c>
      <c r="T1349" s="1">
        <v>295.8</v>
      </c>
      <c r="U1349" s="1">
        <v>0.66900000000000004</v>
      </c>
      <c r="V1349" s="6">
        <f t="shared" si="63"/>
        <v>54369.06</v>
      </c>
      <c r="W1349" s="6" t="str">
        <f t="shared" si="64"/>
        <v>Sufficient</v>
      </c>
      <c r="X1349" s="8" t="str">
        <f t="shared" si="65"/>
        <v>High</v>
      </c>
    </row>
    <row r="1350" spans="1:24">
      <c r="A1350" s="7" t="s">
        <v>1480</v>
      </c>
      <c r="B1350" s="1" t="s">
        <v>29</v>
      </c>
      <c r="C1350" s="1">
        <v>373</v>
      </c>
      <c r="D1350" s="1">
        <v>21</v>
      </c>
      <c r="E1350" s="1">
        <v>12</v>
      </c>
      <c r="F1350" s="1">
        <v>8</v>
      </c>
      <c r="G1350" s="1">
        <v>23.74</v>
      </c>
      <c r="H1350" s="1" t="s">
        <v>151</v>
      </c>
      <c r="I1350" s="1" t="s">
        <v>45</v>
      </c>
      <c r="J1350" s="1">
        <v>67</v>
      </c>
      <c r="K1350" s="1">
        <v>0.79</v>
      </c>
      <c r="L1350" s="4">
        <v>118.92</v>
      </c>
      <c r="M1350" s="1">
        <v>0.38</v>
      </c>
      <c r="N1350" s="1">
        <v>6</v>
      </c>
      <c r="O1350" s="1">
        <v>0.73</v>
      </c>
      <c r="P1350" s="1">
        <v>82</v>
      </c>
      <c r="Q1350" s="1">
        <v>8.61</v>
      </c>
      <c r="R1350" s="1">
        <v>0.39</v>
      </c>
      <c r="S1350" s="2">
        <v>45337</v>
      </c>
      <c r="T1350" s="1">
        <v>17.59</v>
      </c>
      <c r="U1350" s="1">
        <v>0.58099999999999996</v>
      </c>
      <c r="V1350" s="6">
        <f t="shared" si="63"/>
        <v>44357.16</v>
      </c>
      <c r="W1350" s="6" t="str">
        <f t="shared" si="64"/>
        <v>Sufficient</v>
      </c>
      <c r="X1350" s="8" t="str">
        <f t="shared" si="65"/>
        <v>High</v>
      </c>
    </row>
    <row r="1351" spans="1:24">
      <c r="A1351" s="7" t="s">
        <v>1481</v>
      </c>
      <c r="B1351" s="1" t="s">
        <v>66</v>
      </c>
      <c r="C1351" s="1">
        <v>160</v>
      </c>
      <c r="D1351" s="1">
        <v>78</v>
      </c>
      <c r="E1351" s="1">
        <v>12</v>
      </c>
      <c r="F1351" s="1">
        <v>8</v>
      </c>
      <c r="G1351" s="1">
        <v>23.05</v>
      </c>
      <c r="H1351" s="1" t="s">
        <v>115</v>
      </c>
      <c r="I1351" s="1" t="s">
        <v>39</v>
      </c>
      <c r="J1351" s="1">
        <v>155</v>
      </c>
      <c r="K1351" s="1">
        <v>2.29</v>
      </c>
      <c r="L1351" s="4">
        <v>69.319999999999993</v>
      </c>
      <c r="M1351" s="1">
        <v>1.26</v>
      </c>
      <c r="N1351" s="1">
        <v>6</v>
      </c>
      <c r="O1351" s="1">
        <v>0.9</v>
      </c>
      <c r="P1351" s="1">
        <v>260</v>
      </c>
      <c r="Q1351" s="1">
        <v>9.1199999999999992</v>
      </c>
      <c r="R1351" s="1">
        <v>0.36</v>
      </c>
      <c r="S1351" s="2">
        <v>45654</v>
      </c>
      <c r="T1351" s="1">
        <v>251.33</v>
      </c>
      <c r="U1351" s="1">
        <v>0.52800000000000002</v>
      </c>
      <c r="V1351" s="6">
        <f t="shared" si="63"/>
        <v>11091.199999999999</v>
      </c>
      <c r="W1351" s="6" t="str">
        <f t="shared" si="64"/>
        <v>Sufficient</v>
      </c>
      <c r="X1351" s="8" t="str">
        <f t="shared" si="65"/>
        <v>Medium</v>
      </c>
    </row>
    <row r="1352" spans="1:24">
      <c r="A1352" s="7" t="s">
        <v>1482</v>
      </c>
      <c r="B1352" s="1" t="s">
        <v>66</v>
      </c>
      <c r="C1352" s="1">
        <v>265</v>
      </c>
      <c r="D1352" s="1">
        <v>63</v>
      </c>
      <c r="E1352" s="1">
        <v>10</v>
      </c>
      <c r="F1352" s="1">
        <v>2</v>
      </c>
      <c r="G1352" s="1">
        <v>29.6</v>
      </c>
      <c r="H1352" s="1" t="s">
        <v>370</v>
      </c>
      <c r="I1352" s="1" t="s">
        <v>31</v>
      </c>
      <c r="J1352" s="1">
        <v>16</v>
      </c>
      <c r="K1352" s="1">
        <v>0.89</v>
      </c>
      <c r="L1352" s="4">
        <v>92.54</v>
      </c>
      <c r="M1352" s="1">
        <v>1.68</v>
      </c>
      <c r="N1352" s="1">
        <v>5</v>
      </c>
      <c r="O1352" s="1">
        <v>0.97</v>
      </c>
      <c r="P1352" s="1">
        <v>862</v>
      </c>
      <c r="Q1352" s="1">
        <v>12.45</v>
      </c>
      <c r="R1352" s="1">
        <v>0.4</v>
      </c>
      <c r="S1352" s="2">
        <v>45635</v>
      </c>
      <c r="T1352" s="1">
        <v>90.45</v>
      </c>
      <c r="U1352" s="1">
        <v>0.57199999999999995</v>
      </c>
      <c r="V1352" s="6">
        <f t="shared" si="63"/>
        <v>24523.100000000002</v>
      </c>
      <c r="W1352" s="6" t="str">
        <f t="shared" si="64"/>
        <v>Sufficient</v>
      </c>
      <c r="X1352" s="8" t="str">
        <f t="shared" si="65"/>
        <v>High</v>
      </c>
    </row>
    <row r="1353" spans="1:24">
      <c r="A1353" s="7" t="s">
        <v>1483</v>
      </c>
      <c r="B1353" s="1" t="s">
        <v>29</v>
      </c>
      <c r="C1353" s="1">
        <v>404</v>
      </c>
      <c r="D1353" s="1">
        <v>63</v>
      </c>
      <c r="E1353" s="1">
        <v>9</v>
      </c>
      <c r="F1353" s="1">
        <v>3</v>
      </c>
      <c r="G1353" s="1">
        <v>14.8</v>
      </c>
      <c r="H1353" s="1" t="s">
        <v>189</v>
      </c>
      <c r="I1353" s="1" t="s">
        <v>31</v>
      </c>
      <c r="J1353" s="1">
        <v>96</v>
      </c>
      <c r="K1353" s="1">
        <v>2.12</v>
      </c>
      <c r="L1353" s="4">
        <v>122.75</v>
      </c>
      <c r="M1353" s="1">
        <v>1.52</v>
      </c>
      <c r="N1353" s="1">
        <v>2</v>
      </c>
      <c r="O1353" s="1">
        <v>0.83</v>
      </c>
      <c r="P1353" s="1">
        <v>743</v>
      </c>
      <c r="Q1353" s="1">
        <v>8.1300000000000008</v>
      </c>
      <c r="R1353" s="1">
        <v>0.68</v>
      </c>
      <c r="S1353" s="2">
        <v>45619</v>
      </c>
      <c r="T1353" s="1">
        <v>247.06</v>
      </c>
      <c r="U1353" s="1">
        <v>0.61799999999999999</v>
      </c>
      <c r="V1353" s="6">
        <f t="shared" si="63"/>
        <v>49591</v>
      </c>
      <c r="W1353" s="6" t="str">
        <f t="shared" si="64"/>
        <v>Sufficient</v>
      </c>
      <c r="X1353" s="8" t="str">
        <f t="shared" si="65"/>
        <v>High</v>
      </c>
    </row>
    <row r="1354" spans="1:24">
      <c r="A1354" s="7" t="s">
        <v>1484</v>
      </c>
      <c r="B1354" s="1" t="s">
        <v>66</v>
      </c>
      <c r="C1354" s="1">
        <v>437</v>
      </c>
      <c r="D1354" s="1">
        <v>37</v>
      </c>
      <c r="E1354" s="1">
        <v>4</v>
      </c>
      <c r="F1354" s="1">
        <v>5</v>
      </c>
      <c r="G1354" s="1">
        <v>4.8</v>
      </c>
      <c r="H1354" s="1" t="s">
        <v>200</v>
      </c>
      <c r="I1354" s="1" t="s">
        <v>45</v>
      </c>
      <c r="J1354" s="1">
        <v>106</v>
      </c>
      <c r="K1354" s="1">
        <v>3.07</v>
      </c>
      <c r="L1354" s="4">
        <v>137.54</v>
      </c>
      <c r="M1354" s="1">
        <v>1.35</v>
      </c>
      <c r="N1354" s="1">
        <v>5</v>
      </c>
      <c r="O1354" s="1">
        <v>0.91</v>
      </c>
      <c r="P1354" s="1">
        <v>802</v>
      </c>
      <c r="Q1354" s="1">
        <v>11.2</v>
      </c>
      <c r="R1354" s="1">
        <v>0.53</v>
      </c>
      <c r="S1354" s="2">
        <v>45463</v>
      </c>
      <c r="T1354" s="1">
        <v>57.03</v>
      </c>
      <c r="U1354" s="1">
        <v>0.60199999999999998</v>
      </c>
      <c r="V1354" s="6">
        <f t="shared" si="63"/>
        <v>60104.979999999996</v>
      </c>
      <c r="W1354" s="6" t="str">
        <f t="shared" si="64"/>
        <v>Sufficient</v>
      </c>
      <c r="X1354" s="8" t="str">
        <f t="shared" si="65"/>
        <v>High</v>
      </c>
    </row>
    <row r="1355" spans="1:24">
      <c r="A1355" s="7" t="s">
        <v>1485</v>
      </c>
      <c r="B1355" s="1" t="s">
        <v>66</v>
      </c>
      <c r="C1355" s="1">
        <v>112</v>
      </c>
      <c r="D1355" s="1">
        <v>65</v>
      </c>
      <c r="E1355" s="1">
        <v>3</v>
      </c>
      <c r="F1355" s="1">
        <v>6</v>
      </c>
      <c r="G1355" s="1">
        <v>8.11</v>
      </c>
      <c r="H1355" s="1" t="s">
        <v>309</v>
      </c>
      <c r="I1355" s="1" t="s">
        <v>39</v>
      </c>
      <c r="J1355" s="1">
        <v>54</v>
      </c>
      <c r="K1355" s="1">
        <v>4.45</v>
      </c>
      <c r="L1355" s="4">
        <v>58.09</v>
      </c>
      <c r="M1355" s="1">
        <v>0.43</v>
      </c>
      <c r="N1355" s="1">
        <v>1</v>
      </c>
      <c r="O1355" s="1">
        <v>0.99</v>
      </c>
      <c r="P1355" s="1">
        <v>100</v>
      </c>
      <c r="Q1355" s="1">
        <v>4.51</v>
      </c>
      <c r="R1355" s="1">
        <v>0.53</v>
      </c>
      <c r="S1355" s="2">
        <v>45520</v>
      </c>
      <c r="T1355" s="1">
        <v>110.58</v>
      </c>
      <c r="U1355" s="1">
        <v>0.70099999999999996</v>
      </c>
      <c r="V1355" s="6">
        <f t="shared" si="63"/>
        <v>6506.08</v>
      </c>
      <c r="W1355" s="6" t="str">
        <f t="shared" si="64"/>
        <v>Sufficient</v>
      </c>
      <c r="X1355" s="8" t="str">
        <f t="shared" si="65"/>
        <v>Medium</v>
      </c>
    </row>
    <row r="1356" spans="1:24">
      <c r="A1356" s="7" t="s">
        <v>1486</v>
      </c>
      <c r="B1356" s="1" t="s">
        <v>66</v>
      </c>
      <c r="C1356" s="1">
        <v>451</v>
      </c>
      <c r="D1356" s="1">
        <v>78</v>
      </c>
      <c r="E1356" s="1">
        <v>5</v>
      </c>
      <c r="F1356" s="1">
        <v>3</v>
      </c>
      <c r="G1356" s="1">
        <v>35.26</v>
      </c>
      <c r="H1356" s="1" t="s">
        <v>34</v>
      </c>
      <c r="I1356" s="1" t="s">
        <v>39</v>
      </c>
      <c r="J1356" s="1">
        <v>25</v>
      </c>
      <c r="K1356" s="1">
        <v>1.77</v>
      </c>
      <c r="L1356" s="4">
        <v>143.28</v>
      </c>
      <c r="M1356" s="1">
        <v>0.31</v>
      </c>
      <c r="N1356" s="1">
        <v>9</v>
      </c>
      <c r="O1356" s="1">
        <v>0.77</v>
      </c>
      <c r="P1356" s="1">
        <v>932</v>
      </c>
      <c r="Q1356" s="1">
        <v>14.05</v>
      </c>
      <c r="R1356" s="1">
        <v>0.35</v>
      </c>
      <c r="S1356" s="2">
        <v>45297</v>
      </c>
      <c r="T1356" s="1">
        <v>26.23</v>
      </c>
      <c r="U1356" s="1">
        <v>0.6</v>
      </c>
      <c r="V1356" s="6">
        <f t="shared" si="63"/>
        <v>64619.28</v>
      </c>
      <c r="W1356" s="6" t="str">
        <f t="shared" si="64"/>
        <v>Sufficient</v>
      </c>
      <c r="X1356" s="8" t="str">
        <f t="shared" si="65"/>
        <v>High</v>
      </c>
    </row>
    <row r="1357" spans="1:24">
      <c r="A1357" s="7" t="s">
        <v>1487</v>
      </c>
      <c r="B1357" s="1" t="s">
        <v>25</v>
      </c>
      <c r="C1357" s="1">
        <v>258</v>
      </c>
      <c r="D1357" s="1">
        <v>86</v>
      </c>
      <c r="E1357" s="1">
        <v>7</v>
      </c>
      <c r="F1357" s="1">
        <v>2</v>
      </c>
      <c r="G1357" s="1">
        <v>2.1</v>
      </c>
      <c r="H1357" s="1" t="s">
        <v>124</v>
      </c>
      <c r="I1357" s="1" t="s">
        <v>39</v>
      </c>
      <c r="J1357" s="1">
        <v>73</v>
      </c>
      <c r="K1357" s="1">
        <v>3.31</v>
      </c>
      <c r="L1357" s="4">
        <v>185.42</v>
      </c>
      <c r="M1357" s="1">
        <v>0.1</v>
      </c>
      <c r="N1357" s="1">
        <v>0</v>
      </c>
      <c r="O1357" s="1">
        <v>0.95</v>
      </c>
      <c r="P1357" s="1">
        <v>941</v>
      </c>
      <c r="Q1357" s="1">
        <v>2.21</v>
      </c>
      <c r="R1357" s="1">
        <v>0.83</v>
      </c>
      <c r="S1357" s="2">
        <v>45427</v>
      </c>
      <c r="T1357" s="1">
        <v>67.89</v>
      </c>
      <c r="U1357" s="1">
        <v>0.77500000000000002</v>
      </c>
      <c r="V1357" s="6">
        <f t="shared" si="63"/>
        <v>47838.359999999993</v>
      </c>
      <c r="W1357" s="6" t="str">
        <f t="shared" si="64"/>
        <v>Sufficient</v>
      </c>
      <c r="X1357" s="8" t="str">
        <f t="shared" si="65"/>
        <v>High</v>
      </c>
    </row>
    <row r="1358" spans="1:24">
      <c r="A1358" s="7" t="s">
        <v>1488</v>
      </c>
      <c r="B1358" s="1" t="s">
        <v>25</v>
      </c>
      <c r="C1358" s="1">
        <v>224</v>
      </c>
      <c r="D1358" s="1">
        <v>67</v>
      </c>
      <c r="E1358" s="1">
        <v>12</v>
      </c>
      <c r="F1358" s="1">
        <v>5</v>
      </c>
      <c r="G1358" s="1">
        <v>42.97</v>
      </c>
      <c r="H1358" s="1" t="s">
        <v>205</v>
      </c>
      <c r="I1358" s="1" t="s">
        <v>31</v>
      </c>
      <c r="J1358" s="1">
        <v>46</v>
      </c>
      <c r="K1358" s="1">
        <v>1.24</v>
      </c>
      <c r="L1358" s="4">
        <v>154.01</v>
      </c>
      <c r="M1358" s="1">
        <v>0.28999999999999998</v>
      </c>
      <c r="N1358" s="1">
        <v>7</v>
      </c>
      <c r="O1358" s="1">
        <v>0.79</v>
      </c>
      <c r="P1358" s="1">
        <v>904</v>
      </c>
      <c r="Q1358" s="1">
        <v>14.91</v>
      </c>
      <c r="R1358" s="1">
        <v>0.76</v>
      </c>
      <c r="S1358" s="2">
        <v>45399</v>
      </c>
      <c r="T1358" s="1">
        <v>184.81</v>
      </c>
      <c r="U1358" s="1">
        <v>0.74</v>
      </c>
      <c r="V1358" s="6">
        <f t="shared" si="63"/>
        <v>34498.239999999998</v>
      </c>
      <c r="W1358" s="6" t="str">
        <f t="shared" si="64"/>
        <v>Sufficient</v>
      </c>
      <c r="X1358" s="8" t="str">
        <f t="shared" si="65"/>
        <v>Medium</v>
      </c>
    </row>
    <row r="1359" spans="1:24">
      <c r="A1359" s="7" t="s">
        <v>1489</v>
      </c>
      <c r="B1359" s="1" t="s">
        <v>33</v>
      </c>
      <c r="C1359" s="1">
        <v>67</v>
      </c>
      <c r="D1359" s="1">
        <v>87</v>
      </c>
      <c r="E1359" s="1">
        <v>13</v>
      </c>
      <c r="F1359" s="1">
        <v>4</v>
      </c>
      <c r="G1359" s="1">
        <v>35.03</v>
      </c>
      <c r="H1359" s="1" t="s">
        <v>210</v>
      </c>
      <c r="I1359" s="1" t="s">
        <v>39</v>
      </c>
      <c r="J1359" s="1">
        <v>162</v>
      </c>
      <c r="K1359" s="1">
        <v>2.09</v>
      </c>
      <c r="L1359" s="4">
        <v>26</v>
      </c>
      <c r="M1359" s="1">
        <v>1.56</v>
      </c>
      <c r="N1359" s="1">
        <v>2</v>
      </c>
      <c r="O1359" s="1">
        <v>0.83</v>
      </c>
      <c r="P1359" s="1">
        <v>456</v>
      </c>
      <c r="Q1359" s="1">
        <v>9.86</v>
      </c>
      <c r="R1359" s="1">
        <v>0.54</v>
      </c>
      <c r="S1359" s="2">
        <v>45419</v>
      </c>
      <c r="T1359" s="1">
        <v>230.84</v>
      </c>
      <c r="U1359" s="1">
        <v>0.60899999999999999</v>
      </c>
      <c r="V1359" s="6">
        <f t="shared" si="63"/>
        <v>1742</v>
      </c>
      <c r="W1359" s="6" t="str">
        <f t="shared" si="64"/>
        <v>Reorder Required</v>
      </c>
      <c r="X1359" s="8" t="str">
        <f t="shared" si="65"/>
        <v>LOW</v>
      </c>
    </row>
    <row r="1360" spans="1:24">
      <c r="A1360" s="7" t="s">
        <v>1490</v>
      </c>
      <c r="B1360" s="1" t="s">
        <v>41</v>
      </c>
      <c r="C1360" s="1">
        <v>452</v>
      </c>
      <c r="D1360" s="1">
        <v>84</v>
      </c>
      <c r="E1360" s="1">
        <v>14</v>
      </c>
      <c r="F1360" s="1">
        <v>5</v>
      </c>
      <c r="G1360" s="1">
        <v>38.64</v>
      </c>
      <c r="H1360" s="1" t="s">
        <v>139</v>
      </c>
      <c r="I1360" s="1" t="s">
        <v>31</v>
      </c>
      <c r="J1360" s="1">
        <v>18</v>
      </c>
      <c r="K1360" s="1">
        <v>4.76</v>
      </c>
      <c r="L1360" s="4">
        <v>99.13</v>
      </c>
      <c r="M1360" s="1">
        <v>1.8</v>
      </c>
      <c r="N1360" s="1">
        <v>7</v>
      </c>
      <c r="O1360" s="1">
        <v>0.78</v>
      </c>
      <c r="P1360" s="1">
        <v>590</v>
      </c>
      <c r="Q1360" s="1">
        <v>7.58</v>
      </c>
      <c r="R1360" s="1">
        <v>0.31</v>
      </c>
      <c r="S1360" s="2">
        <v>45646</v>
      </c>
      <c r="T1360" s="1">
        <v>274.26</v>
      </c>
      <c r="U1360" s="1">
        <v>0.39900000000000002</v>
      </c>
      <c r="V1360" s="6">
        <f t="shared" si="63"/>
        <v>44806.759999999995</v>
      </c>
      <c r="W1360" s="6" t="str">
        <f t="shared" si="64"/>
        <v>Sufficient</v>
      </c>
      <c r="X1360" s="8" t="str">
        <f t="shared" si="65"/>
        <v>High</v>
      </c>
    </row>
    <row r="1361" spans="1:24">
      <c r="A1361" s="7" t="s">
        <v>1491</v>
      </c>
      <c r="B1361" s="1" t="s">
        <v>29</v>
      </c>
      <c r="C1361" s="1">
        <v>264</v>
      </c>
      <c r="D1361" s="1">
        <v>51</v>
      </c>
      <c r="E1361" s="1">
        <v>3</v>
      </c>
      <c r="F1361" s="1">
        <v>7</v>
      </c>
      <c r="G1361" s="1">
        <v>41.96</v>
      </c>
      <c r="H1361" s="1" t="s">
        <v>117</v>
      </c>
      <c r="I1361" s="1" t="s">
        <v>31</v>
      </c>
      <c r="J1361" s="1">
        <v>165</v>
      </c>
      <c r="K1361" s="1">
        <v>3.86</v>
      </c>
      <c r="L1361" s="4">
        <v>92.7</v>
      </c>
      <c r="M1361" s="1">
        <v>0.56000000000000005</v>
      </c>
      <c r="N1361" s="1">
        <v>2</v>
      </c>
      <c r="O1361" s="1">
        <v>0.83</v>
      </c>
      <c r="P1361" s="1">
        <v>567</v>
      </c>
      <c r="Q1361" s="1">
        <v>5.35</v>
      </c>
      <c r="R1361" s="1">
        <v>0.77</v>
      </c>
      <c r="S1361" s="2">
        <v>45326</v>
      </c>
      <c r="T1361" s="1">
        <v>44.71</v>
      </c>
      <c r="U1361" s="1">
        <v>0.69499999999999995</v>
      </c>
      <c r="V1361" s="6">
        <f t="shared" si="63"/>
        <v>24472.799999999999</v>
      </c>
      <c r="W1361" s="6" t="str">
        <f t="shared" si="64"/>
        <v>Sufficient</v>
      </c>
      <c r="X1361" s="8" t="str">
        <f t="shared" si="65"/>
        <v>High</v>
      </c>
    </row>
    <row r="1362" spans="1:24">
      <c r="A1362" s="7" t="s">
        <v>1492</v>
      </c>
      <c r="B1362" s="1" t="s">
        <v>29</v>
      </c>
      <c r="C1362" s="1">
        <v>339</v>
      </c>
      <c r="D1362" s="1">
        <v>47</v>
      </c>
      <c r="E1362" s="1">
        <v>5</v>
      </c>
      <c r="F1362" s="1">
        <v>9</v>
      </c>
      <c r="G1362" s="1">
        <v>7.01</v>
      </c>
      <c r="H1362" s="1" t="s">
        <v>171</v>
      </c>
      <c r="I1362" s="1" t="s">
        <v>27</v>
      </c>
      <c r="J1362" s="1">
        <v>146</v>
      </c>
      <c r="K1362" s="1">
        <v>2.96</v>
      </c>
      <c r="L1362" s="4">
        <v>73.94</v>
      </c>
      <c r="M1362" s="1">
        <v>1.61</v>
      </c>
      <c r="N1362" s="1">
        <v>1</v>
      </c>
      <c r="O1362" s="1">
        <v>0.7</v>
      </c>
      <c r="P1362" s="1">
        <v>984</v>
      </c>
      <c r="Q1362" s="1">
        <v>6.67</v>
      </c>
      <c r="R1362" s="1">
        <v>0.92</v>
      </c>
      <c r="S1362" s="2">
        <v>45471</v>
      </c>
      <c r="T1362" s="1">
        <v>50.77</v>
      </c>
      <c r="U1362" s="1">
        <v>0.63200000000000001</v>
      </c>
      <c r="V1362" s="6">
        <f t="shared" si="63"/>
        <v>25065.66</v>
      </c>
      <c r="W1362" s="6" t="str">
        <f t="shared" si="64"/>
        <v>Sufficient</v>
      </c>
      <c r="X1362" s="8" t="str">
        <f t="shared" si="65"/>
        <v>High</v>
      </c>
    </row>
    <row r="1363" spans="1:24">
      <c r="A1363" s="7" t="s">
        <v>1493</v>
      </c>
      <c r="B1363" s="1" t="s">
        <v>29</v>
      </c>
      <c r="C1363" s="1">
        <v>336</v>
      </c>
      <c r="D1363" s="1">
        <v>77</v>
      </c>
      <c r="E1363" s="1">
        <v>5</v>
      </c>
      <c r="F1363" s="1">
        <v>3</v>
      </c>
      <c r="G1363" s="1">
        <v>41.3</v>
      </c>
      <c r="H1363" s="1" t="s">
        <v>294</v>
      </c>
      <c r="I1363" s="1" t="s">
        <v>45</v>
      </c>
      <c r="J1363" s="1">
        <v>149</v>
      </c>
      <c r="K1363" s="1">
        <v>1.63</v>
      </c>
      <c r="L1363" s="4">
        <v>103.35</v>
      </c>
      <c r="M1363" s="1">
        <v>0.48</v>
      </c>
      <c r="N1363" s="1">
        <v>7</v>
      </c>
      <c r="O1363" s="1">
        <v>0.79</v>
      </c>
      <c r="P1363" s="1">
        <v>182</v>
      </c>
      <c r="Q1363" s="1">
        <v>11.95</v>
      </c>
      <c r="R1363" s="1">
        <v>0.34</v>
      </c>
      <c r="S1363" s="2">
        <v>45423</v>
      </c>
      <c r="T1363" s="1">
        <v>282.24</v>
      </c>
      <c r="U1363" s="1">
        <v>0.59699999999999998</v>
      </c>
      <c r="V1363" s="6">
        <f t="shared" si="63"/>
        <v>34725.599999999999</v>
      </c>
      <c r="W1363" s="6" t="str">
        <f t="shared" si="64"/>
        <v>Sufficient</v>
      </c>
      <c r="X1363" s="8" t="str">
        <f t="shared" si="65"/>
        <v>High</v>
      </c>
    </row>
    <row r="1364" spans="1:24">
      <c r="A1364" s="7" t="s">
        <v>1494</v>
      </c>
      <c r="B1364" s="1" t="s">
        <v>33</v>
      </c>
      <c r="C1364" s="1">
        <v>432</v>
      </c>
      <c r="D1364" s="1">
        <v>62</v>
      </c>
      <c r="E1364" s="1">
        <v>7</v>
      </c>
      <c r="F1364" s="1">
        <v>2</v>
      </c>
      <c r="G1364" s="1">
        <v>25.73</v>
      </c>
      <c r="H1364" s="1" t="s">
        <v>233</v>
      </c>
      <c r="I1364" s="1" t="s">
        <v>39</v>
      </c>
      <c r="J1364" s="1">
        <v>155</v>
      </c>
      <c r="K1364" s="1">
        <v>2.21</v>
      </c>
      <c r="L1364" s="4">
        <v>93.53</v>
      </c>
      <c r="M1364" s="1">
        <v>0.56999999999999995</v>
      </c>
      <c r="N1364" s="1">
        <v>2</v>
      </c>
      <c r="O1364" s="1">
        <v>0.83</v>
      </c>
      <c r="P1364" s="1">
        <v>145</v>
      </c>
      <c r="Q1364" s="1">
        <v>2.95</v>
      </c>
      <c r="R1364" s="1">
        <v>0.68</v>
      </c>
      <c r="S1364" s="2">
        <v>45347</v>
      </c>
      <c r="T1364" s="1">
        <v>232.13</v>
      </c>
      <c r="U1364" s="1">
        <v>0.64400000000000002</v>
      </c>
      <c r="V1364" s="6">
        <f t="shared" si="63"/>
        <v>40404.959999999999</v>
      </c>
      <c r="W1364" s="6" t="str">
        <f t="shared" si="64"/>
        <v>Sufficient</v>
      </c>
      <c r="X1364" s="8" t="str">
        <f t="shared" si="65"/>
        <v>High</v>
      </c>
    </row>
    <row r="1365" spans="1:24">
      <c r="A1365" s="7" t="s">
        <v>1495</v>
      </c>
      <c r="B1365" s="1" t="s">
        <v>25</v>
      </c>
      <c r="C1365" s="1">
        <v>314</v>
      </c>
      <c r="D1365" s="1">
        <v>42</v>
      </c>
      <c r="E1365" s="1">
        <v>5</v>
      </c>
      <c r="F1365" s="1">
        <v>3</v>
      </c>
      <c r="G1365" s="1">
        <v>44.39</v>
      </c>
      <c r="H1365" s="1" t="s">
        <v>42</v>
      </c>
      <c r="I1365" s="1" t="s">
        <v>31</v>
      </c>
      <c r="J1365" s="1">
        <v>99</v>
      </c>
      <c r="K1365" s="1">
        <v>1.21</v>
      </c>
      <c r="L1365" s="4">
        <v>11.17</v>
      </c>
      <c r="M1365" s="1">
        <v>0.53</v>
      </c>
      <c r="N1365" s="1">
        <v>7</v>
      </c>
      <c r="O1365" s="1">
        <v>0.89</v>
      </c>
      <c r="P1365" s="1">
        <v>473</v>
      </c>
      <c r="Q1365" s="1">
        <v>4.54</v>
      </c>
      <c r="R1365" s="1">
        <v>0.54</v>
      </c>
      <c r="S1365" s="2">
        <v>45292</v>
      </c>
      <c r="T1365" s="1">
        <v>166.53</v>
      </c>
      <c r="U1365" s="1">
        <v>0.55400000000000005</v>
      </c>
      <c r="V1365" s="6">
        <f t="shared" si="63"/>
        <v>3507.38</v>
      </c>
      <c r="W1365" s="6" t="str">
        <f t="shared" si="64"/>
        <v>Sufficient</v>
      </c>
      <c r="X1365" s="8" t="str">
        <f t="shared" si="65"/>
        <v>High</v>
      </c>
    </row>
    <row r="1366" spans="1:24">
      <c r="A1366" s="7" t="s">
        <v>1496</v>
      </c>
      <c r="B1366" s="1" t="s">
        <v>33</v>
      </c>
      <c r="C1366" s="1">
        <v>147</v>
      </c>
      <c r="D1366" s="1">
        <v>80</v>
      </c>
      <c r="E1366" s="1">
        <v>11</v>
      </c>
      <c r="F1366" s="1">
        <v>4</v>
      </c>
      <c r="G1366" s="1">
        <v>44.44</v>
      </c>
      <c r="H1366" s="1" t="s">
        <v>274</v>
      </c>
      <c r="I1366" s="1" t="s">
        <v>45</v>
      </c>
      <c r="J1366" s="1">
        <v>83</v>
      </c>
      <c r="K1366" s="1">
        <v>2.09</v>
      </c>
      <c r="L1366" s="4">
        <v>54.95</v>
      </c>
      <c r="M1366" s="1">
        <v>0.2</v>
      </c>
      <c r="N1366" s="1">
        <v>1</v>
      </c>
      <c r="O1366" s="1">
        <v>0.89</v>
      </c>
      <c r="P1366" s="1">
        <v>907</v>
      </c>
      <c r="Q1366" s="1">
        <v>2.73</v>
      </c>
      <c r="R1366" s="1">
        <v>0.27</v>
      </c>
      <c r="S1366" s="2">
        <v>45316</v>
      </c>
      <c r="T1366" s="1">
        <v>148.25</v>
      </c>
      <c r="U1366" s="1">
        <v>0.628</v>
      </c>
      <c r="V1366" s="6">
        <f t="shared" si="63"/>
        <v>8077.6500000000005</v>
      </c>
      <c r="W1366" s="6" t="str">
        <f t="shared" si="64"/>
        <v>Sufficient</v>
      </c>
      <c r="X1366" s="8" t="str">
        <f t="shared" si="65"/>
        <v>Medium</v>
      </c>
    </row>
    <row r="1367" spans="1:24">
      <c r="A1367" s="7" t="s">
        <v>1497</v>
      </c>
      <c r="B1367" s="1" t="s">
        <v>29</v>
      </c>
      <c r="C1367" s="1">
        <v>363</v>
      </c>
      <c r="D1367" s="1">
        <v>65</v>
      </c>
      <c r="E1367" s="1">
        <v>3</v>
      </c>
      <c r="F1367" s="1">
        <v>8</v>
      </c>
      <c r="G1367" s="1">
        <v>2.1800000000000002</v>
      </c>
      <c r="H1367" s="1" t="s">
        <v>411</v>
      </c>
      <c r="I1367" s="1" t="s">
        <v>31</v>
      </c>
      <c r="J1367" s="1">
        <v>134</v>
      </c>
      <c r="K1367" s="1">
        <v>1.18</v>
      </c>
      <c r="L1367" s="4">
        <v>50.62</v>
      </c>
      <c r="M1367" s="1">
        <v>0.47</v>
      </c>
      <c r="N1367" s="1">
        <v>3</v>
      </c>
      <c r="O1367" s="1">
        <v>0.88</v>
      </c>
      <c r="P1367" s="1">
        <v>131</v>
      </c>
      <c r="Q1367" s="1">
        <v>6.97</v>
      </c>
      <c r="R1367" s="1">
        <v>0.78</v>
      </c>
      <c r="S1367" s="2">
        <v>45489</v>
      </c>
      <c r="T1367" s="1">
        <v>55.74</v>
      </c>
      <c r="U1367" s="1">
        <v>0.71799999999999997</v>
      </c>
      <c r="V1367" s="6">
        <f t="shared" si="63"/>
        <v>18375.059999999998</v>
      </c>
      <c r="W1367" s="6" t="str">
        <f t="shared" si="64"/>
        <v>Sufficient</v>
      </c>
      <c r="X1367" s="8" t="str">
        <f t="shared" si="65"/>
        <v>High</v>
      </c>
    </row>
    <row r="1368" spans="1:24">
      <c r="A1368" s="7" t="s">
        <v>1498</v>
      </c>
      <c r="B1368" s="1" t="s">
        <v>41</v>
      </c>
      <c r="C1368" s="1">
        <v>301</v>
      </c>
      <c r="D1368" s="1">
        <v>81</v>
      </c>
      <c r="E1368" s="1">
        <v>6</v>
      </c>
      <c r="F1368" s="1">
        <v>4</v>
      </c>
      <c r="G1368" s="1">
        <v>19.760000000000002</v>
      </c>
      <c r="H1368" s="1" t="s">
        <v>221</v>
      </c>
      <c r="I1368" s="1" t="s">
        <v>45</v>
      </c>
      <c r="J1368" s="1">
        <v>60</v>
      </c>
      <c r="K1368" s="1">
        <v>4.08</v>
      </c>
      <c r="L1368" s="4">
        <v>76.36</v>
      </c>
      <c r="M1368" s="1">
        <v>0.81</v>
      </c>
      <c r="N1368" s="1">
        <v>8</v>
      </c>
      <c r="O1368" s="1">
        <v>0.79</v>
      </c>
      <c r="P1368" s="1">
        <v>838</v>
      </c>
      <c r="Q1368" s="1">
        <v>6.42</v>
      </c>
      <c r="R1368" s="1">
        <v>0.26</v>
      </c>
      <c r="S1368" s="2">
        <v>45516</v>
      </c>
      <c r="T1368" s="1">
        <v>120</v>
      </c>
      <c r="U1368" s="1">
        <v>0.45500000000000002</v>
      </c>
      <c r="V1368" s="6">
        <f t="shared" si="63"/>
        <v>22984.36</v>
      </c>
      <c r="W1368" s="6" t="str">
        <f t="shared" si="64"/>
        <v>Sufficient</v>
      </c>
      <c r="X1368" s="8" t="str">
        <f t="shared" si="65"/>
        <v>High</v>
      </c>
    </row>
    <row r="1369" spans="1:24">
      <c r="A1369" s="7" t="s">
        <v>1499</v>
      </c>
      <c r="B1369" s="1" t="s">
        <v>66</v>
      </c>
      <c r="C1369" s="1">
        <v>36</v>
      </c>
      <c r="D1369" s="1">
        <v>60</v>
      </c>
      <c r="E1369" s="1">
        <v>12</v>
      </c>
      <c r="F1369" s="1">
        <v>2</v>
      </c>
      <c r="G1369" s="1">
        <v>26.79</v>
      </c>
      <c r="H1369" s="1" t="s">
        <v>181</v>
      </c>
      <c r="I1369" s="1" t="s">
        <v>31</v>
      </c>
      <c r="J1369" s="1">
        <v>41</v>
      </c>
      <c r="K1369" s="1">
        <v>0.86</v>
      </c>
      <c r="L1369" s="4">
        <v>43.15</v>
      </c>
      <c r="M1369" s="1">
        <v>0.87</v>
      </c>
      <c r="N1369" s="1">
        <v>0</v>
      </c>
      <c r="O1369" s="1">
        <v>0.98</v>
      </c>
      <c r="P1369" s="1">
        <v>364</v>
      </c>
      <c r="Q1369" s="1">
        <v>10.08</v>
      </c>
      <c r="R1369" s="1">
        <v>0.76</v>
      </c>
      <c r="S1369" s="2">
        <v>45506</v>
      </c>
      <c r="T1369" s="1">
        <v>118.06</v>
      </c>
      <c r="U1369" s="1">
        <v>0.79500000000000004</v>
      </c>
      <c r="V1369" s="6">
        <f t="shared" si="63"/>
        <v>1553.3999999999999</v>
      </c>
      <c r="W1369" s="6" t="str">
        <f t="shared" si="64"/>
        <v>Reorder Required</v>
      </c>
      <c r="X1369" s="8" t="str">
        <f t="shared" si="65"/>
        <v>LOW</v>
      </c>
    </row>
    <row r="1370" spans="1:24">
      <c r="A1370" s="7" t="s">
        <v>1500</v>
      </c>
      <c r="B1370" s="1" t="s">
        <v>25</v>
      </c>
      <c r="C1370" s="1">
        <v>90</v>
      </c>
      <c r="D1370" s="1">
        <v>83</v>
      </c>
      <c r="E1370" s="1">
        <v>12</v>
      </c>
      <c r="F1370" s="1">
        <v>7</v>
      </c>
      <c r="G1370" s="1">
        <v>34.24</v>
      </c>
      <c r="H1370" s="1" t="s">
        <v>440</v>
      </c>
      <c r="I1370" s="1" t="s">
        <v>39</v>
      </c>
      <c r="J1370" s="1">
        <v>97</v>
      </c>
      <c r="K1370" s="1">
        <v>1.35</v>
      </c>
      <c r="L1370" s="4">
        <v>22.88</v>
      </c>
      <c r="M1370" s="1">
        <v>0.69</v>
      </c>
      <c r="N1370" s="1">
        <v>1</v>
      </c>
      <c r="O1370" s="1">
        <v>0.82</v>
      </c>
      <c r="P1370" s="1">
        <v>778</v>
      </c>
      <c r="Q1370" s="1">
        <v>14.94</v>
      </c>
      <c r="R1370" s="1">
        <v>0.42</v>
      </c>
      <c r="S1370" s="2">
        <v>45377</v>
      </c>
      <c r="T1370" s="1">
        <v>198.02</v>
      </c>
      <c r="U1370" s="1">
        <v>0.75800000000000001</v>
      </c>
      <c r="V1370" s="6">
        <f t="shared" si="63"/>
        <v>2059.1999999999998</v>
      </c>
      <c r="W1370" s="6" t="str">
        <f t="shared" si="64"/>
        <v>Sufficient</v>
      </c>
      <c r="X1370" s="8" t="str">
        <f t="shared" si="65"/>
        <v>LOW</v>
      </c>
    </row>
    <row r="1371" spans="1:24">
      <c r="A1371" s="7" t="s">
        <v>1501</v>
      </c>
      <c r="B1371" s="1" t="s">
        <v>25</v>
      </c>
      <c r="C1371" s="1">
        <v>288</v>
      </c>
      <c r="D1371" s="1">
        <v>52</v>
      </c>
      <c r="E1371" s="1">
        <v>6</v>
      </c>
      <c r="F1371" s="1">
        <v>6</v>
      </c>
      <c r="G1371" s="1">
        <v>15.02</v>
      </c>
      <c r="H1371" s="1" t="s">
        <v>189</v>
      </c>
      <c r="I1371" s="1" t="s">
        <v>27</v>
      </c>
      <c r="J1371" s="1">
        <v>145</v>
      </c>
      <c r="K1371" s="1">
        <v>3.61</v>
      </c>
      <c r="L1371" s="4">
        <v>47.36</v>
      </c>
      <c r="M1371" s="1">
        <v>1.08</v>
      </c>
      <c r="N1371" s="1">
        <v>1</v>
      </c>
      <c r="O1371" s="1">
        <v>0.77</v>
      </c>
      <c r="P1371" s="1">
        <v>965</v>
      </c>
      <c r="Q1371" s="1">
        <v>13.49</v>
      </c>
      <c r="R1371" s="1">
        <v>0.65</v>
      </c>
      <c r="S1371" s="2">
        <v>45503</v>
      </c>
      <c r="T1371" s="1">
        <v>183.68</v>
      </c>
      <c r="U1371" s="1">
        <v>0.73599999999999999</v>
      </c>
      <c r="V1371" s="6">
        <f t="shared" si="63"/>
        <v>13639.68</v>
      </c>
      <c r="W1371" s="6" t="str">
        <f t="shared" si="64"/>
        <v>Sufficient</v>
      </c>
      <c r="X1371" s="8" t="str">
        <f t="shared" si="65"/>
        <v>High</v>
      </c>
    </row>
    <row r="1372" spans="1:24">
      <c r="A1372" s="7" t="s">
        <v>1502</v>
      </c>
      <c r="B1372" s="1" t="s">
        <v>33</v>
      </c>
      <c r="C1372" s="1">
        <v>344</v>
      </c>
      <c r="D1372" s="1">
        <v>24</v>
      </c>
      <c r="E1372" s="1">
        <v>3</v>
      </c>
      <c r="F1372" s="1">
        <v>9</v>
      </c>
      <c r="G1372" s="1">
        <v>13.35</v>
      </c>
      <c r="H1372" s="1" t="s">
        <v>304</v>
      </c>
      <c r="I1372" s="1" t="s">
        <v>27</v>
      </c>
      <c r="J1372" s="1">
        <v>167</v>
      </c>
      <c r="K1372" s="1">
        <v>4.5599999999999996</v>
      </c>
      <c r="L1372" s="4">
        <v>172.3</v>
      </c>
      <c r="M1372" s="1">
        <v>0.82</v>
      </c>
      <c r="N1372" s="1">
        <v>8</v>
      </c>
      <c r="O1372" s="1">
        <v>0.87</v>
      </c>
      <c r="P1372" s="1">
        <v>329</v>
      </c>
      <c r="Q1372" s="1">
        <v>13.33</v>
      </c>
      <c r="R1372" s="1">
        <v>0.33</v>
      </c>
      <c r="S1372" s="2">
        <v>45544</v>
      </c>
      <c r="T1372" s="1">
        <v>27.32</v>
      </c>
      <c r="U1372" s="1">
        <v>0.57599999999999996</v>
      </c>
      <c r="V1372" s="6">
        <f t="shared" si="63"/>
        <v>59271.200000000004</v>
      </c>
      <c r="W1372" s="6" t="str">
        <f t="shared" si="64"/>
        <v>Sufficient</v>
      </c>
      <c r="X1372" s="8" t="str">
        <f t="shared" si="65"/>
        <v>High</v>
      </c>
    </row>
    <row r="1373" spans="1:24">
      <c r="A1373" s="7" t="s">
        <v>1503</v>
      </c>
      <c r="B1373" s="1" t="s">
        <v>25</v>
      </c>
      <c r="C1373" s="1">
        <v>301</v>
      </c>
      <c r="D1373" s="1">
        <v>47</v>
      </c>
      <c r="E1373" s="1">
        <v>4</v>
      </c>
      <c r="F1373" s="1">
        <v>9</v>
      </c>
      <c r="G1373" s="1">
        <v>19.68</v>
      </c>
      <c r="H1373" s="1" t="s">
        <v>135</v>
      </c>
      <c r="I1373" s="1" t="s">
        <v>27</v>
      </c>
      <c r="J1373" s="1">
        <v>35</v>
      </c>
      <c r="K1373" s="1">
        <v>4.84</v>
      </c>
      <c r="L1373" s="4">
        <v>161.44</v>
      </c>
      <c r="M1373" s="1">
        <v>1.94</v>
      </c>
      <c r="N1373" s="1">
        <v>9</v>
      </c>
      <c r="O1373" s="1">
        <v>0.92</v>
      </c>
      <c r="P1373" s="1">
        <v>692</v>
      </c>
      <c r="Q1373" s="1">
        <v>10.039999999999999</v>
      </c>
      <c r="R1373" s="1">
        <v>0.5</v>
      </c>
      <c r="S1373" s="2">
        <v>45485</v>
      </c>
      <c r="T1373" s="1">
        <v>256.06</v>
      </c>
      <c r="U1373" s="1">
        <v>0.44400000000000001</v>
      </c>
      <c r="V1373" s="6">
        <f t="shared" si="63"/>
        <v>48593.440000000002</v>
      </c>
      <c r="W1373" s="6" t="str">
        <f t="shared" si="64"/>
        <v>Sufficient</v>
      </c>
      <c r="X1373" s="8" t="str">
        <f t="shared" si="65"/>
        <v>High</v>
      </c>
    </row>
    <row r="1374" spans="1:24">
      <c r="A1374" s="7" t="s">
        <v>1504</v>
      </c>
      <c r="B1374" s="1" t="s">
        <v>29</v>
      </c>
      <c r="C1374" s="1">
        <v>324</v>
      </c>
      <c r="D1374" s="1">
        <v>24</v>
      </c>
      <c r="E1374" s="1">
        <v>13</v>
      </c>
      <c r="F1374" s="1">
        <v>5</v>
      </c>
      <c r="G1374" s="1">
        <v>25.55</v>
      </c>
      <c r="H1374" s="1" t="s">
        <v>558</v>
      </c>
      <c r="I1374" s="1" t="s">
        <v>31</v>
      </c>
      <c r="J1374" s="1">
        <v>161</v>
      </c>
      <c r="K1374" s="1">
        <v>4.26</v>
      </c>
      <c r="L1374" s="4">
        <v>94</v>
      </c>
      <c r="M1374" s="1">
        <v>1.63</v>
      </c>
      <c r="N1374" s="1">
        <v>4</v>
      </c>
      <c r="O1374" s="1">
        <v>0.7</v>
      </c>
      <c r="P1374" s="1">
        <v>135</v>
      </c>
      <c r="Q1374" s="1">
        <v>4.79</v>
      </c>
      <c r="R1374" s="1">
        <v>0.28000000000000003</v>
      </c>
      <c r="S1374" s="2">
        <v>45471</v>
      </c>
      <c r="T1374" s="1">
        <v>281.89</v>
      </c>
      <c r="U1374" s="1">
        <v>0.41699999999999998</v>
      </c>
      <c r="V1374" s="6">
        <f t="shared" si="63"/>
        <v>30456</v>
      </c>
      <c r="W1374" s="6" t="str">
        <f t="shared" si="64"/>
        <v>Sufficient</v>
      </c>
      <c r="X1374" s="8" t="str">
        <f t="shared" si="65"/>
        <v>High</v>
      </c>
    </row>
    <row r="1375" spans="1:24">
      <c r="A1375" s="7" t="s">
        <v>1505</v>
      </c>
      <c r="B1375" s="1" t="s">
        <v>29</v>
      </c>
      <c r="C1375" s="1">
        <v>470</v>
      </c>
      <c r="D1375" s="1">
        <v>14</v>
      </c>
      <c r="E1375" s="1">
        <v>3</v>
      </c>
      <c r="F1375" s="1">
        <v>5</v>
      </c>
      <c r="G1375" s="1">
        <v>47.61</v>
      </c>
      <c r="H1375" s="1" t="s">
        <v>113</v>
      </c>
      <c r="I1375" s="1" t="s">
        <v>45</v>
      </c>
      <c r="J1375" s="1">
        <v>164</v>
      </c>
      <c r="K1375" s="1">
        <v>1.45</v>
      </c>
      <c r="L1375" s="4">
        <v>176.78</v>
      </c>
      <c r="M1375" s="1">
        <v>1.87</v>
      </c>
      <c r="N1375" s="1">
        <v>3</v>
      </c>
      <c r="O1375" s="1">
        <v>0.78</v>
      </c>
      <c r="P1375" s="1">
        <v>889</v>
      </c>
      <c r="Q1375" s="1">
        <v>6.38</v>
      </c>
      <c r="R1375" s="1">
        <v>0.56999999999999995</v>
      </c>
      <c r="S1375" s="2">
        <v>45571</v>
      </c>
      <c r="T1375" s="1">
        <v>236.26</v>
      </c>
      <c r="U1375" s="1">
        <v>0.50800000000000001</v>
      </c>
      <c r="V1375" s="6">
        <f t="shared" si="63"/>
        <v>83086.600000000006</v>
      </c>
      <c r="W1375" s="6" t="str">
        <f t="shared" si="64"/>
        <v>Sufficient</v>
      </c>
      <c r="X1375" s="8" t="str">
        <f t="shared" si="65"/>
        <v>High</v>
      </c>
    </row>
    <row r="1376" spans="1:24">
      <c r="A1376" s="7" t="s">
        <v>1506</v>
      </c>
      <c r="B1376" s="1" t="s">
        <v>33</v>
      </c>
      <c r="C1376" s="1">
        <v>26</v>
      </c>
      <c r="D1376" s="1">
        <v>92</v>
      </c>
      <c r="E1376" s="1">
        <v>8</v>
      </c>
      <c r="F1376" s="1">
        <v>4</v>
      </c>
      <c r="G1376" s="1">
        <v>38.340000000000003</v>
      </c>
      <c r="H1376" s="1" t="s">
        <v>143</v>
      </c>
      <c r="I1376" s="1" t="s">
        <v>39</v>
      </c>
      <c r="J1376" s="1">
        <v>176</v>
      </c>
      <c r="K1376" s="1">
        <v>1.79</v>
      </c>
      <c r="L1376" s="4">
        <v>54.21</v>
      </c>
      <c r="M1376" s="1">
        <v>1.1599999999999999</v>
      </c>
      <c r="N1376" s="1">
        <v>9</v>
      </c>
      <c r="O1376" s="1">
        <v>0.95</v>
      </c>
      <c r="P1376" s="1">
        <v>415</v>
      </c>
      <c r="Q1376" s="1">
        <v>4.5</v>
      </c>
      <c r="R1376" s="1">
        <v>0.37</v>
      </c>
      <c r="S1376" s="2">
        <v>45484</v>
      </c>
      <c r="T1376" s="1">
        <v>61.73</v>
      </c>
      <c r="U1376" s="1">
        <v>0.42799999999999999</v>
      </c>
      <c r="V1376" s="6">
        <f t="shared" si="63"/>
        <v>1409.46</v>
      </c>
      <c r="W1376" s="6" t="str">
        <f t="shared" si="64"/>
        <v>Reorder Required</v>
      </c>
      <c r="X1376" s="8" t="str">
        <f t="shared" si="65"/>
        <v>LOW</v>
      </c>
    </row>
    <row r="1377" spans="1:24">
      <c r="A1377" s="7" t="s">
        <v>1507</v>
      </c>
      <c r="B1377" s="1" t="s">
        <v>29</v>
      </c>
      <c r="C1377" s="1">
        <v>333</v>
      </c>
      <c r="D1377" s="1">
        <v>63</v>
      </c>
      <c r="E1377" s="1">
        <v>5</v>
      </c>
      <c r="F1377" s="1">
        <v>3</v>
      </c>
      <c r="G1377" s="1">
        <v>22.04</v>
      </c>
      <c r="H1377" s="1" t="s">
        <v>181</v>
      </c>
      <c r="I1377" s="1" t="s">
        <v>39</v>
      </c>
      <c r="J1377" s="1">
        <v>75</v>
      </c>
      <c r="K1377" s="1">
        <v>4.42</v>
      </c>
      <c r="L1377" s="4">
        <v>121</v>
      </c>
      <c r="M1377" s="1">
        <v>1.39</v>
      </c>
      <c r="N1377" s="1">
        <v>9</v>
      </c>
      <c r="O1377" s="1">
        <v>0.85</v>
      </c>
      <c r="P1377" s="1">
        <v>874</v>
      </c>
      <c r="Q1377" s="1">
        <v>2.89</v>
      </c>
      <c r="R1377" s="1">
        <v>0.35</v>
      </c>
      <c r="S1377" s="2">
        <v>45343</v>
      </c>
      <c r="T1377" s="1">
        <v>59.93</v>
      </c>
      <c r="U1377" s="1">
        <v>0.36</v>
      </c>
      <c r="V1377" s="6">
        <f t="shared" si="63"/>
        <v>40293</v>
      </c>
      <c r="W1377" s="6" t="str">
        <f t="shared" si="64"/>
        <v>Sufficient</v>
      </c>
      <c r="X1377" s="8" t="str">
        <f t="shared" si="65"/>
        <v>High</v>
      </c>
    </row>
    <row r="1378" spans="1:24">
      <c r="A1378" s="7" t="s">
        <v>1508</v>
      </c>
      <c r="B1378" s="1" t="s">
        <v>41</v>
      </c>
      <c r="C1378" s="1">
        <v>324</v>
      </c>
      <c r="D1378" s="1">
        <v>60</v>
      </c>
      <c r="E1378" s="1">
        <v>9</v>
      </c>
      <c r="F1378" s="1">
        <v>8</v>
      </c>
      <c r="G1378" s="1">
        <v>3.66</v>
      </c>
      <c r="H1378" s="1" t="s">
        <v>333</v>
      </c>
      <c r="I1378" s="1" t="s">
        <v>31</v>
      </c>
      <c r="J1378" s="1">
        <v>82</v>
      </c>
      <c r="K1378" s="1">
        <v>4.5</v>
      </c>
      <c r="L1378" s="4">
        <v>37.159999999999997</v>
      </c>
      <c r="M1378" s="1">
        <v>0.42</v>
      </c>
      <c r="N1378" s="1">
        <v>3</v>
      </c>
      <c r="O1378" s="1">
        <v>0.82</v>
      </c>
      <c r="P1378" s="1">
        <v>415</v>
      </c>
      <c r="Q1378" s="1">
        <v>7.1</v>
      </c>
      <c r="R1378" s="1">
        <v>0.28999999999999998</v>
      </c>
      <c r="S1378" s="2">
        <v>45537</v>
      </c>
      <c r="T1378" s="1">
        <v>220.57</v>
      </c>
      <c r="U1378" s="1">
        <v>0.61499999999999999</v>
      </c>
      <c r="V1378" s="6">
        <f t="shared" si="63"/>
        <v>12039.839999999998</v>
      </c>
      <c r="W1378" s="6" t="str">
        <f t="shared" si="64"/>
        <v>Sufficient</v>
      </c>
      <c r="X1378" s="8" t="str">
        <f t="shared" si="65"/>
        <v>High</v>
      </c>
    </row>
    <row r="1379" spans="1:24">
      <c r="A1379" s="7" t="s">
        <v>1509</v>
      </c>
      <c r="B1379" s="1" t="s">
        <v>33</v>
      </c>
      <c r="C1379" s="1">
        <v>122</v>
      </c>
      <c r="D1379" s="1">
        <v>19</v>
      </c>
      <c r="E1379" s="1">
        <v>7</v>
      </c>
      <c r="F1379" s="1">
        <v>3</v>
      </c>
      <c r="G1379" s="1">
        <v>9.26</v>
      </c>
      <c r="H1379" s="1" t="s">
        <v>227</v>
      </c>
      <c r="I1379" s="1" t="s">
        <v>27</v>
      </c>
      <c r="J1379" s="1">
        <v>59</v>
      </c>
      <c r="K1379" s="1">
        <v>3.38</v>
      </c>
      <c r="L1379" s="4">
        <v>168.35</v>
      </c>
      <c r="M1379" s="1">
        <v>1.53</v>
      </c>
      <c r="N1379" s="1">
        <v>6</v>
      </c>
      <c r="O1379" s="1">
        <v>0.98</v>
      </c>
      <c r="P1379" s="1">
        <v>142</v>
      </c>
      <c r="Q1379" s="1">
        <v>13.57</v>
      </c>
      <c r="R1379" s="1">
        <v>0.81</v>
      </c>
      <c r="S1379" s="2">
        <v>45587</v>
      </c>
      <c r="T1379" s="1">
        <v>137.85</v>
      </c>
      <c r="U1379" s="1">
        <v>0.66600000000000004</v>
      </c>
      <c r="V1379" s="6">
        <f t="shared" si="63"/>
        <v>20538.7</v>
      </c>
      <c r="W1379" s="6" t="str">
        <f t="shared" si="64"/>
        <v>Sufficient</v>
      </c>
      <c r="X1379" s="8" t="str">
        <f t="shared" si="65"/>
        <v>Medium</v>
      </c>
    </row>
    <row r="1380" spans="1:24">
      <c r="A1380" s="7" t="s">
        <v>1510</v>
      </c>
      <c r="B1380" s="1" t="s">
        <v>41</v>
      </c>
      <c r="C1380" s="1">
        <v>328</v>
      </c>
      <c r="D1380" s="1">
        <v>21</v>
      </c>
      <c r="E1380" s="1">
        <v>11</v>
      </c>
      <c r="F1380" s="1">
        <v>7</v>
      </c>
      <c r="G1380" s="1">
        <v>23.34</v>
      </c>
      <c r="H1380" s="1" t="s">
        <v>244</v>
      </c>
      <c r="I1380" s="1" t="s">
        <v>31</v>
      </c>
      <c r="J1380" s="1">
        <v>54</v>
      </c>
      <c r="K1380" s="1">
        <v>1.91</v>
      </c>
      <c r="L1380" s="4">
        <v>34.81</v>
      </c>
      <c r="M1380" s="1">
        <v>0.55000000000000004</v>
      </c>
      <c r="N1380" s="1">
        <v>2</v>
      </c>
      <c r="O1380" s="1">
        <v>0.73</v>
      </c>
      <c r="P1380" s="1">
        <v>120</v>
      </c>
      <c r="Q1380" s="1">
        <v>11.41</v>
      </c>
      <c r="R1380" s="1">
        <v>0.71</v>
      </c>
      <c r="S1380" s="2">
        <v>45625</v>
      </c>
      <c r="T1380" s="1">
        <v>235.85</v>
      </c>
      <c r="U1380" s="1">
        <v>0.745</v>
      </c>
      <c r="V1380" s="6">
        <f t="shared" si="63"/>
        <v>11417.68</v>
      </c>
      <c r="W1380" s="6" t="str">
        <f t="shared" si="64"/>
        <v>Sufficient</v>
      </c>
      <c r="X1380" s="8" t="str">
        <f t="shared" si="65"/>
        <v>High</v>
      </c>
    </row>
    <row r="1381" spans="1:24">
      <c r="A1381" s="7" t="s">
        <v>1511</v>
      </c>
      <c r="B1381" s="1" t="s">
        <v>66</v>
      </c>
      <c r="C1381" s="1">
        <v>212</v>
      </c>
      <c r="D1381" s="1">
        <v>13</v>
      </c>
      <c r="E1381" s="1">
        <v>9</v>
      </c>
      <c r="F1381" s="1">
        <v>6</v>
      </c>
      <c r="G1381" s="1">
        <v>40.880000000000003</v>
      </c>
      <c r="H1381" s="1" t="s">
        <v>233</v>
      </c>
      <c r="I1381" s="1" t="s">
        <v>45</v>
      </c>
      <c r="J1381" s="1">
        <v>96</v>
      </c>
      <c r="K1381" s="1">
        <v>1.51</v>
      </c>
      <c r="L1381" s="4">
        <v>16.05</v>
      </c>
      <c r="M1381" s="1">
        <v>0.38</v>
      </c>
      <c r="N1381" s="1">
        <v>8</v>
      </c>
      <c r="O1381" s="1">
        <v>0.88</v>
      </c>
      <c r="P1381" s="1">
        <v>375</v>
      </c>
      <c r="Q1381" s="1">
        <v>14.79</v>
      </c>
      <c r="R1381" s="1">
        <v>0.33</v>
      </c>
      <c r="S1381" s="2">
        <v>45643</v>
      </c>
      <c r="T1381" s="1">
        <v>31.89</v>
      </c>
      <c r="U1381" s="1">
        <v>0.64100000000000001</v>
      </c>
      <c r="V1381" s="6">
        <f t="shared" si="63"/>
        <v>3402.6000000000004</v>
      </c>
      <c r="W1381" s="6" t="str">
        <f t="shared" si="64"/>
        <v>Sufficient</v>
      </c>
      <c r="X1381" s="8" t="str">
        <f t="shared" si="65"/>
        <v>Medium</v>
      </c>
    </row>
    <row r="1382" spans="1:24">
      <c r="A1382" s="7" t="s">
        <v>1512</v>
      </c>
      <c r="B1382" s="1" t="s">
        <v>41</v>
      </c>
      <c r="C1382" s="1">
        <v>260</v>
      </c>
      <c r="D1382" s="1">
        <v>27</v>
      </c>
      <c r="E1382" s="1">
        <v>6</v>
      </c>
      <c r="F1382" s="1">
        <v>9</v>
      </c>
      <c r="G1382" s="1">
        <v>19.649999999999999</v>
      </c>
      <c r="H1382" s="1" t="s">
        <v>70</v>
      </c>
      <c r="I1382" s="1" t="s">
        <v>27</v>
      </c>
      <c r="J1382" s="1">
        <v>42</v>
      </c>
      <c r="K1382" s="1">
        <v>4.34</v>
      </c>
      <c r="L1382" s="4">
        <v>61.95</v>
      </c>
      <c r="M1382" s="1">
        <v>0.18</v>
      </c>
      <c r="N1382" s="1">
        <v>4</v>
      </c>
      <c r="O1382" s="1">
        <v>0.8</v>
      </c>
      <c r="P1382" s="1">
        <v>556</v>
      </c>
      <c r="Q1382" s="1">
        <v>3.73</v>
      </c>
      <c r="R1382" s="1">
        <v>0.57999999999999996</v>
      </c>
      <c r="S1382" s="2">
        <v>45407</v>
      </c>
      <c r="T1382" s="1">
        <v>217.77</v>
      </c>
      <c r="U1382" s="1">
        <v>0.628</v>
      </c>
      <c r="V1382" s="6">
        <f t="shared" si="63"/>
        <v>16107</v>
      </c>
      <c r="W1382" s="6" t="str">
        <f t="shared" si="64"/>
        <v>Sufficient</v>
      </c>
      <c r="X1382" s="8" t="str">
        <f t="shared" si="65"/>
        <v>High</v>
      </c>
    </row>
    <row r="1383" spans="1:24">
      <c r="A1383" s="7" t="s">
        <v>1513</v>
      </c>
      <c r="B1383" s="1" t="s">
        <v>66</v>
      </c>
      <c r="C1383" s="1">
        <v>81</v>
      </c>
      <c r="D1383" s="1">
        <v>89</v>
      </c>
      <c r="E1383" s="1">
        <v>7</v>
      </c>
      <c r="F1383" s="1">
        <v>3</v>
      </c>
      <c r="G1383" s="1">
        <v>27.39</v>
      </c>
      <c r="H1383" s="1" t="s">
        <v>195</v>
      </c>
      <c r="I1383" s="1" t="s">
        <v>31</v>
      </c>
      <c r="J1383" s="1">
        <v>28</v>
      </c>
      <c r="K1383" s="1">
        <v>1.42</v>
      </c>
      <c r="L1383" s="4">
        <v>181.18</v>
      </c>
      <c r="M1383" s="1">
        <v>1</v>
      </c>
      <c r="N1383" s="1">
        <v>8</v>
      </c>
      <c r="O1383" s="1">
        <v>0.72</v>
      </c>
      <c r="P1383" s="1">
        <v>375</v>
      </c>
      <c r="Q1383" s="1">
        <v>8.01</v>
      </c>
      <c r="R1383" s="1">
        <v>0.73</v>
      </c>
      <c r="S1383" s="2">
        <v>45375</v>
      </c>
      <c r="T1383" s="1">
        <v>132.99</v>
      </c>
      <c r="U1383" s="1">
        <v>0.53700000000000003</v>
      </c>
      <c r="V1383" s="6">
        <f t="shared" si="63"/>
        <v>14675.58</v>
      </c>
      <c r="W1383" s="6" t="str">
        <f t="shared" si="64"/>
        <v>Reorder Required</v>
      </c>
      <c r="X1383" s="8" t="str">
        <f t="shared" si="65"/>
        <v>LOW</v>
      </c>
    </row>
    <row r="1384" spans="1:24">
      <c r="A1384" s="7" t="s">
        <v>1514</v>
      </c>
      <c r="B1384" s="1" t="s">
        <v>66</v>
      </c>
      <c r="C1384" s="1">
        <v>36</v>
      </c>
      <c r="D1384" s="1">
        <v>45</v>
      </c>
      <c r="E1384" s="1">
        <v>7</v>
      </c>
      <c r="F1384" s="1">
        <v>9</v>
      </c>
      <c r="G1384" s="1">
        <v>44.7</v>
      </c>
      <c r="H1384" s="1" t="s">
        <v>26</v>
      </c>
      <c r="I1384" s="1" t="s">
        <v>45</v>
      </c>
      <c r="J1384" s="1">
        <v>150</v>
      </c>
      <c r="K1384" s="1">
        <v>3.48</v>
      </c>
      <c r="L1384" s="4">
        <v>34.6</v>
      </c>
      <c r="M1384" s="1">
        <v>0.64</v>
      </c>
      <c r="N1384" s="1">
        <v>0</v>
      </c>
      <c r="O1384" s="1">
        <v>0.76</v>
      </c>
      <c r="P1384" s="1">
        <v>893</v>
      </c>
      <c r="Q1384" s="1">
        <v>12.1</v>
      </c>
      <c r="R1384" s="1">
        <v>0.9</v>
      </c>
      <c r="S1384" s="2">
        <v>45523</v>
      </c>
      <c r="T1384" s="1">
        <v>18.989999999999998</v>
      </c>
      <c r="U1384" s="1">
        <v>0.82899999999999996</v>
      </c>
      <c r="V1384" s="6">
        <f t="shared" si="63"/>
        <v>1245.6000000000001</v>
      </c>
      <c r="W1384" s="6" t="str">
        <f t="shared" si="64"/>
        <v>Reorder Required</v>
      </c>
      <c r="X1384" s="8" t="str">
        <f t="shared" si="65"/>
        <v>LOW</v>
      </c>
    </row>
    <row r="1385" spans="1:24">
      <c r="A1385" s="7" t="s">
        <v>1515</v>
      </c>
      <c r="B1385" s="1" t="s">
        <v>41</v>
      </c>
      <c r="C1385" s="1">
        <v>190</v>
      </c>
      <c r="D1385" s="1">
        <v>34</v>
      </c>
      <c r="E1385" s="1">
        <v>13</v>
      </c>
      <c r="F1385" s="1">
        <v>5</v>
      </c>
      <c r="G1385" s="1">
        <v>45.78</v>
      </c>
      <c r="H1385" s="1" t="s">
        <v>276</v>
      </c>
      <c r="I1385" s="1" t="s">
        <v>27</v>
      </c>
      <c r="J1385" s="1">
        <v>122</v>
      </c>
      <c r="K1385" s="1">
        <v>4.8600000000000003</v>
      </c>
      <c r="L1385" s="4">
        <v>72.83</v>
      </c>
      <c r="M1385" s="1">
        <v>1.97</v>
      </c>
      <c r="N1385" s="1">
        <v>9</v>
      </c>
      <c r="O1385" s="1">
        <v>0.89</v>
      </c>
      <c r="P1385" s="1">
        <v>240</v>
      </c>
      <c r="Q1385" s="1">
        <v>7.45</v>
      </c>
      <c r="R1385" s="1">
        <v>0.25</v>
      </c>
      <c r="S1385" s="2">
        <v>45329</v>
      </c>
      <c r="T1385" s="1">
        <v>168.1</v>
      </c>
      <c r="U1385" s="1">
        <v>0.35</v>
      </c>
      <c r="V1385" s="6">
        <f t="shared" si="63"/>
        <v>13837.699999999999</v>
      </c>
      <c r="W1385" s="6" t="str">
        <f t="shared" si="64"/>
        <v>Sufficient</v>
      </c>
      <c r="X1385" s="8" t="str">
        <f t="shared" si="65"/>
        <v>Medium</v>
      </c>
    </row>
    <row r="1386" spans="1:24">
      <c r="A1386" s="7" t="s">
        <v>1516</v>
      </c>
      <c r="B1386" s="1" t="s">
        <v>33</v>
      </c>
      <c r="C1386" s="1">
        <v>44</v>
      </c>
      <c r="D1386" s="1">
        <v>96</v>
      </c>
      <c r="E1386" s="1">
        <v>7</v>
      </c>
      <c r="F1386" s="1">
        <v>9</v>
      </c>
      <c r="G1386" s="1">
        <v>11.57</v>
      </c>
      <c r="H1386" s="1" t="s">
        <v>128</v>
      </c>
      <c r="I1386" s="1" t="s">
        <v>39</v>
      </c>
      <c r="J1386" s="1">
        <v>31</v>
      </c>
      <c r="K1386" s="1">
        <v>3.67</v>
      </c>
      <c r="L1386" s="4">
        <v>70.12</v>
      </c>
      <c r="M1386" s="1">
        <v>0.56999999999999995</v>
      </c>
      <c r="N1386" s="1">
        <v>7</v>
      </c>
      <c r="O1386" s="1">
        <v>0.71</v>
      </c>
      <c r="P1386" s="1">
        <v>263</v>
      </c>
      <c r="Q1386" s="1">
        <v>5.97</v>
      </c>
      <c r="R1386" s="1">
        <v>0.49</v>
      </c>
      <c r="S1386" s="2">
        <v>45309</v>
      </c>
      <c r="T1386" s="1">
        <v>212.72</v>
      </c>
      <c r="U1386" s="1">
        <v>0.52300000000000002</v>
      </c>
      <c r="V1386" s="6">
        <f t="shared" si="63"/>
        <v>3085.28</v>
      </c>
      <c r="W1386" s="6" t="str">
        <f t="shared" si="64"/>
        <v>Reorder Required</v>
      </c>
      <c r="X1386" s="8" t="str">
        <f t="shared" si="65"/>
        <v>LOW</v>
      </c>
    </row>
    <row r="1387" spans="1:24">
      <c r="A1387" s="7" t="s">
        <v>1517</v>
      </c>
      <c r="B1387" s="1" t="s">
        <v>29</v>
      </c>
      <c r="C1387" s="1">
        <v>270</v>
      </c>
      <c r="D1387" s="1">
        <v>85</v>
      </c>
      <c r="E1387" s="1">
        <v>12</v>
      </c>
      <c r="F1387" s="1">
        <v>8</v>
      </c>
      <c r="G1387" s="1">
        <v>3.14</v>
      </c>
      <c r="H1387" s="1" t="s">
        <v>276</v>
      </c>
      <c r="I1387" s="1" t="s">
        <v>45</v>
      </c>
      <c r="J1387" s="1">
        <v>157</v>
      </c>
      <c r="K1387" s="1">
        <v>1.66</v>
      </c>
      <c r="L1387" s="4">
        <v>162.31</v>
      </c>
      <c r="M1387" s="1">
        <v>1.75</v>
      </c>
      <c r="N1387" s="1">
        <v>1</v>
      </c>
      <c r="O1387" s="1">
        <v>0.88</v>
      </c>
      <c r="P1387" s="1">
        <v>96</v>
      </c>
      <c r="Q1387" s="1">
        <v>12.42</v>
      </c>
      <c r="R1387" s="1">
        <v>0.69</v>
      </c>
      <c r="S1387" s="2">
        <v>45442</v>
      </c>
      <c r="T1387" s="1">
        <v>163.19</v>
      </c>
      <c r="U1387" s="1">
        <v>0.68500000000000005</v>
      </c>
      <c r="V1387" s="6">
        <f t="shared" si="63"/>
        <v>43823.7</v>
      </c>
      <c r="W1387" s="6" t="str">
        <f t="shared" si="64"/>
        <v>Sufficient</v>
      </c>
      <c r="X1387" s="8" t="str">
        <f t="shared" si="65"/>
        <v>High</v>
      </c>
    </row>
    <row r="1388" spans="1:24">
      <c r="A1388" s="7" t="s">
        <v>1518</v>
      </c>
      <c r="B1388" s="1" t="s">
        <v>29</v>
      </c>
      <c r="C1388" s="1">
        <v>272</v>
      </c>
      <c r="D1388" s="1">
        <v>45</v>
      </c>
      <c r="E1388" s="1">
        <v>11</v>
      </c>
      <c r="F1388" s="1">
        <v>9</v>
      </c>
      <c r="G1388" s="1">
        <v>15.97</v>
      </c>
      <c r="H1388" s="1" t="s">
        <v>176</v>
      </c>
      <c r="I1388" s="1" t="s">
        <v>39</v>
      </c>
      <c r="J1388" s="1">
        <v>106</v>
      </c>
      <c r="K1388" s="1">
        <v>1.77</v>
      </c>
      <c r="L1388" s="4">
        <v>90.09</v>
      </c>
      <c r="M1388" s="1">
        <v>0.7</v>
      </c>
      <c r="N1388" s="1">
        <v>7</v>
      </c>
      <c r="O1388" s="1">
        <v>0.99</v>
      </c>
      <c r="P1388" s="1">
        <v>779</v>
      </c>
      <c r="Q1388" s="1">
        <v>7.02</v>
      </c>
      <c r="R1388" s="1">
        <v>0.21</v>
      </c>
      <c r="S1388" s="2">
        <v>45302</v>
      </c>
      <c r="T1388" s="1">
        <v>45.64</v>
      </c>
      <c r="U1388" s="1">
        <v>0.52400000000000002</v>
      </c>
      <c r="V1388" s="6">
        <f t="shared" si="63"/>
        <v>24504.48</v>
      </c>
      <c r="W1388" s="6" t="str">
        <f t="shared" si="64"/>
        <v>Sufficient</v>
      </c>
      <c r="X1388" s="8" t="str">
        <f t="shared" si="65"/>
        <v>High</v>
      </c>
    </row>
    <row r="1389" spans="1:24">
      <c r="A1389" s="7" t="s">
        <v>1519</v>
      </c>
      <c r="B1389" s="1" t="s">
        <v>66</v>
      </c>
      <c r="C1389" s="1">
        <v>406</v>
      </c>
      <c r="D1389" s="1">
        <v>76</v>
      </c>
      <c r="E1389" s="1">
        <v>12</v>
      </c>
      <c r="F1389" s="1">
        <v>3</v>
      </c>
      <c r="G1389" s="1">
        <v>35.090000000000003</v>
      </c>
      <c r="H1389" s="1" t="s">
        <v>279</v>
      </c>
      <c r="I1389" s="1" t="s">
        <v>45</v>
      </c>
      <c r="J1389" s="1">
        <v>14</v>
      </c>
      <c r="K1389" s="1">
        <v>0.92</v>
      </c>
      <c r="L1389" s="4">
        <v>126.2</v>
      </c>
      <c r="M1389" s="1">
        <v>1.52</v>
      </c>
      <c r="N1389" s="1">
        <v>3</v>
      </c>
      <c r="O1389" s="1">
        <v>0.94</v>
      </c>
      <c r="P1389" s="1">
        <v>138</v>
      </c>
      <c r="Q1389" s="1">
        <v>13.78</v>
      </c>
      <c r="R1389" s="1">
        <v>0.39</v>
      </c>
      <c r="S1389" s="2">
        <v>45455</v>
      </c>
      <c r="T1389" s="1">
        <v>246.61</v>
      </c>
      <c r="U1389" s="1">
        <v>0.63800000000000001</v>
      </c>
      <c r="V1389" s="6">
        <f t="shared" si="63"/>
        <v>51237.200000000004</v>
      </c>
      <c r="W1389" s="6" t="str">
        <f t="shared" si="64"/>
        <v>Sufficient</v>
      </c>
      <c r="X1389" s="8" t="str">
        <f t="shared" si="65"/>
        <v>High</v>
      </c>
    </row>
    <row r="1390" spans="1:24">
      <c r="A1390" s="7" t="s">
        <v>1520</v>
      </c>
      <c r="B1390" s="1" t="s">
        <v>66</v>
      </c>
      <c r="C1390" s="1">
        <v>226</v>
      </c>
      <c r="D1390" s="1">
        <v>18</v>
      </c>
      <c r="E1390" s="1">
        <v>5</v>
      </c>
      <c r="F1390" s="1">
        <v>8</v>
      </c>
      <c r="G1390" s="1">
        <v>47.6</v>
      </c>
      <c r="H1390" s="1" t="s">
        <v>195</v>
      </c>
      <c r="I1390" s="1" t="s">
        <v>27</v>
      </c>
      <c r="J1390" s="1">
        <v>135</v>
      </c>
      <c r="K1390" s="1">
        <v>3.59</v>
      </c>
      <c r="L1390" s="4">
        <v>86.83</v>
      </c>
      <c r="M1390" s="1">
        <v>1.35</v>
      </c>
      <c r="N1390" s="1">
        <v>1</v>
      </c>
      <c r="O1390" s="1">
        <v>0.8</v>
      </c>
      <c r="P1390" s="1">
        <v>836</v>
      </c>
      <c r="Q1390" s="1">
        <v>4.76</v>
      </c>
      <c r="R1390" s="1">
        <v>0.8</v>
      </c>
      <c r="S1390" s="2">
        <v>45425</v>
      </c>
      <c r="T1390" s="1">
        <v>101.95</v>
      </c>
      <c r="U1390" s="1">
        <v>0.628</v>
      </c>
      <c r="V1390" s="6">
        <f t="shared" si="63"/>
        <v>19623.579999999998</v>
      </c>
      <c r="W1390" s="6" t="str">
        <f t="shared" si="64"/>
        <v>Sufficient</v>
      </c>
      <c r="X1390" s="8" t="str">
        <f t="shared" si="65"/>
        <v>Medium</v>
      </c>
    </row>
    <row r="1391" spans="1:24">
      <c r="A1391" s="7" t="s">
        <v>1521</v>
      </c>
      <c r="B1391" s="1" t="s">
        <v>33</v>
      </c>
      <c r="C1391" s="1">
        <v>48</v>
      </c>
      <c r="D1391" s="1">
        <v>70</v>
      </c>
      <c r="E1391" s="1">
        <v>8</v>
      </c>
      <c r="F1391" s="1">
        <v>9</v>
      </c>
      <c r="G1391" s="1">
        <v>4.7699999999999996</v>
      </c>
      <c r="H1391" s="1" t="s">
        <v>470</v>
      </c>
      <c r="I1391" s="1" t="s">
        <v>31</v>
      </c>
      <c r="J1391" s="1">
        <v>87</v>
      </c>
      <c r="K1391" s="1">
        <v>2.83</v>
      </c>
      <c r="L1391" s="4">
        <v>114.78</v>
      </c>
      <c r="M1391" s="1">
        <v>1.17</v>
      </c>
      <c r="N1391" s="1">
        <v>1</v>
      </c>
      <c r="O1391" s="1">
        <v>0.74</v>
      </c>
      <c r="P1391" s="1">
        <v>276</v>
      </c>
      <c r="Q1391" s="1">
        <v>13.55</v>
      </c>
      <c r="R1391" s="1">
        <v>0.48</v>
      </c>
      <c r="S1391" s="2">
        <v>45345</v>
      </c>
      <c r="T1391" s="1">
        <v>277.22000000000003</v>
      </c>
      <c r="U1391" s="1">
        <v>0.68799999999999994</v>
      </c>
      <c r="V1391" s="6">
        <f t="shared" si="63"/>
        <v>5509.4400000000005</v>
      </c>
      <c r="W1391" s="6" t="str">
        <f t="shared" si="64"/>
        <v>Reorder Required</v>
      </c>
      <c r="X1391" s="8" t="str">
        <f t="shared" si="65"/>
        <v>LOW</v>
      </c>
    </row>
    <row r="1392" spans="1:24">
      <c r="A1392" s="7" t="s">
        <v>1522</v>
      </c>
      <c r="B1392" s="1" t="s">
        <v>25</v>
      </c>
      <c r="C1392" s="1">
        <v>136</v>
      </c>
      <c r="D1392" s="1">
        <v>62</v>
      </c>
      <c r="E1392" s="1">
        <v>10</v>
      </c>
      <c r="F1392" s="1">
        <v>6</v>
      </c>
      <c r="G1392" s="1">
        <v>2.4</v>
      </c>
      <c r="H1392" s="1" t="s">
        <v>52</v>
      </c>
      <c r="I1392" s="1" t="s">
        <v>31</v>
      </c>
      <c r="J1392" s="1">
        <v>169</v>
      </c>
      <c r="K1392" s="1">
        <v>1.43</v>
      </c>
      <c r="L1392" s="4">
        <v>21.86</v>
      </c>
      <c r="M1392" s="1">
        <v>0.89</v>
      </c>
      <c r="N1392" s="1">
        <v>5</v>
      </c>
      <c r="O1392" s="1">
        <v>0.84</v>
      </c>
      <c r="P1392" s="1">
        <v>446</v>
      </c>
      <c r="Q1392" s="1">
        <v>4.9000000000000004</v>
      </c>
      <c r="R1392" s="1">
        <v>0.27</v>
      </c>
      <c r="S1392" s="2">
        <v>45329</v>
      </c>
      <c r="T1392" s="1">
        <v>272.99</v>
      </c>
      <c r="U1392" s="1">
        <v>0.498</v>
      </c>
      <c r="V1392" s="6">
        <f t="shared" si="63"/>
        <v>2972.96</v>
      </c>
      <c r="W1392" s="6" t="str">
        <f t="shared" si="64"/>
        <v>Sufficient</v>
      </c>
      <c r="X1392" s="8" t="str">
        <f t="shared" si="65"/>
        <v>Medium</v>
      </c>
    </row>
    <row r="1393" spans="1:24">
      <c r="A1393" s="7" t="s">
        <v>1523</v>
      </c>
      <c r="B1393" s="1" t="s">
        <v>41</v>
      </c>
      <c r="C1393" s="1">
        <v>435</v>
      </c>
      <c r="D1393" s="1">
        <v>27</v>
      </c>
      <c r="E1393" s="1">
        <v>13</v>
      </c>
      <c r="F1393" s="1">
        <v>5</v>
      </c>
      <c r="G1393" s="1">
        <v>44.32</v>
      </c>
      <c r="H1393" s="1" t="s">
        <v>55</v>
      </c>
      <c r="I1393" s="1" t="s">
        <v>31</v>
      </c>
      <c r="J1393" s="1">
        <v>39</v>
      </c>
      <c r="K1393" s="1">
        <v>1.52</v>
      </c>
      <c r="L1393" s="4">
        <v>81.069999999999993</v>
      </c>
      <c r="M1393" s="1">
        <v>1.38</v>
      </c>
      <c r="N1393" s="1">
        <v>2</v>
      </c>
      <c r="O1393" s="1">
        <v>0.82</v>
      </c>
      <c r="P1393" s="1">
        <v>266</v>
      </c>
      <c r="Q1393" s="1">
        <v>5.05</v>
      </c>
      <c r="R1393" s="1">
        <v>0.7</v>
      </c>
      <c r="S1393" s="2">
        <v>45467</v>
      </c>
      <c r="T1393" s="1">
        <v>68.11</v>
      </c>
      <c r="U1393" s="1">
        <v>0.59299999999999997</v>
      </c>
      <c r="V1393" s="6">
        <f t="shared" si="63"/>
        <v>35265.449999999997</v>
      </c>
      <c r="W1393" s="6" t="str">
        <f t="shared" si="64"/>
        <v>Sufficient</v>
      </c>
      <c r="X1393" s="8" t="str">
        <f t="shared" si="65"/>
        <v>High</v>
      </c>
    </row>
    <row r="1394" spans="1:24">
      <c r="A1394" s="7" t="s">
        <v>1524</v>
      </c>
      <c r="B1394" s="1" t="s">
        <v>66</v>
      </c>
      <c r="C1394" s="1">
        <v>301</v>
      </c>
      <c r="D1394" s="1">
        <v>52</v>
      </c>
      <c r="E1394" s="1">
        <v>11</v>
      </c>
      <c r="F1394" s="1">
        <v>9</v>
      </c>
      <c r="G1394" s="1">
        <v>37.659999999999997</v>
      </c>
      <c r="H1394" s="1" t="s">
        <v>99</v>
      </c>
      <c r="I1394" s="1" t="s">
        <v>31</v>
      </c>
      <c r="J1394" s="1">
        <v>100</v>
      </c>
      <c r="K1394" s="1">
        <v>0.54</v>
      </c>
      <c r="L1394" s="4">
        <v>172.47</v>
      </c>
      <c r="M1394" s="1">
        <v>0.87</v>
      </c>
      <c r="N1394" s="1">
        <v>9</v>
      </c>
      <c r="O1394" s="1">
        <v>0.99</v>
      </c>
      <c r="P1394" s="1">
        <v>801</v>
      </c>
      <c r="Q1394" s="1">
        <v>6.89</v>
      </c>
      <c r="R1394" s="1">
        <v>0.4</v>
      </c>
      <c r="S1394" s="2">
        <v>45379</v>
      </c>
      <c r="T1394" s="1">
        <v>148.15</v>
      </c>
      <c r="U1394" s="1">
        <v>0.503</v>
      </c>
      <c r="V1394" s="6">
        <f t="shared" si="63"/>
        <v>51913.47</v>
      </c>
      <c r="W1394" s="6" t="str">
        <f t="shared" si="64"/>
        <v>Sufficient</v>
      </c>
      <c r="X1394" s="8" t="str">
        <f t="shared" si="65"/>
        <v>High</v>
      </c>
    </row>
    <row r="1395" spans="1:24">
      <c r="A1395" s="7" t="s">
        <v>1525</v>
      </c>
      <c r="B1395" s="1" t="s">
        <v>29</v>
      </c>
      <c r="C1395" s="1">
        <v>399</v>
      </c>
      <c r="D1395" s="1">
        <v>44</v>
      </c>
      <c r="E1395" s="1">
        <v>9</v>
      </c>
      <c r="F1395" s="1">
        <v>8</v>
      </c>
      <c r="G1395" s="1">
        <v>49.62</v>
      </c>
      <c r="H1395" s="1" t="s">
        <v>185</v>
      </c>
      <c r="I1395" s="1" t="s">
        <v>45</v>
      </c>
      <c r="J1395" s="1">
        <v>163</v>
      </c>
      <c r="K1395" s="1">
        <v>4.9000000000000004</v>
      </c>
      <c r="L1395" s="4">
        <v>141.30000000000001</v>
      </c>
      <c r="M1395" s="1">
        <v>1.1399999999999999</v>
      </c>
      <c r="N1395" s="1">
        <v>2</v>
      </c>
      <c r="O1395" s="1">
        <v>1</v>
      </c>
      <c r="P1395" s="1">
        <v>350</v>
      </c>
      <c r="Q1395" s="1">
        <v>8.2200000000000006</v>
      </c>
      <c r="R1395" s="1">
        <v>0.76</v>
      </c>
      <c r="S1395" s="2">
        <v>45484</v>
      </c>
      <c r="T1395" s="1">
        <v>49.84</v>
      </c>
      <c r="U1395" s="1">
        <v>0.70799999999999996</v>
      </c>
      <c r="V1395" s="6">
        <f t="shared" si="63"/>
        <v>56378.700000000004</v>
      </c>
      <c r="W1395" s="6" t="str">
        <f t="shared" si="64"/>
        <v>Sufficient</v>
      </c>
      <c r="X1395" s="8" t="str">
        <f t="shared" si="65"/>
        <v>High</v>
      </c>
    </row>
    <row r="1396" spans="1:24">
      <c r="A1396" s="7" t="s">
        <v>1526</v>
      </c>
      <c r="B1396" s="1" t="s">
        <v>33</v>
      </c>
      <c r="C1396" s="1">
        <v>163</v>
      </c>
      <c r="D1396" s="1">
        <v>72</v>
      </c>
      <c r="E1396" s="1">
        <v>14</v>
      </c>
      <c r="F1396" s="1">
        <v>3</v>
      </c>
      <c r="G1396" s="1">
        <v>20.440000000000001</v>
      </c>
      <c r="H1396" s="1" t="s">
        <v>370</v>
      </c>
      <c r="I1396" s="1" t="s">
        <v>31</v>
      </c>
      <c r="J1396" s="1">
        <v>91</v>
      </c>
      <c r="K1396" s="1">
        <v>4.2300000000000004</v>
      </c>
      <c r="L1396" s="4">
        <v>196.55</v>
      </c>
      <c r="M1396" s="1">
        <v>1.22</v>
      </c>
      <c r="N1396" s="1">
        <v>8</v>
      </c>
      <c r="O1396" s="1">
        <v>0.82</v>
      </c>
      <c r="P1396" s="1">
        <v>465</v>
      </c>
      <c r="Q1396" s="1">
        <v>6.86</v>
      </c>
      <c r="R1396" s="1">
        <v>0.92</v>
      </c>
      <c r="S1396" s="2">
        <v>45374</v>
      </c>
      <c r="T1396" s="1">
        <v>206.55</v>
      </c>
      <c r="U1396" s="1">
        <v>0.55700000000000005</v>
      </c>
      <c r="V1396" s="6">
        <f t="shared" si="63"/>
        <v>32037.65</v>
      </c>
      <c r="W1396" s="6" t="str">
        <f t="shared" si="64"/>
        <v>Sufficient</v>
      </c>
      <c r="X1396" s="8" t="str">
        <f t="shared" si="65"/>
        <v>Medium</v>
      </c>
    </row>
    <row r="1397" spans="1:24">
      <c r="A1397" s="7" t="s">
        <v>1527</v>
      </c>
      <c r="B1397" s="1" t="s">
        <v>41</v>
      </c>
      <c r="C1397" s="1">
        <v>44</v>
      </c>
      <c r="D1397" s="1">
        <v>87</v>
      </c>
      <c r="E1397" s="1">
        <v>5</v>
      </c>
      <c r="F1397" s="1">
        <v>5</v>
      </c>
      <c r="G1397" s="1">
        <v>21.39</v>
      </c>
      <c r="H1397" s="1" t="s">
        <v>119</v>
      </c>
      <c r="I1397" s="1" t="s">
        <v>31</v>
      </c>
      <c r="J1397" s="1">
        <v>97</v>
      </c>
      <c r="K1397" s="1">
        <v>2.27</v>
      </c>
      <c r="L1397" s="4">
        <v>159.69999999999999</v>
      </c>
      <c r="M1397" s="1">
        <v>0.61</v>
      </c>
      <c r="N1397" s="1">
        <v>4</v>
      </c>
      <c r="O1397" s="1">
        <v>0.74</v>
      </c>
      <c r="P1397" s="1">
        <v>975</v>
      </c>
      <c r="Q1397" s="1">
        <v>13.07</v>
      </c>
      <c r="R1397" s="1">
        <v>0.62</v>
      </c>
      <c r="S1397" s="2">
        <v>45330</v>
      </c>
      <c r="T1397" s="1">
        <v>257.06</v>
      </c>
      <c r="U1397" s="1">
        <v>0.70499999999999996</v>
      </c>
      <c r="V1397" s="6">
        <f t="shared" si="63"/>
        <v>7026.7999999999993</v>
      </c>
      <c r="W1397" s="6" t="str">
        <f t="shared" si="64"/>
        <v>Reorder Required</v>
      </c>
      <c r="X1397" s="8" t="str">
        <f t="shared" si="65"/>
        <v>LOW</v>
      </c>
    </row>
    <row r="1398" spans="1:24">
      <c r="A1398" s="7" t="s">
        <v>1528</v>
      </c>
      <c r="B1398" s="1" t="s">
        <v>33</v>
      </c>
      <c r="C1398" s="1">
        <v>329</v>
      </c>
      <c r="D1398" s="1">
        <v>13</v>
      </c>
      <c r="E1398" s="1">
        <v>3</v>
      </c>
      <c r="F1398" s="1">
        <v>4</v>
      </c>
      <c r="G1398" s="1">
        <v>9.44</v>
      </c>
      <c r="H1398" s="1" t="s">
        <v>59</v>
      </c>
      <c r="I1398" s="1" t="s">
        <v>45</v>
      </c>
      <c r="J1398" s="1">
        <v>141</v>
      </c>
      <c r="K1398" s="1">
        <v>4.76</v>
      </c>
      <c r="L1398" s="4">
        <v>95.79</v>
      </c>
      <c r="M1398" s="1">
        <v>0.75</v>
      </c>
      <c r="N1398" s="1">
        <v>6</v>
      </c>
      <c r="O1398" s="1">
        <v>0.97</v>
      </c>
      <c r="P1398" s="1">
        <v>902</v>
      </c>
      <c r="Q1398" s="1">
        <v>12.14</v>
      </c>
      <c r="R1398" s="1">
        <v>0.68</v>
      </c>
      <c r="S1398" s="2">
        <v>45572</v>
      </c>
      <c r="T1398" s="1">
        <v>198.03</v>
      </c>
      <c r="U1398" s="1">
        <v>0.69699999999999995</v>
      </c>
      <c r="V1398" s="6">
        <f t="shared" si="63"/>
        <v>31514.910000000003</v>
      </c>
      <c r="W1398" s="6" t="str">
        <f t="shared" si="64"/>
        <v>Sufficient</v>
      </c>
      <c r="X1398" s="8" t="str">
        <f t="shared" si="65"/>
        <v>High</v>
      </c>
    </row>
    <row r="1399" spans="1:24">
      <c r="A1399" s="7" t="s">
        <v>1529</v>
      </c>
      <c r="B1399" s="1" t="s">
        <v>41</v>
      </c>
      <c r="C1399" s="1">
        <v>175</v>
      </c>
      <c r="D1399" s="1">
        <v>50</v>
      </c>
      <c r="E1399" s="1">
        <v>6</v>
      </c>
      <c r="F1399" s="1">
        <v>4</v>
      </c>
      <c r="G1399" s="1">
        <v>6.68</v>
      </c>
      <c r="H1399" s="1" t="s">
        <v>309</v>
      </c>
      <c r="I1399" s="1" t="s">
        <v>45</v>
      </c>
      <c r="J1399" s="1">
        <v>114</v>
      </c>
      <c r="K1399" s="1">
        <v>3.55</v>
      </c>
      <c r="L1399" s="4">
        <v>138.49</v>
      </c>
      <c r="M1399" s="1">
        <v>0.13</v>
      </c>
      <c r="N1399" s="1">
        <v>4</v>
      </c>
      <c r="O1399" s="1">
        <v>0.94</v>
      </c>
      <c r="P1399" s="1">
        <v>943</v>
      </c>
      <c r="Q1399" s="1">
        <v>5.34</v>
      </c>
      <c r="R1399" s="1">
        <v>0.61</v>
      </c>
      <c r="S1399" s="2">
        <v>45339</v>
      </c>
      <c r="T1399" s="1">
        <v>85.54</v>
      </c>
      <c r="U1399" s="1">
        <v>0.68799999999999994</v>
      </c>
      <c r="V1399" s="6">
        <f t="shared" si="63"/>
        <v>24235.75</v>
      </c>
      <c r="W1399" s="6" t="str">
        <f t="shared" si="64"/>
        <v>Sufficient</v>
      </c>
      <c r="X1399" s="8" t="str">
        <f t="shared" si="65"/>
        <v>Medium</v>
      </c>
    </row>
    <row r="1400" spans="1:24">
      <c r="A1400" s="7" t="s">
        <v>1530</v>
      </c>
      <c r="B1400" s="1" t="s">
        <v>41</v>
      </c>
      <c r="C1400" s="1">
        <v>92</v>
      </c>
      <c r="D1400" s="1">
        <v>54</v>
      </c>
      <c r="E1400" s="1">
        <v>8</v>
      </c>
      <c r="F1400" s="1">
        <v>7</v>
      </c>
      <c r="G1400" s="1">
        <v>29.36</v>
      </c>
      <c r="H1400" s="1" t="s">
        <v>26</v>
      </c>
      <c r="I1400" s="1" t="s">
        <v>27</v>
      </c>
      <c r="J1400" s="1">
        <v>76</v>
      </c>
      <c r="K1400" s="1">
        <v>3.88</v>
      </c>
      <c r="L1400" s="4">
        <v>157.41999999999999</v>
      </c>
      <c r="M1400" s="1">
        <v>1.72</v>
      </c>
      <c r="N1400" s="1">
        <v>1</v>
      </c>
      <c r="O1400" s="1">
        <v>0.85</v>
      </c>
      <c r="P1400" s="1">
        <v>219</v>
      </c>
      <c r="Q1400" s="1">
        <v>8.16</v>
      </c>
      <c r="R1400" s="1">
        <v>0.85</v>
      </c>
      <c r="S1400" s="2">
        <v>45465</v>
      </c>
      <c r="T1400" s="1">
        <v>32.130000000000003</v>
      </c>
      <c r="U1400" s="1">
        <v>0.65700000000000003</v>
      </c>
      <c r="V1400" s="6">
        <f t="shared" si="63"/>
        <v>14482.64</v>
      </c>
      <c r="W1400" s="6" t="str">
        <f t="shared" si="64"/>
        <v>Sufficient</v>
      </c>
      <c r="X1400" s="8" t="str">
        <f t="shared" si="65"/>
        <v>LOW</v>
      </c>
    </row>
    <row r="1401" spans="1:24">
      <c r="A1401" s="7" t="s">
        <v>1531</v>
      </c>
      <c r="B1401" s="1" t="s">
        <v>66</v>
      </c>
      <c r="C1401" s="1">
        <v>139</v>
      </c>
      <c r="D1401" s="1">
        <v>59</v>
      </c>
      <c r="E1401" s="1">
        <v>5</v>
      </c>
      <c r="F1401" s="1">
        <v>4</v>
      </c>
      <c r="G1401" s="1">
        <v>18.850000000000001</v>
      </c>
      <c r="H1401" s="1" t="s">
        <v>61</v>
      </c>
      <c r="I1401" s="1" t="s">
        <v>45</v>
      </c>
      <c r="J1401" s="1">
        <v>127</v>
      </c>
      <c r="K1401" s="1">
        <v>3.56</v>
      </c>
      <c r="L1401" s="4">
        <v>61.24</v>
      </c>
      <c r="M1401" s="1">
        <v>1.54</v>
      </c>
      <c r="N1401" s="1">
        <v>7</v>
      </c>
      <c r="O1401" s="1">
        <v>0.81</v>
      </c>
      <c r="P1401" s="1">
        <v>414</v>
      </c>
      <c r="Q1401" s="1">
        <v>7.03</v>
      </c>
      <c r="R1401" s="1">
        <v>0.39</v>
      </c>
      <c r="S1401" s="2">
        <v>45596</v>
      </c>
      <c r="T1401" s="1">
        <v>30.09</v>
      </c>
      <c r="U1401" s="1">
        <v>0.44</v>
      </c>
      <c r="V1401" s="6">
        <f t="shared" si="63"/>
        <v>8512.36</v>
      </c>
      <c r="W1401" s="6" t="str">
        <f t="shared" si="64"/>
        <v>Sufficient</v>
      </c>
      <c r="X1401" s="8" t="str">
        <f t="shared" si="65"/>
        <v>Medium</v>
      </c>
    </row>
    <row r="1402" spans="1:24">
      <c r="A1402" s="7" t="s">
        <v>1532</v>
      </c>
      <c r="B1402" s="1" t="s">
        <v>33</v>
      </c>
      <c r="C1402" s="1">
        <v>331</v>
      </c>
      <c r="D1402" s="1">
        <v>88</v>
      </c>
      <c r="E1402" s="1">
        <v>3</v>
      </c>
      <c r="F1402" s="1">
        <v>3</v>
      </c>
      <c r="G1402" s="1">
        <v>4.9400000000000004</v>
      </c>
      <c r="H1402" s="1" t="s">
        <v>200</v>
      </c>
      <c r="I1402" s="1" t="s">
        <v>39</v>
      </c>
      <c r="J1402" s="1">
        <v>39</v>
      </c>
      <c r="K1402" s="1">
        <v>3.91</v>
      </c>
      <c r="L1402" s="4">
        <v>21.4</v>
      </c>
      <c r="M1402" s="1">
        <v>0.45</v>
      </c>
      <c r="N1402" s="1">
        <v>8</v>
      </c>
      <c r="O1402" s="1">
        <v>0.83</v>
      </c>
      <c r="P1402" s="1">
        <v>281</v>
      </c>
      <c r="Q1402" s="1">
        <v>1.78</v>
      </c>
      <c r="R1402" s="1">
        <v>0.52</v>
      </c>
      <c r="S1402" s="2">
        <v>45606</v>
      </c>
      <c r="T1402" s="1">
        <v>187.17</v>
      </c>
      <c r="U1402" s="1">
        <v>0.48899999999999999</v>
      </c>
      <c r="V1402" s="6">
        <f t="shared" si="63"/>
        <v>7083.4</v>
      </c>
      <c r="W1402" s="6" t="str">
        <f t="shared" si="64"/>
        <v>Sufficient</v>
      </c>
      <c r="X1402" s="8" t="str">
        <f t="shared" si="65"/>
        <v>High</v>
      </c>
    </row>
    <row r="1403" spans="1:24">
      <c r="A1403" s="7" t="s">
        <v>1533</v>
      </c>
      <c r="B1403" s="1" t="s">
        <v>33</v>
      </c>
      <c r="C1403" s="1">
        <v>340</v>
      </c>
      <c r="D1403" s="1">
        <v>37</v>
      </c>
      <c r="E1403" s="1">
        <v>8</v>
      </c>
      <c r="F1403" s="1">
        <v>6</v>
      </c>
      <c r="G1403" s="1">
        <v>44.46</v>
      </c>
      <c r="H1403" s="1" t="s">
        <v>276</v>
      </c>
      <c r="I1403" s="1" t="s">
        <v>27</v>
      </c>
      <c r="J1403" s="1">
        <v>120</v>
      </c>
      <c r="K1403" s="1">
        <v>1.27</v>
      </c>
      <c r="L1403" s="4">
        <v>87.11</v>
      </c>
      <c r="M1403" s="1">
        <v>0.79</v>
      </c>
      <c r="N1403" s="1">
        <v>1</v>
      </c>
      <c r="O1403" s="1">
        <v>0.97</v>
      </c>
      <c r="P1403" s="1">
        <v>669</v>
      </c>
      <c r="Q1403" s="1">
        <v>11.47</v>
      </c>
      <c r="R1403" s="1">
        <v>0.92</v>
      </c>
      <c r="S1403" s="2">
        <v>45539</v>
      </c>
      <c r="T1403" s="1">
        <v>286.47000000000003</v>
      </c>
      <c r="U1403" s="1">
        <v>0.83199999999999996</v>
      </c>
      <c r="V1403" s="6">
        <f t="shared" si="63"/>
        <v>29617.4</v>
      </c>
      <c r="W1403" s="6" t="str">
        <f t="shared" si="64"/>
        <v>Sufficient</v>
      </c>
      <c r="X1403" s="8" t="str">
        <f t="shared" si="65"/>
        <v>High</v>
      </c>
    </row>
    <row r="1404" spans="1:24">
      <c r="A1404" s="7" t="s">
        <v>1534</v>
      </c>
      <c r="B1404" s="1" t="s">
        <v>29</v>
      </c>
      <c r="C1404" s="1">
        <v>112</v>
      </c>
      <c r="D1404" s="1">
        <v>51</v>
      </c>
      <c r="E1404" s="1">
        <v>3</v>
      </c>
      <c r="F1404" s="1">
        <v>5</v>
      </c>
      <c r="G1404" s="1">
        <v>10.72</v>
      </c>
      <c r="H1404" s="1" t="s">
        <v>128</v>
      </c>
      <c r="I1404" s="1" t="s">
        <v>27</v>
      </c>
      <c r="J1404" s="1">
        <v>153</v>
      </c>
      <c r="K1404" s="1">
        <v>3.03</v>
      </c>
      <c r="L1404" s="4">
        <v>37.49</v>
      </c>
      <c r="M1404" s="1">
        <v>0.9</v>
      </c>
      <c r="N1404" s="1">
        <v>1</v>
      </c>
      <c r="O1404" s="1">
        <v>0.76</v>
      </c>
      <c r="P1404" s="1">
        <v>377</v>
      </c>
      <c r="Q1404" s="1">
        <v>3.54</v>
      </c>
      <c r="R1404" s="1">
        <v>0.78</v>
      </c>
      <c r="S1404" s="2">
        <v>45652</v>
      </c>
      <c r="T1404" s="1">
        <v>211.63</v>
      </c>
      <c r="U1404" s="1">
        <v>0.64500000000000002</v>
      </c>
      <c r="V1404" s="6">
        <f t="shared" si="63"/>
        <v>4198.88</v>
      </c>
      <c r="W1404" s="6" t="str">
        <f t="shared" si="64"/>
        <v>Sufficient</v>
      </c>
      <c r="X1404" s="8" t="str">
        <f t="shared" si="65"/>
        <v>Medium</v>
      </c>
    </row>
    <row r="1405" spans="1:24">
      <c r="A1405" s="7" t="s">
        <v>1535</v>
      </c>
      <c r="B1405" s="1" t="s">
        <v>29</v>
      </c>
      <c r="C1405" s="1">
        <v>105</v>
      </c>
      <c r="D1405" s="1">
        <v>89</v>
      </c>
      <c r="E1405" s="1">
        <v>11</v>
      </c>
      <c r="F1405" s="1">
        <v>8</v>
      </c>
      <c r="G1405" s="1">
        <v>37.68</v>
      </c>
      <c r="H1405" s="1" t="s">
        <v>309</v>
      </c>
      <c r="I1405" s="1" t="s">
        <v>31</v>
      </c>
      <c r="J1405" s="1">
        <v>48</v>
      </c>
      <c r="K1405" s="1">
        <v>4.32</v>
      </c>
      <c r="L1405" s="4">
        <v>62.68</v>
      </c>
      <c r="M1405" s="1">
        <v>0.74</v>
      </c>
      <c r="N1405" s="1">
        <v>3</v>
      </c>
      <c r="O1405" s="1">
        <v>0.94</v>
      </c>
      <c r="P1405" s="1">
        <v>282</v>
      </c>
      <c r="Q1405" s="1">
        <v>14.08</v>
      </c>
      <c r="R1405" s="1">
        <v>0.46</v>
      </c>
      <c r="S1405" s="2">
        <v>45307</v>
      </c>
      <c r="T1405" s="1">
        <v>221.88</v>
      </c>
      <c r="U1405" s="1">
        <v>0.73399999999999999</v>
      </c>
      <c r="V1405" s="6">
        <f t="shared" si="63"/>
        <v>6581.4</v>
      </c>
      <c r="W1405" s="6" t="str">
        <f t="shared" si="64"/>
        <v>Sufficient</v>
      </c>
      <c r="X1405" s="8" t="str">
        <f t="shared" si="65"/>
        <v>Medium</v>
      </c>
    </row>
    <row r="1406" spans="1:24">
      <c r="A1406" s="7" t="s">
        <v>1536</v>
      </c>
      <c r="B1406" s="1" t="s">
        <v>66</v>
      </c>
      <c r="C1406" s="1">
        <v>355</v>
      </c>
      <c r="D1406" s="1">
        <v>85</v>
      </c>
      <c r="E1406" s="1">
        <v>13</v>
      </c>
      <c r="F1406" s="1">
        <v>2</v>
      </c>
      <c r="G1406" s="1">
        <v>14.83</v>
      </c>
      <c r="H1406" s="1" t="s">
        <v>79</v>
      </c>
      <c r="I1406" s="1" t="s">
        <v>31</v>
      </c>
      <c r="J1406" s="1">
        <v>95</v>
      </c>
      <c r="K1406" s="1">
        <v>0.59</v>
      </c>
      <c r="L1406" s="4">
        <v>189.9</v>
      </c>
      <c r="M1406" s="1">
        <v>1.62</v>
      </c>
      <c r="N1406" s="1">
        <v>7</v>
      </c>
      <c r="O1406" s="1">
        <v>0.71</v>
      </c>
      <c r="P1406" s="1">
        <v>731</v>
      </c>
      <c r="Q1406" s="1">
        <v>6.57</v>
      </c>
      <c r="R1406" s="1">
        <v>0.87</v>
      </c>
      <c r="S1406" s="2">
        <v>45512</v>
      </c>
      <c r="T1406" s="1">
        <v>105.5</v>
      </c>
      <c r="U1406" s="1">
        <v>0.502</v>
      </c>
      <c r="V1406" s="6">
        <f t="shared" si="63"/>
        <v>67414.5</v>
      </c>
      <c r="W1406" s="6" t="str">
        <f t="shared" si="64"/>
        <v>Sufficient</v>
      </c>
      <c r="X1406" s="8" t="str">
        <f t="shared" si="65"/>
        <v>High</v>
      </c>
    </row>
    <row r="1407" spans="1:24">
      <c r="A1407" s="7" t="s">
        <v>1537</v>
      </c>
      <c r="B1407" s="1" t="s">
        <v>66</v>
      </c>
      <c r="C1407" s="1">
        <v>444</v>
      </c>
      <c r="D1407" s="1">
        <v>78</v>
      </c>
      <c r="E1407" s="1">
        <v>14</v>
      </c>
      <c r="F1407" s="1">
        <v>4</v>
      </c>
      <c r="G1407" s="1">
        <v>40.83</v>
      </c>
      <c r="H1407" s="1" t="s">
        <v>269</v>
      </c>
      <c r="I1407" s="1" t="s">
        <v>39</v>
      </c>
      <c r="J1407" s="1">
        <v>50</v>
      </c>
      <c r="K1407" s="1">
        <v>1.06</v>
      </c>
      <c r="L1407" s="4">
        <v>170.95</v>
      </c>
      <c r="M1407" s="1">
        <v>1.48</v>
      </c>
      <c r="N1407" s="1">
        <v>4</v>
      </c>
      <c r="O1407" s="1">
        <v>0.98</v>
      </c>
      <c r="P1407" s="1">
        <v>696</v>
      </c>
      <c r="Q1407" s="1">
        <v>9.7100000000000009</v>
      </c>
      <c r="R1407" s="1">
        <v>0.39</v>
      </c>
      <c r="S1407" s="2">
        <v>45626</v>
      </c>
      <c r="T1407" s="1">
        <v>179.95</v>
      </c>
      <c r="U1407" s="1">
        <v>0.57499999999999996</v>
      </c>
      <c r="V1407" s="6">
        <f t="shared" si="63"/>
        <v>75901.799999999988</v>
      </c>
      <c r="W1407" s="6" t="str">
        <f t="shared" si="64"/>
        <v>Sufficient</v>
      </c>
      <c r="X1407" s="8" t="str">
        <f t="shared" si="65"/>
        <v>High</v>
      </c>
    </row>
    <row r="1408" spans="1:24">
      <c r="A1408" s="7" t="s">
        <v>1538</v>
      </c>
      <c r="B1408" s="1" t="s">
        <v>25</v>
      </c>
      <c r="C1408" s="1">
        <v>383</v>
      </c>
      <c r="D1408" s="1">
        <v>10</v>
      </c>
      <c r="E1408" s="1">
        <v>3</v>
      </c>
      <c r="F1408" s="1">
        <v>4</v>
      </c>
      <c r="G1408" s="1">
        <v>6.8</v>
      </c>
      <c r="H1408" s="1" t="s">
        <v>459</v>
      </c>
      <c r="I1408" s="1" t="s">
        <v>31</v>
      </c>
      <c r="J1408" s="1">
        <v>40</v>
      </c>
      <c r="K1408" s="1">
        <v>1.61</v>
      </c>
      <c r="L1408" s="4">
        <v>122.57</v>
      </c>
      <c r="M1408" s="1">
        <v>1.56</v>
      </c>
      <c r="N1408" s="1">
        <v>4</v>
      </c>
      <c r="O1408" s="1">
        <v>0.85</v>
      </c>
      <c r="P1408" s="1">
        <v>692</v>
      </c>
      <c r="Q1408" s="1">
        <v>12.46</v>
      </c>
      <c r="R1408" s="1">
        <v>0.71</v>
      </c>
      <c r="S1408" s="2">
        <v>45376</v>
      </c>
      <c r="T1408" s="1">
        <v>101.81</v>
      </c>
      <c r="U1408" s="1">
        <v>0.64200000000000002</v>
      </c>
      <c r="V1408" s="6">
        <f t="shared" si="63"/>
        <v>46944.31</v>
      </c>
      <c r="W1408" s="6" t="str">
        <f t="shared" si="64"/>
        <v>Sufficient</v>
      </c>
      <c r="X1408" s="8" t="str">
        <f t="shared" si="65"/>
        <v>High</v>
      </c>
    </row>
    <row r="1409" spans="1:24">
      <c r="A1409" s="7" t="s">
        <v>1539</v>
      </c>
      <c r="B1409" s="1" t="s">
        <v>29</v>
      </c>
      <c r="C1409" s="1">
        <v>454</v>
      </c>
      <c r="D1409" s="1">
        <v>48</v>
      </c>
      <c r="E1409" s="1">
        <v>8</v>
      </c>
      <c r="F1409" s="1">
        <v>2</v>
      </c>
      <c r="G1409" s="1">
        <v>38.049999999999997</v>
      </c>
      <c r="H1409" s="1" t="s">
        <v>50</v>
      </c>
      <c r="I1409" s="1" t="s">
        <v>45</v>
      </c>
      <c r="J1409" s="1">
        <v>150</v>
      </c>
      <c r="K1409" s="1">
        <v>1.83</v>
      </c>
      <c r="L1409" s="4">
        <v>86.24</v>
      </c>
      <c r="M1409" s="1">
        <v>1.82</v>
      </c>
      <c r="N1409" s="1">
        <v>6</v>
      </c>
      <c r="O1409" s="1">
        <v>0.77</v>
      </c>
      <c r="P1409" s="1">
        <v>86</v>
      </c>
      <c r="Q1409" s="1">
        <v>3.52</v>
      </c>
      <c r="R1409" s="1">
        <v>0.97</v>
      </c>
      <c r="S1409" s="2">
        <v>45602</v>
      </c>
      <c r="T1409" s="1">
        <v>271.48</v>
      </c>
      <c r="U1409" s="1">
        <v>0.49299999999999999</v>
      </c>
      <c r="V1409" s="6">
        <f t="shared" si="63"/>
        <v>39152.959999999999</v>
      </c>
      <c r="W1409" s="6" t="str">
        <f t="shared" si="64"/>
        <v>Sufficient</v>
      </c>
      <c r="X1409" s="8" t="str">
        <f t="shared" si="65"/>
        <v>High</v>
      </c>
    </row>
    <row r="1410" spans="1:24">
      <c r="A1410" s="7" t="s">
        <v>1540</v>
      </c>
      <c r="B1410" s="1" t="s">
        <v>41</v>
      </c>
      <c r="C1410" s="1">
        <v>137</v>
      </c>
      <c r="D1410" s="1">
        <v>99</v>
      </c>
      <c r="E1410" s="1">
        <v>3</v>
      </c>
      <c r="F1410" s="1">
        <v>8</v>
      </c>
      <c r="G1410" s="1">
        <v>5.81</v>
      </c>
      <c r="H1410" s="1" t="s">
        <v>333</v>
      </c>
      <c r="I1410" s="1" t="s">
        <v>45</v>
      </c>
      <c r="J1410" s="1">
        <v>178</v>
      </c>
      <c r="K1410" s="1">
        <v>1.32</v>
      </c>
      <c r="L1410" s="4">
        <v>60.22</v>
      </c>
      <c r="M1410" s="1">
        <v>1.23</v>
      </c>
      <c r="N1410" s="1">
        <v>3</v>
      </c>
      <c r="O1410" s="1">
        <v>0.7</v>
      </c>
      <c r="P1410" s="1">
        <v>820</v>
      </c>
      <c r="Q1410" s="1">
        <v>8.58</v>
      </c>
      <c r="R1410" s="1">
        <v>0.66</v>
      </c>
      <c r="S1410" s="2">
        <v>45514</v>
      </c>
      <c r="T1410" s="1">
        <v>48.43</v>
      </c>
      <c r="U1410" s="1">
        <v>0.60299999999999998</v>
      </c>
      <c r="V1410" s="6">
        <f t="shared" si="63"/>
        <v>8250.14</v>
      </c>
      <c r="W1410" s="6" t="str">
        <f t="shared" si="64"/>
        <v>Sufficient</v>
      </c>
      <c r="X1410" s="8" t="str">
        <f t="shared" si="65"/>
        <v>Medium</v>
      </c>
    </row>
    <row r="1411" spans="1:24">
      <c r="A1411" s="7" t="s">
        <v>1541</v>
      </c>
      <c r="B1411" s="1" t="s">
        <v>33</v>
      </c>
      <c r="C1411" s="1">
        <v>252</v>
      </c>
      <c r="D1411" s="1">
        <v>26</v>
      </c>
      <c r="E1411" s="1">
        <v>14</v>
      </c>
      <c r="F1411" s="1">
        <v>8</v>
      </c>
      <c r="G1411" s="1">
        <v>22.9</v>
      </c>
      <c r="H1411" s="1" t="s">
        <v>113</v>
      </c>
      <c r="I1411" s="1" t="s">
        <v>31</v>
      </c>
      <c r="J1411" s="1">
        <v>165</v>
      </c>
      <c r="K1411" s="1">
        <v>3.31</v>
      </c>
      <c r="L1411" s="4">
        <v>118.58</v>
      </c>
      <c r="M1411" s="1">
        <v>1.27</v>
      </c>
      <c r="N1411" s="1">
        <v>8</v>
      </c>
      <c r="O1411" s="1">
        <v>0.87</v>
      </c>
      <c r="P1411" s="1">
        <v>451</v>
      </c>
      <c r="Q1411" s="1">
        <v>4.32</v>
      </c>
      <c r="R1411" s="1">
        <v>0.84</v>
      </c>
      <c r="S1411" s="2">
        <v>45372</v>
      </c>
      <c r="T1411" s="1">
        <v>193.29</v>
      </c>
      <c r="U1411" s="1">
        <v>0.51300000000000001</v>
      </c>
      <c r="V1411" s="6">
        <f t="shared" si="63"/>
        <v>29882.16</v>
      </c>
      <c r="W1411" s="6" t="str">
        <f t="shared" si="64"/>
        <v>Sufficient</v>
      </c>
      <c r="X1411" s="8" t="str">
        <f t="shared" si="65"/>
        <v>High</v>
      </c>
    </row>
    <row r="1412" spans="1:24">
      <c r="A1412" s="7" t="s">
        <v>1542</v>
      </c>
      <c r="B1412" s="1" t="s">
        <v>66</v>
      </c>
      <c r="C1412" s="1">
        <v>218</v>
      </c>
      <c r="D1412" s="1">
        <v>97</v>
      </c>
      <c r="E1412" s="1">
        <v>9</v>
      </c>
      <c r="F1412" s="1">
        <v>2</v>
      </c>
      <c r="G1412" s="1">
        <v>36.97</v>
      </c>
      <c r="H1412" s="1" t="s">
        <v>147</v>
      </c>
      <c r="I1412" s="1" t="s">
        <v>31</v>
      </c>
      <c r="J1412" s="1">
        <v>136</v>
      </c>
      <c r="K1412" s="1">
        <v>1.82</v>
      </c>
      <c r="L1412" s="4">
        <v>111.3</v>
      </c>
      <c r="M1412" s="1">
        <v>1.47</v>
      </c>
      <c r="N1412" s="1">
        <v>3</v>
      </c>
      <c r="O1412" s="1">
        <v>0.77</v>
      </c>
      <c r="P1412" s="1">
        <v>685</v>
      </c>
      <c r="Q1412" s="1">
        <v>8.14</v>
      </c>
      <c r="R1412" s="1">
        <v>0.79</v>
      </c>
      <c r="S1412" s="2">
        <v>45319</v>
      </c>
      <c r="T1412" s="1">
        <v>221.95</v>
      </c>
      <c r="U1412" s="1">
        <v>0.61399999999999999</v>
      </c>
      <c r="V1412" s="6">
        <f t="shared" ref="V1412:V1475" si="66">C1412*L1412</f>
        <v>24263.399999999998</v>
      </c>
      <c r="W1412" s="6" t="str">
        <f t="shared" ref="W1412:W1475" si="67">IF(C1412&lt;=D1412,"Reorder Required","Sufficient")</f>
        <v>Sufficient</v>
      </c>
      <c r="X1412" s="8" t="str">
        <f t="shared" ref="X1412:X1475" si="68">IF(C1412&lt;100,"LOW",IF(C1412&lt;250,"Medium","High"))</f>
        <v>Medium</v>
      </c>
    </row>
    <row r="1413" spans="1:24">
      <c r="A1413" s="7" t="s">
        <v>1543</v>
      </c>
      <c r="B1413" s="1" t="s">
        <v>33</v>
      </c>
      <c r="C1413" s="1">
        <v>225</v>
      </c>
      <c r="D1413" s="1">
        <v>44</v>
      </c>
      <c r="E1413" s="1">
        <v>5</v>
      </c>
      <c r="F1413" s="1">
        <v>8</v>
      </c>
      <c r="G1413" s="1">
        <v>9.49</v>
      </c>
      <c r="H1413" s="1" t="s">
        <v>117</v>
      </c>
      <c r="I1413" s="1" t="s">
        <v>45</v>
      </c>
      <c r="J1413" s="1">
        <v>73</v>
      </c>
      <c r="K1413" s="1">
        <v>1.21</v>
      </c>
      <c r="L1413" s="4">
        <v>158.35</v>
      </c>
      <c r="M1413" s="1">
        <v>1.39</v>
      </c>
      <c r="N1413" s="1">
        <v>7</v>
      </c>
      <c r="O1413" s="1">
        <v>0.89</v>
      </c>
      <c r="P1413" s="1">
        <v>475</v>
      </c>
      <c r="Q1413" s="1">
        <v>9.11</v>
      </c>
      <c r="R1413" s="1">
        <v>0.89</v>
      </c>
      <c r="S1413" s="2">
        <v>45343</v>
      </c>
      <c r="T1413" s="1">
        <v>212.56</v>
      </c>
      <c r="U1413" s="1">
        <v>0.59799999999999998</v>
      </c>
      <c r="V1413" s="6">
        <f t="shared" si="66"/>
        <v>35628.75</v>
      </c>
      <c r="W1413" s="6" t="str">
        <f t="shared" si="67"/>
        <v>Sufficient</v>
      </c>
      <c r="X1413" s="8" t="str">
        <f t="shared" si="68"/>
        <v>Medium</v>
      </c>
    </row>
    <row r="1414" spans="1:24">
      <c r="A1414" s="7" t="s">
        <v>1544</v>
      </c>
      <c r="B1414" s="1" t="s">
        <v>33</v>
      </c>
      <c r="C1414" s="1">
        <v>432</v>
      </c>
      <c r="D1414" s="1">
        <v>55</v>
      </c>
      <c r="E1414" s="1">
        <v>8</v>
      </c>
      <c r="F1414" s="1">
        <v>3</v>
      </c>
      <c r="G1414" s="1">
        <v>15</v>
      </c>
      <c r="H1414" s="1" t="s">
        <v>147</v>
      </c>
      <c r="I1414" s="1" t="s">
        <v>27</v>
      </c>
      <c r="J1414" s="1">
        <v>126</v>
      </c>
      <c r="K1414" s="1">
        <v>4.58</v>
      </c>
      <c r="L1414" s="4">
        <v>186.32</v>
      </c>
      <c r="M1414" s="1">
        <v>1.75</v>
      </c>
      <c r="N1414" s="1">
        <v>2</v>
      </c>
      <c r="O1414" s="1">
        <v>0.78</v>
      </c>
      <c r="P1414" s="1">
        <v>954</v>
      </c>
      <c r="Q1414" s="1">
        <v>3.37</v>
      </c>
      <c r="R1414" s="1">
        <v>0.98</v>
      </c>
      <c r="S1414" s="2">
        <v>45461</v>
      </c>
      <c r="T1414" s="1">
        <v>84.62</v>
      </c>
      <c r="U1414" s="1">
        <v>0.58199999999999996</v>
      </c>
      <c r="V1414" s="6">
        <f t="shared" si="66"/>
        <v>80490.239999999991</v>
      </c>
      <c r="W1414" s="6" t="str">
        <f t="shared" si="67"/>
        <v>Sufficient</v>
      </c>
      <c r="X1414" s="8" t="str">
        <f t="shared" si="68"/>
        <v>High</v>
      </c>
    </row>
    <row r="1415" spans="1:24">
      <c r="A1415" s="7" t="s">
        <v>1545</v>
      </c>
      <c r="B1415" s="1" t="s">
        <v>25</v>
      </c>
      <c r="C1415" s="1">
        <v>358</v>
      </c>
      <c r="D1415" s="1">
        <v>51</v>
      </c>
      <c r="E1415" s="1">
        <v>9</v>
      </c>
      <c r="F1415" s="1">
        <v>8</v>
      </c>
      <c r="G1415" s="1">
        <v>43.37</v>
      </c>
      <c r="H1415" s="1" t="s">
        <v>139</v>
      </c>
      <c r="I1415" s="1" t="s">
        <v>39</v>
      </c>
      <c r="J1415" s="1">
        <v>28</v>
      </c>
      <c r="K1415" s="1">
        <v>3.63</v>
      </c>
      <c r="L1415" s="4">
        <v>72.5</v>
      </c>
      <c r="M1415" s="1">
        <v>1.56</v>
      </c>
      <c r="N1415" s="1">
        <v>5</v>
      </c>
      <c r="O1415" s="1">
        <v>0.73</v>
      </c>
      <c r="P1415" s="1">
        <v>457</v>
      </c>
      <c r="Q1415" s="1">
        <v>9.1300000000000008</v>
      </c>
      <c r="R1415" s="1">
        <v>0.22</v>
      </c>
      <c r="S1415" s="2">
        <v>45397</v>
      </c>
      <c r="T1415" s="1">
        <v>150.94999999999999</v>
      </c>
      <c r="U1415" s="1">
        <v>0.45600000000000002</v>
      </c>
      <c r="V1415" s="6">
        <f t="shared" si="66"/>
        <v>25955</v>
      </c>
      <c r="W1415" s="6" t="str">
        <f t="shared" si="67"/>
        <v>Sufficient</v>
      </c>
      <c r="X1415" s="8" t="str">
        <f t="shared" si="68"/>
        <v>High</v>
      </c>
    </row>
    <row r="1416" spans="1:24">
      <c r="A1416" s="7" t="s">
        <v>1546</v>
      </c>
      <c r="B1416" s="1" t="s">
        <v>29</v>
      </c>
      <c r="C1416" s="1">
        <v>166</v>
      </c>
      <c r="D1416" s="1">
        <v>48</v>
      </c>
      <c r="E1416" s="1">
        <v>3</v>
      </c>
      <c r="F1416" s="1">
        <v>5</v>
      </c>
      <c r="G1416" s="1">
        <v>44.37</v>
      </c>
      <c r="H1416" s="1" t="s">
        <v>85</v>
      </c>
      <c r="I1416" s="1" t="s">
        <v>39</v>
      </c>
      <c r="J1416" s="1">
        <v>120</v>
      </c>
      <c r="K1416" s="1">
        <v>1.61</v>
      </c>
      <c r="L1416" s="4">
        <v>49.2</v>
      </c>
      <c r="M1416" s="1">
        <v>0.33</v>
      </c>
      <c r="N1416" s="1">
        <v>0</v>
      </c>
      <c r="O1416" s="1">
        <v>0.85</v>
      </c>
      <c r="P1416" s="1">
        <v>824</v>
      </c>
      <c r="Q1416" s="1">
        <v>7.37</v>
      </c>
      <c r="R1416" s="1">
        <v>0.22</v>
      </c>
      <c r="S1416" s="2">
        <v>45389</v>
      </c>
      <c r="T1416" s="1">
        <v>202.37</v>
      </c>
      <c r="U1416" s="1">
        <v>0.67900000000000005</v>
      </c>
      <c r="V1416" s="6">
        <f t="shared" si="66"/>
        <v>8167.2000000000007</v>
      </c>
      <c r="W1416" s="6" t="str">
        <f t="shared" si="67"/>
        <v>Sufficient</v>
      </c>
      <c r="X1416" s="8" t="str">
        <f t="shared" si="68"/>
        <v>Medium</v>
      </c>
    </row>
    <row r="1417" spans="1:24">
      <c r="A1417" s="7" t="s">
        <v>1547</v>
      </c>
      <c r="B1417" s="1" t="s">
        <v>66</v>
      </c>
      <c r="C1417" s="1">
        <v>469</v>
      </c>
      <c r="D1417" s="1">
        <v>99</v>
      </c>
      <c r="E1417" s="1">
        <v>3</v>
      </c>
      <c r="F1417" s="1">
        <v>8</v>
      </c>
      <c r="G1417" s="1">
        <v>3.2</v>
      </c>
      <c r="H1417" s="1" t="s">
        <v>139</v>
      </c>
      <c r="I1417" s="1" t="s">
        <v>27</v>
      </c>
      <c r="J1417" s="1">
        <v>123</v>
      </c>
      <c r="K1417" s="1">
        <v>2.12</v>
      </c>
      <c r="L1417" s="4">
        <v>86.53</v>
      </c>
      <c r="M1417" s="1">
        <v>1.86</v>
      </c>
      <c r="N1417" s="1">
        <v>6</v>
      </c>
      <c r="O1417" s="1">
        <v>0.87</v>
      </c>
      <c r="P1417" s="1">
        <v>914</v>
      </c>
      <c r="Q1417" s="1">
        <v>8.31</v>
      </c>
      <c r="R1417" s="1">
        <v>0.68</v>
      </c>
      <c r="S1417" s="2">
        <v>45501</v>
      </c>
      <c r="T1417" s="1">
        <v>279.97000000000003</v>
      </c>
      <c r="U1417" s="1">
        <v>0.51500000000000001</v>
      </c>
      <c r="V1417" s="6">
        <f t="shared" si="66"/>
        <v>40582.57</v>
      </c>
      <c r="W1417" s="6" t="str">
        <f t="shared" si="67"/>
        <v>Sufficient</v>
      </c>
      <c r="X1417" s="8" t="str">
        <f t="shared" si="68"/>
        <v>High</v>
      </c>
    </row>
    <row r="1418" spans="1:24">
      <c r="A1418" s="7" t="s">
        <v>1548</v>
      </c>
      <c r="B1418" s="1" t="s">
        <v>33</v>
      </c>
      <c r="C1418" s="1">
        <v>444</v>
      </c>
      <c r="D1418" s="1">
        <v>58</v>
      </c>
      <c r="E1418" s="1">
        <v>7</v>
      </c>
      <c r="F1418" s="1">
        <v>9</v>
      </c>
      <c r="G1418" s="1">
        <v>9.24</v>
      </c>
      <c r="H1418" s="1" t="s">
        <v>327</v>
      </c>
      <c r="I1418" s="1" t="s">
        <v>39</v>
      </c>
      <c r="J1418" s="1">
        <v>34</v>
      </c>
      <c r="K1418" s="1">
        <v>3.83</v>
      </c>
      <c r="L1418" s="4">
        <v>93.13</v>
      </c>
      <c r="M1418" s="1">
        <v>1.4</v>
      </c>
      <c r="N1418" s="1">
        <v>6</v>
      </c>
      <c r="O1418" s="1">
        <v>0.84</v>
      </c>
      <c r="P1418" s="1">
        <v>266</v>
      </c>
      <c r="Q1418" s="1">
        <v>13.67</v>
      </c>
      <c r="R1418" s="1">
        <v>0.96</v>
      </c>
      <c r="S1418" s="2">
        <v>45648</v>
      </c>
      <c r="T1418" s="1">
        <v>154.9</v>
      </c>
      <c r="U1418" s="1">
        <v>0.68200000000000005</v>
      </c>
      <c r="V1418" s="6">
        <f t="shared" si="66"/>
        <v>41349.72</v>
      </c>
      <c r="W1418" s="6" t="str">
        <f t="shared" si="67"/>
        <v>Sufficient</v>
      </c>
      <c r="X1418" s="8" t="str">
        <f t="shared" si="68"/>
        <v>High</v>
      </c>
    </row>
    <row r="1419" spans="1:24">
      <c r="A1419" s="7" t="s">
        <v>1549</v>
      </c>
      <c r="B1419" s="1" t="s">
        <v>66</v>
      </c>
      <c r="C1419" s="1">
        <v>448</v>
      </c>
      <c r="D1419" s="1">
        <v>71</v>
      </c>
      <c r="E1419" s="1">
        <v>8</v>
      </c>
      <c r="F1419" s="1">
        <v>9</v>
      </c>
      <c r="G1419" s="1">
        <v>6.76</v>
      </c>
      <c r="H1419" s="1" t="s">
        <v>156</v>
      </c>
      <c r="I1419" s="1" t="s">
        <v>31</v>
      </c>
      <c r="J1419" s="1">
        <v>175</v>
      </c>
      <c r="K1419" s="1">
        <v>4.0599999999999996</v>
      </c>
      <c r="L1419" s="4">
        <v>17.579999999999998</v>
      </c>
      <c r="M1419" s="1">
        <v>0.34</v>
      </c>
      <c r="N1419" s="1">
        <v>1</v>
      </c>
      <c r="O1419" s="1">
        <v>0.84</v>
      </c>
      <c r="P1419" s="1">
        <v>219</v>
      </c>
      <c r="Q1419" s="1">
        <v>7.77</v>
      </c>
      <c r="R1419" s="1">
        <v>0.59</v>
      </c>
      <c r="S1419" s="2">
        <v>45575</v>
      </c>
      <c r="T1419" s="1">
        <v>97.15</v>
      </c>
      <c r="U1419" s="1">
        <v>0.73599999999999999</v>
      </c>
      <c r="V1419" s="6">
        <f t="shared" si="66"/>
        <v>7875.8399999999992</v>
      </c>
      <c r="W1419" s="6" t="str">
        <f t="shared" si="67"/>
        <v>Sufficient</v>
      </c>
      <c r="X1419" s="8" t="str">
        <f t="shared" si="68"/>
        <v>High</v>
      </c>
    </row>
    <row r="1420" spans="1:24">
      <c r="A1420" s="7" t="s">
        <v>1550</v>
      </c>
      <c r="B1420" s="1" t="s">
        <v>41</v>
      </c>
      <c r="C1420" s="1">
        <v>290</v>
      </c>
      <c r="D1420" s="1">
        <v>47</v>
      </c>
      <c r="E1420" s="1">
        <v>11</v>
      </c>
      <c r="F1420" s="1">
        <v>4</v>
      </c>
      <c r="G1420" s="1">
        <v>9.8000000000000007</v>
      </c>
      <c r="H1420" s="1" t="s">
        <v>229</v>
      </c>
      <c r="I1420" s="1" t="s">
        <v>31</v>
      </c>
      <c r="J1420" s="1">
        <v>130</v>
      </c>
      <c r="K1420" s="1">
        <v>1.29</v>
      </c>
      <c r="L1420" s="4">
        <v>173.72</v>
      </c>
      <c r="M1420" s="1">
        <v>1.57</v>
      </c>
      <c r="N1420" s="1">
        <v>4</v>
      </c>
      <c r="O1420" s="1">
        <v>0.88</v>
      </c>
      <c r="P1420" s="1">
        <v>659</v>
      </c>
      <c r="Q1420" s="1">
        <v>7.67</v>
      </c>
      <c r="R1420" s="1">
        <v>0.87</v>
      </c>
      <c r="S1420" s="2">
        <v>45568</v>
      </c>
      <c r="T1420" s="1">
        <v>122.09</v>
      </c>
      <c r="U1420" s="1">
        <v>0.61499999999999999</v>
      </c>
      <c r="V1420" s="6">
        <f t="shared" si="66"/>
        <v>50378.8</v>
      </c>
      <c r="W1420" s="6" t="str">
        <f t="shared" si="67"/>
        <v>Sufficient</v>
      </c>
      <c r="X1420" s="8" t="str">
        <f t="shared" si="68"/>
        <v>High</v>
      </c>
    </row>
    <row r="1421" spans="1:24">
      <c r="A1421" s="7" t="s">
        <v>1551</v>
      </c>
      <c r="B1421" s="1" t="s">
        <v>25</v>
      </c>
      <c r="C1421" s="1">
        <v>406</v>
      </c>
      <c r="D1421" s="1">
        <v>32</v>
      </c>
      <c r="E1421" s="1">
        <v>3</v>
      </c>
      <c r="F1421" s="1">
        <v>6</v>
      </c>
      <c r="G1421" s="1">
        <v>48.54</v>
      </c>
      <c r="H1421" s="1" t="s">
        <v>38</v>
      </c>
      <c r="I1421" s="1" t="s">
        <v>31</v>
      </c>
      <c r="J1421" s="1">
        <v>108</v>
      </c>
      <c r="K1421" s="1">
        <v>4.71</v>
      </c>
      <c r="L1421" s="4">
        <v>199.16</v>
      </c>
      <c r="M1421" s="1">
        <v>0.78</v>
      </c>
      <c r="N1421" s="1">
        <v>3</v>
      </c>
      <c r="O1421" s="1">
        <v>0.86</v>
      </c>
      <c r="P1421" s="1">
        <v>407</v>
      </c>
      <c r="Q1421" s="1">
        <v>7.59</v>
      </c>
      <c r="R1421" s="1">
        <v>0.81</v>
      </c>
      <c r="S1421" s="2">
        <v>45427</v>
      </c>
      <c r="T1421" s="1">
        <v>166.98</v>
      </c>
      <c r="U1421" s="1">
        <v>0.69699999999999995</v>
      </c>
      <c r="V1421" s="6">
        <f t="shared" si="66"/>
        <v>80858.959999999992</v>
      </c>
      <c r="W1421" s="6" t="str">
        <f t="shared" si="67"/>
        <v>Sufficient</v>
      </c>
      <c r="X1421" s="8" t="str">
        <f t="shared" si="68"/>
        <v>High</v>
      </c>
    </row>
    <row r="1422" spans="1:24">
      <c r="A1422" s="7" t="s">
        <v>1552</v>
      </c>
      <c r="B1422" s="1" t="s">
        <v>41</v>
      </c>
      <c r="C1422" s="1">
        <v>158</v>
      </c>
      <c r="D1422" s="1">
        <v>31</v>
      </c>
      <c r="E1422" s="1">
        <v>6</v>
      </c>
      <c r="F1422" s="1">
        <v>3</v>
      </c>
      <c r="G1422" s="1">
        <v>28.03</v>
      </c>
      <c r="H1422" s="1" t="s">
        <v>279</v>
      </c>
      <c r="I1422" s="1" t="s">
        <v>39</v>
      </c>
      <c r="J1422" s="1">
        <v>99</v>
      </c>
      <c r="K1422" s="1">
        <v>4.03</v>
      </c>
      <c r="L1422" s="4">
        <v>185.41</v>
      </c>
      <c r="M1422" s="1">
        <v>1.63</v>
      </c>
      <c r="N1422" s="1">
        <v>9</v>
      </c>
      <c r="O1422" s="1">
        <v>0.74</v>
      </c>
      <c r="P1422" s="1">
        <v>235</v>
      </c>
      <c r="Q1422" s="1">
        <v>9.7200000000000006</v>
      </c>
      <c r="R1422" s="1">
        <v>0.6</v>
      </c>
      <c r="S1422" s="2">
        <v>45630</v>
      </c>
      <c r="T1422" s="1">
        <v>293.14</v>
      </c>
      <c r="U1422" s="1">
        <v>0.45500000000000002</v>
      </c>
      <c r="V1422" s="6">
        <f t="shared" si="66"/>
        <v>29294.78</v>
      </c>
      <c r="W1422" s="6" t="str">
        <f t="shared" si="67"/>
        <v>Sufficient</v>
      </c>
      <c r="X1422" s="8" t="str">
        <f t="shared" si="68"/>
        <v>Medium</v>
      </c>
    </row>
    <row r="1423" spans="1:24">
      <c r="A1423" s="7" t="s">
        <v>1553</v>
      </c>
      <c r="B1423" s="1" t="s">
        <v>66</v>
      </c>
      <c r="C1423" s="1">
        <v>200</v>
      </c>
      <c r="D1423" s="1">
        <v>13</v>
      </c>
      <c r="E1423" s="1">
        <v>12</v>
      </c>
      <c r="F1423" s="1">
        <v>3</v>
      </c>
      <c r="G1423" s="1">
        <v>23.94</v>
      </c>
      <c r="H1423" s="1" t="s">
        <v>221</v>
      </c>
      <c r="I1423" s="1" t="s">
        <v>27</v>
      </c>
      <c r="J1423" s="1">
        <v>12</v>
      </c>
      <c r="K1423" s="1">
        <v>4.3600000000000003</v>
      </c>
      <c r="L1423" s="4">
        <v>173.53</v>
      </c>
      <c r="M1423" s="1">
        <v>1.92</v>
      </c>
      <c r="N1423" s="1">
        <v>8</v>
      </c>
      <c r="O1423" s="1">
        <v>0.76</v>
      </c>
      <c r="P1423" s="1">
        <v>774</v>
      </c>
      <c r="Q1423" s="1">
        <v>6.15</v>
      </c>
      <c r="R1423" s="1">
        <v>0.61</v>
      </c>
      <c r="S1423" s="2">
        <v>45436</v>
      </c>
      <c r="T1423" s="1">
        <v>192.22</v>
      </c>
      <c r="U1423" s="1">
        <v>0.40400000000000003</v>
      </c>
      <c r="V1423" s="6">
        <f t="shared" si="66"/>
        <v>34706</v>
      </c>
      <c r="W1423" s="6" t="str">
        <f t="shared" si="67"/>
        <v>Sufficient</v>
      </c>
      <c r="X1423" s="8" t="str">
        <f t="shared" si="68"/>
        <v>Medium</v>
      </c>
    </row>
    <row r="1424" spans="1:24">
      <c r="A1424" s="7" t="s">
        <v>1554</v>
      </c>
      <c r="B1424" s="1" t="s">
        <v>66</v>
      </c>
      <c r="C1424" s="1">
        <v>449</v>
      </c>
      <c r="D1424" s="1">
        <v>58</v>
      </c>
      <c r="E1424" s="1">
        <v>10</v>
      </c>
      <c r="F1424" s="1">
        <v>8</v>
      </c>
      <c r="G1424" s="1">
        <v>49.24</v>
      </c>
      <c r="H1424" s="1" t="s">
        <v>181</v>
      </c>
      <c r="I1424" s="1" t="s">
        <v>31</v>
      </c>
      <c r="J1424" s="1">
        <v>139</v>
      </c>
      <c r="K1424" s="1">
        <v>1.1499999999999999</v>
      </c>
      <c r="L1424" s="4">
        <v>198.59</v>
      </c>
      <c r="M1424" s="1">
        <v>0.57999999999999996</v>
      </c>
      <c r="N1424" s="1">
        <v>1</v>
      </c>
      <c r="O1424" s="1">
        <v>0.74</v>
      </c>
      <c r="P1424" s="1">
        <v>919</v>
      </c>
      <c r="Q1424" s="1">
        <v>12.22</v>
      </c>
      <c r="R1424" s="1">
        <v>0.55000000000000004</v>
      </c>
      <c r="S1424" s="2">
        <v>45444</v>
      </c>
      <c r="T1424" s="1">
        <v>54.87</v>
      </c>
      <c r="U1424" s="1">
        <v>0.74299999999999999</v>
      </c>
      <c r="V1424" s="6">
        <f t="shared" si="66"/>
        <v>89166.91</v>
      </c>
      <c r="W1424" s="6" t="str">
        <f t="shared" si="67"/>
        <v>Sufficient</v>
      </c>
      <c r="X1424" s="8" t="str">
        <f t="shared" si="68"/>
        <v>High</v>
      </c>
    </row>
    <row r="1425" spans="1:24">
      <c r="A1425" s="7" t="s">
        <v>1555</v>
      </c>
      <c r="B1425" s="1" t="s">
        <v>29</v>
      </c>
      <c r="C1425" s="1">
        <v>49</v>
      </c>
      <c r="D1425" s="1">
        <v>68</v>
      </c>
      <c r="E1425" s="1">
        <v>12</v>
      </c>
      <c r="F1425" s="1">
        <v>6</v>
      </c>
      <c r="G1425" s="1">
        <v>28.29</v>
      </c>
      <c r="H1425" s="1" t="s">
        <v>208</v>
      </c>
      <c r="I1425" s="1" t="s">
        <v>27</v>
      </c>
      <c r="J1425" s="1">
        <v>14</v>
      </c>
      <c r="K1425" s="1">
        <v>1.1499999999999999</v>
      </c>
      <c r="L1425" s="4">
        <v>182.48</v>
      </c>
      <c r="M1425" s="1">
        <v>1.73</v>
      </c>
      <c r="N1425" s="1">
        <v>2</v>
      </c>
      <c r="O1425" s="1">
        <v>0.91</v>
      </c>
      <c r="P1425" s="1">
        <v>873</v>
      </c>
      <c r="Q1425" s="1">
        <v>5</v>
      </c>
      <c r="R1425" s="1">
        <v>0.4</v>
      </c>
      <c r="S1425" s="2">
        <v>45413</v>
      </c>
      <c r="T1425" s="1">
        <v>254.51</v>
      </c>
      <c r="U1425" s="1">
        <v>0.51600000000000001</v>
      </c>
      <c r="V1425" s="6">
        <f t="shared" si="66"/>
        <v>8941.5199999999986</v>
      </c>
      <c r="W1425" s="6" t="str">
        <f t="shared" si="67"/>
        <v>Reorder Required</v>
      </c>
      <c r="X1425" s="8" t="str">
        <f t="shared" si="68"/>
        <v>LOW</v>
      </c>
    </row>
    <row r="1426" spans="1:24">
      <c r="A1426" s="7" t="s">
        <v>1556</v>
      </c>
      <c r="B1426" s="1" t="s">
        <v>33</v>
      </c>
      <c r="C1426" s="1">
        <v>76</v>
      </c>
      <c r="D1426" s="1">
        <v>82</v>
      </c>
      <c r="E1426" s="1">
        <v>11</v>
      </c>
      <c r="F1426" s="1">
        <v>6</v>
      </c>
      <c r="G1426" s="1">
        <v>33.39</v>
      </c>
      <c r="H1426" s="1" t="s">
        <v>238</v>
      </c>
      <c r="I1426" s="1" t="s">
        <v>45</v>
      </c>
      <c r="J1426" s="1">
        <v>29</v>
      </c>
      <c r="K1426" s="1">
        <v>1.87</v>
      </c>
      <c r="L1426" s="4">
        <v>140.79</v>
      </c>
      <c r="M1426" s="1">
        <v>1.57</v>
      </c>
      <c r="N1426" s="1">
        <v>0</v>
      </c>
      <c r="O1426" s="1">
        <v>0.86</v>
      </c>
      <c r="P1426" s="1">
        <v>793</v>
      </c>
      <c r="Q1426" s="1">
        <v>5.19</v>
      </c>
      <c r="R1426" s="1">
        <v>0.89</v>
      </c>
      <c r="S1426" s="2">
        <v>45341</v>
      </c>
      <c r="T1426" s="1">
        <v>62.62</v>
      </c>
      <c r="U1426" s="1">
        <v>0.66200000000000003</v>
      </c>
      <c r="V1426" s="6">
        <f t="shared" si="66"/>
        <v>10700.039999999999</v>
      </c>
      <c r="W1426" s="6" t="str">
        <f t="shared" si="67"/>
        <v>Reorder Required</v>
      </c>
      <c r="X1426" s="8" t="str">
        <f t="shared" si="68"/>
        <v>LOW</v>
      </c>
    </row>
    <row r="1427" spans="1:24">
      <c r="A1427" s="7" t="s">
        <v>1557</v>
      </c>
      <c r="B1427" s="1" t="s">
        <v>33</v>
      </c>
      <c r="C1427" s="1">
        <v>251</v>
      </c>
      <c r="D1427" s="1">
        <v>77</v>
      </c>
      <c r="E1427" s="1">
        <v>5</v>
      </c>
      <c r="F1427" s="1">
        <v>7</v>
      </c>
      <c r="G1427" s="1">
        <v>17.309999999999999</v>
      </c>
      <c r="H1427" s="1" t="s">
        <v>258</v>
      </c>
      <c r="I1427" s="1" t="s">
        <v>45</v>
      </c>
      <c r="J1427" s="1">
        <v>47</v>
      </c>
      <c r="K1427" s="1">
        <v>0.79</v>
      </c>
      <c r="L1427" s="4">
        <v>41.68</v>
      </c>
      <c r="M1427" s="1">
        <v>1.38</v>
      </c>
      <c r="N1427" s="1">
        <v>9</v>
      </c>
      <c r="O1427" s="1">
        <v>0.83</v>
      </c>
      <c r="P1427" s="1">
        <v>963</v>
      </c>
      <c r="Q1427" s="1">
        <v>9.24</v>
      </c>
      <c r="R1427" s="1">
        <v>0.37</v>
      </c>
      <c r="S1427" s="2">
        <v>45317</v>
      </c>
      <c r="T1427" s="1">
        <v>21.24</v>
      </c>
      <c r="U1427" s="1">
        <v>0.44500000000000001</v>
      </c>
      <c r="V1427" s="6">
        <f t="shared" si="66"/>
        <v>10461.68</v>
      </c>
      <c r="W1427" s="6" t="str">
        <f t="shared" si="67"/>
        <v>Sufficient</v>
      </c>
      <c r="X1427" s="8" t="str">
        <f t="shared" si="68"/>
        <v>High</v>
      </c>
    </row>
    <row r="1428" spans="1:24">
      <c r="A1428" s="7" t="s">
        <v>1558</v>
      </c>
      <c r="B1428" s="1" t="s">
        <v>41</v>
      </c>
      <c r="C1428" s="1">
        <v>165</v>
      </c>
      <c r="D1428" s="1">
        <v>80</v>
      </c>
      <c r="E1428" s="1">
        <v>13</v>
      </c>
      <c r="F1428" s="1">
        <v>6</v>
      </c>
      <c r="G1428" s="1">
        <v>19.72</v>
      </c>
      <c r="H1428" s="1" t="s">
        <v>74</v>
      </c>
      <c r="I1428" s="1" t="s">
        <v>45</v>
      </c>
      <c r="J1428" s="1">
        <v>110</v>
      </c>
      <c r="K1428" s="1">
        <v>0.91</v>
      </c>
      <c r="L1428" s="4">
        <v>39.71</v>
      </c>
      <c r="M1428" s="1">
        <v>0.83</v>
      </c>
      <c r="N1428" s="1">
        <v>4</v>
      </c>
      <c r="O1428" s="1">
        <v>0.94</v>
      </c>
      <c r="P1428" s="1">
        <v>728</v>
      </c>
      <c r="Q1428" s="1">
        <v>4.6399999999999997</v>
      </c>
      <c r="R1428" s="1">
        <v>0.93</v>
      </c>
      <c r="S1428" s="2">
        <v>45493</v>
      </c>
      <c r="T1428" s="1">
        <v>39.06</v>
      </c>
      <c r="U1428" s="1">
        <v>0.67300000000000004</v>
      </c>
      <c r="V1428" s="6">
        <f t="shared" si="66"/>
        <v>6552.1500000000005</v>
      </c>
      <c r="W1428" s="6" t="str">
        <f t="shared" si="67"/>
        <v>Sufficient</v>
      </c>
      <c r="X1428" s="8" t="str">
        <f t="shared" si="68"/>
        <v>Medium</v>
      </c>
    </row>
    <row r="1429" spans="1:24">
      <c r="A1429" s="7" t="s">
        <v>1559</v>
      </c>
      <c r="B1429" s="1" t="s">
        <v>25</v>
      </c>
      <c r="C1429" s="1">
        <v>454</v>
      </c>
      <c r="D1429" s="1">
        <v>96</v>
      </c>
      <c r="E1429" s="1">
        <v>4</v>
      </c>
      <c r="F1429" s="1">
        <v>8</v>
      </c>
      <c r="G1429" s="1">
        <v>30.13</v>
      </c>
      <c r="H1429" s="1" t="s">
        <v>238</v>
      </c>
      <c r="I1429" s="1" t="s">
        <v>39</v>
      </c>
      <c r="J1429" s="1">
        <v>137</v>
      </c>
      <c r="K1429" s="1">
        <v>1.1399999999999999</v>
      </c>
      <c r="L1429" s="4">
        <v>19.27</v>
      </c>
      <c r="M1429" s="1">
        <v>0.31</v>
      </c>
      <c r="N1429" s="1">
        <v>2</v>
      </c>
      <c r="O1429" s="1">
        <v>0.8</v>
      </c>
      <c r="P1429" s="1">
        <v>867</v>
      </c>
      <c r="Q1429" s="1">
        <v>2.2599999999999998</v>
      </c>
      <c r="R1429" s="1">
        <v>0.49</v>
      </c>
      <c r="S1429" s="2">
        <v>45584</v>
      </c>
      <c r="T1429" s="1">
        <v>237.98</v>
      </c>
      <c r="U1429" s="1">
        <v>0.61699999999999999</v>
      </c>
      <c r="V1429" s="6">
        <f t="shared" si="66"/>
        <v>8748.58</v>
      </c>
      <c r="W1429" s="6" t="str">
        <f t="shared" si="67"/>
        <v>Sufficient</v>
      </c>
      <c r="X1429" s="8" t="str">
        <f t="shared" si="68"/>
        <v>High</v>
      </c>
    </row>
    <row r="1430" spans="1:24">
      <c r="A1430" s="7" t="s">
        <v>1560</v>
      </c>
      <c r="B1430" s="1" t="s">
        <v>33</v>
      </c>
      <c r="C1430" s="1">
        <v>403</v>
      </c>
      <c r="D1430" s="1">
        <v>11</v>
      </c>
      <c r="E1430" s="1">
        <v>6</v>
      </c>
      <c r="F1430" s="1">
        <v>8</v>
      </c>
      <c r="G1430" s="1">
        <v>4.42</v>
      </c>
      <c r="H1430" s="1" t="s">
        <v>227</v>
      </c>
      <c r="I1430" s="1" t="s">
        <v>39</v>
      </c>
      <c r="J1430" s="1">
        <v>111</v>
      </c>
      <c r="K1430" s="1">
        <v>3.71</v>
      </c>
      <c r="L1430" s="4">
        <v>88.25</v>
      </c>
      <c r="M1430" s="1">
        <v>1.02</v>
      </c>
      <c r="N1430" s="1">
        <v>3</v>
      </c>
      <c r="O1430" s="1">
        <v>0.87</v>
      </c>
      <c r="P1430" s="1">
        <v>210</v>
      </c>
      <c r="Q1430" s="1">
        <v>3.88</v>
      </c>
      <c r="R1430" s="1">
        <v>0.22</v>
      </c>
      <c r="S1430" s="2">
        <v>45573</v>
      </c>
      <c r="T1430" s="1">
        <v>271.55</v>
      </c>
      <c r="U1430" s="1">
        <v>0.50800000000000001</v>
      </c>
      <c r="V1430" s="6">
        <f t="shared" si="66"/>
        <v>35564.75</v>
      </c>
      <c r="W1430" s="6" t="str">
        <f t="shared" si="67"/>
        <v>Sufficient</v>
      </c>
      <c r="X1430" s="8" t="str">
        <f t="shared" si="68"/>
        <v>High</v>
      </c>
    </row>
    <row r="1431" spans="1:24">
      <c r="A1431" s="7" t="s">
        <v>1561</v>
      </c>
      <c r="B1431" s="1" t="s">
        <v>29</v>
      </c>
      <c r="C1431" s="1">
        <v>67</v>
      </c>
      <c r="D1431" s="1">
        <v>58</v>
      </c>
      <c r="E1431" s="1">
        <v>4</v>
      </c>
      <c r="F1431" s="1">
        <v>2</v>
      </c>
      <c r="G1431" s="1">
        <v>13.54</v>
      </c>
      <c r="H1431" s="1" t="s">
        <v>470</v>
      </c>
      <c r="I1431" s="1" t="s">
        <v>31</v>
      </c>
      <c r="J1431" s="1">
        <v>45</v>
      </c>
      <c r="K1431" s="1">
        <v>0.64</v>
      </c>
      <c r="L1431" s="4">
        <v>163.68</v>
      </c>
      <c r="M1431" s="1">
        <v>0.3</v>
      </c>
      <c r="N1431" s="1">
        <v>3</v>
      </c>
      <c r="O1431" s="1">
        <v>0.72</v>
      </c>
      <c r="P1431" s="1">
        <v>333</v>
      </c>
      <c r="Q1431" s="1">
        <v>13.79</v>
      </c>
      <c r="R1431" s="1">
        <v>0.33</v>
      </c>
      <c r="S1431" s="2">
        <v>45543</v>
      </c>
      <c r="T1431" s="1">
        <v>87.78</v>
      </c>
      <c r="U1431" s="1">
        <v>0.70399999999999996</v>
      </c>
      <c r="V1431" s="6">
        <f t="shared" si="66"/>
        <v>10966.560000000001</v>
      </c>
      <c r="W1431" s="6" t="str">
        <f t="shared" si="67"/>
        <v>Sufficient</v>
      </c>
      <c r="X1431" s="8" t="str">
        <f t="shared" si="68"/>
        <v>LOW</v>
      </c>
    </row>
    <row r="1432" spans="1:24">
      <c r="A1432" s="7" t="s">
        <v>1562</v>
      </c>
      <c r="B1432" s="1" t="s">
        <v>41</v>
      </c>
      <c r="C1432" s="1">
        <v>213</v>
      </c>
      <c r="D1432" s="1">
        <v>97</v>
      </c>
      <c r="E1432" s="1">
        <v>3</v>
      </c>
      <c r="F1432" s="1">
        <v>4</v>
      </c>
      <c r="G1432" s="1">
        <v>10.64</v>
      </c>
      <c r="H1432" s="1" t="s">
        <v>208</v>
      </c>
      <c r="I1432" s="1" t="s">
        <v>45</v>
      </c>
      <c r="J1432" s="1">
        <v>108</v>
      </c>
      <c r="K1432" s="1">
        <v>0.87</v>
      </c>
      <c r="L1432" s="4">
        <v>103.16</v>
      </c>
      <c r="M1432" s="1">
        <v>1.05</v>
      </c>
      <c r="N1432" s="1">
        <v>5</v>
      </c>
      <c r="O1432" s="1">
        <v>0.92</v>
      </c>
      <c r="P1432" s="1">
        <v>233</v>
      </c>
      <c r="Q1432" s="1">
        <v>1.1499999999999999</v>
      </c>
      <c r="R1432" s="1">
        <v>0.91</v>
      </c>
      <c r="S1432" s="2">
        <v>45370</v>
      </c>
      <c r="T1432" s="1">
        <v>154.44999999999999</v>
      </c>
      <c r="U1432" s="1">
        <v>0.57599999999999996</v>
      </c>
      <c r="V1432" s="6">
        <f t="shared" si="66"/>
        <v>21973.079999999998</v>
      </c>
      <c r="W1432" s="6" t="str">
        <f t="shared" si="67"/>
        <v>Sufficient</v>
      </c>
      <c r="X1432" s="8" t="str">
        <f t="shared" si="68"/>
        <v>Medium</v>
      </c>
    </row>
    <row r="1433" spans="1:24">
      <c r="A1433" s="7" t="s">
        <v>1563</v>
      </c>
      <c r="B1433" s="1" t="s">
        <v>41</v>
      </c>
      <c r="C1433" s="1">
        <v>243</v>
      </c>
      <c r="D1433" s="1">
        <v>40</v>
      </c>
      <c r="E1433" s="1">
        <v>14</v>
      </c>
      <c r="F1433" s="1">
        <v>9</v>
      </c>
      <c r="G1433" s="1">
        <v>1.78</v>
      </c>
      <c r="H1433" s="1" t="s">
        <v>70</v>
      </c>
      <c r="I1433" s="1" t="s">
        <v>27</v>
      </c>
      <c r="J1433" s="1">
        <v>122</v>
      </c>
      <c r="K1433" s="1">
        <v>4.75</v>
      </c>
      <c r="L1433" s="4">
        <v>79.599999999999994</v>
      </c>
      <c r="M1433" s="1">
        <v>1.66</v>
      </c>
      <c r="N1433" s="1">
        <v>9</v>
      </c>
      <c r="O1433" s="1">
        <v>0.91</v>
      </c>
      <c r="P1433" s="1">
        <v>586</v>
      </c>
      <c r="Q1433" s="1">
        <v>2.87</v>
      </c>
      <c r="R1433" s="1">
        <v>0.3</v>
      </c>
      <c r="S1433" s="2">
        <v>45319</v>
      </c>
      <c r="T1433" s="1">
        <v>183.19</v>
      </c>
      <c r="U1433" s="1">
        <v>0.33400000000000002</v>
      </c>
      <c r="V1433" s="6">
        <f t="shared" si="66"/>
        <v>19342.8</v>
      </c>
      <c r="W1433" s="6" t="str">
        <f t="shared" si="67"/>
        <v>Sufficient</v>
      </c>
      <c r="X1433" s="8" t="str">
        <f t="shared" si="68"/>
        <v>Medium</v>
      </c>
    </row>
    <row r="1434" spans="1:24">
      <c r="A1434" s="7" t="s">
        <v>1564</v>
      </c>
      <c r="B1434" s="1" t="s">
        <v>29</v>
      </c>
      <c r="C1434" s="1">
        <v>155</v>
      </c>
      <c r="D1434" s="1">
        <v>49</v>
      </c>
      <c r="E1434" s="1">
        <v>5</v>
      </c>
      <c r="F1434" s="1">
        <v>7</v>
      </c>
      <c r="G1434" s="1">
        <v>27.31</v>
      </c>
      <c r="H1434" s="1" t="s">
        <v>74</v>
      </c>
      <c r="I1434" s="1" t="s">
        <v>39</v>
      </c>
      <c r="J1434" s="1">
        <v>46</v>
      </c>
      <c r="K1434" s="1">
        <v>0.88</v>
      </c>
      <c r="L1434" s="4">
        <v>30.75</v>
      </c>
      <c r="M1434" s="1">
        <v>2</v>
      </c>
      <c r="N1434" s="1">
        <v>6</v>
      </c>
      <c r="O1434" s="1">
        <v>0.94</v>
      </c>
      <c r="P1434" s="1">
        <v>191</v>
      </c>
      <c r="Q1434" s="1">
        <v>11.61</v>
      </c>
      <c r="R1434" s="1">
        <v>0.79</v>
      </c>
      <c r="S1434" s="2">
        <v>45476</v>
      </c>
      <c r="T1434" s="1">
        <v>131.41999999999999</v>
      </c>
      <c r="U1434" s="1">
        <v>0.58099999999999996</v>
      </c>
      <c r="V1434" s="6">
        <f t="shared" si="66"/>
        <v>4766.25</v>
      </c>
      <c r="W1434" s="6" t="str">
        <f t="shared" si="67"/>
        <v>Sufficient</v>
      </c>
      <c r="X1434" s="8" t="str">
        <f t="shared" si="68"/>
        <v>Medium</v>
      </c>
    </row>
    <row r="1435" spans="1:24">
      <c r="A1435" s="7" t="s">
        <v>1565</v>
      </c>
      <c r="B1435" s="1" t="s">
        <v>25</v>
      </c>
      <c r="C1435" s="1">
        <v>41</v>
      </c>
      <c r="D1435" s="1">
        <v>57</v>
      </c>
      <c r="E1435" s="1">
        <v>9</v>
      </c>
      <c r="F1435" s="1">
        <v>8</v>
      </c>
      <c r="G1435" s="1">
        <v>28.49</v>
      </c>
      <c r="H1435" s="1" t="s">
        <v>117</v>
      </c>
      <c r="I1435" s="1" t="s">
        <v>27</v>
      </c>
      <c r="J1435" s="1">
        <v>63</v>
      </c>
      <c r="K1435" s="1">
        <v>2.92</v>
      </c>
      <c r="L1435" s="4">
        <v>19.829999999999998</v>
      </c>
      <c r="M1435" s="1">
        <v>0.48</v>
      </c>
      <c r="N1435" s="1">
        <v>6</v>
      </c>
      <c r="O1435" s="1">
        <v>0.97</v>
      </c>
      <c r="P1435" s="1">
        <v>744</v>
      </c>
      <c r="Q1435" s="1">
        <v>14.72</v>
      </c>
      <c r="R1435" s="1">
        <v>0.35</v>
      </c>
      <c r="S1435" s="2">
        <v>45293</v>
      </c>
      <c r="T1435" s="1">
        <v>28.94</v>
      </c>
      <c r="U1435" s="1">
        <v>0.69199999999999995</v>
      </c>
      <c r="V1435" s="6">
        <f t="shared" si="66"/>
        <v>813.03</v>
      </c>
      <c r="W1435" s="6" t="str">
        <f t="shared" si="67"/>
        <v>Reorder Required</v>
      </c>
      <c r="X1435" s="8" t="str">
        <f t="shared" si="68"/>
        <v>LOW</v>
      </c>
    </row>
    <row r="1436" spans="1:24">
      <c r="A1436" s="7" t="s">
        <v>1566</v>
      </c>
      <c r="B1436" s="1" t="s">
        <v>29</v>
      </c>
      <c r="C1436" s="1">
        <v>25</v>
      </c>
      <c r="D1436" s="1">
        <v>60</v>
      </c>
      <c r="E1436" s="1">
        <v>3</v>
      </c>
      <c r="F1436" s="1">
        <v>2</v>
      </c>
      <c r="G1436" s="1">
        <v>19.809999999999999</v>
      </c>
      <c r="H1436" s="1" t="s">
        <v>44</v>
      </c>
      <c r="I1436" s="1" t="s">
        <v>27</v>
      </c>
      <c r="J1436" s="1">
        <v>158</v>
      </c>
      <c r="K1436" s="1">
        <v>3.39</v>
      </c>
      <c r="L1436" s="4">
        <v>85.84</v>
      </c>
      <c r="M1436" s="1">
        <v>0.49</v>
      </c>
      <c r="N1436" s="1">
        <v>7</v>
      </c>
      <c r="O1436" s="1">
        <v>0.93</v>
      </c>
      <c r="P1436" s="1">
        <v>645</v>
      </c>
      <c r="Q1436" s="1">
        <v>10.63</v>
      </c>
      <c r="R1436" s="1">
        <v>0.6</v>
      </c>
      <c r="S1436" s="2">
        <v>45510</v>
      </c>
      <c r="T1436" s="1">
        <v>26.43</v>
      </c>
      <c r="U1436" s="1">
        <v>0.65900000000000003</v>
      </c>
      <c r="V1436" s="6">
        <f t="shared" si="66"/>
        <v>2146</v>
      </c>
      <c r="W1436" s="6" t="str">
        <f t="shared" si="67"/>
        <v>Reorder Required</v>
      </c>
      <c r="X1436" s="8" t="str">
        <f t="shared" si="68"/>
        <v>LOW</v>
      </c>
    </row>
    <row r="1437" spans="1:24">
      <c r="A1437" s="7" t="s">
        <v>1567</v>
      </c>
      <c r="B1437" s="1" t="s">
        <v>25</v>
      </c>
      <c r="C1437" s="1">
        <v>223</v>
      </c>
      <c r="D1437" s="1">
        <v>52</v>
      </c>
      <c r="E1437" s="1">
        <v>4</v>
      </c>
      <c r="F1437" s="1">
        <v>7</v>
      </c>
      <c r="G1437" s="1">
        <v>14.17</v>
      </c>
      <c r="H1437" s="1" t="s">
        <v>26</v>
      </c>
      <c r="I1437" s="1" t="s">
        <v>31</v>
      </c>
      <c r="J1437" s="1">
        <v>158</v>
      </c>
      <c r="K1437" s="1">
        <v>4.8099999999999996</v>
      </c>
      <c r="L1437" s="4">
        <v>28.99</v>
      </c>
      <c r="M1437" s="1">
        <v>1.64</v>
      </c>
      <c r="N1437" s="1">
        <v>2</v>
      </c>
      <c r="O1437" s="1">
        <v>0.95</v>
      </c>
      <c r="P1437" s="1">
        <v>280</v>
      </c>
      <c r="Q1437" s="1">
        <v>13.91</v>
      </c>
      <c r="R1437" s="1">
        <v>0.36</v>
      </c>
      <c r="S1437" s="2">
        <v>45336</v>
      </c>
      <c r="T1437" s="1">
        <v>137.69999999999999</v>
      </c>
      <c r="U1437" s="1">
        <v>0.64300000000000002</v>
      </c>
      <c r="V1437" s="6">
        <f t="shared" si="66"/>
        <v>6464.7699999999995</v>
      </c>
      <c r="W1437" s="6" t="str">
        <f t="shared" si="67"/>
        <v>Sufficient</v>
      </c>
      <c r="X1437" s="8" t="str">
        <f t="shared" si="68"/>
        <v>Medium</v>
      </c>
    </row>
    <row r="1438" spans="1:24">
      <c r="A1438" s="7" t="s">
        <v>1568</v>
      </c>
      <c r="B1438" s="1" t="s">
        <v>29</v>
      </c>
      <c r="C1438" s="1">
        <v>258</v>
      </c>
      <c r="D1438" s="1">
        <v>64</v>
      </c>
      <c r="E1438" s="1">
        <v>3</v>
      </c>
      <c r="F1438" s="1">
        <v>4</v>
      </c>
      <c r="G1438" s="1">
        <v>32.950000000000003</v>
      </c>
      <c r="H1438" s="1" t="s">
        <v>149</v>
      </c>
      <c r="I1438" s="1" t="s">
        <v>31</v>
      </c>
      <c r="J1438" s="1">
        <v>101</v>
      </c>
      <c r="K1438" s="1">
        <v>4.55</v>
      </c>
      <c r="L1438" s="4">
        <v>29.67</v>
      </c>
      <c r="M1438" s="1">
        <v>0.99</v>
      </c>
      <c r="N1438" s="1">
        <v>4</v>
      </c>
      <c r="O1438" s="1">
        <v>0.8</v>
      </c>
      <c r="P1438" s="1">
        <v>517</v>
      </c>
      <c r="Q1438" s="1">
        <v>12.97</v>
      </c>
      <c r="R1438" s="1">
        <v>0.47</v>
      </c>
      <c r="S1438" s="2">
        <v>45442</v>
      </c>
      <c r="T1438" s="1">
        <v>241.38</v>
      </c>
      <c r="U1438" s="1">
        <v>0.64800000000000002</v>
      </c>
      <c r="V1438" s="6">
        <f t="shared" si="66"/>
        <v>7654.8600000000006</v>
      </c>
      <c r="W1438" s="6" t="str">
        <f t="shared" si="67"/>
        <v>Sufficient</v>
      </c>
      <c r="X1438" s="8" t="str">
        <f t="shared" si="68"/>
        <v>High</v>
      </c>
    </row>
    <row r="1439" spans="1:24">
      <c r="A1439" s="7" t="s">
        <v>1569</v>
      </c>
      <c r="B1439" s="1" t="s">
        <v>29</v>
      </c>
      <c r="C1439" s="1">
        <v>204</v>
      </c>
      <c r="D1439" s="1">
        <v>97</v>
      </c>
      <c r="E1439" s="1">
        <v>10</v>
      </c>
      <c r="F1439" s="1">
        <v>7</v>
      </c>
      <c r="G1439" s="1">
        <v>7.6</v>
      </c>
      <c r="H1439" s="1" t="s">
        <v>143</v>
      </c>
      <c r="I1439" s="1" t="s">
        <v>27</v>
      </c>
      <c r="J1439" s="1">
        <v>79</v>
      </c>
      <c r="K1439" s="1">
        <v>2.48</v>
      </c>
      <c r="L1439" s="4">
        <v>85.12</v>
      </c>
      <c r="M1439" s="1">
        <v>1.84</v>
      </c>
      <c r="N1439" s="1">
        <v>9</v>
      </c>
      <c r="O1439" s="1">
        <v>0.8</v>
      </c>
      <c r="P1439" s="1">
        <v>952</v>
      </c>
      <c r="Q1439" s="1">
        <v>7.72</v>
      </c>
      <c r="R1439" s="1">
        <v>0.3</v>
      </c>
      <c r="S1439" s="2">
        <v>45630</v>
      </c>
      <c r="T1439" s="1">
        <v>34.54</v>
      </c>
      <c r="U1439" s="1">
        <v>0.35899999999999999</v>
      </c>
      <c r="V1439" s="6">
        <f t="shared" si="66"/>
        <v>17364.48</v>
      </c>
      <c r="W1439" s="6" t="str">
        <f t="shared" si="67"/>
        <v>Sufficient</v>
      </c>
      <c r="X1439" s="8" t="str">
        <f t="shared" si="68"/>
        <v>Medium</v>
      </c>
    </row>
    <row r="1440" spans="1:24">
      <c r="A1440" s="7" t="s">
        <v>1570</v>
      </c>
      <c r="B1440" s="1" t="s">
        <v>66</v>
      </c>
      <c r="C1440" s="1">
        <v>379</v>
      </c>
      <c r="D1440" s="1">
        <v>58</v>
      </c>
      <c r="E1440" s="1">
        <v>7</v>
      </c>
      <c r="F1440" s="1">
        <v>2</v>
      </c>
      <c r="G1440" s="1">
        <v>26.41</v>
      </c>
      <c r="H1440" s="1" t="s">
        <v>276</v>
      </c>
      <c r="I1440" s="1" t="s">
        <v>27</v>
      </c>
      <c r="J1440" s="1">
        <v>93</v>
      </c>
      <c r="K1440" s="1">
        <v>4.74</v>
      </c>
      <c r="L1440" s="4">
        <v>105.54</v>
      </c>
      <c r="M1440" s="1">
        <v>1.56</v>
      </c>
      <c r="N1440" s="1">
        <v>5</v>
      </c>
      <c r="O1440" s="1">
        <v>0.98</v>
      </c>
      <c r="P1440" s="1">
        <v>437</v>
      </c>
      <c r="Q1440" s="1">
        <v>5.67</v>
      </c>
      <c r="R1440" s="1">
        <v>0.64</v>
      </c>
      <c r="S1440" s="2">
        <v>45612</v>
      </c>
      <c r="T1440" s="1">
        <v>69.650000000000006</v>
      </c>
      <c r="U1440" s="1">
        <v>0.54400000000000004</v>
      </c>
      <c r="V1440" s="6">
        <f t="shared" si="66"/>
        <v>39999.660000000003</v>
      </c>
      <c r="W1440" s="6" t="str">
        <f t="shared" si="67"/>
        <v>Sufficient</v>
      </c>
      <c r="X1440" s="8" t="str">
        <f t="shared" si="68"/>
        <v>High</v>
      </c>
    </row>
    <row r="1441" spans="1:24">
      <c r="A1441" s="7" t="s">
        <v>1571</v>
      </c>
      <c r="B1441" s="1" t="s">
        <v>41</v>
      </c>
      <c r="C1441" s="1">
        <v>311</v>
      </c>
      <c r="D1441" s="1">
        <v>99</v>
      </c>
      <c r="E1441" s="1">
        <v>10</v>
      </c>
      <c r="F1441" s="1">
        <v>5</v>
      </c>
      <c r="G1441" s="1">
        <v>38.64</v>
      </c>
      <c r="H1441" s="1" t="s">
        <v>52</v>
      </c>
      <c r="I1441" s="1" t="s">
        <v>27</v>
      </c>
      <c r="J1441" s="1">
        <v>173</v>
      </c>
      <c r="K1441" s="1">
        <v>2.4500000000000002</v>
      </c>
      <c r="L1441" s="4">
        <v>45.47</v>
      </c>
      <c r="M1441" s="1">
        <v>1.5</v>
      </c>
      <c r="N1441" s="1">
        <v>5</v>
      </c>
      <c r="O1441" s="1">
        <v>0.97</v>
      </c>
      <c r="P1441" s="1">
        <v>784</v>
      </c>
      <c r="Q1441" s="1">
        <v>9.85</v>
      </c>
      <c r="R1441" s="1">
        <v>0.49</v>
      </c>
      <c r="S1441" s="2">
        <v>45599</v>
      </c>
      <c r="T1441" s="1">
        <v>88.23</v>
      </c>
      <c r="U1441" s="1">
        <v>0.57299999999999995</v>
      </c>
      <c r="V1441" s="6">
        <f t="shared" si="66"/>
        <v>14141.17</v>
      </c>
      <c r="W1441" s="6" t="str">
        <f t="shared" si="67"/>
        <v>Sufficient</v>
      </c>
      <c r="X1441" s="8" t="str">
        <f t="shared" si="68"/>
        <v>High</v>
      </c>
    </row>
    <row r="1442" spans="1:24">
      <c r="A1442" s="7" t="s">
        <v>1572</v>
      </c>
      <c r="B1442" s="1" t="s">
        <v>29</v>
      </c>
      <c r="C1442" s="1">
        <v>354</v>
      </c>
      <c r="D1442" s="1">
        <v>89</v>
      </c>
      <c r="E1442" s="1">
        <v>5</v>
      </c>
      <c r="F1442" s="1">
        <v>9</v>
      </c>
      <c r="G1442" s="1">
        <v>9.0500000000000007</v>
      </c>
      <c r="H1442" s="1" t="s">
        <v>256</v>
      </c>
      <c r="I1442" s="1" t="s">
        <v>27</v>
      </c>
      <c r="J1442" s="1">
        <v>20</v>
      </c>
      <c r="K1442" s="1">
        <v>3.51</v>
      </c>
      <c r="L1442" s="4">
        <v>140.08000000000001</v>
      </c>
      <c r="M1442" s="1">
        <v>0.28999999999999998</v>
      </c>
      <c r="N1442" s="1">
        <v>7</v>
      </c>
      <c r="O1442" s="1">
        <v>0.86</v>
      </c>
      <c r="P1442" s="1">
        <v>207</v>
      </c>
      <c r="Q1442" s="1">
        <v>8.4700000000000006</v>
      </c>
      <c r="R1442" s="1">
        <v>0.49</v>
      </c>
      <c r="S1442" s="2">
        <v>45537</v>
      </c>
      <c r="T1442" s="1">
        <v>172.15</v>
      </c>
      <c r="U1442" s="1">
        <v>0.61399999999999999</v>
      </c>
      <c r="V1442" s="6">
        <f t="shared" si="66"/>
        <v>49588.320000000007</v>
      </c>
      <c r="W1442" s="6" t="str">
        <f t="shared" si="67"/>
        <v>Sufficient</v>
      </c>
      <c r="X1442" s="8" t="str">
        <f t="shared" si="68"/>
        <v>High</v>
      </c>
    </row>
    <row r="1443" spans="1:24">
      <c r="A1443" s="7" t="s">
        <v>1573</v>
      </c>
      <c r="B1443" s="1" t="s">
        <v>29</v>
      </c>
      <c r="C1443" s="1">
        <v>239</v>
      </c>
      <c r="D1443" s="1">
        <v>66</v>
      </c>
      <c r="E1443" s="1">
        <v>14</v>
      </c>
      <c r="F1443" s="1">
        <v>8</v>
      </c>
      <c r="G1443" s="1">
        <v>37.909999999999997</v>
      </c>
      <c r="H1443" s="1" t="s">
        <v>282</v>
      </c>
      <c r="I1443" s="1" t="s">
        <v>45</v>
      </c>
      <c r="J1443" s="1">
        <v>97</v>
      </c>
      <c r="K1443" s="1">
        <v>1.67</v>
      </c>
      <c r="L1443" s="4">
        <v>89.55</v>
      </c>
      <c r="M1443" s="1">
        <v>0.17</v>
      </c>
      <c r="N1443" s="1">
        <v>4</v>
      </c>
      <c r="O1443" s="1">
        <v>0.81</v>
      </c>
      <c r="P1443" s="1">
        <v>367</v>
      </c>
      <c r="Q1443" s="1">
        <v>1.36</v>
      </c>
      <c r="R1443" s="1">
        <v>0.23</v>
      </c>
      <c r="S1443" s="2">
        <v>45394</v>
      </c>
      <c r="T1443" s="1">
        <v>22.53</v>
      </c>
      <c r="U1443" s="1">
        <v>0.52900000000000003</v>
      </c>
      <c r="V1443" s="6">
        <f t="shared" si="66"/>
        <v>21402.45</v>
      </c>
      <c r="W1443" s="6" t="str">
        <f t="shared" si="67"/>
        <v>Sufficient</v>
      </c>
      <c r="X1443" s="8" t="str">
        <f t="shared" si="68"/>
        <v>Medium</v>
      </c>
    </row>
    <row r="1444" spans="1:24">
      <c r="A1444" s="7" t="s">
        <v>1574</v>
      </c>
      <c r="B1444" s="1" t="s">
        <v>33</v>
      </c>
      <c r="C1444" s="1">
        <v>135</v>
      </c>
      <c r="D1444" s="1">
        <v>86</v>
      </c>
      <c r="E1444" s="1">
        <v>9</v>
      </c>
      <c r="F1444" s="1">
        <v>9</v>
      </c>
      <c r="G1444" s="1">
        <v>38.28</v>
      </c>
      <c r="H1444" s="1" t="s">
        <v>159</v>
      </c>
      <c r="I1444" s="1" t="s">
        <v>27</v>
      </c>
      <c r="J1444" s="1">
        <v>96</v>
      </c>
      <c r="K1444" s="1">
        <v>3.36</v>
      </c>
      <c r="L1444" s="4">
        <v>27.47</v>
      </c>
      <c r="M1444" s="1">
        <v>0.7</v>
      </c>
      <c r="N1444" s="1">
        <v>4</v>
      </c>
      <c r="O1444" s="1">
        <v>0.96</v>
      </c>
      <c r="P1444" s="1">
        <v>234</v>
      </c>
      <c r="Q1444" s="1">
        <v>14.4</v>
      </c>
      <c r="R1444" s="1">
        <v>0.31</v>
      </c>
      <c r="S1444" s="2">
        <v>45341</v>
      </c>
      <c r="T1444" s="1">
        <v>259.41000000000003</v>
      </c>
      <c r="U1444" s="1">
        <v>0.69599999999999995</v>
      </c>
      <c r="V1444" s="6">
        <f t="shared" si="66"/>
        <v>3708.45</v>
      </c>
      <c r="W1444" s="6" t="str">
        <f t="shared" si="67"/>
        <v>Sufficient</v>
      </c>
      <c r="X1444" s="8" t="str">
        <f t="shared" si="68"/>
        <v>Medium</v>
      </c>
    </row>
    <row r="1445" spans="1:24">
      <c r="A1445" s="7" t="s">
        <v>1575</v>
      </c>
      <c r="B1445" s="1" t="s">
        <v>41</v>
      </c>
      <c r="C1445" s="1">
        <v>332</v>
      </c>
      <c r="D1445" s="1">
        <v>24</v>
      </c>
      <c r="E1445" s="1">
        <v>10</v>
      </c>
      <c r="F1445" s="1">
        <v>4</v>
      </c>
      <c r="G1445" s="1">
        <v>3.94</v>
      </c>
      <c r="H1445" s="1" t="s">
        <v>156</v>
      </c>
      <c r="I1445" s="1" t="s">
        <v>39</v>
      </c>
      <c r="J1445" s="1">
        <v>40</v>
      </c>
      <c r="K1445" s="1">
        <v>2.92</v>
      </c>
      <c r="L1445" s="4">
        <v>131.04</v>
      </c>
      <c r="M1445" s="1">
        <v>0.51</v>
      </c>
      <c r="N1445" s="1">
        <v>0</v>
      </c>
      <c r="O1445" s="1">
        <v>0.8</v>
      </c>
      <c r="P1445" s="1">
        <v>470</v>
      </c>
      <c r="Q1445" s="1">
        <v>8.98</v>
      </c>
      <c r="R1445" s="1">
        <v>0.77</v>
      </c>
      <c r="S1445" s="2">
        <v>45305</v>
      </c>
      <c r="T1445" s="1">
        <v>146.51</v>
      </c>
      <c r="U1445" s="1">
        <v>0.78300000000000003</v>
      </c>
      <c r="V1445" s="6">
        <f t="shared" si="66"/>
        <v>43505.279999999999</v>
      </c>
      <c r="W1445" s="6" t="str">
        <f t="shared" si="67"/>
        <v>Sufficient</v>
      </c>
      <c r="X1445" s="8" t="str">
        <f t="shared" si="68"/>
        <v>High</v>
      </c>
    </row>
    <row r="1446" spans="1:24">
      <c r="A1446" s="7" t="s">
        <v>1576</v>
      </c>
      <c r="B1446" s="1" t="s">
        <v>33</v>
      </c>
      <c r="C1446" s="1">
        <v>68</v>
      </c>
      <c r="D1446" s="1">
        <v>36</v>
      </c>
      <c r="E1446" s="1">
        <v>8</v>
      </c>
      <c r="F1446" s="1">
        <v>3</v>
      </c>
      <c r="G1446" s="1">
        <v>1.92</v>
      </c>
      <c r="H1446" s="1" t="s">
        <v>181</v>
      </c>
      <c r="I1446" s="1" t="s">
        <v>31</v>
      </c>
      <c r="J1446" s="1">
        <v>110</v>
      </c>
      <c r="K1446" s="1">
        <v>3.23</v>
      </c>
      <c r="L1446" s="4">
        <v>77.819999999999993</v>
      </c>
      <c r="M1446" s="1">
        <v>1.45</v>
      </c>
      <c r="N1446" s="1">
        <v>0</v>
      </c>
      <c r="O1446" s="1">
        <v>0.75</v>
      </c>
      <c r="P1446" s="1">
        <v>232</v>
      </c>
      <c r="Q1446" s="1">
        <v>13.24</v>
      </c>
      <c r="R1446" s="1">
        <v>0.43</v>
      </c>
      <c r="S1446" s="2">
        <v>45397</v>
      </c>
      <c r="T1446" s="1">
        <v>150.72</v>
      </c>
      <c r="U1446" s="1">
        <v>0.66800000000000004</v>
      </c>
      <c r="V1446" s="6">
        <f t="shared" si="66"/>
        <v>5291.7599999999993</v>
      </c>
      <c r="W1446" s="6" t="str">
        <f t="shared" si="67"/>
        <v>Sufficient</v>
      </c>
      <c r="X1446" s="8" t="str">
        <f t="shared" si="68"/>
        <v>LOW</v>
      </c>
    </row>
    <row r="1447" spans="1:24">
      <c r="A1447" s="7" t="s">
        <v>1577</v>
      </c>
      <c r="B1447" s="1" t="s">
        <v>41</v>
      </c>
      <c r="C1447" s="1">
        <v>192</v>
      </c>
      <c r="D1447" s="1">
        <v>77</v>
      </c>
      <c r="E1447" s="1">
        <v>9</v>
      </c>
      <c r="F1447" s="1">
        <v>4</v>
      </c>
      <c r="G1447" s="1">
        <v>48.72</v>
      </c>
      <c r="H1447" s="1" t="s">
        <v>47</v>
      </c>
      <c r="I1447" s="1" t="s">
        <v>39</v>
      </c>
      <c r="J1447" s="1">
        <v>174</v>
      </c>
      <c r="K1447" s="1">
        <v>3.57</v>
      </c>
      <c r="L1447" s="4">
        <v>19.940000000000001</v>
      </c>
      <c r="M1447" s="1">
        <v>0.96</v>
      </c>
      <c r="N1447" s="1">
        <v>5</v>
      </c>
      <c r="O1447" s="1">
        <v>0.89</v>
      </c>
      <c r="P1447" s="1">
        <v>646</v>
      </c>
      <c r="Q1447" s="1">
        <v>11.28</v>
      </c>
      <c r="R1447" s="1">
        <v>0.55000000000000004</v>
      </c>
      <c r="S1447" s="2">
        <v>45379</v>
      </c>
      <c r="T1447" s="1">
        <v>104.69</v>
      </c>
      <c r="U1447" s="1">
        <v>0.64200000000000002</v>
      </c>
      <c r="V1447" s="6">
        <f t="shared" si="66"/>
        <v>3828.4800000000005</v>
      </c>
      <c r="W1447" s="6" t="str">
        <f t="shared" si="67"/>
        <v>Sufficient</v>
      </c>
      <c r="X1447" s="8" t="str">
        <f t="shared" si="68"/>
        <v>Medium</v>
      </c>
    </row>
    <row r="1448" spans="1:24">
      <c r="A1448" s="7" t="s">
        <v>1578</v>
      </c>
      <c r="B1448" s="1" t="s">
        <v>33</v>
      </c>
      <c r="C1448" s="1">
        <v>101</v>
      </c>
      <c r="D1448" s="1">
        <v>89</v>
      </c>
      <c r="E1448" s="1">
        <v>14</v>
      </c>
      <c r="F1448" s="1">
        <v>4</v>
      </c>
      <c r="G1448" s="1">
        <v>10.48</v>
      </c>
      <c r="H1448" s="1" t="s">
        <v>141</v>
      </c>
      <c r="I1448" s="1" t="s">
        <v>31</v>
      </c>
      <c r="J1448" s="1">
        <v>69</v>
      </c>
      <c r="K1448" s="1">
        <v>1.28</v>
      </c>
      <c r="L1448" s="4">
        <v>190.12</v>
      </c>
      <c r="M1448" s="1">
        <v>1.0900000000000001</v>
      </c>
      <c r="N1448" s="1">
        <v>9</v>
      </c>
      <c r="O1448" s="1">
        <v>0.71</v>
      </c>
      <c r="P1448" s="1">
        <v>626</v>
      </c>
      <c r="Q1448" s="1">
        <v>5.77</v>
      </c>
      <c r="R1448" s="1">
        <v>0.81</v>
      </c>
      <c r="S1448" s="2">
        <v>45618</v>
      </c>
      <c r="T1448" s="1">
        <v>71.48</v>
      </c>
      <c r="U1448" s="1">
        <v>0.49199999999999999</v>
      </c>
      <c r="V1448" s="6">
        <f t="shared" si="66"/>
        <v>19202.12</v>
      </c>
      <c r="W1448" s="6" t="str">
        <f t="shared" si="67"/>
        <v>Sufficient</v>
      </c>
      <c r="X1448" s="8" t="str">
        <f t="shared" si="68"/>
        <v>Medium</v>
      </c>
    </row>
    <row r="1449" spans="1:24">
      <c r="A1449" s="7" t="s">
        <v>1579</v>
      </c>
      <c r="B1449" s="1" t="s">
        <v>29</v>
      </c>
      <c r="C1449" s="1">
        <v>341</v>
      </c>
      <c r="D1449" s="1">
        <v>73</v>
      </c>
      <c r="E1449" s="1">
        <v>4</v>
      </c>
      <c r="F1449" s="1">
        <v>4</v>
      </c>
      <c r="G1449" s="1">
        <v>41.28</v>
      </c>
      <c r="H1449" s="1" t="s">
        <v>115</v>
      </c>
      <c r="I1449" s="1" t="s">
        <v>31</v>
      </c>
      <c r="J1449" s="1">
        <v>70</v>
      </c>
      <c r="K1449" s="1">
        <v>1.86</v>
      </c>
      <c r="L1449" s="4">
        <v>118.53</v>
      </c>
      <c r="M1449" s="1">
        <v>1.65</v>
      </c>
      <c r="N1449" s="1">
        <v>9</v>
      </c>
      <c r="O1449" s="1">
        <v>0.81</v>
      </c>
      <c r="P1449" s="1">
        <v>101</v>
      </c>
      <c r="Q1449" s="1">
        <v>13.62</v>
      </c>
      <c r="R1449" s="1">
        <v>0.56000000000000005</v>
      </c>
      <c r="S1449" s="2">
        <v>45441</v>
      </c>
      <c r="T1449" s="1">
        <v>115.46</v>
      </c>
      <c r="U1449" s="1">
        <v>0.51100000000000001</v>
      </c>
      <c r="V1449" s="6">
        <f t="shared" si="66"/>
        <v>40418.730000000003</v>
      </c>
      <c r="W1449" s="6" t="str">
        <f t="shared" si="67"/>
        <v>Sufficient</v>
      </c>
      <c r="X1449" s="8" t="str">
        <f t="shared" si="68"/>
        <v>High</v>
      </c>
    </row>
    <row r="1450" spans="1:24">
      <c r="A1450" s="7" t="s">
        <v>1580</v>
      </c>
      <c r="B1450" s="1" t="s">
        <v>29</v>
      </c>
      <c r="C1450" s="1">
        <v>352</v>
      </c>
      <c r="D1450" s="1">
        <v>39</v>
      </c>
      <c r="E1450" s="1">
        <v>10</v>
      </c>
      <c r="F1450" s="1">
        <v>5</v>
      </c>
      <c r="G1450" s="1">
        <v>28.53</v>
      </c>
      <c r="H1450" s="1" t="s">
        <v>141</v>
      </c>
      <c r="I1450" s="1" t="s">
        <v>31</v>
      </c>
      <c r="J1450" s="1">
        <v>76</v>
      </c>
      <c r="K1450" s="1">
        <v>3.81</v>
      </c>
      <c r="L1450" s="4">
        <v>100.77</v>
      </c>
      <c r="M1450" s="1">
        <v>1.01</v>
      </c>
      <c r="N1450" s="1">
        <v>4</v>
      </c>
      <c r="O1450" s="1">
        <v>0.94</v>
      </c>
      <c r="P1450" s="1">
        <v>52</v>
      </c>
      <c r="Q1450" s="1">
        <v>12.07</v>
      </c>
      <c r="R1450" s="1">
        <v>0.38</v>
      </c>
      <c r="S1450" s="2">
        <v>45333</v>
      </c>
      <c r="T1450" s="1">
        <v>274.89</v>
      </c>
      <c r="U1450" s="1">
        <v>0.64400000000000002</v>
      </c>
      <c r="V1450" s="6">
        <f t="shared" si="66"/>
        <v>35471.040000000001</v>
      </c>
      <c r="W1450" s="6" t="str">
        <f t="shared" si="67"/>
        <v>Sufficient</v>
      </c>
      <c r="X1450" s="8" t="str">
        <f t="shared" si="68"/>
        <v>High</v>
      </c>
    </row>
    <row r="1451" spans="1:24">
      <c r="A1451" s="7" t="s">
        <v>1581</v>
      </c>
      <c r="B1451" s="1" t="s">
        <v>66</v>
      </c>
      <c r="C1451" s="1">
        <v>64</v>
      </c>
      <c r="D1451" s="1">
        <v>45</v>
      </c>
      <c r="E1451" s="1">
        <v>7</v>
      </c>
      <c r="F1451" s="1">
        <v>8</v>
      </c>
      <c r="G1451" s="1">
        <v>13.96</v>
      </c>
      <c r="H1451" s="1" t="s">
        <v>183</v>
      </c>
      <c r="I1451" s="1" t="s">
        <v>39</v>
      </c>
      <c r="J1451" s="1">
        <v>166</v>
      </c>
      <c r="K1451" s="1">
        <v>1.24</v>
      </c>
      <c r="L1451" s="4">
        <v>173.24</v>
      </c>
      <c r="M1451" s="1">
        <v>1.1399999999999999</v>
      </c>
      <c r="N1451" s="1">
        <v>9</v>
      </c>
      <c r="O1451" s="1">
        <v>0.79</v>
      </c>
      <c r="P1451" s="1">
        <v>126</v>
      </c>
      <c r="Q1451" s="1">
        <v>7.02</v>
      </c>
      <c r="R1451" s="1">
        <v>0.64</v>
      </c>
      <c r="S1451" s="2">
        <v>45534</v>
      </c>
      <c r="T1451" s="1">
        <v>37.33</v>
      </c>
      <c r="U1451" s="1">
        <v>0.48599999999999999</v>
      </c>
      <c r="V1451" s="6">
        <f t="shared" si="66"/>
        <v>11087.36</v>
      </c>
      <c r="W1451" s="6" t="str">
        <f t="shared" si="67"/>
        <v>Sufficient</v>
      </c>
      <c r="X1451" s="8" t="str">
        <f t="shared" si="68"/>
        <v>LOW</v>
      </c>
    </row>
    <row r="1452" spans="1:24">
      <c r="A1452" s="7" t="s">
        <v>1582</v>
      </c>
      <c r="B1452" s="1" t="s">
        <v>33</v>
      </c>
      <c r="C1452" s="1">
        <v>354</v>
      </c>
      <c r="D1452" s="1">
        <v>76</v>
      </c>
      <c r="E1452" s="1">
        <v>9</v>
      </c>
      <c r="F1452" s="1">
        <v>2</v>
      </c>
      <c r="G1452" s="1">
        <v>7.37</v>
      </c>
      <c r="H1452" s="1" t="s">
        <v>124</v>
      </c>
      <c r="I1452" s="1" t="s">
        <v>31</v>
      </c>
      <c r="J1452" s="1">
        <v>88</v>
      </c>
      <c r="K1452" s="1">
        <v>2.0499999999999998</v>
      </c>
      <c r="L1452" s="4">
        <v>187.98</v>
      </c>
      <c r="M1452" s="1">
        <v>1.7</v>
      </c>
      <c r="N1452" s="1">
        <v>5</v>
      </c>
      <c r="O1452" s="1">
        <v>0.98</v>
      </c>
      <c r="P1452" s="1">
        <v>696</v>
      </c>
      <c r="Q1452" s="1">
        <v>12.77</v>
      </c>
      <c r="R1452" s="1">
        <v>0.84</v>
      </c>
      <c r="S1452" s="2">
        <v>45351</v>
      </c>
      <c r="T1452" s="1">
        <v>27.61</v>
      </c>
      <c r="U1452" s="1">
        <v>0.66400000000000003</v>
      </c>
      <c r="V1452" s="6">
        <f t="shared" si="66"/>
        <v>66544.92</v>
      </c>
      <c r="W1452" s="6" t="str">
        <f t="shared" si="67"/>
        <v>Sufficient</v>
      </c>
      <c r="X1452" s="8" t="str">
        <f t="shared" si="68"/>
        <v>High</v>
      </c>
    </row>
    <row r="1453" spans="1:24">
      <c r="A1453" s="7" t="s">
        <v>1583</v>
      </c>
      <c r="B1453" s="1" t="s">
        <v>25</v>
      </c>
      <c r="C1453" s="1">
        <v>39</v>
      </c>
      <c r="D1453" s="1">
        <v>95</v>
      </c>
      <c r="E1453" s="1">
        <v>3</v>
      </c>
      <c r="F1453" s="1">
        <v>8</v>
      </c>
      <c r="G1453" s="1">
        <v>25.34</v>
      </c>
      <c r="H1453" s="1" t="s">
        <v>331</v>
      </c>
      <c r="I1453" s="1" t="s">
        <v>27</v>
      </c>
      <c r="J1453" s="1">
        <v>80</v>
      </c>
      <c r="K1453" s="1">
        <v>3.5</v>
      </c>
      <c r="L1453" s="4">
        <v>51.86</v>
      </c>
      <c r="M1453" s="1">
        <v>0.92</v>
      </c>
      <c r="N1453" s="1">
        <v>8</v>
      </c>
      <c r="O1453" s="1">
        <v>0.99</v>
      </c>
      <c r="P1453" s="1">
        <v>887</v>
      </c>
      <c r="Q1453" s="1">
        <v>4.8</v>
      </c>
      <c r="R1453" s="1">
        <v>0.68</v>
      </c>
      <c r="S1453" s="2">
        <v>45449</v>
      </c>
      <c r="T1453" s="1">
        <v>43.19</v>
      </c>
      <c r="U1453" s="1">
        <v>0.54600000000000004</v>
      </c>
      <c r="V1453" s="6">
        <f t="shared" si="66"/>
        <v>2022.54</v>
      </c>
      <c r="W1453" s="6" t="str">
        <f t="shared" si="67"/>
        <v>Reorder Required</v>
      </c>
      <c r="X1453" s="8" t="str">
        <f t="shared" si="68"/>
        <v>LOW</v>
      </c>
    </row>
    <row r="1454" spans="1:24">
      <c r="A1454" s="7" t="s">
        <v>1584</v>
      </c>
      <c r="B1454" s="1" t="s">
        <v>66</v>
      </c>
      <c r="C1454" s="1">
        <v>467</v>
      </c>
      <c r="D1454" s="1">
        <v>95</v>
      </c>
      <c r="E1454" s="1">
        <v>7</v>
      </c>
      <c r="F1454" s="1">
        <v>3</v>
      </c>
      <c r="G1454" s="1">
        <v>20.96</v>
      </c>
      <c r="H1454" s="1" t="s">
        <v>370</v>
      </c>
      <c r="I1454" s="1" t="s">
        <v>27</v>
      </c>
      <c r="J1454" s="1">
        <v>76</v>
      </c>
      <c r="K1454" s="1">
        <v>4.72</v>
      </c>
      <c r="L1454" s="4">
        <v>163.93</v>
      </c>
      <c r="M1454" s="1">
        <v>0.26</v>
      </c>
      <c r="N1454" s="1">
        <v>7</v>
      </c>
      <c r="O1454" s="1">
        <v>0.94</v>
      </c>
      <c r="P1454" s="1">
        <v>631</v>
      </c>
      <c r="Q1454" s="1">
        <v>10.39</v>
      </c>
      <c r="R1454" s="1">
        <v>0.54</v>
      </c>
      <c r="S1454" s="2">
        <v>45495</v>
      </c>
      <c r="T1454" s="1">
        <v>235.32</v>
      </c>
      <c r="U1454" s="1">
        <v>0.66900000000000004</v>
      </c>
      <c r="V1454" s="6">
        <f t="shared" si="66"/>
        <v>76555.31</v>
      </c>
      <c r="W1454" s="6" t="str">
        <f t="shared" si="67"/>
        <v>Sufficient</v>
      </c>
      <c r="X1454" s="8" t="str">
        <f t="shared" si="68"/>
        <v>High</v>
      </c>
    </row>
    <row r="1455" spans="1:24">
      <c r="A1455" s="7" t="s">
        <v>1585</v>
      </c>
      <c r="B1455" s="1" t="s">
        <v>33</v>
      </c>
      <c r="C1455" s="1">
        <v>240</v>
      </c>
      <c r="D1455" s="1">
        <v>58</v>
      </c>
      <c r="E1455" s="1">
        <v>3</v>
      </c>
      <c r="F1455" s="1">
        <v>2</v>
      </c>
      <c r="G1455" s="1">
        <v>35.25</v>
      </c>
      <c r="H1455" s="1" t="s">
        <v>63</v>
      </c>
      <c r="I1455" s="1" t="s">
        <v>45</v>
      </c>
      <c r="J1455" s="1">
        <v>137</v>
      </c>
      <c r="K1455" s="1">
        <v>0.84</v>
      </c>
      <c r="L1455" s="4">
        <v>167.91</v>
      </c>
      <c r="M1455" s="1">
        <v>1.0900000000000001</v>
      </c>
      <c r="N1455" s="1">
        <v>6</v>
      </c>
      <c r="O1455" s="1">
        <v>1</v>
      </c>
      <c r="P1455" s="1">
        <v>723</v>
      </c>
      <c r="Q1455" s="1">
        <v>2.6</v>
      </c>
      <c r="R1455" s="1">
        <v>0.3</v>
      </c>
      <c r="S1455" s="2">
        <v>45533</v>
      </c>
      <c r="T1455" s="1">
        <v>24.04</v>
      </c>
      <c r="U1455" s="1">
        <v>0.46600000000000003</v>
      </c>
      <c r="V1455" s="6">
        <f t="shared" si="66"/>
        <v>40298.400000000001</v>
      </c>
      <c r="W1455" s="6" t="str">
        <f t="shared" si="67"/>
        <v>Sufficient</v>
      </c>
      <c r="X1455" s="8" t="str">
        <f t="shared" si="68"/>
        <v>Medium</v>
      </c>
    </row>
    <row r="1456" spans="1:24">
      <c r="A1456" s="7" t="s">
        <v>1586</v>
      </c>
      <c r="B1456" s="1" t="s">
        <v>33</v>
      </c>
      <c r="C1456" s="1">
        <v>142</v>
      </c>
      <c r="D1456" s="1">
        <v>85</v>
      </c>
      <c r="E1456" s="1">
        <v>14</v>
      </c>
      <c r="F1456" s="1">
        <v>7</v>
      </c>
      <c r="G1456" s="1">
        <v>45.3</v>
      </c>
      <c r="H1456" s="1" t="s">
        <v>244</v>
      </c>
      <c r="I1456" s="1" t="s">
        <v>45</v>
      </c>
      <c r="J1456" s="1">
        <v>120</v>
      </c>
      <c r="K1456" s="1">
        <v>2.82</v>
      </c>
      <c r="L1456" s="4">
        <v>20.34</v>
      </c>
      <c r="M1456" s="1">
        <v>1.2</v>
      </c>
      <c r="N1456" s="1">
        <v>6</v>
      </c>
      <c r="O1456" s="1">
        <v>0.86</v>
      </c>
      <c r="P1456" s="1">
        <v>657</v>
      </c>
      <c r="Q1456" s="1">
        <v>13.12</v>
      </c>
      <c r="R1456" s="1">
        <v>0.4</v>
      </c>
      <c r="S1456" s="2">
        <v>45542</v>
      </c>
      <c r="T1456" s="1">
        <v>106.62</v>
      </c>
      <c r="U1456" s="1">
        <v>0.58699999999999997</v>
      </c>
      <c r="V1456" s="6">
        <f t="shared" si="66"/>
        <v>2888.28</v>
      </c>
      <c r="W1456" s="6" t="str">
        <f t="shared" si="67"/>
        <v>Sufficient</v>
      </c>
      <c r="X1456" s="8" t="str">
        <f t="shared" si="68"/>
        <v>Medium</v>
      </c>
    </row>
    <row r="1457" spans="1:24">
      <c r="A1457" s="7" t="s">
        <v>1587</v>
      </c>
      <c r="B1457" s="1" t="s">
        <v>66</v>
      </c>
      <c r="C1457" s="1">
        <v>253</v>
      </c>
      <c r="D1457" s="1">
        <v>64</v>
      </c>
      <c r="E1457" s="1">
        <v>10</v>
      </c>
      <c r="F1457" s="1">
        <v>7</v>
      </c>
      <c r="G1457" s="1">
        <v>40.46</v>
      </c>
      <c r="H1457" s="1" t="s">
        <v>145</v>
      </c>
      <c r="I1457" s="1" t="s">
        <v>45</v>
      </c>
      <c r="J1457" s="1">
        <v>25</v>
      </c>
      <c r="K1457" s="1">
        <v>0.87</v>
      </c>
      <c r="L1457" s="4">
        <v>145.27000000000001</v>
      </c>
      <c r="M1457" s="1">
        <v>1.07</v>
      </c>
      <c r="N1457" s="1">
        <v>5</v>
      </c>
      <c r="O1457" s="1">
        <v>0.87</v>
      </c>
      <c r="P1457" s="1">
        <v>65</v>
      </c>
      <c r="Q1457" s="1">
        <v>11.21</v>
      </c>
      <c r="R1457" s="1">
        <v>0.96</v>
      </c>
      <c r="S1457" s="2">
        <v>45630</v>
      </c>
      <c r="T1457" s="1">
        <v>133.21</v>
      </c>
      <c r="U1457" s="1">
        <v>0.70799999999999996</v>
      </c>
      <c r="V1457" s="6">
        <f t="shared" si="66"/>
        <v>36753.310000000005</v>
      </c>
      <c r="W1457" s="6" t="str">
        <f t="shared" si="67"/>
        <v>Sufficient</v>
      </c>
      <c r="X1457" s="8" t="str">
        <f t="shared" si="68"/>
        <v>High</v>
      </c>
    </row>
    <row r="1458" spans="1:24">
      <c r="A1458" s="7" t="s">
        <v>1588</v>
      </c>
      <c r="B1458" s="1" t="s">
        <v>29</v>
      </c>
      <c r="C1458" s="1">
        <v>240</v>
      </c>
      <c r="D1458" s="1">
        <v>94</v>
      </c>
      <c r="E1458" s="1">
        <v>6</v>
      </c>
      <c r="F1458" s="1">
        <v>7</v>
      </c>
      <c r="G1458" s="1">
        <v>14.45</v>
      </c>
      <c r="H1458" s="1" t="s">
        <v>126</v>
      </c>
      <c r="I1458" s="1" t="s">
        <v>27</v>
      </c>
      <c r="J1458" s="1">
        <v>54</v>
      </c>
      <c r="K1458" s="1">
        <v>2.21</v>
      </c>
      <c r="L1458" s="4">
        <v>21.96</v>
      </c>
      <c r="M1458" s="1">
        <v>0.59</v>
      </c>
      <c r="N1458" s="1">
        <v>5</v>
      </c>
      <c r="O1458" s="1">
        <v>0.95</v>
      </c>
      <c r="P1458" s="1">
        <v>279</v>
      </c>
      <c r="Q1458" s="1">
        <v>3.14</v>
      </c>
      <c r="R1458" s="1">
        <v>0.82</v>
      </c>
      <c r="S1458" s="2">
        <v>45427</v>
      </c>
      <c r="T1458" s="1">
        <v>157.06</v>
      </c>
      <c r="U1458" s="1">
        <v>0.63700000000000001</v>
      </c>
      <c r="V1458" s="6">
        <f t="shared" si="66"/>
        <v>5270.4000000000005</v>
      </c>
      <c r="W1458" s="6" t="str">
        <f t="shared" si="67"/>
        <v>Sufficient</v>
      </c>
      <c r="X1458" s="8" t="str">
        <f t="shared" si="68"/>
        <v>Medium</v>
      </c>
    </row>
    <row r="1459" spans="1:24">
      <c r="A1459" s="7" t="s">
        <v>1589</v>
      </c>
      <c r="B1459" s="1" t="s">
        <v>33</v>
      </c>
      <c r="C1459" s="1">
        <v>342</v>
      </c>
      <c r="D1459" s="1">
        <v>65</v>
      </c>
      <c r="E1459" s="1">
        <v>6</v>
      </c>
      <c r="F1459" s="1">
        <v>2</v>
      </c>
      <c r="G1459" s="1">
        <v>44.07</v>
      </c>
      <c r="H1459" s="1" t="s">
        <v>346</v>
      </c>
      <c r="I1459" s="1" t="s">
        <v>39</v>
      </c>
      <c r="J1459" s="1">
        <v>43</v>
      </c>
      <c r="K1459" s="1">
        <v>1.29</v>
      </c>
      <c r="L1459" s="4">
        <v>122.99</v>
      </c>
      <c r="M1459" s="1">
        <v>0.53</v>
      </c>
      <c r="N1459" s="1">
        <v>0</v>
      </c>
      <c r="O1459" s="1">
        <v>0.85</v>
      </c>
      <c r="P1459" s="1">
        <v>953</v>
      </c>
      <c r="Q1459" s="1">
        <v>1.3</v>
      </c>
      <c r="R1459" s="1">
        <v>0.27</v>
      </c>
      <c r="S1459" s="2">
        <v>45338</v>
      </c>
      <c r="T1459" s="1">
        <v>10.93</v>
      </c>
      <c r="U1459" s="1">
        <v>0.58799999999999997</v>
      </c>
      <c r="V1459" s="6">
        <f t="shared" si="66"/>
        <v>42062.58</v>
      </c>
      <c r="W1459" s="6" t="str">
        <f t="shared" si="67"/>
        <v>Sufficient</v>
      </c>
      <c r="X1459" s="8" t="str">
        <f t="shared" si="68"/>
        <v>High</v>
      </c>
    </row>
    <row r="1460" spans="1:24">
      <c r="A1460" s="7" t="s">
        <v>1590</v>
      </c>
      <c r="B1460" s="1" t="s">
        <v>29</v>
      </c>
      <c r="C1460" s="1">
        <v>358</v>
      </c>
      <c r="D1460" s="1">
        <v>77</v>
      </c>
      <c r="E1460" s="1">
        <v>4</v>
      </c>
      <c r="F1460" s="1">
        <v>6</v>
      </c>
      <c r="G1460" s="1">
        <v>41.84</v>
      </c>
      <c r="H1460" s="1" t="s">
        <v>57</v>
      </c>
      <c r="I1460" s="1" t="s">
        <v>45</v>
      </c>
      <c r="J1460" s="1">
        <v>53</v>
      </c>
      <c r="K1460" s="1">
        <v>3.42</v>
      </c>
      <c r="L1460" s="4">
        <v>137.15</v>
      </c>
      <c r="M1460" s="1">
        <v>0.8</v>
      </c>
      <c r="N1460" s="1">
        <v>6</v>
      </c>
      <c r="O1460" s="1">
        <v>0.82</v>
      </c>
      <c r="P1460" s="1">
        <v>966</v>
      </c>
      <c r="Q1460" s="1">
        <v>6.46</v>
      </c>
      <c r="R1460" s="1">
        <v>0.2</v>
      </c>
      <c r="S1460" s="2">
        <v>45620</v>
      </c>
      <c r="T1460" s="1">
        <v>151.16</v>
      </c>
      <c r="U1460" s="1">
        <v>0.49</v>
      </c>
      <c r="V1460" s="6">
        <f t="shared" si="66"/>
        <v>49099.700000000004</v>
      </c>
      <c r="W1460" s="6" t="str">
        <f t="shared" si="67"/>
        <v>Sufficient</v>
      </c>
      <c r="X1460" s="8" t="str">
        <f t="shared" si="68"/>
        <v>High</v>
      </c>
    </row>
    <row r="1461" spans="1:24">
      <c r="A1461" s="7" t="s">
        <v>1591</v>
      </c>
      <c r="B1461" s="1" t="s">
        <v>66</v>
      </c>
      <c r="C1461" s="1">
        <v>22</v>
      </c>
      <c r="D1461" s="1">
        <v>53</v>
      </c>
      <c r="E1461" s="1">
        <v>7</v>
      </c>
      <c r="F1461" s="1">
        <v>5</v>
      </c>
      <c r="G1461" s="1">
        <v>46.53</v>
      </c>
      <c r="H1461" s="1" t="s">
        <v>139</v>
      </c>
      <c r="I1461" s="1" t="s">
        <v>27</v>
      </c>
      <c r="J1461" s="1">
        <v>126</v>
      </c>
      <c r="K1461" s="1">
        <v>3.91</v>
      </c>
      <c r="L1461" s="4">
        <v>79.739999999999995</v>
      </c>
      <c r="M1461" s="1">
        <v>0.42</v>
      </c>
      <c r="N1461" s="1">
        <v>4</v>
      </c>
      <c r="O1461" s="1">
        <v>0.88</v>
      </c>
      <c r="P1461" s="1">
        <v>938</v>
      </c>
      <c r="Q1461" s="1">
        <v>10.45</v>
      </c>
      <c r="R1461" s="1">
        <v>0.34</v>
      </c>
      <c r="S1461" s="2">
        <v>45570</v>
      </c>
      <c r="T1461" s="1">
        <v>66.53</v>
      </c>
      <c r="U1461" s="1">
        <v>0.66100000000000003</v>
      </c>
      <c r="V1461" s="6">
        <f t="shared" si="66"/>
        <v>1754.28</v>
      </c>
      <c r="W1461" s="6" t="str">
        <f t="shared" si="67"/>
        <v>Reorder Required</v>
      </c>
      <c r="X1461" s="8" t="str">
        <f t="shared" si="68"/>
        <v>LOW</v>
      </c>
    </row>
    <row r="1462" spans="1:24">
      <c r="A1462" s="7" t="s">
        <v>1592</v>
      </c>
      <c r="B1462" s="1" t="s">
        <v>29</v>
      </c>
      <c r="C1462" s="1">
        <v>201</v>
      </c>
      <c r="D1462" s="1">
        <v>40</v>
      </c>
      <c r="E1462" s="1">
        <v>3</v>
      </c>
      <c r="F1462" s="1">
        <v>6</v>
      </c>
      <c r="G1462" s="1">
        <v>23.47</v>
      </c>
      <c r="H1462" s="1" t="s">
        <v>205</v>
      </c>
      <c r="I1462" s="1" t="s">
        <v>31</v>
      </c>
      <c r="J1462" s="1">
        <v>134</v>
      </c>
      <c r="K1462" s="1">
        <v>1.61</v>
      </c>
      <c r="L1462" s="4">
        <v>177.35</v>
      </c>
      <c r="M1462" s="1">
        <v>1.37</v>
      </c>
      <c r="N1462" s="1">
        <v>6</v>
      </c>
      <c r="O1462" s="1">
        <v>0.9</v>
      </c>
      <c r="P1462" s="1">
        <v>316</v>
      </c>
      <c r="Q1462" s="1">
        <v>4.96</v>
      </c>
      <c r="R1462" s="1">
        <v>0.96</v>
      </c>
      <c r="S1462" s="2">
        <v>45490</v>
      </c>
      <c r="T1462" s="1">
        <v>38.380000000000003</v>
      </c>
      <c r="U1462" s="1">
        <v>0.58099999999999996</v>
      </c>
      <c r="V1462" s="6">
        <f t="shared" si="66"/>
        <v>35647.35</v>
      </c>
      <c r="W1462" s="6" t="str">
        <f t="shared" si="67"/>
        <v>Sufficient</v>
      </c>
      <c r="X1462" s="8" t="str">
        <f t="shared" si="68"/>
        <v>Medium</v>
      </c>
    </row>
    <row r="1463" spans="1:24">
      <c r="A1463" s="7" t="s">
        <v>1593</v>
      </c>
      <c r="B1463" s="1" t="s">
        <v>41</v>
      </c>
      <c r="C1463" s="1">
        <v>225</v>
      </c>
      <c r="D1463" s="1">
        <v>67</v>
      </c>
      <c r="E1463" s="1">
        <v>11</v>
      </c>
      <c r="F1463" s="1">
        <v>8</v>
      </c>
      <c r="G1463" s="1">
        <v>38.659999999999997</v>
      </c>
      <c r="H1463" s="1" t="s">
        <v>238</v>
      </c>
      <c r="I1463" s="1" t="s">
        <v>39</v>
      </c>
      <c r="J1463" s="1">
        <v>112</v>
      </c>
      <c r="K1463" s="1">
        <v>3.71</v>
      </c>
      <c r="L1463" s="4">
        <v>162.1</v>
      </c>
      <c r="M1463" s="1">
        <v>1.27</v>
      </c>
      <c r="N1463" s="1">
        <v>5</v>
      </c>
      <c r="O1463" s="1">
        <v>0.93</v>
      </c>
      <c r="P1463" s="1">
        <v>355</v>
      </c>
      <c r="Q1463" s="1">
        <v>14.63</v>
      </c>
      <c r="R1463" s="1">
        <v>0.66</v>
      </c>
      <c r="S1463" s="2">
        <v>45386</v>
      </c>
      <c r="T1463" s="1">
        <v>164.66</v>
      </c>
      <c r="U1463" s="1">
        <v>0.68600000000000005</v>
      </c>
      <c r="V1463" s="6">
        <f t="shared" si="66"/>
        <v>36472.5</v>
      </c>
      <c r="W1463" s="6" t="str">
        <f t="shared" si="67"/>
        <v>Sufficient</v>
      </c>
      <c r="X1463" s="8" t="str">
        <f t="shared" si="68"/>
        <v>Medium</v>
      </c>
    </row>
    <row r="1464" spans="1:24">
      <c r="A1464" s="7" t="s">
        <v>1594</v>
      </c>
      <c r="B1464" s="1" t="s">
        <v>25</v>
      </c>
      <c r="C1464" s="1">
        <v>339</v>
      </c>
      <c r="D1464" s="1">
        <v>96</v>
      </c>
      <c r="E1464" s="1">
        <v>7</v>
      </c>
      <c r="F1464" s="1">
        <v>7</v>
      </c>
      <c r="G1464" s="1">
        <v>29.99</v>
      </c>
      <c r="H1464" s="1" t="s">
        <v>88</v>
      </c>
      <c r="I1464" s="1" t="s">
        <v>39</v>
      </c>
      <c r="J1464" s="1">
        <v>129</v>
      </c>
      <c r="K1464" s="1">
        <v>2.5099999999999998</v>
      </c>
      <c r="L1464" s="4">
        <v>185.93</v>
      </c>
      <c r="M1464" s="1">
        <v>1.3</v>
      </c>
      <c r="N1464" s="1">
        <v>7</v>
      </c>
      <c r="O1464" s="1">
        <v>0.9</v>
      </c>
      <c r="P1464" s="1">
        <v>904</v>
      </c>
      <c r="Q1464" s="1">
        <v>14.09</v>
      </c>
      <c r="R1464" s="1">
        <v>0.87</v>
      </c>
      <c r="S1464" s="2">
        <v>45481</v>
      </c>
      <c r="T1464" s="1">
        <v>225.8</v>
      </c>
      <c r="U1464" s="1">
        <v>0.67200000000000004</v>
      </c>
      <c r="V1464" s="6">
        <f t="shared" si="66"/>
        <v>63030.270000000004</v>
      </c>
      <c r="W1464" s="6" t="str">
        <f t="shared" si="67"/>
        <v>Sufficient</v>
      </c>
      <c r="X1464" s="8" t="str">
        <f t="shared" si="68"/>
        <v>High</v>
      </c>
    </row>
    <row r="1465" spans="1:24">
      <c r="A1465" s="7" t="s">
        <v>1595</v>
      </c>
      <c r="B1465" s="1" t="s">
        <v>33</v>
      </c>
      <c r="C1465" s="1">
        <v>59</v>
      </c>
      <c r="D1465" s="1">
        <v>62</v>
      </c>
      <c r="E1465" s="1">
        <v>8</v>
      </c>
      <c r="F1465" s="1">
        <v>5</v>
      </c>
      <c r="G1465" s="1">
        <v>16.21</v>
      </c>
      <c r="H1465" s="1" t="s">
        <v>304</v>
      </c>
      <c r="I1465" s="1" t="s">
        <v>27</v>
      </c>
      <c r="J1465" s="1">
        <v>179</v>
      </c>
      <c r="K1465" s="1">
        <v>1.78</v>
      </c>
      <c r="L1465" s="4">
        <v>69.83</v>
      </c>
      <c r="M1465" s="1">
        <v>0.53</v>
      </c>
      <c r="N1465" s="1">
        <v>2</v>
      </c>
      <c r="O1465" s="1">
        <v>0.92</v>
      </c>
      <c r="P1465" s="1">
        <v>55</v>
      </c>
      <c r="Q1465" s="1">
        <v>9.3699999999999992</v>
      </c>
      <c r="R1465" s="1">
        <v>0.56999999999999995</v>
      </c>
      <c r="S1465" s="2">
        <v>45487</v>
      </c>
      <c r="T1465" s="1">
        <v>281.08</v>
      </c>
      <c r="U1465" s="1">
        <v>0.73</v>
      </c>
      <c r="V1465" s="6">
        <f t="shared" si="66"/>
        <v>4119.97</v>
      </c>
      <c r="W1465" s="6" t="str">
        <f t="shared" si="67"/>
        <v>Reorder Required</v>
      </c>
      <c r="X1465" s="8" t="str">
        <f t="shared" si="68"/>
        <v>LOW</v>
      </c>
    </row>
    <row r="1466" spans="1:24">
      <c r="A1466" s="7" t="s">
        <v>1596</v>
      </c>
      <c r="B1466" s="1" t="s">
        <v>25</v>
      </c>
      <c r="C1466" s="1">
        <v>78</v>
      </c>
      <c r="D1466" s="1">
        <v>93</v>
      </c>
      <c r="E1466" s="1">
        <v>4</v>
      </c>
      <c r="F1466" s="1">
        <v>2</v>
      </c>
      <c r="G1466" s="1">
        <v>49.73</v>
      </c>
      <c r="H1466" s="1" t="s">
        <v>79</v>
      </c>
      <c r="I1466" s="1" t="s">
        <v>27</v>
      </c>
      <c r="J1466" s="1">
        <v>44</v>
      </c>
      <c r="K1466" s="1">
        <v>2.86</v>
      </c>
      <c r="L1466" s="4">
        <v>14.09</v>
      </c>
      <c r="M1466" s="1">
        <v>0.56999999999999995</v>
      </c>
      <c r="N1466" s="1">
        <v>7</v>
      </c>
      <c r="O1466" s="1">
        <v>0.9</v>
      </c>
      <c r="P1466" s="1">
        <v>159</v>
      </c>
      <c r="Q1466" s="1">
        <v>5.42</v>
      </c>
      <c r="R1466" s="1">
        <v>0.86</v>
      </c>
      <c r="S1466" s="2">
        <v>45481</v>
      </c>
      <c r="T1466" s="1">
        <v>274.67</v>
      </c>
      <c r="U1466" s="1">
        <v>0.627</v>
      </c>
      <c r="V1466" s="6">
        <f t="shared" si="66"/>
        <v>1099.02</v>
      </c>
      <c r="W1466" s="6" t="str">
        <f t="shared" si="67"/>
        <v>Reorder Required</v>
      </c>
      <c r="X1466" s="8" t="str">
        <f t="shared" si="68"/>
        <v>LOW</v>
      </c>
    </row>
    <row r="1467" spans="1:24">
      <c r="A1467" s="7" t="s">
        <v>1597</v>
      </c>
      <c r="B1467" s="1" t="s">
        <v>29</v>
      </c>
      <c r="C1467" s="1">
        <v>458</v>
      </c>
      <c r="D1467" s="1">
        <v>88</v>
      </c>
      <c r="E1467" s="1">
        <v>12</v>
      </c>
      <c r="F1467" s="1">
        <v>7</v>
      </c>
      <c r="G1467" s="1">
        <v>2.88</v>
      </c>
      <c r="H1467" s="1" t="s">
        <v>346</v>
      </c>
      <c r="I1467" s="1" t="s">
        <v>31</v>
      </c>
      <c r="J1467" s="1">
        <v>135</v>
      </c>
      <c r="K1467" s="1">
        <v>2.21</v>
      </c>
      <c r="L1467" s="4">
        <v>164.18</v>
      </c>
      <c r="M1467" s="1">
        <v>1.6</v>
      </c>
      <c r="N1467" s="1">
        <v>6</v>
      </c>
      <c r="O1467" s="1">
        <v>0.84</v>
      </c>
      <c r="P1467" s="1">
        <v>192</v>
      </c>
      <c r="Q1467" s="1">
        <v>13.55</v>
      </c>
      <c r="R1467" s="1">
        <v>0.23</v>
      </c>
      <c r="S1467" s="2">
        <v>45387</v>
      </c>
      <c r="T1467" s="1">
        <v>125.71</v>
      </c>
      <c r="U1467" s="1">
        <v>0.51500000000000001</v>
      </c>
      <c r="V1467" s="6">
        <f t="shared" si="66"/>
        <v>75194.44</v>
      </c>
      <c r="W1467" s="6" t="str">
        <f t="shared" si="67"/>
        <v>Sufficient</v>
      </c>
      <c r="X1467" s="8" t="str">
        <f t="shared" si="68"/>
        <v>High</v>
      </c>
    </row>
    <row r="1468" spans="1:24">
      <c r="A1468" s="7" t="s">
        <v>1598</v>
      </c>
      <c r="B1468" s="1" t="s">
        <v>33</v>
      </c>
      <c r="C1468" s="1">
        <v>81</v>
      </c>
      <c r="D1468" s="1">
        <v>32</v>
      </c>
      <c r="E1468" s="1">
        <v>12</v>
      </c>
      <c r="F1468" s="1">
        <v>2</v>
      </c>
      <c r="G1468" s="1">
        <v>8.9499999999999993</v>
      </c>
      <c r="H1468" s="1" t="s">
        <v>55</v>
      </c>
      <c r="I1468" s="1" t="s">
        <v>31</v>
      </c>
      <c r="J1468" s="1">
        <v>84</v>
      </c>
      <c r="K1468" s="1">
        <v>1.53</v>
      </c>
      <c r="L1468" s="4">
        <v>52.37</v>
      </c>
      <c r="M1468" s="1">
        <v>1.41</v>
      </c>
      <c r="N1468" s="1">
        <v>0</v>
      </c>
      <c r="O1468" s="1">
        <v>0.74</v>
      </c>
      <c r="P1468" s="1">
        <v>956</v>
      </c>
      <c r="Q1468" s="1">
        <v>12.25</v>
      </c>
      <c r="R1468" s="1">
        <v>0.54</v>
      </c>
      <c r="S1468" s="2">
        <v>45520</v>
      </c>
      <c r="T1468" s="1">
        <v>214.18</v>
      </c>
      <c r="U1468" s="1">
        <v>0.67800000000000005</v>
      </c>
      <c r="V1468" s="6">
        <f t="shared" si="66"/>
        <v>4241.9699999999993</v>
      </c>
      <c r="W1468" s="6" t="str">
        <f t="shared" si="67"/>
        <v>Sufficient</v>
      </c>
      <c r="X1468" s="8" t="str">
        <f t="shared" si="68"/>
        <v>LOW</v>
      </c>
    </row>
    <row r="1469" spans="1:24">
      <c r="A1469" s="7" t="s">
        <v>1599</v>
      </c>
      <c r="B1469" s="1" t="s">
        <v>29</v>
      </c>
      <c r="C1469" s="1">
        <v>151</v>
      </c>
      <c r="D1469" s="1">
        <v>37</v>
      </c>
      <c r="E1469" s="1">
        <v>3</v>
      </c>
      <c r="F1469" s="1">
        <v>5</v>
      </c>
      <c r="G1469" s="1">
        <v>44.73</v>
      </c>
      <c r="H1469" s="1" t="s">
        <v>145</v>
      </c>
      <c r="I1469" s="1" t="s">
        <v>31</v>
      </c>
      <c r="J1469" s="1">
        <v>93</v>
      </c>
      <c r="K1469" s="1">
        <v>3.91</v>
      </c>
      <c r="L1469" s="4">
        <v>98.76</v>
      </c>
      <c r="M1469" s="1">
        <v>1.76</v>
      </c>
      <c r="N1469" s="1">
        <v>2</v>
      </c>
      <c r="O1469" s="1">
        <v>0.94</v>
      </c>
      <c r="P1469" s="1">
        <v>716</v>
      </c>
      <c r="Q1469" s="1">
        <v>2.21</v>
      </c>
      <c r="R1469" s="1">
        <v>0.5</v>
      </c>
      <c r="S1469" s="2">
        <v>45314</v>
      </c>
      <c r="T1469" s="1">
        <v>211.73</v>
      </c>
      <c r="U1469" s="1">
        <v>0.501</v>
      </c>
      <c r="V1469" s="6">
        <f t="shared" si="66"/>
        <v>14912.76</v>
      </c>
      <c r="W1469" s="6" t="str">
        <f t="shared" si="67"/>
        <v>Sufficient</v>
      </c>
      <c r="X1469" s="8" t="str">
        <f t="shared" si="68"/>
        <v>Medium</v>
      </c>
    </row>
    <row r="1470" spans="1:24">
      <c r="A1470" s="7" t="s">
        <v>1600</v>
      </c>
      <c r="B1470" s="1" t="s">
        <v>41</v>
      </c>
      <c r="C1470" s="1">
        <v>79</v>
      </c>
      <c r="D1470" s="1">
        <v>25</v>
      </c>
      <c r="E1470" s="1">
        <v>6</v>
      </c>
      <c r="F1470" s="1">
        <v>2</v>
      </c>
      <c r="G1470" s="1">
        <v>3.97</v>
      </c>
      <c r="H1470" s="1" t="s">
        <v>274</v>
      </c>
      <c r="I1470" s="1" t="s">
        <v>39</v>
      </c>
      <c r="J1470" s="1">
        <v>167</v>
      </c>
      <c r="K1470" s="1">
        <v>4.09</v>
      </c>
      <c r="L1470" s="4">
        <v>165.29</v>
      </c>
      <c r="M1470" s="1">
        <v>0.87</v>
      </c>
      <c r="N1470" s="1">
        <v>9</v>
      </c>
      <c r="O1470" s="1">
        <v>0.71</v>
      </c>
      <c r="P1470" s="1">
        <v>256</v>
      </c>
      <c r="Q1470" s="1">
        <v>7.67</v>
      </c>
      <c r="R1470" s="1">
        <v>0.99</v>
      </c>
      <c r="S1470" s="2">
        <v>45426</v>
      </c>
      <c r="T1470" s="1">
        <v>129.51</v>
      </c>
      <c r="U1470" s="1">
        <v>0.57499999999999996</v>
      </c>
      <c r="V1470" s="6">
        <f t="shared" si="66"/>
        <v>13057.91</v>
      </c>
      <c r="W1470" s="6" t="str">
        <f t="shared" si="67"/>
        <v>Sufficient</v>
      </c>
      <c r="X1470" s="8" t="str">
        <f t="shared" si="68"/>
        <v>LOW</v>
      </c>
    </row>
    <row r="1471" spans="1:24">
      <c r="A1471" s="7" t="s">
        <v>1601</v>
      </c>
      <c r="B1471" s="1" t="s">
        <v>66</v>
      </c>
      <c r="C1471" s="1">
        <v>391</v>
      </c>
      <c r="D1471" s="1">
        <v>46</v>
      </c>
      <c r="E1471" s="1">
        <v>9</v>
      </c>
      <c r="F1471" s="1">
        <v>2</v>
      </c>
      <c r="G1471" s="1">
        <v>44.45</v>
      </c>
      <c r="H1471" s="1" t="s">
        <v>72</v>
      </c>
      <c r="I1471" s="1" t="s">
        <v>39</v>
      </c>
      <c r="J1471" s="1">
        <v>62</v>
      </c>
      <c r="K1471" s="1">
        <v>4.0999999999999996</v>
      </c>
      <c r="L1471" s="4">
        <v>51.07</v>
      </c>
      <c r="M1471" s="1">
        <v>1.1399999999999999</v>
      </c>
      <c r="N1471" s="1">
        <v>3</v>
      </c>
      <c r="O1471" s="1">
        <v>1</v>
      </c>
      <c r="P1471" s="1">
        <v>478</v>
      </c>
      <c r="Q1471" s="1">
        <v>14.74</v>
      </c>
      <c r="R1471" s="1">
        <v>0.44</v>
      </c>
      <c r="S1471" s="2">
        <v>45517</v>
      </c>
      <c r="T1471" s="1">
        <v>38.479999999999997</v>
      </c>
      <c r="U1471" s="1">
        <v>0.71099999999999997</v>
      </c>
      <c r="V1471" s="6">
        <f t="shared" si="66"/>
        <v>19968.37</v>
      </c>
      <c r="W1471" s="6" t="str">
        <f t="shared" si="67"/>
        <v>Sufficient</v>
      </c>
      <c r="X1471" s="8" t="str">
        <f t="shared" si="68"/>
        <v>High</v>
      </c>
    </row>
    <row r="1472" spans="1:24">
      <c r="A1472" s="7" t="s">
        <v>1602</v>
      </c>
      <c r="B1472" s="1" t="s">
        <v>33</v>
      </c>
      <c r="C1472" s="1">
        <v>350</v>
      </c>
      <c r="D1472" s="1">
        <v>30</v>
      </c>
      <c r="E1472" s="1">
        <v>8</v>
      </c>
      <c r="F1472" s="1">
        <v>3</v>
      </c>
      <c r="G1472" s="1">
        <v>36.049999999999997</v>
      </c>
      <c r="H1472" s="1" t="s">
        <v>178</v>
      </c>
      <c r="I1472" s="1" t="s">
        <v>45</v>
      </c>
      <c r="J1472" s="1">
        <v>67</v>
      </c>
      <c r="K1472" s="1">
        <v>2.2200000000000002</v>
      </c>
      <c r="L1472" s="4">
        <v>69.260000000000005</v>
      </c>
      <c r="M1472" s="1">
        <v>1.5</v>
      </c>
      <c r="N1472" s="1">
        <v>8</v>
      </c>
      <c r="O1472" s="1">
        <v>0.95</v>
      </c>
      <c r="P1472" s="1">
        <v>215</v>
      </c>
      <c r="Q1472" s="1">
        <v>7.35</v>
      </c>
      <c r="R1472" s="1">
        <v>0.53</v>
      </c>
      <c r="S1472" s="2">
        <v>45530</v>
      </c>
      <c r="T1472" s="1">
        <v>120.78</v>
      </c>
      <c r="U1472" s="1">
        <v>0.48399999999999999</v>
      </c>
      <c r="V1472" s="6">
        <f t="shared" si="66"/>
        <v>24241</v>
      </c>
      <c r="W1472" s="6" t="str">
        <f t="shared" si="67"/>
        <v>Sufficient</v>
      </c>
      <c r="X1472" s="8" t="str">
        <f t="shared" si="68"/>
        <v>High</v>
      </c>
    </row>
    <row r="1473" spans="1:24">
      <c r="A1473" s="7" t="s">
        <v>1603</v>
      </c>
      <c r="B1473" s="1" t="s">
        <v>41</v>
      </c>
      <c r="C1473" s="1">
        <v>141</v>
      </c>
      <c r="D1473" s="1">
        <v>88</v>
      </c>
      <c r="E1473" s="1">
        <v>12</v>
      </c>
      <c r="F1473" s="1">
        <v>8</v>
      </c>
      <c r="G1473" s="1">
        <v>2.8</v>
      </c>
      <c r="H1473" s="1" t="s">
        <v>189</v>
      </c>
      <c r="I1473" s="1" t="s">
        <v>45</v>
      </c>
      <c r="J1473" s="1">
        <v>165</v>
      </c>
      <c r="K1473" s="1">
        <v>1.26</v>
      </c>
      <c r="L1473" s="4">
        <v>93.43</v>
      </c>
      <c r="M1473" s="1">
        <v>1.95</v>
      </c>
      <c r="N1473" s="1">
        <v>5</v>
      </c>
      <c r="O1473" s="1">
        <v>0.9</v>
      </c>
      <c r="P1473" s="1">
        <v>309</v>
      </c>
      <c r="Q1473" s="1">
        <v>14.06</v>
      </c>
      <c r="R1473" s="1">
        <v>0.81</v>
      </c>
      <c r="S1473" s="2">
        <v>45426</v>
      </c>
      <c r="T1473" s="1">
        <v>297.77999999999997</v>
      </c>
      <c r="U1473" s="1">
        <v>0.63400000000000001</v>
      </c>
      <c r="V1473" s="6">
        <f t="shared" si="66"/>
        <v>13173.630000000001</v>
      </c>
      <c r="W1473" s="6" t="str">
        <f t="shared" si="67"/>
        <v>Sufficient</v>
      </c>
      <c r="X1473" s="8" t="str">
        <f t="shared" si="68"/>
        <v>Medium</v>
      </c>
    </row>
    <row r="1474" spans="1:24">
      <c r="A1474" s="7" t="s">
        <v>1604</v>
      </c>
      <c r="B1474" s="1" t="s">
        <v>41</v>
      </c>
      <c r="C1474" s="1">
        <v>498</v>
      </c>
      <c r="D1474" s="1">
        <v>26</v>
      </c>
      <c r="E1474" s="1">
        <v>3</v>
      </c>
      <c r="F1474" s="1">
        <v>6</v>
      </c>
      <c r="G1474" s="1">
        <v>22.04</v>
      </c>
      <c r="H1474" s="1" t="s">
        <v>276</v>
      </c>
      <c r="I1474" s="1" t="s">
        <v>45</v>
      </c>
      <c r="J1474" s="1">
        <v>152</v>
      </c>
      <c r="K1474" s="1">
        <v>4.28</v>
      </c>
      <c r="L1474" s="4">
        <v>61.65</v>
      </c>
      <c r="M1474" s="1">
        <v>1.98</v>
      </c>
      <c r="N1474" s="1">
        <v>6</v>
      </c>
      <c r="O1474" s="1">
        <v>0.99</v>
      </c>
      <c r="P1474" s="1">
        <v>734</v>
      </c>
      <c r="Q1474" s="1">
        <v>14.68</v>
      </c>
      <c r="R1474" s="1">
        <v>0.9</v>
      </c>
      <c r="S1474" s="2">
        <v>45407</v>
      </c>
      <c r="T1474" s="1">
        <v>170.96</v>
      </c>
      <c r="U1474" s="1">
        <v>0.65600000000000003</v>
      </c>
      <c r="V1474" s="6">
        <f t="shared" si="66"/>
        <v>30701.7</v>
      </c>
      <c r="W1474" s="6" t="str">
        <f t="shared" si="67"/>
        <v>Sufficient</v>
      </c>
      <c r="X1474" s="8" t="str">
        <f t="shared" si="68"/>
        <v>High</v>
      </c>
    </row>
    <row r="1475" spans="1:24">
      <c r="A1475" s="7" t="s">
        <v>1605</v>
      </c>
      <c r="B1475" s="1" t="s">
        <v>33</v>
      </c>
      <c r="C1475" s="1">
        <v>126</v>
      </c>
      <c r="D1475" s="1">
        <v>46</v>
      </c>
      <c r="E1475" s="1">
        <v>3</v>
      </c>
      <c r="F1475" s="1">
        <v>9</v>
      </c>
      <c r="G1475" s="1">
        <v>37.97</v>
      </c>
      <c r="H1475" s="1" t="s">
        <v>459</v>
      </c>
      <c r="I1475" s="1" t="s">
        <v>39</v>
      </c>
      <c r="J1475" s="1">
        <v>175</v>
      </c>
      <c r="K1475" s="1">
        <v>1.98</v>
      </c>
      <c r="L1475" s="4">
        <v>97.65</v>
      </c>
      <c r="M1475" s="1">
        <v>2</v>
      </c>
      <c r="N1475" s="1">
        <v>4</v>
      </c>
      <c r="O1475" s="1">
        <v>0.88</v>
      </c>
      <c r="P1475" s="1">
        <v>443</v>
      </c>
      <c r="Q1475" s="1">
        <v>6.42</v>
      </c>
      <c r="R1475" s="1">
        <v>0.9</v>
      </c>
      <c r="S1475" s="2">
        <v>45429</v>
      </c>
      <c r="T1475" s="1">
        <v>109</v>
      </c>
      <c r="U1475" s="1">
        <v>0.56200000000000006</v>
      </c>
      <c r="V1475" s="6">
        <f t="shared" si="66"/>
        <v>12303.900000000001</v>
      </c>
      <c r="W1475" s="6" t="str">
        <f t="shared" si="67"/>
        <v>Sufficient</v>
      </c>
      <c r="X1475" s="8" t="str">
        <f t="shared" si="68"/>
        <v>Medium</v>
      </c>
    </row>
    <row r="1476" spans="1:24">
      <c r="A1476" s="7" t="s">
        <v>1606</v>
      </c>
      <c r="B1476" s="1" t="s">
        <v>29</v>
      </c>
      <c r="C1476" s="1">
        <v>115</v>
      </c>
      <c r="D1476" s="1">
        <v>86</v>
      </c>
      <c r="E1476" s="1">
        <v>10</v>
      </c>
      <c r="F1476" s="1">
        <v>6</v>
      </c>
      <c r="G1476" s="1">
        <v>29.57</v>
      </c>
      <c r="H1476" s="1" t="s">
        <v>139</v>
      </c>
      <c r="I1476" s="1" t="s">
        <v>31</v>
      </c>
      <c r="J1476" s="1">
        <v>59</v>
      </c>
      <c r="K1476" s="1">
        <v>3.87</v>
      </c>
      <c r="L1476" s="4">
        <v>11.82</v>
      </c>
      <c r="M1476" s="1">
        <v>1.79</v>
      </c>
      <c r="N1476" s="1">
        <v>2</v>
      </c>
      <c r="O1476" s="1">
        <v>0.72</v>
      </c>
      <c r="P1476" s="1">
        <v>170</v>
      </c>
      <c r="Q1476" s="1">
        <v>14.5</v>
      </c>
      <c r="R1476" s="1">
        <v>0.52</v>
      </c>
      <c r="S1476" s="2">
        <v>45580</v>
      </c>
      <c r="T1476" s="1">
        <v>225.71</v>
      </c>
      <c r="U1476" s="1">
        <v>0.622</v>
      </c>
      <c r="V1476" s="6">
        <f t="shared" ref="V1476:V1539" si="69">C1476*L1476</f>
        <v>1359.3</v>
      </c>
      <c r="W1476" s="6" t="str">
        <f t="shared" ref="W1476:W1539" si="70">IF(C1476&lt;=D1476,"Reorder Required","Sufficient")</f>
        <v>Sufficient</v>
      </c>
      <c r="X1476" s="8" t="str">
        <f t="shared" ref="X1476:X1539" si="71">IF(C1476&lt;100,"LOW",IF(C1476&lt;250,"Medium","High"))</f>
        <v>Medium</v>
      </c>
    </row>
    <row r="1477" spans="1:24">
      <c r="A1477" s="7" t="s">
        <v>1607</v>
      </c>
      <c r="B1477" s="1" t="s">
        <v>41</v>
      </c>
      <c r="C1477" s="1">
        <v>366</v>
      </c>
      <c r="D1477" s="1">
        <v>28</v>
      </c>
      <c r="E1477" s="1">
        <v>6</v>
      </c>
      <c r="F1477" s="1">
        <v>6</v>
      </c>
      <c r="G1477" s="1">
        <v>46.86</v>
      </c>
      <c r="H1477" s="1" t="s">
        <v>238</v>
      </c>
      <c r="I1477" s="1" t="s">
        <v>45</v>
      </c>
      <c r="J1477" s="1">
        <v>150</v>
      </c>
      <c r="K1477" s="1">
        <v>4.18</v>
      </c>
      <c r="L1477" s="4">
        <v>50.32</v>
      </c>
      <c r="M1477" s="1">
        <v>1.32</v>
      </c>
      <c r="N1477" s="1">
        <v>4</v>
      </c>
      <c r="O1477" s="1">
        <v>0.87</v>
      </c>
      <c r="P1477" s="1">
        <v>999</v>
      </c>
      <c r="Q1477" s="1">
        <v>2.93</v>
      </c>
      <c r="R1477" s="1">
        <v>0.96</v>
      </c>
      <c r="S1477" s="2">
        <v>45323</v>
      </c>
      <c r="T1477" s="1">
        <v>209.03</v>
      </c>
      <c r="U1477" s="1">
        <v>0.59299999999999997</v>
      </c>
      <c r="V1477" s="6">
        <f t="shared" si="69"/>
        <v>18417.12</v>
      </c>
      <c r="W1477" s="6" t="str">
        <f t="shared" si="70"/>
        <v>Sufficient</v>
      </c>
      <c r="X1477" s="8" t="str">
        <f t="shared" si="71"/>
        <v>High</v>
      </c>
    </row>
    <row r="1478" spans="1:24">
      <c r="A1478" s="7" t="s">
        <v>1608</v>
      </c>
      <c r="B1478" s="1" t="s">
        <v>25</v>
      </c>
      <c r="C1478" s="1">
        <v>433</v>
      </c>
      <c r="D1478" s="1">
        <v>39</v>
      </c>
      <c r="E1478" s="1">
        <v>7</v>
      </c>
      <c r="F1478" s="1">
        <v>4</v>
      </c>
      <c r="G1478" s="1">
        <v>43.51</v>
      </c>
      <c r="H1478" s="1" t="s">
        <v>103</v>
      </c>
      <c r="I1478" s="1" t="s">
        <v>31</v>
      </c>
      <c r="J1478" s="1">
        <v>120</v>
      </c>
      <c r="K1478" s="1">
        <v>3.96</v>
      </c>
      <c r="L1478" s="4">
        <v>168.19</v>
      </c>
      <c r="M1478" s="1">
        <v>0.11</v>
      </c>
      <c r="N1478" s="1">
        <v>6</v>
      </c>
      <c r="O1478" s="1">
        <v>0.78</v>
      </c>
      <c r="P1478" s="1">
        <v>462</v>
      </c>
      <c r="Q1478" s="1">
        <v>3.24</v>
      </c>
      <c r="R1478" s="1">
        <v>0.72</v>
      </c>
      <c r="S1478" s="2">
        <v>45369</v>
      </c>
      <c r="T1478" s="1">
        <v>177.85</v>
      </c>
      <c r="U1478" s="1">
        <v>0.61199999999999999</v>
      </c>
      <c r="V1478" s="6">
        <f t="shared" si="69"/>
        <v>72826.27</v>
      </c>
      <c r="W1478" s="6" t="str">
        <f t="shared" si="70"/>
        <v>Sufficient</v>
      </c>
      <c r="X1478" s="8" t="str">
        <f t="shared" si="71"/>
        <v>High</v>
      </c>
    </row>
    <row r="1479" spans="1:24">
      <c r="A1479" s="7" t="s">
        <v>1609</v>
      </c>
      <c r="B1479" s="1" t="s">
        <v>41</v>
      </c>
      <c r="C1479" s="1">
        <v>254</v>
      </c>
      <c r="D1479" s="1">
        <v>54</v>
      </c>
      <c r="E1479" s="1">
        <v>9</v>
      </c>
      <c r="F1479" s="1">
        <v>3</v>
      </c>
      <c r="G1479" s="1">
        <v>17.3</v>
      </c>
      <c r="H1479" s="1" t="s">
        <v>30</v>
      </c>
      <c r="I1479" s="1" t="s">
        <v>31</v>
      </c>
      <c r="J1479" s="1">
        <v>172</v>
      </c>
      <c r="K1479" s="1">
        <v>2.25</v>
      </c>
      <c r="L1479" s="4">
        <v>88.56</v>
      </c>
      <c r="M1479" s="1">
        <v>1.43</v>
      </c>
      <c r="N1479" s="1">
        <v>8</v>
      </c>
      <c r="O1479" s="1">
        <v>0.81</v>
      </c>
      <c r="P1479" s="1">
        <v>189</v>
      </c>
      <c r="Q1479" s="1">
        <v>4.87</v>
      </c>
      <c r="R1479" s="1">
        <v>0.88</v>
      </c>
      <c r="S1479" s="2">
        <v>45648</v>
      </c>
      <c r="T1479" s="1">
        <v>194.86</v>
      </c>
      <c r="U1479" s="1">
        <v>0.5</v>
      </c>
      <c r="V1479" s="6">
        <f t="shared" si="69"/>
        <v>22494.240000000002</v>
      </c>
      <c r="W1479" s="6" t="str">
        <f t="shared" si="70"/>
        <v>Sufficient</v>
      </c>
      <c r="X1479" s="8" t="str">
        <f t="shared" si="71"/>
        <v>High</v>
      </c>
    </row>
    <row r="1480" spans="1:24">
      <c r="A1480" s="7" t="s">
        <v>1610</v>
      </c>
      <c r="B1480" s="1" t="s">
        <v>29</v>
      </c>
      <c r="C1480" s="1">
        <v>405</v>
      </c>
      <c r="D1480" s="1">
        <v>27</v>
      </c>
      <c r="E1480" s="1">
        <v>10</v>
      </c>
      <c r="F1480" s="1">
        <v>9</v>
      </c>
      <c r="G1480" s="1">
        <v>5.15</v>
      </c>
      <c r="H1480" s="1" t="s">
        <v>195</v>
      </c>
      <c r="I1480" s="1" t="s">
        <v>31</v>
      </c>
      <c r="J1480" s="1">
        <v>120</v>
      </c>
      <c r="K1480" s="1">
        <v>4.72</v>
      </c>
      <c r="L1480" s="4">
        <v>130.91999999999999</v>
      </c>
      <c r="M1480" s="1">
        <v>0.55000000000000004</v>
      </c>
      <c r="N1480" s="1">
        <v>8</v>
      </c>
      <c r="O1480" s="1">
        <v>0.84</v>
      </c>
      <c r="P1480" s="1">
        <v>217</v>
      </c>
      <c r="Q1480" s="1">
        <v>7.55</v>
      </c>
      <c r="R1480" s="1">
        <v>0.94</v>
      </c>
      <c r="S1480" s="2">
        <v>45633</v>
      </c>
      <c r="T1480" s="1">
        <v>179.63</v>
      </c>
      <c r="U1480" s="1">
        <v>0.64200000000000002</v>
      </c>
      <c r="V1480" s="6">
        <f t="shared" si="69"/>
        <v>53022.6</v>
      </c>
      <c r="W1480" s="6" t="str">
        <f t="shared" si="70"/>
        <v>Sufficient</v>
      </c>
      <c r="X1480" s="8" t="str">
        <f t="shared" si="71"/>
        <v>High</v>
      </c>
    </row>
    <row r="1481" spans="1:24">
      <c r="A1481" s="7" t="s">
        <v>1611</v>
      </c>
      <c r="B1481" s="1" t="s">
        <v>29</v>
      </c>
      <c r="C1481" s="1">
        <v>81</v>
      </c>
      <c r="D1481" s="1">
        <v>87</v>
      </c>
      <c r="E1481" s="1">
        <v>12</v>
      </c>
      <c r="F1481" s="1">
        <v>7</v>
      </c>
      <c r="G1481" s="1">
        <v>47.27</v>
      </c>
      <c r="H1481" s="1" t="s">
        <v>185</v>
      </c>
      <c r="I1481" s="1" t="s">
        <v>45</v>
      </c>
      <c r="J1481" s="1">
        <v>161</v>
      </c>
      <c r="K1481" s="1">
        <v>3.47</v>
      </c>
      <c r="L1481" s="4">
        <v>54.13</v>
      </c>
      <c r="M1481" s="1">
        <v>0.21</v>
      </c>
      <c r="N1481" s="1">
        <v>7</v>
      </c>
      <c r="O1481" s="1">
        <v>0.93</v>
      </c>
      <c r="P1481" s="1">
        <v>133</v>
      </c>
      <c r="Q1481" s="1">
        <v>3.53</v>
      </c>
      <c r="R1481" s="1">
        <v>0.39</v>
      </c>
      <c r="S1481" s="2">
        <v>45341</v>
      </c>
      <c r="T1481" s="1">
        <v>287.32</v>
      </c>
      <c r="U1481" s="1">
        <v>0.55000000000000004</v>
      </c>
      <c r="V1481" s="6">
        <f t="shared" si="69"/>
        <v>4384.5300000000007</v>
      </c>
      <c r="W1481" s="6" t="str">
        <f t="shared" si="70"/>
        <v>Reorder Required</v>
      </c>
      <c r="X1481" s="8" t="str">
        <f t="shared" si="71"/>
        <v>LOW</v>
      </c>
    </row>
    <row r="1482" spans="1:24">
      <c r="A1482" s="7" t="s">
        <v>1612</v>
      </c>
      <c r="B1482" s="1" t="s">
        <v>25</v>
      </c>
      <c r="C1482" s="1">
        <v>275</v>
      </c>
      <c r="D1482" s="1">
        <v>71</v>
      </c>
      <c r="E1482" s="1">
        <v>9</v>
      </c>
      <c r="F1482" s="1">
        <v>7</v>
      </c>
      <c r="G1482" s="1">
        <v>26.35</v>
      </c>
      <c r="H1482" s="1" t="s">
        <v>233</v>
      </c>
      <c r="I1482" s="1" t="s">
        <v>45</v>
      </c>
      <c r="J1482" s="1">
        <v>129</v>
      </c>
      <c r="K1482" s="1">
        <v>3.09</v>
      </c>
      <c r="L1482" s="4">
        <v>133.47999999999999</v>
      </c>
      <c r="M1482" s="1">
        <v>1.42</v>
      </c>
      <c r="N1482" s="1">
        <v>4</v>
      </c>
      <c r="O1482" s="1">
        <v>0.85</v>
      </c>
      <c r="P1482" s="1">
        <v>470</v>
      </c>
      <c r="Q1482" s="1">
        <v>5.76</v>
      </c>
      <c r="R1482" s="1">
        <v>0.6</v>
      </c>
      <c r="S1482" s="2">
        <v>45335</v>
      </c>
      <c r="T1482" s="1">
        <v>157.65</v>
      </c>
      <c r="U1482" s="1">
        <v>0.54500000000000004</v>
      </c>
      <c r="V1482" s="6">
        <f t="shared" si="69"/>
        <v>36707</v>
      </c>
      <c r="W1482" s="6" t="str">
        <f t="shared" si="70"/>
        <v>Sufficient</v>
      </c>
      <c r="X1482" s="8" t="str">
        <f t="shared" si="71"/>
        <v>High</v>
      </c>
    </row>
    <row r="1483" spans="1:24">
      <c r="A1483" s="7" t="s">
        <v>1613</v>
      </c>
      <c r="B1483" s="1" t="s">
        <v>41</v>
      </c>
      <c r="C1483" s="1">
        <v>68</v>
      </c>
      <c r="D1483" s="1">
        <v>45</v>
      </c>
      <c r="E1483" s="1">
        <v>4</v>
      </c>
      <c r="F1483" s="1">
        <v>7</v>
      </c>
      <c r="G1483" s="1">
        <v>4.6500000000000004</v>
      </c>
      <c r="H1483" s="1" t="s">
        <v>256</v>
      </c>
      <c r="I1483" s="1" t="s">
        <v>31</v>
      </c>
      <c r="J1483" s="1">
        <v>74</v>
      </c>
      <c r="K1483" s="1">
        <v>3.64</v>
      </c>
      <c r="L1483" s="4">
        <v>200</v>
      </c>
      <c r="M1483" s="1">
        <v>1.54</v>
      </c>
      <c r="N1483" s="1">
        <v>6</v>
      </c>
      <c r="O1483" s="1">
        <v>0.84</v>
      </c>
      <c r="P1483" s="1">
        <v>755</v>
      </c>
      <c r="Q1483" s="1">
        <v>2.4500000000000002</v>
      </c>
      <c r="R1483" s="1">
        <v>0.67</v>
      </c>
      <c r="S1483" s="2">
        <v>45634</v>
      </c>
      <c r="T1483" s="1">
        <v>181.16</v>
      </c>
      <c r="U1483" s="1">
        <v>0.46100000000000002</v>
      </c>
      <c r="V1483" s="6">
        <f t="shared" si="69"/>
        <v>13600</v>
      </c>
      <c r="W1483" s="6" t="str">
        <f t="shared" si="70"/>
        <v>Sufficient</v>
      </c>
      <c r="X1483" s="8" t="str">
        <f t="shared" si="71"/>
        <v>LOW</v>
      </c>
    </row>
    <row r="1484" spans="1:24">
      <c r="A1484" s="7" t="s">
        <v>1614</v>
      </c>
      <c r="B1484" s="1" t="s">
        <v>29</v>
      </c>
      <c r="C1484" s="1">
        <v>412</v>
      </c>
      <c r="D1484" s="1">
        <v>93</v>
      </c>
      <c r="E1484" s="1">
        <v>6</v>
      </c>
      <c r="F1484" s="1">
        <v>6</v>
      </c>
      <c r="G1484" s="1">
        <v>41.01</v>
      </c>
      <c r="H1484" s="1" t="s">
        <v>44</v>
      </c>
      <c r="I1484" s="1" t="s">
        <v>45</v>
      </c>
      <c r="J1484" s="1">
        <v>115</v>
      </c>
      <c r="K1484" s="1">
        <v>0.7</v>
      </c>
      <c r="L1484" s="4">
        <v>123.1</v>
      </c>
      <c r="M1484" s="1">
        <v>1.35</v>
      </c>
      <c r="N1484" s="1">
        <v>3</v>
      </c>
      <c r="O1484" s="1">
        <v>0.79</v>
      </c>
      <c r="P1484" s="1">
        <v>837</v>
      </c>
      <c r="Q1484" s="1">
        <v>7.02</v>
      </c>
      <c r="R1484" s="1">
        <v>0.84</v>
      </c>
      <c r="S1484" s="2">
        <v>45468</v>
      </c>
      <c r="T1484" s="1">
        <v>146.78</v>
      </c>
      <c r="U1484" s="1">
        <v>0.625</v>
      </c>
      <c r="V1484" s="6">
        <f t="shared" si="69"/>
        <v>50717.2</v>
      </c>
      <c r="W1484" s="6" t="str">
        <f t="shared" si="70"/>
        <v>Sufficient</v>
      </c>
      <c r="X1484" s="8" t="str">
        <f t="shared" si="71"/>
        <v>High</v>
      </c>
    </row>
    <row r="1485" spans="1:24">
      <c r="A1485" s="7" t="s">
        <v>1615</v>
      </c>
      <c r="B1485" s="1" t="s">
        <v>33</v>
      </c>
      <c r="C1485" s="1">
        <v>367</v>
      </c>
      <c r="D1485" s="1">
        <v>61</v>
      </c>
      <c r="E1485" s="1">
        <v>12</v>
      </c>
      <c r="F1485" s="1">
        <v>8</v>
      </c>
      <c r="G1485" s="1">
        <v>43.56</v>
      </c>
      <c r="H1485" s="1" t="s">
        <v>52</v>
      </c>
      <c r="I1485" s="1" t="s">
        <v>27</v>
      </c>
      <c r="J1485" s="1">
        <v>100</v>
      </c>
      <c r="K1485" s="1">
        <v>2.2599999999999998</v>
      </c>
      <c r="L1485" s="4">
        <v>129.38999999999999</v>
      </c>
      <c r="M1485" s="1">
        <v>0.79</v>
      </c>
      <c r="N1485" s="1">
        <v>9</v>
      </c>
      <c r="O1485" s="1">
        <v>0.86</v>
      </c>
      <c r="P1485" s="1">
        <v>317</v>
      </c>
      <c r="Q1485" s="1">
        <v>12.58</v>
      </c>
      <c r="R1485" s="1">
        <v>0.52</v>
      </c>
      <c r="S1485" s="2">
        <v>45569</v>
      </c>
      <c r="T1485" s="1">
        <v>184.06</v>
      </c>
      <c r="U1485" s="1">
        <v>0.58499999999999996</v>
      </c>
      <c r="V1485" s="6">
        <f t="shared" si="69"/>
        <v>47486.13</v>
      </c>
      <c r="W1485" s="6" t="str">
        <f t="shared" si="70"/>
        <v>Sufficient</v>
      </c>
      <c r="X1485" s="8" t="str">
        <f t="shared" si="71"/>
        <v>High</v>
      </c>
    </row>
    <row r="1486" spans="1:24">
      <c r="A1486" s="7" t="s">
        <v>1616</v>
      </c>
      <c r="B1486" s="1" t="s">
        <v>66</v>
      </c>
      <c r="C1486" s="1">
        <v>178</v>
      </c>
      <c r="D1486" s="1">
        <v>28</v>
      </c>
      <c r="E1486" s="1">
        <v>14</v>
      </c>
      <c r="F1486" s="1">
        <v>6</v>
      </c>
      <c r="G1486" s="1">
        <v>32.33</v>
      </c>
      <c r="H1486" s="1" t="s">
        <v>282</v>
      </c>
      <c r="I1486" s="1" t="s">
        <v>45</v>
      </c>
      <c r="J1486" s="1">
        <v>155</v>
      </c>
      <c r="K1486" s="1">
        <v>4.47</v>
      </c>
      <c r="L1486" s="4">
        <v>31.19</v>
      </c>
      <c r="M1486" s="1">
        <v>1.07</v>
      </c>
      <c r="N1486" s="1">
        <v>4</v>
      </c>
      <c r="O1486" s="1">
        <v>0.77</v>
      </c>
      <c r="P1486" s="1">
        <v>87</v>
      </c>
      <c r="Q1486" s="1">
        <v>9.33</v>
      </c>
      <c r="R1486" s="1">
        <v>0.37</v>
      </c>
      <c r="S1486" s="2">
        <v>45503</v>
      </c>
      <c r="T1486" s="1">
        <v>268.33999999999997</v>
      </c>
      <c r="U1486" s="1">
        <v>0.56499999999999995</v>
      </c>
      <c r="V1486" s="6">
        <f t="shared" si="69"/>
        <v>5551.8200000000006</v>
      </c>
      <c r="W1486" s="6" t="str">
        <f t="shared" si="70"/>
        <v>Sufficient</v>
      </c>
      <c r="X1486" s="8" t="str">
        <f t="shared" si="71"/>
        <v>Medium</v>
      </c>
    </row>
    <row r="1487" spans="1:24">
      <c r="A1487" s="7" t="s">
        <v>1617</v>
      </c>
      <c r="B1487" s="1" t="s">
        <v>66</v>
      </c>
      <c r="C1487" s="1">
        <v>143</v>
      </c>
      <c r="D1487" s="1">
        <v>53</v>
      </c>
      <c r="E1487" s="1">
        <v>3</v>
      </c>
      <c r="F1487" s="1">
        <v>9</v>
      </c>
      <c r="G1487" s="1">
        <v>22.93</v>
      </c>
      <c r="H1487" s="1" t="s">
        <v>52</v>
      </c>
      <c r="I1487" s="1" t="s">
        <v>31</v>
      </c>
      <c r="J1487" s="1">
        <v>35</v>
      </c>
      <c r="K1487" s="1">
        <v>1.22</v>
      </c>
      <c r="L1487" s="4">
        <v>86.64</v>
      </c>
      <c r="M1487" s="1">
        <v>1.88</v>
      </c>
      <c r="N1487" s="1">
        <v>3</v>
      </c>
      <c r="O1487" s="1">
        <v>0.78</v>
      </c>
      <c r="P1487" s="1">
        <v>975</v>
      </c>
      <c r="Q1487" s="1">
        <v>12.34</v>
      </c>
      <c r="R1487" s="1">
        <v>0.79</v>
      </c>
      <c r="S1487" s="2">
        <v>45593</v>
      </c>
      <c r="T1487" s="1">
        <v>108.53</v>
      </c>
      <c r="U1487" s="1">
        <v>0.63100000000000001</v>
      </c>
      <c r="V1487" s="6">
        <f t="shared" si="69"/>
        <v>12389.52</v>
      </c>
      <c r="W1487" s="6" t="str">
        <f t="shared" si="70"/>
        <v>Sufficient</v>
      </c>
      <c r="X1487" s="8" t="str">
        <f t="shared" si="71"/>
        <v>Medium</v>
      </c>
    </row>
    <row r="1488" spans="1:24">
      <c r="A1488" s="7" t="s">
        <v>1618</v>
      </c>
      <c r="B1488" s="1" t="s">
        <v>66</v>
      </c>
      <c r="C1488" s="1">
        <v>336</v>
      </c>
      <c r="D1488" s="1">
        <v>16</v>
      </c>
      <c r="E1488" s="1">
        <v>12</v>
      </c>
      <c r="F1488" s="1">
        <v>8</v>
      </c>
      <c r="G1488" s="1">
        <v>33.450000000000003</v>
      </c>
      <c r="H1488" s="1" t="s">
        <v>229</v>
      </c>
      <c r="I1488" s="1" t="s">
        <v>31</v>
      </c>
      <c r="J1488" s="1">
        <v>166</v>
      </c>
      <c r="K1488" s="1">
        <v>2.36</v>
      </c>
      <c r="L1488" s="4">
        <v>173.54</v>
      </c>
      <c r="M1488" s="1">
        <v>1.49</v>
      </c>
      <c r="N1488" s="1">
        <v>2</v>
      </c>
      <c r="O1488" s="1">
        <v>0.93</v>
      </c>
      <c r="P1488" s="1">
        <v>352</v>
      </c>
      <c r="Q1488" s="1">
        <v>2.9</v>
      </c>
      <c r="R1488" s="1">
        <v>0.67</v>
      </c>
      <c r="S1488" s="2">
        <v>45408</v>
      </c>
      <c r="T1488" s="1">
        <v>153.81</v>
      </c>
      <c r="U1488" s="1">
        <v>0.56999999999999995</v>
      </c>
      <c r="V1488" s="6">
        <f t="shared" si="69"/>
        <v>58309.439999999995</v>
      </c>
      <c r="W1488" s="6" t="str">
        <f t="shared" si="70"/>
        <v>Sufficient</v>
      </c>
      <c r="X1488" s="8" t="str">
        <f t="shared" si="71"/>
        <v>High</v>
      </c>
    </row>
    <row r="1489" spans="1:24">
      <c r="A1489" s="7" t="s">
        <v>1619</v>
      </c>
      <c r="B1489" s="1" t="s">
        <v>41</v>
      </c>
      <c r="C1489" s="1">
        <v>226</v>
      </c>
      <c r="D1489" s="1">
        <v>53</v>
      </c>
      <c r="E1489" s="1">
        <v>11</v>
      </c>
      <c r="F1489" s="1">
        <v>3</v>
      </c>
      <c r="G1489" s="1">
        <v>35.630000000000003</v>
      </c>
      <c r="H1489" s="1" t="s">
        <v>77</v>
      </c>
      <c r="I1489" s="1" t="s">
        <v>39</v>
      </c>
      <c r="J1489" s="1">
        <v>81</v>
      </c>
      <c r="K1489" s="1">
        <v>2.3199999999999998</v>
      </c>
      <c r="L1489" s="4">
        <v>168.51</v>
      </c>
      <c r="M1489" s="1">
        <v>1.06</v>
      </c>
      <c r="N1489" s="1">
        <v>0</v>
      </c>
      <c r="O1489" s="1">
        <v>0.8</v>
      </c>
      <c r="P1489" s="1">
        <v>387</v>
      </c>
      <c r="Q1489" s="1">
        <v>6.59</v>
      </c>
      <c r="R1489" s="1">
        <v>0.92</v>
      </c>
      <c r="S1489" s="2">
        <v>45575</v>
      </c>
      <c r="T1489" s="1">
        <v>140.1</v>
      </c>
      <c r="U1489" s="1">
        <v>0.72599999999999998</v>
      </c>
      <c r="V1489" s="6">
        <f t="shared" si="69"/>
        <v>38083.259999999995</v>
      </c>
      <c r="W1489" s="6" t="str">
        <f t="shared" si="70"/>
        <v>Sufficient</v>
      </c>
      <c r="X1489" s="8" t="str">
        <f t="shared" si="71"/>
        <v>Medium</v>
      </c>
    </row>
    <row r="1490" spans="1:24">
      <c r="A1490" s="7" t="s">
        <v>1620</v>
      </c>
      <c r="B1490" s="1" t="s">
        <v>25</v>
      </c>
      <c r="C1490" s="1">
        <v>67</v>
      </c>
      <c r="D1490" s="1">
        <v>77</v>
      </c>
      <c r="E1490" s="1">
        <v>5</v>
      </c>
      <c r="F1490" s="1">
        <v>8</v>
      </c>
      <c r="G1490" s="1">
        <v>44.76</v>
      </c>
      <c r="H1490" s="1" t="s">
        <v>145</v>
      </c>
      <c r="I1490" s="1" t="s">
        <v>39</v>
      </c>
      <c r="J1490" s="1">
        <v>53</v>
      </c>
      <c r="K1490" s="1">
        <v>2.1</v>
      </c>
      <c r="L1490" s="4">
        <v>109.26</v>
      </c>
      <c r="M1490" s="1">
        <v>1.23</v>
      </c>
      <c r="N1490" s="1">
        <v>4</v>
      </c>
      <c r="O1490" s="1">
        <v>0.72</v>
      </c>
      <c r="P1490" s="1">
        <v>803</v>
      </c>
      <c r="Q1490" s="1">
        <v>1.55</v>
      </c>
      <c r="R1490" s="1">
        <v>0.72</v>
      </c>
      <c r="S1490" s="2">
        <v>45323</v>
      </c>
      <c r="T1490" s="1">
        <v>125.41</v>
      </c>
      <c r="U1490" s="1">
        <v>0.50600000000000001</v>
      </c>
      <c r="V1490" s="6">
        <f t="shared" si="69"/>
        <v>7320.42</v>
      </c>
      <c r="W1490" s="6" t="str">
        <f t="shared" si="70"/>
        <v>Reorder Required</v>
      </c>
      <c r="X1490" s="8" t="str">
        <f t="shared" si="71"/>
        <v>LOW</v>
      </c>
    </row>
    <row r="1491" spans="1:24">
      <c r="A1491" s="7" t="s">
        <v>1621</v>
      </c>
      <c r="B1491" s="1" t="s">
        <v>29</v>
      </c>
      <c r="C1491" s="1">
        <v>428</v>
      </c>
      <c r="D1491" s="1">
        <v>43</v>
      </c>
      <c r="E1491" s="1">
        <v>14</v>
      </c>
      <c r="F1491" s="1">
        <v>9</v>
      </c>
      <c r="G1491" s="1">
        <v>47.84</v>
      </c>
      <c r="H1491" s="1" t="s">
        <v>57</v>
      </c>
      <c r="I1491" s="1" t="s">
        <v>31</v>
      </c>
      <c r="J1491" s="1">
        <v>99</v>
      </c>
      <c r="K1491" s="1">
        <v>3.03</v>
      </c>
      <c r="L1491" s="4">
        <v>181.66</v>
      </c>
      <c r="M1491" s="1">
        <v>1.86</v>
      </c>
      <c r="N1491" s="1">
        <v>1</v>
      </c>
      <c r="O1491" s="1">
        <v>0.8</v>
      </c>
      <c r="P1491" s="1">
        <v>379</v>
      </c>
      <c r="Q1491" s="1">
        <v>6.18</v>
      </c>
      <c r="R1491" s="1">
        <v>0.21</v>
      </c>
      <c r="S1491" s="2">
        <v>45490</v>
      </c>
      <c r="T1491" s="1">
        <v>248.1</v>
      </c>
      <c r="U1491" s="1">
        <v>0.47799999999999998</v>
      </c>
      <c r="V1491" s="6">
        <f t="shared" si="69"/>
        <v>77750.48</v>
      </c>
      <c r="W1491" s="6" t="str">
        <f t="shared" si="70"/>
        <v>Sufficient</v>
      </c>
      <c r="X1491" s="8" t="str">
        <f t="shared" si="71"/>
        <v>High</v>
      </c>
    </row>
    <row r="1492" spans="1:24">
      <c r="A1492" s="7" t="s">
        <v>1622</v>
      </c>
      <c r="B1492" s="1" t="s">
        <v>33</v>
      </c>
      <c r="C1492" s="1">
        <v>439</v>
      </c>
      <c r="D1492" s="1">
        <v>75</v>
      </c>
      <c r="E1492" s="1">
        <v>5</v>
      </c>
      <c r="F1492" s="1">
        <v>2</v>
      </c>
      <c r="G1492" s="1">
        <v>26.2</v>
      </c>
      <c r="H1492" s="1" t="s">
        <v>229</v>
      </c>
      <c r="I1492" s="1" t="s">
        <v>27</v>
      </c>
      <c r="J1492" s="1">
        <v>142</v>
      </c>
      <c r="K1492" s="1">
        <v>4.9800000000000004</v>
      </c>
      <c r="L1492" s="4">
        <v>37.159999999999997</v>
      </c>
      <c r="M1492" s="1">
        <v>0.85</v>
      </c>
      <c r="N1492" s="1">
        <v>5</v>
      </c>
      <c r="O1492" s="1">
        <v>0.89</v>
      </c>
      <c r="P1492" s="1">
        <v>248</v>
      </c>
      <c r="Q1492" s="1">
        <v>9.6</v>
      </c>
      <c r="R1492" s="1">
        <v>0.97</v>
      </c>
      <c r="S1492" s="2">
        <v>45559</v>
      </c>
      <c r="T1492" s="1">
        <v>77.260000000000005</v>
      </c>
      <c r="U1492" s="1">
        <v>0.71499999999999997</v>
      </c>
      <c r="V1492" s="6">
        <f t="shared" si="69"/>
        <v>16313.239999999998</v>
      </c>
      <c r="W1492" s="6" t="str">
        <f t="shared" si="70"/>
        <v>Sufficient</v>
      </c>
      <c r="X1492" s="8" t="str">
        <f t="shared" si="71"/>
        <v>High</v>
      </c>
    </row>
    <row r="1493" spans="1:24">
      <c r="A1493" s="7" t="s">
        <v>1623</v>
      </c>
      <c r="B1493" s="1" t="s">
        <v>33</v>
      </c>
      <c r="C1493" s="1">
        <v>155</v>
      </c>
      <c r="D1493" s="1">
        <v>78</v>
      </c>
      <c r="E1493" s="1">
        <v>12</v>
      </c>
      <c r="F1493" s="1">
        <v>6</v>
      </c>
      <c r="G1493" s="1">
        <v>40.130000000000003</v>
      </c>
      <c r="H1493" s="1" t="s">
        <v>279</v>
      </c>
      <c r="I1493" s="1" t="s">
        <v>39</v>
      </c>
      <c r="J1493" s="1">
        <v>170</v>
      </c>
      <c r="K1493" s="1">
        <v>1.65</v>
      </c>
      <c r="L1493" s="4">
        <v>135.06</v>
      </c>
      <c r="M1493" s="1">
        <v>0.28999999999999998</v>
      </c>
      <c r="N1493" s="1">
        <v>4</v>
      </c>
      <c r="O1493" s="1">
        <v>0.94</v>
      </c>
      <c r="P1493" s="1">
        <v>859</v>
      </c>
      <c r="Q1493" s="1">
        <v>8.9600000000000009</v>
      </c>
      <c r="R1493" s="1">
        <v>0.67</v>
      </c>
      <c r="S1493" s="2">
        <v>45506</v>
      </c>
      <c r="T1493" s="1">
        <v>154.97999999999999</v>
      </c>
      <c r="U1493" s="1">
        <v>0.73199999999999998</v>
      </c>
      <c r="V1493" s="6">
        <f t="shared" si="69"/>
        <v>20934.3</v>
      </c>
      <c r="W1493" s="6" t="str">
        <f t="shared" si="70"/>
        <v>Sufficient</v>
      </c>
      <c r="X1493" s="8" t="str">
        <f t="shared" si="71"/>
        <v>Medium</v>
      </c>
    </row>
    <row r="1494" spans="1:24">
      <c r="A1494" s="7" t="s">
        <v>1624</v>
      </c>
      <c r="B1494" s="1" t="s">
        <v>41</v>
      </c>
      <c r="C1494" s="1">
        <v>220</v>
      </c>
      <c r="D1494" s="1">
        <v>64</v>
      </c>
      <c r="E1494" s="1">
        <v>11</v>
      </c>
      <c r="F1494" s="1">
        <v>7</v>
      </c>
      <c r="G1494" s="1">
        <v>48.26</v>
      </c>
      <c r="H1494" s="1" t="s">
        <v>122</v>
      </c>
      <c r="I1494" s="1" t="s">
        <v>31</v>
      </c>
      <c r="J1494" s="1">
        <v>133</v>
      </c>
      <c r="K1494" s="1">
        <v>3.67</v>
      </c>
      <c r="L1494" s="4">
        <v>57.29</v>
      </c>
      <c r="M1494" s="1">
        <v>0.72</v>
      </c>
      <c r="N1494" s="1">
        <v>1</v>
      </c>
      <c r="O1494" s="1">
        <v>0.99</v>
      </c>
      <c r="P1494" s="1">
        <v>54</v>
      </c>
      <c r="Q1494" s="1">
        <v>1.84</v>
      </c>
      <c r="R1494" s="1">
        <v>0.68</v>
      </c>
      <c r="S1494" s="2">
        <v>45566</v>
      </c>
      <c r="T1494" s="1">
        <v>278.14</v>
      </c>
      <c r="U1494" s="1">
        <v>0.66700000000000004</v>
      </c>
      <c r="V1494" s="6">
        <f t="shared" si="69"/>
        <v>12603.8</v>
      </c>
      <c r="W1494" s="6" t="str">
        <f t="shared" si="70"/>
        <v>Sufficient</v>
      </c>
      <c r="X1494" s="8" t="str">
        <f t="shared" si="71"/>
        <v>Medium</v>
      </c>
    </row>
    <row r="1495" spans="1:24">
      <c r="A1495" s="7" t="s">
        <v>1625</v>
      </c>
      <c r="B1495" s="1" t="s">
        <v>66</v>
      </c>
      <c r="C1495" s="1">
        <v>269</v>
      </c>
      <c r="D1495" s="1">
        <v>19</v>
      </c>
      <c r="E1495" s="1">
        <v>12</v>
      </c>
      <c r="F1495" s="1">
        <v>2</v>
      </c>
      <c r="G1495" s="1">
        <v>8.41</v>
      </c>
      <c r="H1495" s="1" t="s">
        <v>130</v>
      </c>
      <c r="I1495" s="1" t="s">
        <v>39</v>
      </c>
      <c r="J1495" s="1">
        <v>14</v>
      </c>
      <c r="K1495" s="1">
        <v>3.91</v>
      </c>
      <c r="L1495" s="4">
        <v>132.66</v>
      </c>
      <c r="M1495" s="1">
        <v>0.89</v>
      </c>
      <c r="N1495" s="1">
        <v>7</v>
      </c>
      <c r="O1495" s="1">
        <v>0.92</v>
      </c>
      <c r="P1495" s="1">
        <v>481</v>
      </c>
      <c r="Q1495" s="1">
        <v>1.87</v>
      </c>
      <c r="R1495" s="1">
        <v>0.93</v>
      </c>
      <c r="S1495" s="2">
        <v>45643</v>
      </c>
      <c r="T1495" s="1">
        <v>56.76</v>
      </c>
      <c r="U1495" s="1">
        <v>0.56599999999999995</v>
      </c>
      <c r="V1495" s="6">
        <f t="shared" si="69"/>
        <v>35685.54</v>
      </c>
      <c r="W1495" s="6" t="str">
        <f t="shared" si="70"/>
        <v>Sufficient</v>
      </c>
      <c r="X1495" s="8" t="str">
        <f t="shared" si="71"/>
        <v>High</v>
      </c>
    </row>
    <row r="1496" spans="1:24">
      <c r="A1496" s="7" t="s">
        <v>1626</v>
      </c>
      <c r="B1496" s="1" t="s">
        <v>41</v>
      </c>
      <c r="C1496" s="1">
        <v>333</v>
      </c>
      <c r="D1496" s="1">
        <v>51</v>
      </c>
      <c r="E1496" s="1">
        <v>5</v>
      </c>
      <c r="F1496" s="1">
        <v>6</v>
      </c>
      <c r="G1496" s="1">
        <v>1.9</v>
      </c>
      <c r="H1496" s="1" t="s">
        <v>132</v>
      </c>
      <c r="I1496" s="1" t="s">
        <v>39</v>
      </c>
      <c r="J1496" s="1">
        <v>136</v>
      </c>
      <c r="K1496" s="1">
        <v>3.13</v>
      </c>
      <c r="L1496" s="4">
        <v>26.61</v>
      </c>
      <c r="M1496" s="1">
        <v>0.62</v>
      </c>
      <c r="N1496" s="1">
        <v>4</v>
      </c>
      <c r="O1496" s="1">
        <v>0.83</v>
      </c>
      <c r="P1496" s="1">
        <v>420</v>
      </c>
      <c r="Q1496" s="1">
        <v>5.27</v>
      </c>
      <c r="R1496" s="1">
        <v>0.73</v>
      </c>
      <c r="S1496" s="2">
        <v>45535</v>
      </c>
      <c r="T1496" s="1">
        <v>11.35</v>
      </c>
      <c r="U1496" s="1">
        <v>0.64</v>
      </c>
      <c r="V1496" s="6">
        <f t="shared" si="69"/>
        <v>8861.1299999999992</v>
      </c>
      <c r="W1496" s="6" t="str">
        <f t="shared" si="70"/>
        <v>Sufficient</v>
      </c>
      <c r="X1496" s="8" t="str">
        <f t="shared" si="71"/>
        <v>High</v>
      </c>
    </row>
    <row r="1497" spans="1:24">
      <c r="A1497" s="7" t="s">
        <v>1627</v>
      </c>
      <c r="B1497" s="1" t="s">
        <v>25</v>
      </c>
      <c r="C1497" s="1">
        <v>376</v>
      </c>
      <c r="D1497" s="1">
        <v>50</v>
      </c>
      <c r="E1497" s="1">
        <v>10</v>
      </c>
      <c r="F1497" s="1">
        <v>5</v>
      </c>
      <c r="G1497" s="1">
        <v>43.58</v>
      </c>
      <c r="H1497" s="1" t="s">
        <v>128</v>
      </c>
      <c r="I1497" s="1" t="s">
        <v>31</v>
      </c>
      <c r="J1497" s="1">
        <v>122</v>
      </c>
      <c r="K1497" s="1">
        <v>0.94</v>
      </c>
      <c r="L1497" s="4">
        <v>189.29</v>
      </c>
      <c r="M1497" s="1">
        <v>1.1100000000000001</v>
      </c>
      <c r="N1497" s="1">
        <v>1</v>
      </c>
      <c r="O1497" s="1">
        <v>0.79</v>
      </c>
      <c r="P1497" s="1">
        <v>944</v>
      </c>
      <c r="Q1497" s="1">
        <v>11.8</v>
      </c>
      <c r="R1497" s="1">
        <v>0.57999999999999996</v>
      </c>
      <c r="S1497" s="2">
        <v>45585</v>
      </c>
      <c r="T1497" s="1">
        <v>86.91</v>
      </c>
      <c r="U1497" s="1">
        <v>0.7</v>
      </c>
      <c r="V1497" s="6">
        <f t="shared" si="69"/>
        <v>71173.039999999994</v>
      </c>
      <c r="W1497" s="6" t="str">
        <f t="shared" si="70"/>
        <v>Sufficient</v>
      </c>
      <c r="X1497" s="8" t="str">
        <f t="shared" si="71"/>
        <v>High</v>
      </c>
    </row>
    <row r="1498" spans="1:24">
      <c r="A1498" s="7" t="s">
        <v>1628</v>
      </c>
      <c r="B1498" s="1" t="s">
        <v>25</v>
      </c>
      <c r="C1498" s="1">
        <v>387</v>
      </c>
      <c r="D1498" s="1">
        <v>86</v>
      </c>
      <c r="E1498" s="1">
        <v>4</v>
      </c>
      <c r="F1498" s="1">
        <v>4</v>
      </c>
      <c r="G1498" s="1">
        <v>10.57</v>
      </c>
      <c r="H1498" s="1" t="s">
        <v>171</v>
      </c>
      <c r="I1498" s="1" t="s">
        <v>45</v>
      </c>
      <c r="J1498" s="1">
        <v>120</v>
      </c>
      <c r="K1498" s="1">
        <v>3.08</v>
      </c>
      <c r="L1498" s="4">
        <v>159.4</v>
      </c>
      <c r="M1498" s="1">
        <v>0.68</v>
      </c>
      <c r="N1498" s="1">
        <v>0</v>
      </c>
      <c r="O1498" s="1">
        <v>0.74</v>
      </c>
      <c r="P1498" s="1">
        <v>916</v>
      </c>
      <c r="Q1498" s="1">
        <v>1.29</v>
      </c>
      <c r="R1498" s="1">
        <v>0.28999999999999998</v>
      </c>
      <c r="S1498" s="2">
        <v>45412</v>
      </c>
      <c r="T1498" s="1">
        <v>277.47000000000003</v>
      </c>
      <c r="U1498" s="1">
        <v>0.55500000000000005</v>
      </c>
      <c r="V1498" s="6">
        <f t="shared" si="69"/>
        <v>61687.8</v>
      </c>
      <c r="W1498" s="6" t="str">
        <f t="shared" si="70"/>
        <v>Sufficient</v>
      </c>
      <c r="X1498" s="8" t="str">
        <f t="shared" si="71"/>
        <v>High</v>
      </c>
    </row>
    <row r="1499" spans="1:24">
      <c r="A1499" s="7" t="s">
        <v>1629</v>
      </c>
      <c r="B1499" s="1" t="s">
        <v>29</v>
      </c>
      <c r="C1499" s="1">
        <v>448</v>
      </c>
      <c r="D1499" s="1">
        <v>78</v>
      </c>
      <c r="E1499" s="1">
        <v>5</v>
      </c>
      <c r="F1499" s="1">
        <v>6</v>
      </c>
      <c r="G1499" s="1">
        <v>3.08</v>
      </c>
      <c r="H1499" s="1" t="s">
        <v>52</v>
      </c>
      <c r="I1499" s="1" t="s">
        <v>27</v>
      </c>
      <c r="J1499" s="1">
        <v>173</v>
      </c>
      <c r="K1499" s="1">
        <v>4.79</v>
      </c>
      <c r="L1499" s="4">
        <v>48.18</v>
      </c>
      <c r="M1499" s="1">
        <v>0.3</v>
      </c>
      <c r="N1499" s="1">
        <v>1</v>
      </c>
      <c r="O1499" s="1">
        <v>0.89</v>
      </c>
      <c r="P1499" s="1">
        <v>152</v>
      </c>
      <c r="Q1499" s="1">
        <v>9.6199999999999992</v>
      </c>
      <c r="R1499" s="1">
        <v>0.97</v>
      </c>
      <c r="S1499" s="2">
        <v>45535</v>
      </c>
      <c r="T1499" s="1">
        <v>35.409999999999997</v>
      </c>
      <c r="U1499" s="1">
        <v>0.85</v>
      </c>
      <c r="V1499" s="6">
        <f t="shared" si="69"/>
        <v>21584.639999999999</v>
      </c>
      <c r="W1499" s="6" t="str">
        <f t="shared" si="70"/>
        <v>Sufficient</v>
      </c>
      <c r="X1499" s="8" t="str">
        <f t="shared" si="71"/>
        <v>High</v>
      </c>
    </row>
    <row r="1500" spans="1:24">
      <c r="A1500" s="7" t="s">
        <v>1630</v>
      </c>
      <c r="B1500" s="1" t="s">
        <v>29</v>
      </c>
      <c r="C1500" s="1">
        <v>337</v>
      </c>
      <c r="D1500" s="1">
        <v>19</v>
      </c>
      <c r="E1500" s="1">
        <v>4</v>
      </c>
      <c r="F1500" s="1">
        <v>5</v>
      </c>
      <c r="G1500" s="1">
        <v>8.84</v>
      </c>
      <c r="H1500" s="1" t="s">
        <v>238</v>
      </c>
      <c r="I1500" s="1" t="s">
        <v>45</v>
      </c>
      <c r="J1500" s="1">
        <v>86</v>
      </c>
      <c r="K1500" s="1">
        <v>2.04</v>
      </c>
      <c r="L1500" s="4">
        <v>131.08000000000001</v>
      </c>
      <c r="M1500" s="1">
        <v>0.46</v>
      </c>
      <c r="N1500" s="1">
        <v>0</v>
      </c>
      <c r="O1500" s="1">
        <v>0.85</v>
      </c>
      <c r="P1500" s="1">
        <v>484</v>
      </c>
      <c r="Q1500" s="1">
        <v>3.57</v>
      </c>
      <c r="R1500" s="1">
        <v>0.26</v>
      </c>
      <c r="S1500" s="2">
        <v>45445</v>
      </c>
      <c r="T1500" s="1">
        <v>49.75</v>
      </c>
      <c r="U1500" s="1">
        <v>0.624</v>
      </c>
      <c r="V1500" s="6">
        <f t="shared" si="69"/>
        <v>44173.960000000006</v>
      </c>
      <c r="W1500" s="6" t="str">
        <f t="shared" si="70"/>
        <v>Sufficient</v>
      </c>
      <c r="X1500" s="8" t="str">
        <f t="shared" si="71"/>
        <v>High</v>
      </c>
    </row>
    <row r="1501" spans="1:24">
      <c r="A1501" s="7" t="s">
        <v>1631</v>
      </c>
      <c r="B1501" s="1" t="s">
        <v>25</v>
      </c>
      <c r="C1501" s="1">
        <v>314</v>
      </c>
      <c r="D1501" s="1">
        <v>19</v>
      </c>
      <c r="E1501" s="1">
        <v>3</v>
      </c>
      <c r="F1501" s="1">
        <v>9</v>
      </c>
      <c r="G1501" s="1">
        <v>19.82</v>
      </c>
      <c r="H1501" s="1" t="s">
        <v>52</v>
      </c>
      <c r="I1501" s="1" t="s">
        <v>31</v>
      </c>
      <c r="J1501" s="1">
        <v>22</v>
      </c>
      <c r="K1501" s="1">
        <v>3.38</v>
      </c>
      <c r="L1501" s="4">
        <v>154.24</v>
      </c>
      <c r="M1501" s="1">
        <v>1.84</v>
      </c>
      <c r="N1501" s="1">
        <v>9</v>
      </c>
      <c r="O1501" s="1">
        <v>0.9</v>
      </c>
      <c r="P1501" s="1">
        <v>957</v>
      </c>
      <c r="Q1501" s="1">
        <v>14.22</v>
      </c>
      <c r="R1501" s="1">
        <v>0.34</v>
      </c>
      <c r="S1501" s="2">
        <v>45332</v>
      </c>
      <c r="T1501" s="1">
        <v>102.9</v>
      </c>
      <c r="U1501" s="1">
        <v>0.47399999999999998</v>
      </c>
      <c r="V1501" s="6">
        <f t="shared" si="69"/>
        <v>48431.360000000001</v>
      </c>
      <c r="W1501" s="6" t="str">
        <f t="shared" si="70"/>
        <v>Sufficient</v>
      </c>
      <c r="X1501" s="8" t="str">
        <f t="shared" si="71"/>
        <v>High</v>
      </c>
    </row>
    <row r="1502" spans="1:24">
      <c r="A1502" s="7" t="s">
        <v>1632</v>
      </c>
      <c r="B1502" s="1" t="s">
        <v>25</v>
      </c>
      <c r="C1502" s="1">
        <v>499</v>
      </c>
      <c r="D1502" s="1">
        <v>69</v>
      </c>
      <c r="E1502" s="1">
        <v>4</v>
      </c>
      <c r="F1502" s="1">
        <v>3</v>
      </c>
      <c r="G1502" s="1">
        <v>11.74</v>
      </c>
      <c r="H1502" s="1" t="s">
        <v>122</v>
      </c>
      <c r="I1502" s="1" t="s">
        <v>31</v>
      </c>
      <c r="J1502" s="1">
        <v>162</v>
      </c>
      <c r="K1502" s="1">
        <v>4.82</v>
      </c>
      <c r="L1502" s="4">
        <v>49.79</v>
      </c>
      <c r="M1502" s="1">
        <v>1.3</v>
      </c>
      <c r="N1502" s="1">
        <v>9</v>
      </c>
      <c r="O1502" s="1">
        <v>0.77</v>
      </c>
      <c r="P1502" s="1">
        <v>699</v>
      </c>
      <c r="Q1502" s="1">
        <v>7.02</v>
      </c>
      <c r="R1502" s="1">
        <v>0.86</v>
      </c>
      <c r="S1502" s="2">
        <v>45494</v>
      </c>
      <c r="T1502" s="1">
        <v>233.21</v>
      </c>
      <c r="U1502" s="1">
        <v>0.51</v>
      </c>
      <c r="V1502" s="6">
        <f t="shared" si="69"/>
        <v>24845.21</v>
      </c>
      <c r="W1502" s="6" t="str">
        <f t="shared" si="70"/>
        <v>Sufficient</v>
      </c>
      <c r="X1502" s="8" t="str">
        <f t="shared" si="71"/>
        <v>High</v>
      </c>
    </row>
    <row r="1503" spans="1:24">
      <c r="A1503" s="7" t="s">
        <v>1633</v>
      </c>
      <c r="B1503" s="1" t="s">
        <v>25</v>
      </c>
      <c r="C1503" s="1">
        <v>333</v>
      </c>
      <c r="D1503" s="1">
        <v>60</v>
      </c>
      <c r="E1503" s="1">
        <v>10</v>
      </c>
      <c r="F1503" s="1">
        <v>5</v>
      </c>
      <c r="G1503" s="1">
        <v>15.96</v>
      </c>
      <c r="H1503" s="1" t="s">
        <v>244</v>
      </c>
      <c r="I1503" s="1" t="s">
        <v>27</v>
      </c>
      <c r="J1503" s="1">
        <v>67</v>
      </c>
      <c r="K1503" s="1">
        <v>4.09</v>
      </c>
      <c r="L1503" s="4">
        <v>27.73</v>
      </c>
      <c r="M1503" s="1">
        <v>0.7</v>
      </c>
      <c r="N1503" s="1">
        <v>2</v>
      </c>
      <c r="O1503" s="1">
        <v>0.8</v>
      </c>
      <c r="P1503" s="1">
        <v>854</v>
      </c>
      <c r="Q1503" s="1">
        <v>1.67</v>
      </c>
      <c r="R1503" s="1">
        <v>0.59</v>
      </c>
      <c r="S1503" s="2">
        <v>45309</v>
      </c>
      <c r="T1503" s="1">
        <v>227.87</v>
      </c>
      <c r="U1503" s="1">
        <v>0.59</v>
      </c>
      <c r="V1503" s="6">
        <f t="shared" si="69"/>
        <v>9234.09</v>
      </c>
      <c r="W1503" s="6" t="str">
        <f t="shared" si="70"/>
        <v>Sufficient</v>
      </c>
      <c r="X1503" s="8" t="str">
        <f t="shared" si="71"/>
        <v>High</v>
      </c>
    </row>
    <row r="1504" spans="1:24">
      <c r="A1504" s="7" t="s">
        <v>1634</v>
      </c>
      <c r="B1504" s="1" t="s">
        <v>41</v>
      </c>
      <c r="C1504" s="1">
        <v>228</v>
      </c>
      <c r="D1504" s="1">
        <v>30</v>
      </c>
      <c r="E1504" s="1">
        <v>11</v>
      </c>
      <c r="F1504" s="1">
        <v>3</v>
      </c>
      <c r="G1504" s="1">
        <v>48.79</v>
      </c>
      <c r="H1504" s="1" t="s">
        <v>113</v>
      </c>
      <c r="I1504" s="1" t="s">
        <v>31</v>
      </c>
      <c r="J1504" s="1">
        <v>139</v>
      </c>
      <c r="K1504" s="1">
        <v>3.6</v>
      </c>
      <c r="L1504" s="4">
        <v>76.84</v>
      </c>
      <c r="M1504" s="1">
        <v>0.8</v>
      </c>
      <c r="N1504" s="1">
        <v>2</v>
      </c>
      <c r="O1504" s="1">
        <v>0.79</v>
      </c>
      <c r="P1504" s="1">
        <v>430</v>
      </c>
      <c r="Q1504" s="1">
        <v>10.99</v>
      </c>
      <c r="R1504" s="1">
        <v>0.34</v>
      </c>
      <c r="S1504" s="2">
        <v>45549</v>
      </c>
      <c r="T1504" s="1">
        <v>35.25</v>
      </c>
      <c r="U1504" s="1">
        <v>0.65300000000000002</v>
      </c>
      <c r="V1504" s="6">
        <f t="shared" si="69"/>
        <v>17519.52</v>
      </c>
      <c r="W1504" s="6" t="str">
        <f t="shared" si="70"/>
        <v>Sufficient</v>
      </c>
      <c r="X1504" s="8" t="str">
        <f t="shared" si="71"/>
        <v>Medium</v>
      </c>
    </row>
    <row r="1505" spans="1:24">
      <c r="A1505" s="7" t="s">
        <v>1635</v>
      </c>
      <c r="B1505" s="1" t="s">
        <v>25</v>
      </c>
      <c r="C1505" s="1">
        <v>374</v>
      </c>
      <c r="D1505" s="1">
        <v>17</v>
      </c>
      <c r="E1505" s="1">
        <v>4</v>
      </c>
      <c r="F1505" s="1">
        <v>6</v>
      </c>
      <c r="G1505" s="1">
        <v>35.520000000000003</v>
      </c>
      <c r="H1505" s="1" t="s">
        <v>26</v>
      </c>
      <c r="I1505" s="1" t="s">
        <v>39</v>
      </c>
      <c r="J1505" s="1">
        <v>97</v>
      </c>
      <c r="K1505" s="1">
        <v>4.87</v>
      </c>
      <c r="L1505" s="4">
        <v>35.79</v>
      </c>
      <c r="M1505" s="1">
        <v>1.04</v>
      </c>
      <c r="N1505" s="1">
        <v>9</v>
      </c>
      <c r="O1505" s="1">
        <v>0.94</v>
      </c>
      <c r="P1505" s="1">
        <v>115</v>
      </c>
      <c r="Q1505" s="1">
        <v>7.78</v>
      </c>
      <c r="R1505" s="1">
        <v>0.43</v>
      </c>
      <c r="S1505" s="2">
        <v>45584</v>
      </c>
      <c r="T1505" s="1">
        <v>280.81</v>
      </c>
      <c r="U1505" s="1">
        <v>0.49399999999999999</v>
      </c>
      <c r="V1505" s="6">
        <f t="shared" si="69"/>
        <v>13385.46</v>
      </c>
      <c r="W1505" s="6" t="str">
        <f t="shared" si="70"/>
        <v>Sufficient</v>
      </c>
      <c r="X1505" s="8" t="str">
        <f t="shared" si="71"/>
        <v>High</v>
      </c>
    </row>
    <row r="1506" spans="1:24">
      <c r="A1506" s="7" t="s">
        <v>1636</v>
      </c>
      <c r="B1506" s="1" t="s">
        <v>33</v>
      </c>
      <c r="C1506" s="1">
        <v>230</v>
      </c>
      <c r="D1506" s="1">
        <v>74</v>
      </c>
      <c r="E1506" s="1">
        <v>9</v>
      </c>
      <c r="F1506" s="1">
        <v>3</v>
      </c>
      <c r="G1506" s="1">
        <v>35.9</v>
      </c>
      <c r="H1506" s="1" t="s">
        <v>171</v>
      </c>
      <c r="I1506" s="1" t="s">
        <v>27</v>
      </c>
      <c r="J1506" s="1">
        <v>45</v>
      </c>
      <c r="K1506" s="1">
        <v>1.27</v>
      </c>
      <c r="L1506" s="4">
        <v>117.49</v>
      </c>
      <c r="M1506" s="1">
        <v>1.38</v>
      </c>
      <c r="N1506" s="1">
        <v>0</v>
      </c>
      <c r="O1506" s="1">
        <v>0.75</v>
      </c>
      <c r="P1506" s="1">
        <v>628</v>
      </c>
      <c r="Q1506" s="1">
        <v>13.34</v>
      </c>
      <c r="R1506" s="1">
        <v>1</v>
      </c>
      <c r="S1506" s="2">
        <v>45556</v>
      </c>
      <c r="T1506" s="1">
        <v>79.260000000000005</v>
      </c>
      <c r="U1506" s="1">
        <v>0.79</v>
      </c>
      <c r="V1506" s="6">
        <f t="shared" si="69"/>
        <v>27022.699999999997</v>
      </c>
      <c r="W1506" s="6" t="str">
        <f t="shared" si="70"/>
        <v>Sufficient</v>
      </c>
      <c r="X1506" s="8" t="str">
        <f t="shared" si="71"/>
        <v>Medium</v>
      </c>
    </row>
    <row r="1507" spans="1:24">
      <c r="A1507" s="7" t="s">
        <v>1637</v>
      </c>
      <c r="B1507" s="1" t="s">
        <v>66</v>
      </c>
      <c r="C1507" s="1">
        <v>211</v>
      </c>
      <c r="D1507" s="1">
        <v>87</v>
      </c>
      <c r="E1507" s="1">
        <v>7</v>
      </c>
      <c r="F1507" s="1">
        <v>5</v>
      </c>
      <c r="G1507" s="1">
        <v>5.64</v>
      </c>
      <c r="H1507" s="1" t="s">
        <v>50</v>
      </c>
      <c r="I1507" s="1" t="s">
        <v>45</v>
      </c>
      <c r="J1507" s="1">
        <v>34</v>
      </c>
      <c r="K1507" s="1">
        <v>3.98</v>
      </c>
      <c r="L1507" s="4">
        <v>90.58</v>
      </c>
      <c r="M1507" s="1">
        <v>1.21</v>
      </c>
      <c r="N1507" s="1">
        <v>6</v>
      </c>
      <c r="O1507" s="1">
        <v>0.88</v>
      </c>
      <c r="P1507" s="1">
        <v>319</v>
      </c>
      <c r="Q1507" s="1">
        <v>10.130000000000001</v>
      </c>
      <c r="R1507" s="1">
        <v>0.67</v>
      </c>
      <c r="S1507" s="2">
        <v>45584</v>
      </c>
      <c r="T1507" s="1">
        <v>91.38</v>
      </c>
      <c r="U1507" s="1">
        <v>0.60399999999999998</v>
      </c>
      <c r="V1507" s="6">
        <f t="shared" si="69"/>
        <v>19112.38</v>
      </c>
      <c r="W1507" s="6" t="str">
        <f t="shared" si="70"/>
        <v>Sufficient</v>
      </c>
      <c r="X1507" s="8" t="str">
        <f t="shared" si="71"/>
        <v>Medium</v>
      </c>
    </row>
    <row r="1508" spans="1:24">
      <c r="A1508" s="7" t="s">
        <v>1638</v>
      </c>
      <c r="B1508" s="1" t="s">
        <v>25</v>
      </c>
      <c r="C1508" s="1">
        <v>63</v>
      </c>
      <c r="D1508" s="1">
        <v>94</v>
      </c>
      <c r="E1508" s="1">
        <v>5</v>
      </c>
      <c r="F1508" s="1">
        <v>8</v>
      </c>
      <c r="G1508" s="1">
        <v>36.869999999999997</v>
      </c>
      <c r="H1508" s="1" t="s">
        <v>52</v>
      </c>
      <c r="I1508" s="1" t="s">
        <v>27</v>
      </c>
      <c r="J1508" s="1">
        <v>43</v>
      </c>
      <c r="K1508" s="1">
        <v>2.33</v>
      </c>
      <c r="L1508" s="4">
        <v>97.86</v>
      </c>
      <c r="M1508" s="1">
        <v>1.87</v>
      </c>
      <c r="N1508" s="1">
        <v>9</v>
      </c>
      <c r="O1508" s="1">
        <v>0.72</v>
      </c>
      <c r="P1508" s="1">
        <v>96</v>
      </c>
      <c r="Q1508" s="1">
        <v>10.7</v>
      </c>
      <c r="R1508" s="1">
        <v>0.52</v>
      </c>
      <c r="S1508" s="2">
        <v>45638</v>
      </c>
      <c r="T1508" s="1">
        <v>122.06</v>
      </c>
      <c r="U1508" s="1">
        <v>0.42399999999999999</v>
      </c>
      <c r="V1508" s="6">
        <f t="shared" si="69"/>
        <v>6165.18</v>
      </c>
      <c r="W1508" s="6" t="str">
        <f t="shared" si="70"/>
        <v>Reorder Required</v>
      </c>
      <c r="X1508" s="8" t="str">
        <f t="shared" si="71"/>
        <v>LOW</v>
      </c>
    </row>
    <row r="1509" spans="1:24">
      <c r="A1509" s="7" t="s">
        <v>1639</v>
      </c>
      <c r="B1509" s="1" t="s">
        <v>66</v>
      </c>
      <c r="C1509" s="1">
        <v>48</v>
      </c>
      <c r="D1509" s="1">
        <v>39</v>
      </c>
      <c r="E1509" s="1">
        <v>11</v>
      </c>
      <c r="F1509" s="1">
        <v>4</v>
      </c>
      <c r="G1509" s="1">
        <v>37.229999999999997</v>
      </c>
      <c r="H1509" s="1" t="s">
        <v>70</v>
      </c>
      <c r="I1509" s="1" t="s">
        <v>45</v>
      </c>
      <c r="J1509" s="1">
        <v>149</v>
      </c>
      <c r="K1509" s="1">
        <v>2.12</v>
      </c>
      <c r="L1509" s="4">
        <v>113.14</v>
      </c>
      <c r="M1509" s="1">
        <v>1.29</v>
      </c>
      <c r="N1509" s="1">
        <v>6</v>
      </c>
      <c r="O1509" s="1">
        <v>0.86</v>
      </c>
      <c r="P1509" s="1">
        <v>965</v>
      </c>
      <c r="Q1509" s="1">
        <v>11.74</v>
      </c>
      <c r="R1509" s="1">
        <v>0.9</v>
      </c>
      <c r="S1509" s="2">
        <v>45609</v>
      </c>
      <c r="T1509" s="1">
        <v>194</v>
      </c>
      <c r="U1509" s="1">
        <v>0.66</v>
      </c>
      <c r="V1509" s="6">
        <f t="shared" si="69"/>
        <v>5430.72</v>
      </c>
      <c r="W1509" s="6" t="str">
        <f t="shared" si="70"/>
        <v>Sufficient</v>
      </c>
      <c r="X1509" s="8" t="str">
        <f t="shared" si="71"/>
        <v>LOW</v>
      </c>
    </row>
    <row r="1510" spans="1:24">
      <c r="A1510" s="7" t="s">
        <v>1640</v>
      </c>
      <c r="B1510" s="1" t="s">
        <v>41</v>
      </c>
      <c r="C1510" s="1">
        <v>78</v>
      </c>
      <c r="D1510" s="1">
        <v>94</v>
      </c>
      <c r="E1510" s="1">
        <v>8</v>
      </c>
      <c r="F1510" s="1">
        <v>2</v>
      </c>
      <c r="G1510" s="1">
        <v>33.33</v>
      </c>
      <c r="H1510" s="1" t="s">
        <v>350</v>
      </c>
      <c r="I1510" s="1" t="s">
        <v>31</v>
      </c>
      <c r="J1510" s="1">
        <v>28</v>
      </c>
      <c r="K1510" s="1">
        <v>2.84</v>
      </c>
      <c r="L1510" s="4">
        <v>196.59</v>
      </c>
      <c r="M1510" s="1">
        <v>1.83</v>
      </c>
      <c r="N1510" s="1">
        <v>8</v>
      </c>
      <c r="O1510" s="1">
        <v>0.72</v>
      </c>
      <c r="P1510" s="1">
        <v>414</v>
      </c>
      <c r="Q1510" s="1">
        <v>6.88</v>
      </c>
      <c r="R1510" s="1">
        <v>0.57999999999999996</v>
      </c>
      <c r="S1510" s="2">
        <v>45367</v>
      </c>
      <c r="T1510" s="1">
        <v>161.18</v>
      </c>
      <c r="U1510" s="1">
        <v>0.40899999999999997</v>
      </c>
      <c r="V1510" s="6">
        <f t="shared" si="69"/>
        <v>15334.02</v>
      </c>
      <c r="W1510" s="6" t="str">
        <f t="shared" si="70"/>
        <v>Reorder Required</v>
      </c>
      <c r="X1510" s="8" t="str">
        <f t="shared" si="71"/>
        <v>LOW</v>
      </c>
    </row>
    <row r="1511" spans="1:24">
      <c r="A1511" s="7" t="s">
        <v>1641</v>
      </c>
      <c r="B1511" s="1" t="s">
        <v>66</v>
      </c>
      <c r="C1511" s="1">
        <v>90</v>
      </c>
      <c r="D1511" s="1">
        <v>58</v>
      </c>
      <c r="E1511" s="1">
        <v>13</v>
      </c>
      <c r="F1511" s="1">
        <v>2</v>
      </c>
      <c r="G1511" s="1">
        <v>12.19</v>
      </c>
      <c r="H1511" s="1" t="s">
        <v>34</v>
      </c>
      <c r="I1511" s="1" t="s">
        <v>45</v>
      </c>
      <c r="J1511" s="1">
        <v>123</v>
      </c>
      <c r="K1511" s="1">
        <v>0.65</v>
      </c>
      <c r="L1511" s="4">
        <v>160.6</v>
      </c>
      <c r="M1511" s="1">
        <v>0.11</v>
      </c>
      <c r="N1511" s="1">
        <v>4</v>
      </c>
      <c r="O1511" s="1">
        <v>0.75</v>
      </c>
      <c r="P1511" s="1">
        <v>930</v>
      </c>
      <c r="Q1511" s="1">
        <v>12.1</v>
      </c>
      <c r="R1511" s="1">
        <v>0.45</v>
      </c>
      <c r="S1511" s="2">
        <v>45353</v>
      </c>
      <c r="T1511" s="1">
        <v>279.3</v>
      </c>
      <c r="U1511" s="1">
        <v>0.71</v>
      </c>
      <c r="V1511" s="6">
        <f t="shared" si="69"/>
        <v>14454</v>
      </c>
      <c r="W1511" s="6" t="str">
        <f t="shared" si="70"/>
        <v>Sufficient</v>
      </c>
      <c r="X1511" s="8" t="str">
        <f t="shared" si="71"/>
        <v>LOW</v>
      </c>
    </row>
    <row r="1512" spans="1:24">
      <c r="A1512" s="7" t="s">
        <v>1642</v>
      </c>
      <c r="B1512" s="1" t="s">
        <v>41</v>
      </c>
      <c r="C1512" s="1">
        <v>111</v>
      </c>
      <c r="D1512" s="1">
        <v>18</v>
      </c>
      <c r="E1512" s="1">
        <v>3</v>
      </c>
      <c r="F1512" s="1">
        <v>4</v>
      </c>
      <c r="G1512" s="1">
        <v>21.73</v>
      </c>
      <c r="H1512" s="1" t="s">
        <v>143</v>
      </c>
      <c r="I1512" s="1" t="s">
        <v>45</v>
      </c>
      <c r="J1512" s="1">
        <v>115</v>
      </c>
      <c r="K1512" s="1">
        <v>1.91</v>
      </c>
      <c r="L1512" s="4">
        <v>129.6</v>
      </c>
      <c r="M1512" s="1">
        <v>1.79</v>
      </c>
      <c r="N1512" s="1">
        <v>3</v>
      </c>
      <c r="O1512" s="1">
        <v>0.73</v>
      </c>
      <c r="P1512" s="1">
        <v>229</v>
      </c>
      <c r="Q1512" s="1">
        <v>1.71</v>
      </c>
      <c r="R1512" s="1">
        <v>0.33</v>
      </c>
      <c r="S1512" s="2">
        <v>45521</v>
      </c>
      <c r="T1512" s="1">
        <v>173.74</v>
      </c>
      <c r="U1512" s="1">
        <v>0.39600000000000002</v>
      </c>
      <c r="V1512" s="6">
        <f t="shared" si="69"/>
        <v>14385.599999999999</v>
      </c>
      <c r="W1512" s="6" t="str">
        <f t="shared" si="70"/>
        <v>Sufficient</v>
      </c>
      <c r="X1512" s="8" t="str">
        <f t="shared" si="71"/>
        <v>Medium</v>
      </c>
    </row>
    <row r="1513" spans="1:24">
      <c r="A1513" s="7" t="s">
        <v>1643</v>
      </c>
      <c r="B1513" s="1" t="s">
        <v>33</v>
      </c>
      <c r="C1513" s="1">
        <v>284</v>
      </c>
      <c r="D1513" s="1">
        <v>26</v>
      </c>
      <c r="E1513" s="1">
        <v>7</v>
      </c>
      <c r="F1513" s="1">
        <v>7</v>
      </c>
      <c r="G1513" s="1">
        <v>42.47</v>
      </c>
      <c r="H1513" s="1" t="s">
        <v>77</v>
      </c>
      <c r="I1513" s="1" t="s">
        <v>45</v>
      </c>
      <c r="J1513" s="1">
        <v>46</v>
      </c>
      <c r="K1513" s="1">
        <v>1.25</v>
      </c>
      <c r="L1513" s="4">
        <v>79.099999999999994</v>
      </c>
      <c r="M1513" s="1">
        <v>1.47</v>
      </c>
      <c r="N1513" s="1">
        <v>4</v>
      </c>
      <c r="O1513" s="1">
        <v>0.8</v>
      </c>
      <c r="P1513" s="1">
        <v>117</v>
      </c>
      <c r="Q1513" s="1">
        <v>11.72</v>
      </c>
      <c r="R1513" s="1">
        <v>0.8</v>
      </c>
      <c r="S1513" s="2">
        <v>45380</v>
      </c>
      <c r="T1513" s="1">
        <v>258.54000000000002</v>
      </c>
      <c r="U1513" s="1">
        <v>0.64900000000000002</v>
      </c>
      <c r="V1513" s="6">
        <f t="shared" si="69"/>
        <v>22464.399999999998</v>
      </c>
      <c r="W1513" s="6" t="str">
        <f t="shared" si="70"/>
        <v>Sufficient</v>
      </c>
      <c r="X1513" s="8" t="str">
        <f t="shared" si="71"/>
        <v>High</v>
      </c>
    </row>
    <row r="1514" spans="1:24">
      <c r="A1514" s="7" t="s">
        <v>1644</v>
      </c>
      <c r="B1514" s="1" t="s">
        <v>41</v>
      </c>
      <c r="C1514" s="1">
        <v>402</v>
      </c>
      <c r="D1514" s="1">
        <v>78</v>
      </c>
      <c r="E1514" s="1">
        <v>9</v>
      </c>
      <c r="F1514" s="1">
        <v>2</v>
      </c>
      <c r="G1514" s="1">
        <v>33.840000000000003</v>
      </c>
      <c r="H1514" s="1" t="s">
        <v>205</v>
      </c>
      <c r="I1514" s="1" t="s">
        <v>27</v>
      </c>
      <c r="J1514" s="1">
        <v>116</v>
      </c>
      <c r="K1514" s="1">
        <v>1.1200000000000001</v>
      </c>
      <c r="L1514" s="4">
        <v>15.14</v>
      </c>
      <c r="M1514" s="1">
        <v>0.43</v>
      </c>
      <c r="N1514" s="1">
        <v>7</v>
      </c>
      <c r="O1514" s="1">
        <v>0.8</v>
      </c>
      <c r="P1514" s="1">
        <v>164</v>
      </c>
      <c r="Q1514" s="1">
        <v>9.91</v>
      </c>
      <c r="R1514" s="1">
        <v>0.68</v>
      </c>
      <c r="S1514" s="2">
        <v>45377</v>
      </c>
      <c r="T1514" s="1">
        <v>32.68</v>
      </c>
      <c r="U1514" s="1">
        <v>0.64500000000000002</v>
      </c>
      <c r="V1514" s="6">
        <f t="shared" si="69"/>
        <v>6086.2800000000007</v>
      </c>
      <c r="W1514" s="6" t="str">
        <f t="shared" si="70"/>
        <v>Sufficient</v>
      </c>
      <c r="X1514" s="8" t="str">
        <f t="shared" si="71"/>
        <v>High</v>
      </c>
    </row>
    <row r="1515" spans="1:24">
      <c r="A1515" s="7" t="s">
        <v>1645</v>
      </c>
      <c r="B1515" s="1" t="s">
        <v>41</v>
      </c>
      <c r="C1515" s="1">
        <v>239</v>
      </c>
      <c r="D1515" s="1">
        <v>67</v>
      </c>
      <c r="E1515" s="1">
        <v>6</v>
      </c>
      <c r="F1515" s="1">
        <v>9</v>
      </c>
      <c r="G1515" s="1">
        <v>36.909999999999997</v>
      </c>
      <c r="H1515" s="1" t="s">
        <v>558</v>
      </c>
      <c r="I1515" s="1" t="s">
        <v>39</v>
      </c>
      <c r="J1515" s="1">
        <v>138</v>
      </c>
      <c r="K1515" s="1">
        <v>2.02</v>
      </c>
      <c r="L1515" s="4">
        <v>32.14</v>
      </c>
      <c r="M1515" s="1">
        <v>0.6</v>
      </c>
      <c r="N1515" s="1">
        <v>7</v>
      </c>
      <c r="O1515" s="1">
        <v>0.95</v>
      </c>
      <c r="P1515" s="1">
        <v>75</v>
      </c>
      <c r="Q1515" s="1">
        <v>8.93</v>
      </c>
      <c r="R1515" s="1">
        <v>0.27</v>
      </c>
      <c r="S1515" s="2">
        <v>45400</v>
      </c>
      <c r="T1515" s="1">
        <v>258.20999999999998</v>
      </c>
      <c r="U1515" s="1">
        <v>0.56299999999999994</v>
      </c>
      <c r="V1515" s="6">
        <f t="shared" si="69"/>
        <v>7681.46</v>
      </c>
      <c r="W1515" s="6" t="str">
        <f t="shared" si="70"/>
        <v>Sufficient</v>
      </c>
      <c r="X1515" s="8" t="str">
        <f t="shared" si="71"/>
        <v>Medium</v>
      </c>
    </row>
    <row r="1516" spans="1:24">
      <c r="A1516" s="7" t="s">
        <v>1646</v>
      </c>
      <c r="B1516" s="1" t="s">
        <v>29</v>
      </c>
      <c r="C1516" s="1">
        <v>409</v>
      </c>
      <c r="D1516" s="1">
        <v>66</v>
      </c>
      <c r="E1516" s="1">
        <v>10</v>
      </c>
      <c r="F1516" s="1">
        <v>6</v>
      </c>
      <c r="G1516" s="1">
        <v>29.78</v>
      </c>
      <c r="H1516" s="1" t="s">
        <v>44</v>
      </c>
      <c r="I1516" s="1" t="s">
        <v>45</v>
      </c>
      <c r="J1516" s="1">
        <v>69</v>
      </c>
      <c r="K1516" s="1">
        <v>4.1100000000000003</v>
      </c>
      <c r="L1516" s="4">
        <v>148.86000000000001</v>
      </c>
      <c r="M1516" s="1">
        <v>1.1299999999999999</v>
      </c>
      <c r="N1516" s="1">
        <v>3</v>
      </c>
      <c r="O1516" s="1">
        <v>0.77</v>
      </c>
      <c r="P1516" s="1">
        <v>608</v>
      </c>
      <c r="Q1516" s="1">
        <v>5.45</v>
      </c>
      <c r="R1516" s="1">
        <v>0.67</v>
      </c>
      <c r="S1516" s="2">
        <v>45390</v>
      </c>
      <c r="T1516" s="1">
        <v>67.34</v>
      </c>
      <c r="U1516" s="1">
        <v>0.58799999999999997</v>
      </c>
      <c r="V1516" s="6">
        <f t="shared" si="69"/>
        <v>60883.740000000005</v>
      </c>
      <c r="W1516" s="6" t="str">
        <f t="shared" si="70"/>
        <v>Sufficient</v>
      </c>
      <c r="X1516" s="8" t="str">
        <f t="shared" si="71"/>
        <v>High</v>
      </c>
    </row>
    <row r="1517" spans="1:24">
      <c r="A1517" s="7" t="s">
        <v>1647</v>
      </c>
      <c r="B1517" s="1" t="s">
        <v>25</v>
      </c>
      <c r="C1517" s="1">
        <v>432</v>
      </c>
      <c r="D1517" s="1">
        <v>71</v>
      </c>
      <c r="E1517" s="1">
        <v>12</v>
      </c>
      <c r="F1517" s="1">
        <v>7</v>
      </c>
      <c r="G1517" s="1">
        <v>23.03</v>
      </c>
      <c r="H1517" s="1" t="s">
        <v>183</v>
      </c>
      <c r="I1517" s="1" t="s">
        <v>27</v>
      </c>
      <c r="J1517" s="1">
        <v>76</v>
      </c>
      <c r="K1517" s="1">
        <v>1.4</v>
      </c>
      <c r="L1517" s="4">
        <v>80.150000000000006</v>
      </c>
      <c r="M1517" s="1">
        <v>0.34</v>
      </c>
      <c r="N1517" s="1">
        <v>7</v>
      </c>
      <c r="O1517" s="1">
        <v>0.73</v>
      </c>
      <c r="P1517" s="1">
        <v>256</v>
      </c>
      <c r="Q1517" s="1">
        <v>2.6</v>
      </c>
      <c r="R1517" s="1">
        <v>0.33</v>
      </c>
      <c r="S1517" s="2">
        <v>45356</v>
      </c>
      <c r="T1517" s="1">
        <v>115.14</v>
      </c>
      <c r="U1517" s="1">
        <v>0.47299999999999998</v>
      </c>
      <c r="V1517" s="6">
        <f t="shared" si="69"/>
        <v>34624.800000000003</v>
      </c>
      <c r="W1517" s="6" t="str">
        <f t="shared" si="70"/>
        <v>Sufficient</v>
      </c>
      <c r="X1517" s="8" t="str">
        <f t="shared" si="71"/>
        <v>High</v>
      </c>
    </row>
    <row r="1518" spans="1:24">
      <c r="A1518" s="7" t="s">
        <v>1648</v>
      </c>
      <c r="B1518" s="1" t="s">
        <v>25</v>
      </c>
      <c r="C1518" s="1">
        <v>461</v>
      </c>
      <c r="D1518" s="1">
        <v>61</v>
      </c>
      <c r="E1518" s="1">
        <v>7</v>
      </c>
      <c r="F1518" s="1">
        <v>6</v>
      </c>
      <c r="G1518" s="1">
        <v>38.19</v>
      </c>
      <c r="H1518" s="1" t="s">
        <v>153</v>
      </c>
      <c r="I1518" s="1" t="s">
        <v>27</v>
      </c>
      <c r="J1518" s="1">
        <v>88</v>
      </c>
      <c r="K1518" s="1">
        <v>2.89</v>
      </c>
      <c r="L1518" s="4">
        <v>73.540000000000006</v>
      </c>
      <c r="M1518" s="1">
        <v>1.59</v>
      </c>
      <c r="N1518" s="1">
        <v>3</v>
      </c>
      <c r="O1518" s="1">
        <v>0.88</v>
      </c>
      <c r="P1518" s="1">
        <v>122</v>
      </c>
      <c r="Q1518" s="1">
        <v>10.06</v>
      </c>
      <c r="R1518" s="1">
        <v>0.99</v>
      </c>
      <c r="S1518" s="2">
        <v>45313</v>
      </c>
      <c r="T1518" s="1">
        <v>102.77</v>
      </c>
      <c r="U1518" s="1">
        <v>0.68899999999999995</v>
      </c>
      <c r="V1518" s="6">
        <f t="shared" si="69"/>
        <v>33901.94</v>
      </c>
      <c r="W1518" s="6" t="str">
        <f t="shared" si="70"/>
        <v>Sufficient</v>
      </c>
      <c r="X1518" s="8" t="str">
        <f t="shared" si="71"/>
        <v>High</v>
      </c>
    </row>
    <row r="1519" spans="1:24">
      <c r="A1519" s="7" t="s">
        <v>1649</v>
      </c>
      <c r="B1519" s="1" t="s">
        <v>33</v>
      </c>
      <c r="C1519" s="1">
        <v>420</v>
      </c>
      <c r="D1519" s="1">
        <v>70</v>
      </c>
      <c r="E1519" s="1">
        <v>11</v>
      </c>
      <c r="F1519" s="1">
        <v>5</v>
      </c>
      <c r="G1519" s="1">
        <v>4.33</v>
      </c>
      <c r="H1519" s="1" t="s">
        <v>26</v>
      </c>
      <c r="I1519" s="1" t="s">
        <v>39</v>
      </c>
      <c r="J1519" s="1">
        <v>120</v>
      </c>
      <c r="K1519" s="1">
        <v>3.87</v>
      </c>
      <c r="L1519" s="4">
        <v>178.91</v>
      </c>
      <c r="M1519" s="1">
        <v>1.6</v>
      </c>
      <c r="N1519" s="1">
        <v>3</v>
      </c>
      <c r="O1519" s="1">
        <v>0.91</v>
      </c>
      <c r="P1519" s="1">
        <v>308</v>
      </c>
      <c r="Q1519" s="1">
        <v>7.6</v>
      </c>
      <c r="R1519" s="1">
        <v>0.41</v>
      </c>
      <c r="S1519" s="2">
        <v>45508</v>
      </c>
      <c r="T1519" s="1">
        <v>107.81</v>
      </c>
      <c r="U1519" s="1">
        <v>0.54500000000000004</v>
      </c>
      <c r="V1519" s="6">
        <f t="shared" si="69"/>
        <v>75142.2</v>
      </c>
      <c r="W1519" s="6" t="str">
        <f t="shared" si="70"/>
        <v>Sufficient</v>
      </c>
      <c r="X1519" s="8" t="str">
        <f t="shared" si="71"/>
        <v>High</v>
      </c>
    </row>
    <row r="1520" spans="1:24">
      <c r="A1520" s="7" t="s">
        <v>1650</v>
      </c>
      <c r="B1520" s="1" t="s">
        <v>33</v>
      </c>
      <c r="C1520" s="1">
        <v>419</v>
      </c>
      <c r="D1520" s="1">
        <v>49</v>
      </c>
      <c r="E1520" s="1">
        <v>11</v>
      </c>
      <c r="F1520" s="1">
        <v>9</v>
      </c>
      <c r="G1520" s="1">
        <v>33.979999999999997</v>
      </c>
      <c r="H1520" s="1" t="s">
        <v>195</v>
      </c>
      <c r="I1520" s="1" t="s">
        <v>27</v>
      </c>
      <c r="J1520" s="1">
        <v>57</v>
      </c>
      <c r="K1520" s="1">
        <v>1.58</v>
      </c>
      <c r="L1520" s="4">
        <v>102.06</v>
      </c>
      <c r="M1520" s="1">
        <v>0.67</v>
      </c>
      <c r="N1520" s="1">
        <v>7</v>
      </c>
      <c r="O1520" s="1">
        <v>0.79</v>
      </c>
      <c r="P1520" s="1">
        <v>435</v>
      </c>
      <c r="Q1520" s="1">
        <v>4.05</v>
      </c>
      <c r="R1520" s="1">
        <v>0.76</v>
      </c>
      <c r="S1520" s="2">
        <v>45332</v>
      </c>
      <c r="T1520" s="1">
        <v>276.42</v>
      </c>
      <c r="U1520" s="1">
        <v>0.55700000000000005</v>
      </c>
      <c r="V1520" s="6">
        <f t="shared" si="69"/>
        <v>42763.14</v>
      </c>
      <c r="W1520" s="6" t="str">
        <f t="shared" si="70"/>
        <v>Sufficient</v>
      </c>
      <c r="X1520" s="8" t="str">
        <f t="shared" si="71"/>
        <v>High</v>
      </c>
    </row>
    <row r="1521" spans="1:24">
      <c r="A1521" s="7" t="s">
        <v>1651</v>
      </c>
      <c r="B1521" s="1" t="s">
        <v>25</v>
      </c>
      <c r="C1521" s="1">
        <v>234</v>
      </c>
      <c r="D1521" s="1">
        <v>47</v>
      </c>
      <c r="E1521" s="1">
        <v>11</v>
      </c>
      <c r="F1521" s="1">
        <v>5</v>
      </c>
      <c r="G1521" s="1">
        <v>49.86</v>
      </c>
      <c r="H1521" s="1" t="s">
        <v>85</v>
      </c>
      <c r="I1521" s="1" t="s">
        <v>31</v>
      </c>
      <c r="J1521" s="1">
        <v>156</v>
      </c>
      <c r="K1521" s="1">
        <v>4.66</v>
      </c>
      <c r="L1521" s="4">
        <v>180.92</v>
      </c>
      <c r="M1521" s="1">
        <v>0.23</v>
      </c>
      <c r="N1521" s="1">
        <v>1</v>
      </c>
      <c r="O1521" s="1">
        <v>0.88</v>
      </c>
      <c r="P1521" s="1">
        <v>986</v>
      </c>
      <c r="Q1521" s="1">
        <v>1.61</v>
      </c>
      <c r="R1521" s="1">
        <v>0.72</v>
      </c>
      <c r="S1521" s="2">
        <v>45641</v>
      </c>
      <c r="T1521" s="1">
        <v>138.06</v>
      </c>
      <c r="U1521" s="1">
        <v>0.69799999999999995</v>
      </c>
      <c r="V1521" s="6">
        <f t="shared" si="69"/>
        <v>42335.28</v>
      </c>
      <c r="W1521" s="6" t="str">
        <f t="shared" si="70"/>
        <v>Sufficient</v>
      </c>
      <c r="X1521" s="8" t="str">
        <f t="shared" si="71"/>
        <v>Medium</v>
      </c>
    </row>
    <row r="1522" spans="1:24">
      <c r="A1522" s="7" t="s">
        <v>1652</v>
      </c>
      <c r="B1522" s="1" t="s">
        <v>29</v>
      </c>
      <c r="C1522" s="1">
        <v>498</v>
      </c>
      <c r="D1522" s="1">
        <v>52</v>
      </c>
      <c r="E1522" s="1">
        <v>3</v>
      </c>
      <c r="F1522" s="1">
        <v>7</v>
      </c>
      <c r="G1522" s="1">
        <v>39.229999999999997</v>
      </c>
      <c r="H1522" s="1" t="s">
        <v>309</v>
      </c>
      <c r="I1522" s="1" t="s">
        <v>31</v>
      </c>
      <c r="J1522" s="1">
        <v>97</v>
      </c>
      <c r="K1522" s="1">
        <v>4.4000000000000004</v>
      </c>
      <c r="L1522" s="4">
        <v>178.46</v>
      </c>
      <c r="M1522" s="1">
        <v>1.98</v>
      </c>
      <c r="N1522" s="1">
        <v>3</v>
      </c>
      <c r="O1522" s="1">
        <v>0.93</v>
      </c>
      <c r="P1522" s="1">
        <v>79</v>
      </c>
      <c r="Q1522" s="1">
        <v>8.5399999999999991</v>
      </c>
      <c r="R1522" s="1">
        <v>0.75</v>
      </c>
      <c r="S1522" s="2">
        <v>45514</v>
      </c>
      <c r="T1522" s="1">
        <v>87.71</v>
      </c>
      <c r="U1522" s="1">
        <v>0.59199999999999997</v>
      </c>
      <c r="V1522" s="6">
        <f t="shared" si="69"/>
        <v>88873.08</v>
      </c>
      <c r="W1522" s="6" t="str">
        <f t="shared" si="70"/>
        <v>Sufficient</v>
      </c>
      <c r="X1522" s="8" t="str">
        <f t="shared" si="71"/>
        <v>High</v>
      </c>
    </row>
    <row r="1523" spans="1:24">
      <c r="A1523" s="7" t="s">
        <v>1653</v>
      </c>
      <c r="B1523" s="1" t="s">
        <v>25</v>
      </c>
      <c r="C1523" s="1">
        <v>406</v>
      </c>
      <c r="D1523" s="1">
        <v>72</v>
      </c>
      <c r="E1523" s="1">
        <v>4</v>
      </c>
      <c r="F1523" s="1">
        <v>7</v>
      </c>
      <c r="G1523" s="1">
        <v>15.24</v>
      </c>
      <c r="H1523" s="1" t="s">
        <v>83</v>
      </c>
      <c r="I1523" s="1" t="s">
        <v>31</v>
      </c>
      <c r="J1523" s="1">
        <v>49</v>
      </c>
      <c r="K1523" s="1">
        <v>1.63</v>
      </c>
      <c r="L1523" s="4">
        <v>25.23</v>
      </c>
      <c r="M1523" s="1">
        <v>0.57999999999999996</v>
      </c>
      <c r="N1523" s="1">
        <v>0</v>
      </c>
      <c r="O1523" s="1">
        <v>0.8</v>
      </c>
      <c r="P1523" s="1">
        <v>470</v>
      </c>
      <c r="Q1523" s="1">
        <v>2.77</v>
      </c>
      <c r="R1523" s="1">
        <v>0.54</v>
      </c>
      <c r="S1523" s="2">
        <v>45395</v>
      </c>
      <c r="T1523" s="1">
        <v>95.38</v>
      </c>
      <c r="U1523" s="1">
        <v>0.64700000000000002</v>
      </c>
      <c r="V1523" s="6">
        <f t="shared" si="69"/>
        <v>10243.380000000001</v>
      </c>
      <c r="W1523" s="6" t="str">
        <f t="shared" si="70"/>
        <v>Sufficient</v>
      </c>
      <c r="X1523" s="8" t="str">
        <f t="shared" si="71"/>
        <v>High</v>
      </c>
    </row>
    <row r="1524" spans="1:24">
      <c r="A1524" s="7" t="s">
        <v>1654</v>
      </c>
      <c r="B1524" s="1" t="s">
        <v>29</v>
      </c>
      <c r="C1524" s="1">
        <v>296</v>
      </c>
      <c r="D1524" s="1">
        <v>28</v>
      </c>
      <c r="E1524" s="1">
        <v>5</v>
      </c>
      <c r="F1524" s="1">
        <v>9</v>
      </c>
      <c r="G1524" s="1">
        <v>14.61</v>
      </c>
      <c r="H1524" s="1" t="s">
        <v>411</v>
      </c>
      <c r="I1524" s="1" t="s">
        <v>39</v>
      </c>
      <c r="J1524" s="1">
        <v>143</v>
      </c>
      <c r="K1524" s="1">
        <v>4.95</v>
      </c>
      <c r="L1524" s="4">
        <v>189.62</v>
      </c>
      <c r="M1524" s="1">
        <v>0.23</v>
      </c>
      <c r="N1524" s="1">
        <v>0</v>
      </c>
      <c r="O1524" s="1">
        <v>0.86</v>
      </c>
      <c r="P1524" s="1">
        <v>52</v>
      </c>
      <c r="Q1524" s="1">
        <v>14.01</v>
      </c>
      <c r="R1524" s="1">
        <v>0.26</v>
      </c>
      <c r="S1524" s="2">
        <v>45613</v>
      </c>
      <c r="T1524" s="1">
        <v>242.97</v>
      </c>
      <c r="U1524" s="1">
        <v>0.78800000000000003</v>
      </c>
      <c r="V1524" s="6">
        <f t="shared" si="69"/>
        <v>56127.520000000004</v>
      </c>
      <c r="W1524" s="6" t="str">
        <f t="shared" si="70"/>
        <v>Sufficient</v>
      </c>
      <c r="X1524" s="8" t="str">
        <f t="shared" si="71"/>
        <v>High</v>
      </c>
    </row>
    <row r="1525" spans="1:24">
      <c r="A1525" s="7" t="s">
        <v>1655</v>
      </c>
      <c r="B1525" s="1" t="s">
        <v>33</v>
      </c>
      <c r="C1525" s="1">
        <v>83</v>
      </c>
      <c r="D1525" s="1">
        <v>59</v>
      </c>
      <c r="E1525" s="1">
        <v>6</v>
      </c>
      <c r="F1525" s="1">
        <v>9</v>
      </c>
      <c r="G1525" s="1">
        <v>33.69</v>
      </c>
      <c r="H1525" s="1" t="s">
        <v>30</v>
      </c>
      <c r="I1525" s="1" t="s">
        <v>27</v>
      </c>
      <c r="J1525" s="1">
        <v>105</v>
      </c>
      <c r="K1525" s="1">
        <v>3.51</v>
      </c>
      <c r="L1525" s="4">
        <v>24.62</v>
      </c>
      <c r="M1525" s="1">
        <v>0.73</v>
      </c>
      <c r="N1525" s="1">
        <v>7</v>
      </c>
      <c r="O1525" s="1">
        <v>0.74</v>
      </c>
      <c r="P1525" s="1">
        <v>570</v>
      </c>
      <c r="Q1525" s="1">
        <v>3.11</v>
      </c>
      <c r="R1525" s="1">
        <v>0.98</v>
      </c>
      <c r="S1525" s="2">
        <v>45367</v>
      </c>
      <c r="T1525" s="1">
        <v>166.34</v>
      </c>
      <c r="U1525" s="1">
        <v>0.57199999999999995</v>
      </c>
      <c r="V1525" s="6">
        <f t="shared" si="69"/>
        <v>2043.46</v>
      </c>
      <c r="W1525" s="6" t="str">
        <f t="shared" si="70"/>
        <v>Sufficient</v>
      </c>
      <c r="X1525" s="8" t="str">
        <f t="shared" si="71"/>
        <v>LOW</v>
      </c>
    </row>
    <row r="1526" spans="1:24">
      <c r="A1526" s="7" t="s">
        <v>1656</v>
      </c>
      <c r="B1526" s="1" t="s">
        <v>66</v>
      </c>
      <c r="C1526" s="1">
        <v>365</v>
      </c>
      <c r="D1526" s="1">
        <v>42</v>
      </c>
      <c r="E1526" s="1">
        <v>12</v>
      </c>
      <c r="F1526" s="1">
        <v>7</v>
      </c>
      <c r="G1526" s="1">
        <v>44.9</v>
      </c>
      <c r="H1526" s="1" t="s">
        <v>47</v>
      </c>
      <c r="I1526" s="1" t="s">
        <v>31</v>
      </c>
      <c r="J1526" s="1">
        <v>172</v>
      </c>
      <c r="K1526" s="1">
        <v>1.79</v>
      </c>
      <c r="L1526" s="4">
        <v>193.07</v>
      </c>
      <c r="M1526" s="1">
        <v>1.94</v>
      </c>
      <c r="N1526" s="1">
        <v>3</v>
      </c>
      <c r="O1526" s="1">
        <v>0.71</v>
      </c>
      <c r="P1526" s="1">
        <v>569</v>
      </c>
      <c r="Q1526" s="1">
        <v>1.45</v>
      </c>
      <c r="R1526" s="1">
        <v>0.35</v>
      </c>
      <c r="S1526" s="2">
        <v>45596</v>
      </c>
      <c r="T1526" s="1">
        <v>140.35</v>
      </c>
      <c r="U1526" s="1">
        <v>0.377</v>
      </c>
      <c r="V1526" s="6">
        <f t="shared" si="69"/>
        <v>70470.55</v>
      </c>
      <c r="W1526" s="6" t="str">
        <f t="shared" si="70"/>
        <v>Sufficient</v>
      </c>
      <c r="X1526" s="8" t="str">
        <f t="shared" si="71"/>
        <v>High</v>
      </c>
    </row>
    <row r="1527" spans="1:24">
      <c r="A1527" s="7" t="s">
        <v>1657</v>
      </c>
      <c r="B1527" s="1" t="s">
        <v>33</v>
      </c>
      <c r="C1527" s="1">
        <v>311</v>
      </c>
      <c r="D1527" s="1">
        <v>22</v>
      </c>
      <c r="E1527" s="1">
        <v>11</v>
      </c>
      <c r="F1527" s="1">
        <v>7</v>
      </c>
      <c r="G1527" s="1">
        <v>29.32</v>
      </c>
      <c r="H1527" s="1" t="s">
        <v>124</v>
      </c>
      <c r="I1527" s="1" t="s">
        <v>45</v>
      </c>
      <c r="J1527" s="1">
        <v>70</v>
      </c>
      <c r="K1527" s="1">
        <v>3.56</v>
      </c>
      <c r="L1527" s="4">
        <v>96</v>
      </c>
      <c r="M1527" s="1">
        <v>1.61</v>
      </c>
      <c r="N1527" s="1">
        <v>5</v>
      </c>
      <c r="O1527" s="1">
        <v>0.99</v>
      </c>
      <c r="P1527" s="1">
        <v>570</v>
      </c>
      <c r="Q1527" s="1">
        <v>4.67</v>
      </c>
      <c r="R1527" s="1">
        <v>0.82</v>
      </c>
      <c r="S1527" s="2">
        <v>45424</v>
      </c>
      <c r="T1527" s="1">
        <v>278.77999999999997</v>
      </c>
      <c r="U1527" s="1">
        <v>0.56299999999999994</v>
      </c>
      <c r="V1527" s="6">
        <f t="shared" si="69"/>
        <v>29856</v>
      </c>
      <c r="W1527" s="6" t="str">
        <f t="shared" si="70"/>
        <v>Sufficient</v>
      </c>
      <c r="X1527" s="8" t="str">
        <f t="shared" si="71"/>
        <v>High</v>
      </c>
    </row>
    <row r="1528" spans="1:24">
      <c r="A1528" s="7" t="s">
        <v>1658</v>
      </c>
      <c r="B1528" s="1" t="s">
        <v>33</v>
      </c>
      <c r="C1528" s="1">
        <v>264</v>
      </c>
      <c r="D1528" s="1">
        <v>87</v>
      </c>
      <c r="E1528" s="1">
        <v>12</v>
      </c>
      <c r="F1528" s="1">
        <v>3</v>
      </c>
      <c r="G1528" s="1">
        <v>26.84</v>
      </c>
      <c r="H1528" s="1" t="s">
        <v>63</v>
      </c>
      <c r="I1528" s="1" t="s">
        <v>27</v>
      </c>
      <c r="J1528" s="1">
        <v>14</v>
      </c>
      <c r="K1528" s="1">
        <v>3.5</v>
      </c>
      <c r="L1528" s="4">
        <v>154.56</v>
      </c>
      <c r="M1528" s="1">
        <v>1.01</v>
      </c>
      <c r="N1528" s="1">
        <v>4</v>
      </c>
      <c r="O1528" s="1">
        <v>0.79</v>
      </c>
      <c r="P1528" s="1">
        <v>937</v>
      </c>
      <c r="Q1528" s="1">
        <v>3.45</v>
      </c>
      <c r="R1528" s="1">
        <v>0.31</v>
      </c>
      <c r="S1528" s="2">
        <v>45455</v>
      </c>
      <c r="T1528" s="1">
        <v>279.7</v>
      </c>
      <c r="U1528" s="1">
        <v>0.48499999999999999</v>
      </c>
      <c r="V1528" s="6">
        <f t="shared" si="69"/>
        <v>40803.840000000004</v>
      </c>
      <c r="W1528" s="6" t="str">
        <f t="shared" si="70"/>
        <v>Sufficient</v>
      </c>
      <c r="X1528" s="8" t="str">
        <f t="shared" si="71"/>
        <v>High</v>
      </c>
    </row>
    <row r="1529" spans="1:24">
      <c r="A1529" s="7" t="s">
        <v>1659</v>
      </c>
      <c r="B1529" s="1" t="s">
        <v>41</v>
      </c>
      <c r="C1529" s="1">
        <v>489</v>
      </c>
      <c r="D1529" s="1">
        <v>71</v>
      </c>
      <c r="E1529" s="1">
        <v>8</v>
      </c>
      <c r="F1529" s="1">
        <v>8</v>
      </c>
      <c r="G1529" s="1">
        <v>8.86</v>
      </c>
      <c r="H1529" s="1" t="s">
        <v>309</v>
      </c>
      <c r="I1529" s="1" t="s">
        <v>31</v>
      </c>
      <c r="J1529" s="1">
        <v>46</v>
      </c>
      <c r="K1529" s="1">
        <v>3.23</v>
      </c>
      <c r="L1529" s="4">
        <v>144.16999999999999</v>
      </c>
      <c r="M1529" s="1">
        <v>0.68</v>
      </c>
      <c r="N1529" s="1">
        <v>9</v>
      </c>
      <c r="O1529" s="1">
        <v>0.78</v>
      </c>
      <c r="P1529" s="1">
        <v>450</v>
      </c>
      <c r="Q1529" s="1">
        <v>12.08</v>
      </c>
      <c r="R1529" s="1">
        <v>0.42</v>
      </c>
      <c r="S1529" s="2">
        <v>45326</v>
      </c>
      <c r="T1529" s="1">
        <v>229.27</v>
      </c>
      <c r="U1529" s="1">
        <v>0.55300000000000005</v>
      </c>
      <c r="V1529" s="6">
        <f t="shared" si="69"/>
        <v>70499.12999999999</v>
      </c>
      <c r="W1529" s="6" t="str">
        <f t="shared" si="70"/>
        <v>Sufficient</v>
      </c>
      <c r="X1529" s="8" t="str">
        <f t="shared" si="71"/>
        <v>High</v>
      </c>
    </row>
    <row r="1530" spans="1:24">
      <c r="A1530" s="7" t="s">
        <v>1660</v>
      </c>
      <c r="B1530" s="1" t="s">
        <v>41</v>
      </c>
      <c r="C1530" s="1">
        <v>81</v>
      </c>
      <c r="D1530" s="1">
        <v>52</v>
      </c>
      <c r="E1530" s="1">
        <v>3</v>
      </c>
      <c r="F1530" s="1">
        <v>7</v>
      </c>
      <c r="G1530" s="1">
        <v>36.06</v>
      </c>
      <c r="H1530" s="1" t="s">
        <v>227</v>
      </c>
      <c r="I1530" s="1" t="s">
        <v>27</v>
      </c>
      <c r="J1530" s="1">
        <v>148</v>
      </c>
      <c r="K1530" s="1">
        <v>3.7</v>
      </c>
      <c r="L1530" s="4">
        <v>108.51</v>
      </c>
      <c r="M1530" s="1">
        <v>0.9</v>
      </c>
      <c r="N1530" s="1">
        <v>5</v>
      </c>
      <c r="O1530" s="1">
        <v>0.99</v>
      </c>
      <c r="P1530" s="1">
        <v>713</v>
      </c>
      <c r="Q1530" s="1">
        <v>5.05</v>
      </c>
      <c r="R1530" s="1">
        <v>0.65</v>
      </c>
      <c r="S1530" s="2">
        <v>45336</v>
      </c>
      <c r="T1530" s="1">
        <v>160.22</v>
      </c>
      <c r="U1530" s="1">
        <v>0.60499999999999998</v>
      </c>
      <c r="V1530" s="6">
        <f t="shared" si="69"/>
        <v>8789.3100000000013</v>
      </c>
      <c r="W1530" s="6" t="str">
        <f t="shared" si="70"/>
        <v>Sufficient</v>
      </c>
      <c r="X1530" s="8" t="str">
        <f t="shared" si="71"/>
        <v>LOW</v>
      </c>
    </row>
    <row r="1531" spans="1:24">
      <c r="A1531" s="7" t="s">
        <v>1661</v>
      </c>
      <c r="B1531" s="1" t="s">
        <v>41</v>
      </c>
      <c r="C1531" s="1">
        <v>445</v>
      </c>
      <c r="D1531" s="1">
        <v>58</v>
      </c>
      <c r="E1531" s="1">
        <v>14</v>
      </c>
      <c r="F1531" s="1">
        <v>9</v>
      </c>
      <c r="G1531" s="1">
        <v>35.409999999999997</v>
      </c>
      <c r="H1531" s="1" t="s">
        <v>30</v>
      </c>
      <c r="I1531" s="1" t="s">
        <v>31</v>
      </c>
      <c r="J1531" s="1">
        <v>115</v>
      </c>
      <c r="K1531" s="1">
        <v>1.71</v>
      </c>
      <c r="L1531" s="4">
        <v>127.7</v>
      </c>
      <c r="M1531" s="1">
        <v>0.13</v>
      </c>
      <c r="N1531" s="1">
        <v>3</v>
      </c>
      <c r="O1531" s="1">
        <v>0.92</v>
      </c>
      <c r="P1531" s="1">
        <v>703</v>
      </c>
      <c r="Q1531" s="1">
        <v>4.43</v>
      </c>
      <c r="R1531" s="1">
        <v>0.53</v>
      </c>
      <c r="S1531" s="2">
        <v>45490</v>
      </c>
      <c r="T1531" s="1">
        <v>43.82</v>
      </c>
      <c r="U1531" s="1">
        <v>0.67600000000000005</v>
      </c>
      <c r="V1531" s="6">
        <f t="shared" si="69"/>
        <v>56826.5</v>
      </c>
      <c r="W1531" s="6" t="str">
        <f t="shared" si="70"/>
        <v>Sufficient</v>
      </c>
      <c r="X1531" s="8" t="str">
        <f t="shared" si="71"/>
        <v>High</v>
      </c>
    </row>
    <row r="1532" spans="1:24">
      <c r="A1532" s="7" t="s">
        <v>1662</v>
      </c>
      <c r="B1532" s="1" t="s">
        <v>41</v>
      </c>
      <c r="C1532" s="1">
        <v>351</v>
      </c>
      <c r="D1532" s="1">
        <v>45</v>
      </c>
      <c r="E1532" s="1">
        <v>11</v>
      </c>
      <c r="F1532" s="1">
        <v>8</v>
      </c>
      <c r="G1532" s="1">
        <v>48.38</v>
      </c>
      <c r="H1532" s="1" t="s">
        <v>115</v>
      </c>
      <c r="I1532" s="1" t="s">
        <v>45</v>
      </c>
      <c r="J1532" s="1">
        <v>108</v>
      </c>
      <c r="K1532" s="1">
        <v>4.91</v>
      </c>
      <c r="L1532" s="4">
        <v>190.48</v>
      </c>
      <c r="M1532" s="1">
        <v>1.46</v>
      </c>
      <c r="N1532" s="1">
        <v>3</v>
      </c>
      <c r="O1532" s="1">
        <v>0.88</v>
      </c>
      <c r="P1532" s="1">
        <v>999</v>
      </c>
      <c r="Q1532" s="1">
        <v>14.93</v>
      </c>
      <c r="R1532" s="1">
        <v>0.97</v>
      </c>
      <c r="S1532" s="2">
        <v>45576</v>
      </c>
      <c r="T1532" s="1">
        <v>215.31</v>
      </c>
      <c r="U1532" s="1">
        <v>0.76300000000000001</v>
      </c>
      <c r="V1532" s="6">
        <f t="shared" si="69"/>
        <v>66858.48</v>
      </c>
      <c r="W1532" s="6" t="str">
        <f t="shared" si="70"/>
        <v>Sufficient</v>
      </c>
      <c r="X1532" s="8" t="str">
        <f t="shared" si="71"/>
        <v>High</v>
      </c>
    </row>
    <row r="1533" spans="1:24">
      <c r="A1533" s="7" t="s">
        <v>1663</v>
      </c>
      <c r="B1533" s="1" t="s">
        <v>29</v>
      </c>
      <c r="C1533" s="1">
        <v>189</v>
      </c>
      <c r="D1533" s="1">
        <v>19</v>
      </c>
      <c r="E1533" s="1">
        <v>8</v>
      </c>
      <c r="F1533" s="1">
        <v>7</v>
      </c>
      <c r="G1533" s="1">
        <v>15.71</v>
      </c>
      <c r="H1533" s="1" t="s">
        <v>333</v>
      </c>
      <c r="I1533" s="1" t="s">
        <v>27</v>
      </c>
      <c r="J1533" s="1">
        <v>177</v>
      </c>
      <c r="K1533" s="1">
        <v>4.3600000000000003</v>
      </c>
      <c r="L1533" s="4">
        <v>186.2</v>
      </c>
      <c r="M1533" s="1">
        <v>0.28999999999999998</v>
      </c>
      <c r="N1533" s="1">
        <v>6</v>
      </c>
      <c r="O1533" s="1">
        <v>0.91</v>
      </c>
      <c r="P1533" s="1">
        <v>897</v>
      </c>
      <c r="Q1533" s="1">
        <v>3.1</v>
      </c>
      <c r="R1533" s="1">
        <v>0.88</v>
      </c>
      <c r="S1533" s="2">
        <v>45495</v>
      </c>
      <c r="T1533" s="1">
        <v>246.38</v>
      </c>
      <c r="U1533" s="1">
        <v>0.65</v>
      </c>
      <c r="V1533" s="6">
        <f t="shared" si="69"/>
        <v>35191.799999999996</v>
      </c>
      <c r="W1533" s="6" t="str">
        <f t="shared" si="70"/>
        <v>Sufficient</v>
      </c>
      <c r="X1533" s="8" t="str">
        <f t="shared" si="71"/>
        <v>Medium</v>
      </c>
    </row>
    <row r="1534" spans="1:24">
      <c r="A1534" s="7" t="s">
        <v>1664</v>
      </c>
      <c r="B1534" s="1" t="s">
        <v>25</v>
      </c>
      <c r="C1534" s="1">
        <v>464</v>
      </c>
      <c r="D1534" s="1">
        <v>15</v>
      </c>
      <c r="E1534" s="1">
        <v>6</v>
      </c>
      <c r="F1534" s="1">
        <v>5</v>
      </c>
      <c r="G1534" s="1">
        <v>38.07</v>
      </c>
      <c r="H1534" s="1" t="s">
        <v>130</v>
      </c>
      <c r="I1534" s="1" t="s">
        <v>31</v>
      </c>
      <c r="J1534" s="1">
        <v>17</v>
      </c>
      <c r="K1534" s="1">
        <v>3.86</v>
      </c>
      <c r="L1534" s="4">
        <v>134.32</v>
      </c>
      <c r="M1534" s="1">
        <v>1.0900000000000001</v>
      </c>
      <c r="N1534" s="1">
        <v>0</v>
      </c>
      <c r="O1534" s="1">
        <v>0.91</v>
      </c>
      <c r="P1534" s="1">
        <v>323</v>
      </c>
      <c r="Q1534" s="1">
        <v>2.19</v>
      </c>
      <c r="R1534" s="1">
        <v>0.94</v>
      </c>
      <c r="S1534" s="2">
        <v>45574</v>
      </c>
      <c r="T1534" s="1">
        <v>257.08999999999997</v>
      </c>
      <c r="U1534" s="1">
        <v>0.69</v>
      </c>
      <c r="V1534" s="6">
        <f t="shared" si="69"/>
        <v>62324.479999999996</v>
      </c>
      <c r="W1534" s="6" t="str">
        <f t="shared" si="70"/>
        <v>Sufficient</v>
      </c>
      <c r="X1534" s="8" t="str">
        <f t="shared" si="71"/>
        <v>High</v>
      </c>
    </row>
    <row r="1535" spans="1:24">
      <c r="A1535" s="7" t="s">
        <v>1665</v>
      </c>
      <c r="B1535" s="1" t="s">
        <v>66</v>
      </c>
      <c r="C1535" s="1">
        <v>288</v>
      </c>
      <c r="D1535" s="1">
        <v>66</v>
      </c>
      <c r="E1535" s="1">
        <v>6</v>
      </c>
      <c r="F1535" s="1">
        <v>6</v>
      </c>
      <c r="G1535" s="1">
        <v>22.27</v>
      </c>
      <c r="H1535" s="1" t="s">
        <v>47</v>
      </c>
      <c r="I1535" s="1" t="s">
        <v>31</v>
      </c>
      <c r="J1535" s="1">
        <v>96</v>
      </c>
      <c r="K1535" s="1">
        <v>0.62</v>
      </c>
      <c r="L1535" s="4">
        <v>134.97</v>
      </c>
      <c r="M1535" s="1">
        <v>1.18</v>
      </c>
      <c r="N1535" s="1">
        <v>8</v>
      </c>
      <c r="O1535" s="1">
        <v>0.93</v>
      </c>
      <c r="P1535" s="1">
        <v>521</v>
      </c>
      <c r="Q1535" s="1">
        <v>5.28</v>
      </c>
      <c r="R1535" s="1">
        <v>0.71</v>
      </c>
      <c r="S1535" s="2">
        <v>45458</v>
      </c>
      <c r="T1535" s="1">
        <v>178.74</v>
      </c>
      <c r="U1535" s="1">
        <v>0.52</v>
      </c>
      <c r="V1535" s="6">
        <f t="shared" si="69"/>
        <v>38871.360000000001</v>
      </c>
      <c r="W1535" s="6" t="str">
        <f t="shared" si="70"/>
        <v>Sufficient</v>
      </c>
      <c r="X1535" s="8" t="str">
        <f t="shared" si="71"/>
        <v>High</v>
      </c>
    </row>
    <row r="1536" spans="1:24">
      <c r="A1536" s="7" t="s">
        <v>1666</v>
      </c>
      <c r="B1536" s="1" t="s">
        <v>33</v>
      </c>
      <c r="C1536" s="1">
        <v>286</v>
      </c>
      <c r="D1536" s="1">
        <v>10</v>
      </c>
      <c r="E1536" s="1">
        <v>5</v>
      </c>
      <c r="F1536" s="1">
        <v>8</v>
      </c>
      <c r="G1536" s="1">
        <v>28.37</v>
      </c>
      <c r="H1536" s="1" t="s">
        <v>269</v>
      </c>
      <c r="I1536" s="1" t="s">
        <v>45</v>
      </c>
      <c r="J1536" s="1">
        <v>93</v>
      </c>
      <c r="K1536" s="1">
        <v>3.16</v>
      </c>
      <c r="L1536" s="4">
        <v>56.92</v>
      </c>
      <c r="M1536" s="1">
        <v>0.1</v>
      </c>
      <c r="N1536" s="1">
        <v>9</v>
      </c>
      <c r="O1536" s="1">
        <v>0.72</v>
      </c>
      <c r="P1536" s="1">
        <v>984</v>
      </c>
      <c r="Q1536" s="1">
        <v>6.67</v>
      </c>
      <c r="R1536" s="1">
        <v>0.38</v>
      </c>
      <c r="S1536" s="2">
        <v>45433</v>
      </c>
      <c r="T1536" s="1">
        <v>188.88</v>
      </c>
      <c r="U1536" s="1">
        <v>0.51900000000000002</v>
      </c>
      <c r="V1536" s="6">
        <f t="shared" si="69"/>
        <v>16279.12</v>
      </c>
      <c r="W1536" s="6" t="str">
        <f t="shared" si="70"/>
        <v>Sufficient</v>
      </c>
      <c r="X1536" s="8" t="str">
        <f t="shared" si="71"/>
        <v>High</v>
      </c>
    </row>
    <row r="1537" spans="1:24">
      <c r="A1537" s="7" t="s">
        <v>1667</v>
      </c>
      <c r="B1537" s="1" t="s">
        <v>29</v>
      </c>
      <c r="C1537" s="1">
        <v>73</v>
      </c>
      <c r="D1537" s="1">
        <v>80</v>
      </c>
      <c r="E1537" s="1">
        <v>9</v>
      </c>
      <c r="F1537" s="1">
        <v>5</v>
      </c>
      <c r="G1537" s="1">
        <v>41.01</v>
      </c>
      <c r="H1537" s="1" t="s">
        <v>128</v>
      </c>
      <c r="I1537" s="1" t="s">
        <v>45</v>
      </c>
      <c r="J1537" s="1">
        <v>20</v>
      </c>
      <c r="K1537" s="1">
        <v>3.68</v>
      </c>
      <c r="L1537" s="4">
        <v>167.44</v>
      </c>
      <c r="M1537" s="1">
        <v>1.96</v>
      </c>
      <c r="N1537" s="1">
        <v>2</v>
      </c>
      <c r="O1537" s="1">
        <v>0.82</v>
      </c>
      <c r="P1537" s="1">
        <v>421</v>
      </c>
      <c r="Q1537" s="1">
        <v>11.65</v>
      </c>
      <c r="R1537" s="1">
        <v>0.61</v>
      </c>
      <c r="S1537" s="2">
        <v>45558</v>
      </c>
      <c r="T1537" s="1">
        <v>215.69</v>
      </c>
      <c r="U1537" s="1">
        <v>0.60499999999999998</v>
      </c>
      <c r="V1537" s="6">
        <f t="shared" si="69"/>
        <v>12223.119999999999</v>
      </c>
      <c r="W1537" s="6" t="str">
        <f t="shared" si="70"/>
        <v>Reorder Required</v>
      </c>
      <c r="X1537" s="8" t="str">
        <f t="shared" si="71"/>
        <v>LOW</v>
      </c>
    </row>
    <row r="1538" spans="1:24">
      <c r="A1538" s="7" t="s">
        <v>1668</v>
      </c>
      <c r="B1538" s="1" t="s">
        <v>66</v>
      </c>
      <c r="C1538" s="1">
        <v>35</v>
      </c>
      <c r="D1538" s="1">
        <v>67</v>
      </c>
      <c r="E1538" s="1">
        <v>5</v>
      </c>
      <c r="F1538" s="1">
        <v>2</v>
      </c>
      <c r="G1538" s="1">
        <v>11.88</v>
      </c>
      <c r="H1538" s="1" t="s">
        <v>171</v>
      </c>
      <c r="I1538" s="1" t="s">
        <v>31</v>
      </c>
      <c r="J1538" s="1">
        <v>80</v>
      </c>
      <c r="K1538" s="1">
        <v>4.34</v>
      </c>
      <c r="L1538" s="4">
        <v>130.19</v>
      </c>
      <c r="M1538" s="1">
        <v>0.67</v>
      </c>
      <c r="N1538" s="1">
        <v>3</v>
      </c>
      <c r="O1538" s="1">
        <v>0.79</v>
      </c>
      <c r="P1538" s="1">
        <v>480</v>
      </c>
      <c r="Q1538" s="1">
        <v>14.38</v>
      </c>
      <c r="R1538" s="1">
        <v>0.81</v>
      </c>
      <c r="S1538" s="2">
        <v>45526</v>
      </c>
      <c r="T1538" s="1">
        <v>263.44</v>
      </c>
      <c r="U1538" s="1">
        <v>0.78500000000000003</v>
      </c>
      <c r="V1538" s="6">
        <f t="shared" si="69"/>
        <v>4556.6499999999996</v>
      </c>
      <c r="W1538" s="6" t="str">
        <f t="shared" si="70"/>
        <v>Reorder Required</v>
      </c>
      <c r="X1538" s="8" t="str">
        <f t="shared" si="71"/>
        <v>LOW</v>
      </c>
    </row>
    <row r="1539" spans="1:24">
      <c r="A1539" s="7" t="s">
        <v>1669</v>
      </c>
      <c r="B1539" s="1" t="s">
        <v>29</v>
      </c>
      <c r="C1539" s="1">
        <v>27</v>
      </c>
      <c r="D1539" s="1">
        <v>30</v>
      </c>
      <c r="E1539" s="1">
        <v>4</v>
      </c>
      <c r="F1539" s="1">
        <v>9</v>
      </c>
      <c r="G1539" s="1">
        <v>17.8</v>
      </c>
      <c r="H1539" s="1" t="s">
        <v>176</v>
      </c>
      <c r="I1539" s="1" t="s">
        <v>31</v>
      </c>
      <c r="J1539" s="1">
        <v>103</v>
      </c>
      <c r="K1539" s="1">
        <v>4.76</v>
      </c>
      <c r="L1539" s="4">
        <v>166.99</v>
      </c>
      <c r="M1539" s="1">
        <v>0.25</v>
      </c>
      <c r="N1539" s="1">
        <v>8</v>
      </c>
      <c r="O1539" s="1">
        <v>0.72</v>
      </c>
      <c r="P1539" s="1">
        <v>588</v>
      </c>
      <c r="Q1539" s="1">
        <v>11.69</v>
      </c>
      <c r="R1539" s="1">
        <v>0.25</v>
      </c>
      <c r="S1539" s="2">
        <v>45298</v>
      </c>
      <c r="T1539" s="1">
        <v>23.17</v>
      </c>
      <c r="U1539" s="1">
        <v>0.56499999999999995</v>
      </c>
      <c r="V1539" s="6">
        <f t="shared" si="69"/>
        <v>4508.7300000000005</v>
      </c>
      <c r="W1539" s="6" t="str">
        <f t="shared" si="70"/>
        <v>Reorder Required</v>
      </c>
      <c r="X1539" s="8" t="str">
        <f t="shared" si="71"/>
        <v>LOW</v>
      </c>
    </row>
    <row r="1540" spans="1:24">
      <c r="A1540" s="7" t="s">
        <v>1670</v>
      </c>
      <c r="B1540" s="1" t="s">
        <v>29</v>
      </c>
      <c r="C1540" s="1">
        <v>123</v>
      </c>
      <c r="D1540" s="1">
        <v>89</v>
      </c>
      <c r="E1540" s="1">
        <v>12</v>
      </c>
      <c r="F1540" s="1">
        <v>3</v>
      </c>
      <c r="G1540" s="1">
        <v>38.89</v>
      </c>
      <c r="H1540" s="1" t="s">
        <v>238</v>
      </c>
      <c r="I1540" s="1" t="s">
        <v>39</v>
      </c>
      <c r="J1540" s="1">
        <v>132</v>
      </c>
      <c r="K1540" s="1">
        <v>4.62</v>
      </c>
      <c r="L1540" s="4">
        <v>134.99</v>
      </c>
      <c r="M1540" s="1">
        <v>1.72</v>
      </c>
      <c r="N1540" s="1">
        <v>4</v>
      </c>
      <c r="O1540" s="1">
        <v>0.82</v>
      </c>
      <c r="P1540" s="1">
        <v>397</v>
      </c>
      <c r="Q1540" s="1">
        <v>11.17</v>
      </c>
      <c r="R1540" s="1">
        <v>0.89</v>
      </c>
      <c r="S1540" s="2">
        <v>45650</v>
      </c>
      <c r="T1540" s="1">
        <v>173.33</v>
      </c>
      <c r="U1540" s="1">
        <v>0.63900000000000001</v>
      </c>
      <c r="V1540" s="6">
        <f t="shared" ref="V1540:V1603" si="72">C1540*L1540</f>
        <v>16603.77</v>
      </c>
      <c r="W1540" s="6" t="str">
        <f t="shared" ref="W1540:W1603" si="73">IF(C1540&lt;=D1540,"Reorder Required","Sufficient")</f>
        <v>Sufficient</v>
      </c>
      <c r="X1540" s="8" t="str">
        <f t="shared" ref="X1540:X1603" si="74">IF(C1540&lt;100,"LOW",IF(C1540&lt;250,"Medium","High"))</f>
        <v>Medium</v>
      </c>
    </row>
    <row r="1541" spans="1:24">
      <c r="A1541" s="7" t="s">
        <v>1671</v>
      </c>
      <c r="B1541" s="1" t="s">
        <v>33</v>
      </c>
      <c r="C1541" s="1">
        <v>78</v>
      </c>
      <c r="D1541" s="1">
        <v>65</v>
      </c>
      <c r="E1541" s="1">
        <v>10</v>
      </c>
      <c r="F1541" s="1">
        <v>3</v>
      </c>
      <c r="G1541" s="1">
        <v>28.95</v>
      </c>
      <c r="H1541" s="1" t="s">
        <v>85</v>
      </c>
      <c r="I1541" s="1" t="s">
        <v>39</v>
      </c>
      <c r="J1541" s="1">
        <v>150</v>
      </c>
      <c r="K1541" s="1">
        <v>2.33</v>
      </c>
      <c r="L1541" s="4">
        <v>66.87</v>
      </c>
      <c r="M1541" s="1">
        <v>0.39</v>
      </c>
      <c r="N1541" s="1">
        <v>3</v>
      </c>
      <c r="O1541" s="1">
        <v>0.88</v>
      </c>
      <c r="P1541" s="1">
        <v>120</v>
      </c>
      <c r="Q1541" s="1">
        <v>14.88</v>
      </c>
      <c r="R1541" s="1">
        <v>0.71</v>
      </c>
      <c r="S1541" s="2">
        <v>45611</v>
      </c>
      <c r="T1541" s="1">
        <v>117.04</v>
      </c>
      <c r="U1541" s="1">
        <v>0.81699999999999995</v>
      </c>
      <c r="V1541" s="6">
        <f t="shared" si="72"/>
        <v>5215.8600000000006</v>
      </c>
      <c r="W1541" s="6" t="str">
        <f t="shared" si="73"/>
        <v>Sufficient</v>
      </c>
      <c r="X1541" s="8" t="str">
        <f t="shared" si="74"/>
        <v>LOW</v>
      </c>
    </row>
    <row r="1542" spans="1:24">
      <c r="A1542" s="7" t="s">
        <v>1672</v>
      </c>
      <c r="B1542" s="1" t="s">
        <v>25</v>
      </c>
      <c r="C1542" s="1">
        <v>332</v>
      </c>
      <c r="D1542" s="1">
        <v>96</v>
      </c>
      <c r="E1542" s="1">
        <v>6</v>
      </c>
      <c r="F1542" s="1">
        <v>6</v>
      </c>
      <c r="G1542" s="1">
        <v>5.53</v>
      </c>
      <c r="H1542" s="1" t="s">
        <v>55</v>
      </c>
      <c r="I1542" s="1" t="s">
        <v>27</v>
      </c>
      <c r="J1542" s="1">
        <v>115</v>
      </c>
      <c r="K1542" s="1">
        <v>4.53</v>
      </c>
      <c r="L1542" s="4">
        <v>46</v>
      </c>
      <c r="M1542" s="1">
        <v>0.15</v>
      </c>
      <c r="N1542" s="1">
        <v>5</v>
      </c>
      <c r="O1542" s="1">
        <v>0.75</v>
      </c>
      <c r="P1542" s="1">
        <v>531</v>
      </c>
      <c r="Q1542" s="1">
        <v>11.72</v>
      </c>
      <c r="R1542" s="1">
        <v>0.78</v>
      </c>
      <c r="S1542" s="2">
        <v>45592</v>
      </c>
      <c r="T1542" s="1">
        <v>251.62</v>
      </c>
      <c r="U1542" s="1">
        <v>0.747</v>
      </c>
      <c r="V1542" s="6">
        <f t="shared" si="72"/>
        <v>15272</v>
      </c>
      <c r="W1542" s="6" t="str">
        <f t="shared" si="73"/>
        <v>Sufficient</v>
      </c>
      <c r="X1542" s="8" t="str">
        <f t="shared" si="74"/>
        <v>High</v>
      </c>
    </row>
    <row r="1543" spans="1:24">
      <c r="A1543" s="7" t="s">
        <v>1673</v>
      </c>
      <c r="B1543" s="1" t="s">
        <v>41</v>
      </c>
      <c r="C1543" s="1">
        <v>59</v>
      </c>
      <c r="D1543" s="1">
        <v>29</v>
      </c>
      <c r="E1543" s="1">
        <v>10</v>
      </c>
      <c r="F1543" s="1">
        <v>7</v>
      </c>
      <c r="G1543" s="1">
        <v>22.08</v>
      </c>
      <c r="H1543" s="1" t="s">
        <v>88</v>
      </c>
      <c r="I1543" s="1" t="s">
        <v>27</v>
      </c>
      <c r="J1543" s="1">
        <v>58</v>
      </c>
      <c r="K1543" s="1">
        <v>0.5</v>
      </c>
      <c r="L1543" s="4">
        <v>24.62</v>
      </c>
      <c r="M1543" s="1">
        <v>1.04</v>
      </c>
      <c r="N1543" s="1">
        <v>0</v>
      </c>
      <c r="O1543" s="1">
        <v>0.79</v>
      </c>
      <c r="P1543" s="1">
        <v>780</v>
      </c>
      <c r="Q1543" s="1">
        <v>2.95</v>
      </c>
      <c r="R1543" s="1">
        <v>0.76</v>
      </c>
      <c r="S1543" s="2">
        <v>45559</v>
      </c>
      <c r="T1543" s="1">
        <v>48.81</v>
      </c>
      <c r="U1543" s="1">
        <v>0.64500000000000002</v>
      </c>
      <c r="V1543" s="6">
        <f t="shared" si="72"/>
        <v>1452.5800000000002</v>
      </c>
      <c r="W1543" s="6" t="str">
        <f t="shared" si="73"/>
        <v>Sufficient</v>
      </c>
      <c r="X1543" s="8" t="str">
        <f t="shared" si="74"/>
        <v>LOW</v>
      </c>
    </row>
    <row r="1544" spans="1:24">
      <c r="A1544" s="7" t="s">
        <v>1674</v>
      </c>
      <c r="B1544" s="1" t="s">
        <v>25</v>
      </c>
      <c r="C1544" s="1">
        <v>256</v>
      </c>
      <c r="D1544" s="1">
        <v>63</v>
      </c>
      <c r="E1544" s="1">
        <v>3</v>
      </c>
      <c r="F1544" s="1">
        <v>5</v>
      </c>
      <c r="G1544" s="1">
        <v>29.75</v>
      </c>
      <c r="H1544" s="1" t="s">
        <v>59</v>
      </c>
      <c r="I1544" s="1" t="s">
        <v>39</v>
      </c>
      <c r="J1544" s="1">
        <v>16</v>
      </c>
      <c r="K1544" s="1">
        <v>2.08</v>
      </c>
      <c r="L1544" s="4">
        <v>121.34</v>
      </c>
      <c r="M1544" s="1">
        <v>0.35</v>
      </c>
      <c r="N1544" s="1">
        <v>9</v>
      </c>
      <c r="O1544" s="1">
        <v>0.89</v>
      </c>
      <c r="P1544" s="1">
        <v>851</v>
      </c>
      <c r="Q1544" s="1">
        <v>7.46</v>
      </c>
      <c r="R1544" s="1">
        <v>0.88</v>
      </c>
      <c r="S1544" s="2">
        <v>45506</v>
      </c>
      <c r="T1544" s="1">
        <v>273.81</v>
      </c>
      <c r="U1544" s="1">
        <v>0.63800000000000001</v>
      </c>
      <c r="V1544" s="6">
        <f t="shared" si="72"/>
        <v>31063.040000000001</v>
      </c>
      <c r="W1544" s="6" t="str">
        <f t="shared" si="73"/>
        <v>Sufficient</v>
      </c>
      <c r="X1544" s="8" t="str">
        <f t="shared" si="74"/>
        <v>High</v>
      </c>
    </row>
    <row r="1545" spans="1:24">
      <c r="A1545" s="7" t="s">
        <v>1675</v>
      </c>
      <c r="B1545" s="1" t="s">
        <v>33</v>
      </c>
      <c r="C1545" s="1">
        <v>462</v>
      </c>
      <c r="D1545" s="1">
        <v>34</v>
      </c>
      <c r="E1545" s="1">
        <v>7</v>
      </c>
      <c r="F1545" s="1">
        <v>2</v>
      </c>
      <c r="G1545" s="1">
        <v>45.57</v>
      </c>
      <c r="H1545" s="1" t="s">
        <v>238</v>
      </c>
      <c r="I1545" s="1" t="s">
        <v>31</v>
      </c>
      <c r="J1545" s="1">
        <v>110</v>
      </c>
      <c r="K1545" s="1">
        <v>1.01</v>
      </c>
      <c r="L1545" s="4">
        <v>63.97</v>
      </c>
      <c r="M1545" s="1">
        <v>1.97</v>
      </c>
      <c r="N1545" s="1">
        <v>0</v>
      </c>
      <c r="O1545" s="1">
        <v>0.87</v>
      </c>
      <c r="P1545" s="1">
        <v>305</v>
      </c>
      <c r="Q1545" s="1">
        <v>8.0500000000000007</v>
      </c>
      <c r="R1545" s="1">
        <v>0.27</v>
      </c>
      <c r="S1545" s="2">
        <v>45349</v>
      </c>
      <c r="T1545" s="1">
        <v>45.96</v>
      </c>
      <c r="U1545" s="1">
        <v>0.53800000000000003</v>
      </c>
      <c r="V1545" s="6">
        <f t="shared" si="72"/>
        <v>29554.14</v>
      </c>
      <c r="W1545" s="6" t="str">
        <f t="shared" si="73"/>
        <v>Sufficient</v>
      </c>
      <c r="X1545" s="8" t="str">
        <f t="shared" si="74"/>
        <v>High</v>
      </c>
    </row>
    <row r="1546" spans="1:24">
      <c r="A1546" s="7" t="s">
        <v>1676</v>
      </c>
      <c r="B1546" s="1" t="s">
        <v>33</v>
      </c>
      <c r="C1546" s="1">
        <v>405</v>
      </c>
      <c r="D1546" s="1">
        <v>37</v>
      </c>
      <c r="E1546" s="1">
        <v>11</v>
      </c>
      <c r="F1546" s="1">
        <v>5</v>
      </c>
      <c r="G1546" s="1">
        <v>10.24</v>
      </c>
      <c r="H1546" s="1" t="s">
        <v>126</v>
      </c>
      <c r="I1546" s="1" t="s">
        <v>45</v>
      </c>
      <c r="J1546" s="1">
        <v>162</v>
      </c>
      <c r="K1546" s="1">
        <v>4.47</v>
      </c>
      <c r="L1546" s="4">
        <v>129.80000000000001</v>
      </c>
      <c r="M1546" s="1">
        <v>0.12</v>
      </c>
      <c r="N1546" s="1">
        <v>4</v>
      </c>
      <c r="O1546" s="1">
        <v>0.96</v>
      </c>
      <c r="P1546" s="1">
        <v>152</v>
      </c>
      <c r="Q1546" s="1">
        <v>5.27</v>
      </c>
      <c r="R1546" s="1">
        <v>0.5</v>
      </c>
      <c r="S1546" s="2">
        <v>45504</v>
      </c>
      <c r="T1546" s="1">
        <v>35.9</v>
      </c>
      <c r="U1546" s="1">
        <v>0.67</v>
      </c>
      <c r="V1546" s="6">
        <f t="shared" si="72"/>
        <v>52569.000000000007</v>
      </c>
      <c r="W1546" s="6" t="str">
        <f t="shared" si="73"/>
        <v>Sufficient</v>
      </c>
      <c r="X1546" s="8" t="str">
        <f t="shared" si="74"/>
        <v>High</v>
      </c>
    </row>
    <row r="1547" spans="1:24">
      <c r="A1547" s="7" t="s">
        <v>1677</v>
      </c>
      <c r="B1547" s="1" t="s">
        <v>33</v>
      </c>
      <c r="C1547" s="1">
        <v>113</v>
      </c>
      <c r="D1547" s="1">
        <v>14</v>
      </c>
      <c r="E1547" s="1">
        <v>3</v>
      </c>
      <c r="F1547" s="1">
        <v>9</v>
      </c>
      <c r="G1547" s="1">
        <v>40.49</v>
      </c>
      <c r="H1547" s="1" t="s">
        <v>106</v>
      </c>
      <c r="I1547" s="1" t="s">
        <v>27</v>
      </c>
      <c r="J1547" s="1">
        <v>160</v>
      </c>
      <c r="K1547" s="1">
        <v>4.68</v>
      </c>
      <c r="L1547" s="4">
        <v>21.14</v>
      </c>
      <c r="M1547" s="1">
        <v>0.2</v>
      </c>
      <c r="N1547" s="1">
        <v>4</v>
      </c>
      <c r="O1547" s="1">
        <v>0.94</v>
      </c>
      <c r="P1547" s="1">
        <v>196</v>
      </c>
      <c r="Q1547" s="1">
        <v>3.3</v>
      </c>
      <c r="R1547" s="1">
        <v>0.6</v>
      </c>
      <c r="S1547" s="2">
        <v>45368</v>
      </c>
      <c r="T1547" s="1">
        <v>110.48</v>
      </c>
      <c r="U1547" s="1">
        <v>0.65200000000000002</v>
      </c>
      <c r="V1547" s="6">
        <f t="shared" si="72"/>
        <v>2388.8200000000002</v>
      </c>
      <c r="W1547" s="6" t="str">
        <f t="shared" si="73"/>
        <v>Sufficient</v>
      </c>
      <c r="X1547" s="8" t="str">
        <f t="shared" si="74"/>
        <v>Medium</v>
      </c>
    </row>
    <row r="1548" spans="1:24">
      <c r="A1548" s="7" t="s">
        <v>1678</v>
      </c>
      <c r="B1548" s="1" t="s">
        <v>66</v>
      </c>
      <c r="C1548" s="1">
        <v>241</v>
      </c>
      <c r="D1548" s="1">
        <v>30</v>
      </c>
      <c r="E1548" s="1">
        <v>13</v>
      </c>
      <c r="F1548" s="1">
        <v>9</v>
      </c>
      <c r="G1548" s="1">
        <v>7.4</v>
      </c>
      <c r="H1548" s="1" t="s">
        <v>88</v>
      </c>
      <c r="I1548" s="1" t="s">
        <v>31</v>
      </c>
      <c r="J1548" s="1">
        <v>60</v>
      </c>
      <c r="K1548" s="1">
        <v>1.65</v>
      </c>
      <c r="L1548" s="4">
        <v>81.38</v>
      </c>
      <c r="M1548" s="1">
        <v>1.68</v>
      </c>
      <c r="N1548" s="1">
        <v>8</v>
      </c>
      <c r="O1548" s="1">
        <v>0.99</v>
      </c>
      <c r="P1548" s="1">
        <v>951</v>
      </c>
      <c r="Q1548" s="1">
        <v>10.96</v>
      </c>
      <c r="R1548" s="1">
        <v>0.64</v>
      </c>
      <c r="S1548" s="2">
        <v>45367</v>
      </c>
      <c r="T1548" s="1">
        <v>298.47000000000003</v>
      </c>
      <c r="U1548" s="1">
        <v>0.54400000000000004</v>
      </c>
      <c r="V1548" s="6">
        <f t="shared" si="72"/>
        <v>19612.579999999998</v>
      </c>
      <c r="W1548" s="6" t="str">
        <f t="shared" si="73"/>
        <v>Sufficient</v>
      </c>
      <c r="X1548" s="8" t="str">
        <f t="shared" si="74"/>
        <v>Medium</v>
      </c>
    </row>
    <row r="1549" spans="1:24">
      <c r="A1549" s="7" t="s">
        <v>1679</v>
      </c>
      <c r="B1549" s="1" t="s">
        <v>25</v>
      </c>
      <c r="C1549" s="1">
        <v>223</v>
      </c>
      <c r="D1549" s="1">
        <v>27</v>
      </c>
      <c r="E1549" s="1">
        <v>6</v>
      </c>
      <c r="F1549" s="1">
        <v>7</v>
      </c>
      <c r="G1549" s="1">
        <v>12.87</v>
      </c>
      <c r="H1549" s="1" t="s">
        <v>83</v>
      </c>
      <c r="I1549" s="1" t="s">
        <v>45</v>
      </c>
      <c r="J1549" s="1">
        <v>14</v>
      </c>
      <c r="K1549" s="1">
        <v>2.15</v>
      </c>
      <c r="L1549" s="4">
        <v>59.51</v>
      </c>
      <c r="M1549" s="1">
        <v>0.56000000000000005</v>
      </c>
      <c r="N1549" s="1">
        <v>0</v>
      </c>
      <c r="O1549" s="1">
        <v>0.88</v>
      </c>
      <c r="P1549" s="1">
        <v>719</v>
      </c>
      <c r="Q1549" s="1">
        <v>4.88</v>
      </c>
      <c r="R1549" s="1">
        <v>0.95</v>
      </c>
      <c r="S1549" s="2">
        <v>45582</v>
      </c>
      <c r="T1549" s="1">
        <v>193.8</v>
      </c>
      <c r="U1549" s="1">
        <v>0.77500000000000002</v>
      </c>
      <c r="V1549" s="6">
        <f t="shared" si="72"/>
        <v>13270.73</v>
      </c>
      <c r="W1549" s="6" t="str">
        <f t="shared" si="73"/>
        <v>Sufficient</v>
      </c>
      <c r="X1549" s="8" t="str">
        <f t="shared" si="74"/>
        <v>Medium</v>
      </c>
    </row>
    <row r="1550" spans="1:24">
      <c r="A1550" s="7" t="s">
        <v>1680</v>
      </c>
      <c r="B1550" s="1" t="s">
        <v>25</v>
      </c>
      <c r="C1550" s="1">
        <v>157</v>
      </c>
      <c r="D1550" s="1">
        <v>56</v>
      </c>
      <c r="E1550" s="1">
        <v>8</v>
      </c>
      <c r="F1550" s="1">
        <v>7</v>
      </c>
      <c r="G1550" s="1">
        <v>12.92</v>
      </c>
      <c r="H1550" s="1" t="s">
        <v>115</v>
      </c>
      <c r="I1550" s="1" t="s">
        <v>45</v>
      </c>
      <c r="J1550" s="1">
        <v>22</v>
      </c>
      <c r="K1550" s="1">
        <v>4.93</v>
      </c>
      <c r="L1550" s="4">
        <v>80.36</v>
      </c>
      <c r="M1550" s="1">
        <v>1.83</v>
      </c>
      <c r="N1550" s="1">
        <v>2</v>
      </c>
      <c r="O1550" s="1">
        <v>0.91</v>
      </c>
      <c r="P1550" s="1">
        <v>909</v>
      </c>
      <c r="Q1550" s="1">
        <v>9.75</v>
      </c>
      <c r="R1550" s="1">
        <v>0.23</v>
      </c>
      <c r="S1550" s="2">
        <v>45593</v>
      </c>
      <c r="T1550" s="1">
        <v>17.670000000000002</v>
      </c>
      <c r="U1550" s="1">
        <v>0.53500000000000003</v>
      </c>
      <c r="V1550" s="6">
        <f t="shared" si="72"/>
        <v>12616.52</v>
      </c>
      <c r="W1550" s="6" t="str">
        <f t="shared" si="73"/>
        <v>Sufficient</v>
      </c>
      <c r="X1550" s="8" t="str">
        <f t="shared" si="74"/>
        <v>Medium</v>
      </c>
    </row>
    <row r="1551" spans="1:24">
      <c r="A1551" s="7" t="s">
        <v>1681</v>
      </c>
      <c r="B1551" s="1" t="s">
        <v>29</v>
      </c>
      <c r="C1551" s="1">
        <v>319</v>
      </c>
      <c r="D1551" s="1">
        <v>79</v>
      </c>
      <c r="E1551" s="1">
        <v>12</v>
      </c>
      <c r="F1551" s="1">
        <v>9</v>
      </c>
      <c r="G1551" s="1">
        <v>44</v>
      </c>
      <c r="H1551" s="1" t="s">
        <v>325</v>
      </c>
      <c r="I1551" s="1" t="s">
        <v>31</v>
      </c>
      <c r="J1551" s="1">
        <v>51</v>
      </c>
      <c r="K1551" s="1">
        <v>3.05</v>
      </c>
      <c r="L1551" s="4">
        <v>20.309999999999999</v>
      </c>
      <c r="M1551" s="1">
        <v>0.69</v>
      </c>
      <c r="N1551" s="1">
        <v>2</v>
      </c>
      <c r="O1551" s="1">
        <v>0.96</v>
      </c>
      <c r="P1551" s="1">
        <v>189</v>
      </c>
      <c r="Q1551" s="1">
        <v>5.52</v>
      </c>
      <c r="R1551" s="1">
        <v>0.89</v>
      </c>
      <c r="S1551" s="2">
        <v>45590</v>
      </c>
      <c r="T1551" s="1">
        <v>82.29</v>
      </c>
      <c r="U1551" s="1">
        <v>0.73499999999999999</v>
      </c>
      <c r="V1551" s="6">
        <f t="shared" si="72"/>
        <v>6478.8899999999994</v>
      </c>
      <c r="W1551" s="6" t="str">
        <f t="shared" si="73"/>
        <v>Sufficient</v>
      </c>
      <c r="X1551" s="8" t="str">
        <f t="shared" si="74"/>
        <v>High</v>
      </c>
    </row>
    <row r="1552" spans="1:24">
      <c r="A1552" s="7" t="s">
        <v>1682</v>
      </c>
      <c r="B1552" s="1" t="s">
        <v>29</v>
      </c>
      <c r="C1552" s="1">
        <v>414</v>
      </c>
      <c r="D1552" s="1">
        <v>66</v>
      </c>
      <c r="E1552" s="1">
        <v>10</v>
      </c>
      <c r="F1552" s="1">
        <v>4</v>
      </c>
      <c r="G1552" s="1">
        <v>10.75</v>
      </c>
      <c r="H1552" s="1" t="s">
        <v>558</v>
      </c>
      <c r="I1552" s="1" t="s">
        <v>31</v>
      </c>
      <c r="J1552" s="1">
        <v>134</v>
      </c>
      <c r="K1552" s="1">
        <v>2.74</v>
      </c>
      <c r="L1552" s="4">
        <v>147.59</v>
      </c>
      <c r="M1552" s="1">
        <v>0.23</v>
      </c>
      <c r="N1552" s="1">
        <v>3</v>
      </c>
      <c r="O1552" s="1">
        <v>0.95</v>
      </c>
      <c r="P1552" s="1">
        <v>704</v>
      </c>
      <c r="Q1552" s="1">
        <v>8.09</v>
      </c>
      <c r="R1552" s="1">
        <v>0.64</v>
      </c>
      <c r="S1552" s="2">
        <v>45343</v>
      </c>
      <c r="T1552" s="1">
        <v>53.26</v>
      </c>
      <c r="U1552" s="1">
        <v>0.74299999999999999</v>
      </c>
      <c r="V1552" s="6">
        <f t="shared" si="72"/>
        <v>61102.26</v>
      </c>
      <c r="W1552" s="6" t="str">
        <f t="shared" si="73"/>
        <v>Sufficient</v>
      </c>
      <c r="X1552" s="8" t="str">
        <f t="shared" si="74"/>
        <v>High</v>
      </c>
    </row>
    <row r="1553" spans="1:24">
      <c r="A1553" s="7" t="s">
        <v>1683</v>
      </c>
      <c r="B1553" s="1" t="s">
        <v>29</v>
      </c>
      <c r="C1553" s="1">
        <v>226</v>
      </c>
      <c r="D1553" s="1">
        <v>28</v>
      </c>
      <c r="E1553" s="1">
        <v>5</v>
      </c>
      <c r="F1553" s="1">
        <v>9</v>
      </c>
      <c r="G1553" s="1">
        <v>39.56</v>
      </c>
      <c r="H1553" s="1" t="s">
        <v>411</v>
      </c>
      <c r="I1553" s="1" t="s">
        <v>27</v>
      </c>
      <c r="J1553" s="1">
        <v>142</v>
      </c>
      <c r="K1553" s="1">
        <v>2.75</v>
      </c>
      <c r="L1553" s="4">
        <v>32.17</v>
      </c>
      <c r="M1553" s="1">
        <v>0.12</v>
      </c>
      <c r="N1553" s="1">
        <v>6</v>
      </c>
      <c r="O1553" s="1">
        <v>0.92</v>
      </c>
      <c r="P1553" s="1">
        <v>670</v>
      </c>
      <c r="Q1553" s="1">
        <v>5.72</v>
      </c>
      <c r="R1553" s="1">
        <v>0.64</v>
      </c>
      <c r="S1553" s="2">
        <v>45346</v>
      </c>
      <c r="T1553" s="1">
        <v>10.29</v>
      </c>
      <c r="U1553" s="1">
        <v>0.65600000000000003</v>
      </c>
      <c r="V1553" s="6">
        <f t="shared" si="72"/>
        <v>7270.42</v>
      </c>
      <c r="W1553" s="6" t="str">
        <f t="shared" si="73"/>
        <v>Sufficient</v>
      </c>
      <c r="X1553" s="8" t="str">
        <f t="shared" si="74"/>
        <v>Medium</v>
      </c>
    </row>
    <row r="1554" spans="1:24">
      <c r="A1554" s="7" t="s">
        <v>1684</v>
      </c>
      <c r="B1554" s="1" t="s">
        <v>33</v>
      </c>
      <c r="C1554" s="1">
        <v>355</v>
      </c>
      <c r="D1554" s="1">
        <v>74</v>
      </c>
      <c r="E1554" s="1">
        <v>7</v>
      </c>
      <c r="F1554" s="1">
        <v>5</v>
      </c>
      <c r="G1554" s="1">
        <v>23.63</v>
      </c>
      <c r="H1554" s="1" t="s">
        <v>38</v>
      </c>
      <c r="I1554" s="1" t="s">
        <v>39</v>
      </c>
      <c r="J1554" s="1">
        <v>160</v>
      </c>
      <c r="K1554" s="1">
        <v>3.63</v>
      </c>
      <c r="L1554" s="4">
        <v>12.74</v>
      </c>
      <c r="M1554" s="1">
        <v>0.64</v>
      </c>
      <c r="N1554" s="1">
        <v>6</v>
      </c>
      <c r="O1554" s="1">
        <v>0.85</v>
      </c>
      <c r="P1554" s="1">
        <v>472</v>
      </c>
      <c r="Q1554" s="1">
        <v>6.76</v>
      </c>
      <c r="R1554" s="1">
        <v>0.46</v>
      </c>
      <c r="S1554" s="2">
        <v>45580</v>
      </c>
      <c r="T1554" s="1">
        <v>159.33000000000001</v>
      </c>
      <c r="U1554" s="1">
        <v>0.56799999999999995</v>
      </c>
      <c r="V1554" s="6">
        <f t="shared" si="72"/>
        <v>4522.7</v>
      </c>
      <c r="W1554" s="6" t="str">
        <f t="shared" si="73"/>
        <v>Sufficient</v>
      </c>
      <c r="X1554" s="8" t="str">
        <f t="shared" si="74"/>
        <v>High</v>
      </c>
    </row>
    <row r="1555" spans="1:24">
      <c r="A1555" s="7" t="s">
        <v>1685</v>
      </c>
      <c r="B1555" s="1" t="s">
        <v>25</v>
      </c>
      <c r="C1555" s="1">
        <v>100</v>
      </c>
      <c r="D1555" s="1">
        <v>12</v>
      </c>
      <c r="E1555" s="1">
        <v>9</v>
      </c>
      <c r="F1555" s="1">
        <v>6</v>
      </c>
      <c r="G1555" s="1">
        <v>49.96</v>
      </c>
      <c r="H1555" s="1" t="s">
        <v>63</v>
      </c>
      <c r="I1555" s="1" t="s">
        <v>31</v>
      </c>
      <c r="J1555" s="1">
        <v>71</v>
      </c>
      <c r="K1555" s="1">
        <v>4.8</v>
      </c>
      <c r="L1555" s="4">
        <v>189.79</v>
      </c>
      <c r="M1555" s="1">
        <v>1</v>
      </c>
      <c r="N1555" s="1">
        <v>9</v>
      </c>
      <c r="O1555" s="1">
        <v>0.78</v>
      </c>
      <c r="P1555" s="1">
        <v>920</v>
      </c>
      <c r="Q1555" s="1">
        <v>11.25</v>
      </c>
      <c r="R1555" s="1">
        <v>0.71</v>
      </c>
      <c r="S1555" s="2">
        <v>45343</v>
      </c>
      <c r="T1555" s="1">
        <v>120.52</v>
      </c>
      <c r="U1555" s="1">
        <v>0.56799999999999995</v>
      </c>
      <c r="V1555" s="6">
        <f t="shared" si="72"/>
        <v>18979</v>
      </c>
      <c r="W1555" s="6" t="str">
        <f t="shared" si="73"/>
        <v>Sufficient</v>
      </c>
      <c r="X1555" s="8" t="str">
        <f t="shared" si="74"/>
        <v>Medium</v>
      </c>
    </row>
    <row r="1556" spans="1:24">
      <c r="A1556" s="7" t="s">
        <v>1686</v>
      </c>
      <c r="B1556" s="1" t="s">
        <v>33</v>
      </c>
      <c r="C1556" s="1">
        <v>237</v>
      </c>
      <c r="D1556" s="1">
        <v>51</v>
      </c>
      <c r="E1556" s="1">
        <v>3</v>
      </c>
      <c r="F1556" s="1">
        <v>5</v>
      </c>
      <c r="G1556" s="1">
        <v>42.12</v>
      </c>
      <c r="H1556" s="1" t="s">
        <v>200</v>
      </c>
      <c r="I1556" s="1" t="s">
        <v>39</v>
      </c>
      <c r="J1556" s="1">
        <v>138</v>
      </c>
      <c r="K1556" s="1">
        <v>2.15</v>
      </c>
      <c r="L1556" s="4">
        <v>46.65</v>
      </c>
      <c r="M1556" s="1">
        <v>0.1</v>
      </c>
      <c r="N1556" s="1">
        <v>4</v>
      </c>
      <c r="O1556" s="1">
        <v>0.96</v>
      </c>
      <c r="P1556" s="1">
        <v>881</v>
      </c>
      <c r="Q1556" s="1">
        <v>13.37</v>
      </c>
      <c r="R1556" s="1">
        <v>0.72</v>
      </c>
      <c r="S1556" s="2">
        <v>45438</v>
      </c>
      <c r="T1556" s="1">
        <v>187.85</v>
      </c>
      <c r="U1556" s="1">
        <v>0.82399999999999995</v>
      </c>
      <c r="V1556" s="6">
        <f t="shared" si="72"/>
        <v>11056.05</v>
      </c>
      <c r="W1556" s="6" t="str">
        <f t="shared" si="73"/>
        <v>Sufficient</v>
      </c>
      <c r="X1556" s="8" t="str">
        <f t="shared" si="74"/>
        <v>Medium</v>
      </c>
    </row>
    <row r="1557" spans="1:24">
      <c r="A1557" s="7" t="s">
        <v>1687</v>
      </c>
      <c r="B1557" s="1" t="s">
        <v>66</v>
      </c>
      <c r="C1557" s="1">
        <v>21</v>
      </c>
      <c r="D1557" s="1">
        <v>30</v>
      </c>
      <c r="E1557" s="1">
        <v>9</v>
      </c>
      <c r="F1557" s="1">
        <v>3</v>
      </c>
      <c r="G1557" s="1">
        <v>37.25</v>
      </c>
      <c r="H1557" s="1" t="s">
        <v>171</v>
      </c>
      <c r="I1557" s="1" t="s">
        <v>27</v>
      </c>
      <c r="J1557" s="1">
        <v>83</v>
      </c>
      <c r="K1557" s="1">
        <v>1.28</v>
      </c>
      <c r="L1557" s="4">
        <v>167.33</v>
      </c>
      <c r="M1557" s="1">
        <v>1.2</v>
      </c>
      <c r="N1557" s="1">
        <v>8</v>
      </c>
      <c r="O1557" s="1">
        <v>0.93</v>
      </c>
      <c r="P1557" s="1">
        <v>113</v>
      </c>
      <c r="Q1557" s="1">
        <v>8.1199999999999992</v>
      </c>
      <c r="R1557" s="1">
        <v>0.35</v>
      </c>
      <c r="S1557" s="2">
        <v>45566</v>
      </c>
      <c r="T1557" s="1">
        <v>72.75</v>
      </c>
      <c r="U1557" s="1">
        <v>0.48399999999999999</v>
      </c>
      <c r="V1557" s="6">
        <f t="shared" si="72"/>
        <v>3513.9300000000003</v>
      </c>
      <c r="W1557" s="6" t="str">
        <f t="shared" si="73"/>
        <v>Reorder Required</v>
      </c>
      <c r="X1557" s="8" t="str">
        <f t="shared" si="74"/>
        <v>LOW</v>
      </c>
    </row>
    <row r="1558" spans="1:24">
      <c r="A1558" s="7" t="s">
        <v>1688</v>
      </c>
      <c r="B1558" s="1" t="s">
        <v>29</v>
      </c>
      <c r="C1558" s="1">
        <v>197</v>
      </c>
      <c r="D1558" s="1">
        <v>49</v>
      </c>
      <c r="E1558" s="1">
        <v>14</v>
      </c>
      <c r="F1558" s="1">
        <v>2</v>
      </c>
      <c r="G1558" s="1">
        <v>43.67</v>
      </c>
      <c r="H1558" s="1" t="s">
        <v>68</v>
      </c>
      <c r="I1558" s="1" t="s">
        <v>39</v>
      </c>
      <c r="J1558" s="1">
        <v>123</v>
      </c>
      <c r="K1558" s="1">
        <v>1.33</v>
      </c>
      <c r="L1558" s="4">
        <v>193.25</v>
      </c>
      <c r="M1558" s="1">
        <v>0.73</v>
      </c>
      <c r="N1558" s="1">
        <v>6</v>
      </c>
      <c r="O1558" s="1">
        <v>0.95</v>
      </c>
      <c r="P1558" s="1">
        <v>320</v>
      </c>
      <c r="Q1558" s="1">
        <v>9.5399999999999991</v>
      </c>
      <c r="R1558" s="1">
        <v>0.74</v>
      </c>
      <c r="S1558" s="2">
        <v>45468</v>
      </c>
      <c r="T1558" s="1">
        <v>251.01</v>
      </c>
      <c r="U1558" s="1">
        <v>0.67200000000000004</v>
      </c>
      <c r="V1558" s="6">
        <f t="shared" si="72"/>
        <v>38070.25</v>
      </c>
      <c r="W1558" s="6" t="str">
        <f t="shared" si="73"/>
        <v>Sufficient</v>
      </c>
      <c r="X1558" s="8" t="str">
        <f t="shared" si="74"/>
        <v>Medium</v>
      </c>
    </row>
    <row r="1559" spans="1:24">
      <c r="A1559" s="7" t="s">
        <v>1689</v>
      </c>
      <c r="B1559" s="1" t="s">
        <v>33</v>
      </c>
      <c r="C1559" s="1">
        <v>415</v>
      </c>
      <c r="D1559" s="1">
        <v>76</v>
      </c>
      <c r="E1559" s="1">
        <v>13</v>
      </c>
      <c r="F1559" s="1">
        <v>8</v>
      </c>
      <c r="G1559" s="1">
        <v>32.07</v>
      </c>
      <c r="H1559" s="1" t="s">
        <v>370</v>
      </c>
      <c r="I1559" s="1" t="s">
        <v>39</v>
      </c>
      <c r="J1559" s="1">
        <v>63</v>
      </c>
      <c r="K1559" s="1">
        <v>0.59</v>
      </c>
      <c r="L1559" s="4">
        <v>111.48</v>
      </c>
      <c r="M1559" s="1">
        <v>0.84</v>
      </c>
      <c r="N1559" s="1">
        <v>1</v>
      </c>
      <c r="O1559" s="1">
        <v>0.74</v>
      </c>
      <c r="P1559" s="1">
        <v>747</v>
      </c>
      <c r="Q1559" s="1">
        <v>13.1</v>
      </c>
      <c r="R1559" s="1">
        <v>0.41</v>
      </c>
      <c r="S1559" s="2">
        <v>45502</v>
      </c>
      <c r="T1559" s="1">
        <v>121.12</v>
      </c>
      <c r="U1559" s="1">
        <v>0.70099999999999996</v>
      </c>
      <c r="V1559" s="6">
        <f t="shared" si="72"/>
        <v>46264.200000000004</v>
      </c>
      <c r="W1559" s="6" t="str">
        <f t="shared" si="73"/>
        <v>Sufficient</v>
      </c>
      <c r="X1559" s="8" t="str">
        <f t="shared" si="74"/>
        <v>High</v>
      </c>
    </row>
    <row r="1560" spans="1:24">
      <c r="A1560" s="7" t="s">
        <v>1690</v>
      </c>
      <c r="B1560" s="1" t="s">
        <v>33</v>
      </c>
      <c r="C1560" s="1">
        <v>390</v>
      </c>
      <c r="D1560" s="1">
        <v>34</v>
      </c>
      <c r="E1560" s="1">
        <v>10</v>
      </c>
      <c r="F1560" s="1">
        <v>6</v>
      </c>
      <c r="G1560" s="1">
        <v>42.34</v>
      </c>
      <c r="H1560" s="1" t="s">
        <v>370</v>
      </c>
      <c r="I1560" s="1" t="s">
        <v>45</v>
      </c>
      <c r="J1560" s="1">
        <v>125</v>
      </c>
      <c r="K1560" s="1">
        <v>3</v>
      </c>
      <c r="L1560" s="4">
        <v>109.96</v>
      </c>
      <c r="M1560" s="1">
        <v>0.6</v>
      </c>
      <c r="N1560" s="1">
        <v>2</v>
      </c>
      <c r="O1560" s="1">
        <v>0.79</v>
      </c>
      <c r="P1560" s="1">
        <v>917</v>
      </c>
      <c r="Q1560" s="1">
        <v>3.01</v>
      </c>
      <c r="R1560" s="1">
        <v>0.75</v>
      </c>
      <c r="S1560" s="2">
        <v>45427</v>
      </c>
      <c r="T1560" s="1">
        <v>150.04</v>
      </c>
      <c r="U1560" s="1">
        <v>0.64800000000000002</v>
      </c>
      <c r="V1560" s="6">
        <f t="shared" si="72"/>
        <v>42884.399999999994</v>
      </c>
      <c r="W1560" s="6" t="str">
        <f t="shared" si="73"/>
        <v>Sufficient</v>
      </c>
      <c r="X1560" s="8" t="str">
        <f t="shared" si="74"/>
        <v>High</v>
      </c>
    </row>
    <row r="1561" spans="1:24">
      <c r="A1561" s="7" t="s">
        <v>1691</v>
      </c>
      <c r="B1561" s="1" t="s">
        <v>66</v>
      </c>
      <c r="C1561" s="1">
        <v>365</v>
      </c>
      <c r="D1561" s="1">
        <v>64</v>
      </c>
      <c r="E1561" s="1">
        <v>10</v>
      </c>
      <c r="F1561" s="1">
        <v>4</v>
      </c>
      <c r="G1561" s="1">
        <v>13.8</v>
      </c>
      <c r="H1561" s="1" t="s">
        <v>333</v>
      </c>
      <c r="I1561" s="1" t="s">
        <v>27</v>
      </c>
      <c r="J1561" s="1">
        <v>140</v>
      </c>
      <c r="K1561" s="1">
        <v>4.68</v>
      </c>
      <c r="L1561" s="4">
        <v>79.81</v>
      </c>
      <c r="M1561" s="1">
        <v>1.1100000000000001</v>
      </c>
      <c r="N1561" s="1">
        <v>6</v>
      </c>
      <c r="O1561" s="1">
        <v>0.83</v>
      </c>
      <c r="P1561" s="1">
        <v>884</v>
      </c>
      <c r="Q1561" s="1">
        <v>3.27</v>
      </c>
      <c r="R1561" s="1">
        <v>0.69</v>
      </c>
      <c r="S1561" s="2">
        <v>45488</v>
      </c>
      <c r="T1561" s="1">
        <v>222.42</v>
      </c>
      <c r="U1561" s="1">
        <v>0.51700000000000002</v>
      </c>
      <c r="V1561" s="6">
        <f t="shared" si="72"/>
        <v>29130.65</v>
      </c>
      <c r="W1561" s="6" t="str">
        <f t="shared" si="73"/>
        <v>Sufficient</v>
      </c>
      <c r="X1561" s="8" t="str">
        <f t="shared" si="74"/>
        <v>High</v>
      </c>
    </row>
    <row r="1562" spans="1:24">
      <c r="A1562" s="7" t="s">
        <v>1692</v>
      </c>
      <c r="B1562" s="1" t="s">
        <v>41</v>
      </c>
      <c r="C1562" s="1">
        <v>298</v>
      </c>
      <c r="D1562" s="1">
        <v>93</v>
      </c>
      <c r="E1562" s="1">
        <v>11</v>
      </c>
      <c r="F1562" s="1">
        <v>2</v>
      </c>
      <c r="G1562" s="1">
        <v>5.79</v>
      </c>
      <c r="H1562" s="1" t="s">
        <v>145</v>
      </c>
      <c r="I1562" s="1" t="s">
        <v>31</v>
      </c>
      <c r="J1562" s="1">
        <v>92</v>
      </c>
      <c r="K1562" s="1">
        <v>3.71</v>
      </c>
      <c r="L1562" s="4">
        <v>90.86</v>
      </c>
      <c r="M1562" s="1">
        <v>0.54</v>
      </c>
      <c r="N1562" s="1">
        <v>4</v>
      </c>
      <c r="O1562" s="1">
        <v>0.95</v>
      </c>
      <c r="P1562" s="1">
        <v>562</v>
      </c>
      <c r="Q1562" s="1">
        <v>6.03</v>
      </c>
      <c r="R1562" s="1">
        <v>0.77</v>
      </c>
      <c r="S1562" s="2">
        <v>45627</v>
      </c>
      <c r="T1562" s="1">
        <v>58.19</v>
      </c>
      <c r="U1562" s="1">
        <v>0.69</v>
      </c>
      <c r="V1562" s="6">
        <f t="shared" si="72"/>
        <v>27076.28</v>
      </c>
      <c r="W1562" s="6" t="str">
        <f t="shared" si="73"/>
        <v>Sufficient</v>
      </c>
      <c r="X1562" s="8" t="str">
        <f t="shared" si="74"/>
        <v>High</v>
      </c>
    </row>
    <row r="1563" spans="1:24">
      <c r="A1563" s="7" t="s">
        <v>1693</v>
      </c>
      <c r="B1563" s="1" t="s">
        <v>25</v>
      </c>
      <c r="C1563" s="1">
        <v>165</v>
      </c>
      <c r="D1563" s="1">
        <v>61</v>
      </c>
      <c r="E1563" s="1">
        <v>8</v>
      </c>
      <c r="F1563" s="1">
        <v>2</v>
      </c>
      <c r="G1563" s="1">
        <v>31.18</v>
      </c>
      <c r="H1563" s="1" t="s">
        <v>115</v>
      </c>
      <c r="I1563" s="1" t="s">
        <v>39</v>
      </c>
      <c r="J1563" s="1">
        <v>139</v>
      </c>
      <c r="K1563" s="1">
        <v>4.97</v>
      </c>
      <c r="L1563" s="4">
        <v>101.59</v>
      </c>
      <c r="M1563" s="1">
        <v>0.36</v>
      </c>
      <c r="N1563" s="1">
        <v>6</v>
      </c>
      <c r="O1563" s="1">
        <v>0.97</v>
      </c>
      <c r="P1563" s="1">
        <v>56</v>
      </c>
      <c r="Q1563" s="1">
        <v>5.33</v>
      </c>
      <c r="R1563" s="1">
        <v>0.22</v>
      </c>
      <c r="S1563" s="2">
        <v>45540</v>
      </c>
      <c r="T1563" s="1">
        <v>86.08</v>
      </c>
      <c r="U1563" s="1">
        <v>0.55300000000000005</v>
      </c>
      <c r="V1563" s="6">
        <f t="shared" si="72"/>
        <v>16762.350000000002</v>
      </c>
      <c r="W1563" s="6" t="str">
        <f t="shared" si="73"/>
        <v>Sufficient</v>
      </c>
      <c r="X1563" s="8" t="str">
        <f t="shared" si="74"/>
        <v>Medium</v>
      </c>
    </row>
    <row r="1564" spans="1:24">
      <c r="A1564" s="7" t="s">
        <v>1694</v>
      </c>
      <c r="B1564" s="1" t="s">
        <v>41</v>
      </c>
      <c r="C1564" s="1">
        <v>337</v>
      </c>
      <c r="D1564" s="1">
        <v>53</v>
      </c>
      <c r="E1564" s="1">
        <v>14</v>
      </c>
      <c r="F1564" s="1">
        <v>8</v>
      </c>
      <c r="G1564" s="1">
        <v>22.3</v>
      </c>
      <c r="H1564" s="1" t="s">
        <v>181</v>
      </c>
      <c r="I1564" s="1" t="s">
        <v>27</v>
      </c>
      <c r="J1564" s="1">
        <v>58</v>
      </c>
      <c r="K1564" s="1">
        <v>4.59</v>
      </c>
      <c r="L1564" s="4">
        <v>38.9</v>
      </c>
      <c r="M1564" s="1">
        <v>1.79</v>
      </c>
      <c r="N1564" s="1">
        <v>8</v>
      </c>
      <c r="O1564" s="1">
        <v>0.79</v>
      </c>
      <c r="P1564" s="1">
        <v>442</v>
      </c>
      <c r="Q1564" s="1">
        <v>14.81</v>
      </c>
      <c r="R1564" s="1">
        <v>0.3</v>
      </c>
      <c r="S1564" s="2">
        <v>45584</v>
      </c>
      <c r="T1564" s="1">
        <v>54.88</v>
      </c>
      <c r="U1564" s="1">
        <v>0.47599999999999998</v>
      </c>
      <c r="V1564" s="6">
        <f t="shared" si="72"/>
        <v>13109.3</v>
      </c>
      <c r="W1564" s="6" t="str">
        <f t="shared" si="73"/>
        <v>Sufficient</v>
      </c>
      <c r="X1564" s="8" t="str">
        <f t="shared" si="74"/>
        <v>High</v>
      </c>
    </row>
    <row r="1565" spans="1:24">
      <c r="A1565" s="7" t="s">
        <v>1695</v>
      </c>
      <c r="B1565" s="1" t="s">
        <v>29</v>
      </c>
      <c r="C1565" s="1">
        <v>243</v>
      </c>
      <c r="D1565" s="1">
        <v>94</v>
      </c>
      <c r="E1565" s="1">
        <v>8</v>
      </c>
      <c r="F1565" s="1">
        <v>3</v>
      </c>
      <c r="G1565" s="1">
        <v>21.9</v>
      </c>
      <c r="H1565" s="1" t="s">
        <v>171</v>
      </c>
      <c r="I1565" s="1" t="s">
        <v>45</v>
      </c>
      <c r="J1565" s="1">
        <v>40</v>
      </c>
      <c r="K1565" s="1">
        <v>2.71</v>
      </c>
      <c r="L1565" s="4">
        <v>79.3</v>
      </c>
      <c r="M1565" s="1">
        <v>0.84</v>
      </c>
      <c r="N1565" s="1">
        <v>8</v>
      </c>
      <c r="O1565" s="1">
        <v>0.91</v>
      </c>
      <c r="P1565" s="1">
        <v>50</v>
      </c>
      <c r="Q1565" s="1">
        <v>8.9</v>
      </c>
      <c r="R1565" s="1">
        <v>0.87</v>
      </c>
      <c r="S1565" s="2">
        <v>45603</v>
      </c>
      <c r="T1565" s="1">
        <v>232.74</v>
      </c>
      <c r="U1565" s="1">
        <v>0.63100000000000001</v>
      </c>
      <c r="V1565" s="6">
        <f t="shared" si="72"/>
        <v>19269.899999999998</v>
      </c>
      <c r="W1565" s="6" t="str">
        <f t="shared" si="73"/>
        <v>Sufficient</v>
      </c>
      <c r="X1565" s="8" t="str">
        <f t="shared" si="74"/>
        <v>Medium</v>
      </c>
    </row>
    <row r="1566" spans="1:24">
      <c r="A1566" s="7" t="s">
        <v>1696</v>
      </c>
      <c r="B1566" s="1" t="s">
        <v>33</v>
      </c>
      <c r="C1566" s="1">
        <v>388</v>
      </c>
      <c r="D1566" s="1">
        <v>65</v>
      </c>
      <c r="E1566" s="1">
        <v>4</v>
      </c>
      <c r="F1566" s="1">
        <v>3</v>
      </c>
      <c r="G1566" s="1">
        <v>26.81</v>
      </c>
      <c r="H1566" s="1" t="s">
        <v>55</v>
      </c>
      <c r="I1566" s="1" t="s">
        <v>45</v>
      </c>
      <c r="J1566" s="1">
        <v>83</v>
      </c>
      <c r="K1566" s="1">
        <v>2.69</v>
      </c>
      <c r="L1566" s="4">
        <v>165.06</v>
      </c>
      <c r="M1566" s="1">
        <v>0.25</v>
      </c>
      <c r="N1566" s="1">
        <v>2</v>
      </c>
      <c r="O1566" s="1">
        <v>0.72</v>
      </c>
      <c r="P1566" s="1">
        <v>310</v>
      </c>
      <c r="Q1566" s="1">
        <v>8.33</v>
      </c>
      <c r="R1566" s="1">
        <v>0.5</v>
      </c>
      <c r="S1566" s="2">
        <v>45534</v>
      </c>
      <c r="T1566" s="1">
        <v>38.28</v>
      </c>
      <c r="U1566" s="1">
        <v>0.69</v>
      </c>
      <c r="V1566" s="6">
        <f t="shared" si="72"/>
        <v>64043.28</v>
      </c>
      <c r="W1566" s="6" t="str">
        <f t="shared" si="73"/>
        <v>Sufficient</v>
      </c>
      <c r="X1566" s="8" t="str">
        <f t="shared" si="74"/>
        <v>High</v>
      </c>
    </row>
    <row r="1567" spans="1:24">
      <c r="A1567" s="7" t="s">
        <v>1697</v>
      </c>
      <c r="B1567" s="1" t="s">
        <v>66</v>
      </c>
      <c r="C1567" s="1">
        <v>403</v>
      </c>
      <c r="D1567" s="1">
        <v>64</v>
      </c>
      <c r="E1567" s="1">
        <v>5</v>
      </c>
      <c r="F1567" s="1">
        <v>3</v>
      </c>
      <c r="G1567" s="1">
        <v>18.71</v>
      </c>
      <c r="H1567" s="1" t="s">
        <v>183</v>
      </c>
      <c r="I1567" s="1" t="s">
        <v>39</v>
      </c>
      <c r="J1567" s="1">
        <v>126</v>
      </c>
      <c r="K1567" s="1">
        <v>3.33</v>
      </c>
      <c r="L1567" s="4">
        <v>44.66</v>
      </c>
      <c r="M1567" s="1">
        <v>0.54</v>
      </c>
      <c r="N1567" s="1">
        <v>7</v>
      </c>
      <c r="O1567" s="1">
        <v>0.82</v>
      </c>
      <c r="P1567" s="1">
        <v>96</v>
      </c>
      <c r="Q1567" s="1">
        <v>9.1</v>
      </c>
      <c r="R1567" s="1">
        <v>0.87</v>
      </c>
      <c r="S1567" s="2">
        <v>45311</v>
      </c>
      <c r="T1567" s="1">
        <v>151.81</v>
      </c>
      <c r="U1567" s="1">
        <v>0.66500000000000004</v>
      </c>
      <c r="V1567" s="6">
        <f t="shared" si="72"/>
        <v>17997.98</v>
      </c>
      <c r="W1567" s="6" t="str">
        <f t="shared" si="73"/>
        <v>Sufficient</v>
      </c>
      <c r="X1567" s="8" t="str">
        <f t="shared" si="74"/>
        <v>High</v>
      </c>
    </row>
    <row r="1568" spans="1:24">
      <c r="A1568" s="7" t="s">
        <v>1698</v>
      </c>
      <c r="B1568" s="1" t="s">
        <v>66</v>
      </c>
      <c r="C1568" s="1">
        <v>81</v>
      </c>
      <c r="D1568" s="1">
        <v>96</v>
      </c>
      <c r="E1568" s="1">
        <v>6</v>
      </c>
      <c r="F1568" s="1">
        <v>6</v>
      </c>
      <c r="G1568" s="1">
        <v>31.68</v>
      </c>
      <c r="H1568" s="1" t="s">
        <v>117</v>
      </c>
      <c r="I1568" s="1" t="s">
        <v>39</v>
      </c>
      <c r="J1568" s="1">
        <v>12</v>
      </c>
      <c r="K1568" s="1">
        <v>1</v>
      </c>
      <c r="L1568" s="4">
        <v>148.66999999999999</v>
      </c>
      <c r="M1568" s="1">
        <v>0.69</v>
      </c>
      <c r="N1568" s="1">
        <v>5</v>
      </c>
      <c r="O1568" s="1">
        <v>0.85</v>
      </c>
      <c r="P1568" s="1">
        <v>917</v>
      </c>
      <c r="Q1568" s="1">
        <v>13.25</v>
      </c>
      <c r="R1568" s="1">
        <v>0.25</v>
      </c>
      <c r="S1568" s="2">
        <v>45380</v>
      </c>
      <c r="T1568" s="1">
        <v>227.47</v>
      </c>
      <c r="U1568" s="1">
        <v>0.628</v>
      </c>
      <c r="V1568" s="6">
        <f t="shared" si="72"/>
        <v>12042.269999999999</v>
      </c>
      <c r="W1568" s="6" t="str">
        <f t="shared" si="73"/>
        <v>Reorder Required</v>
      </c>
      <c r="X1568" s="8" t="str">
        <f t="shared" si="74"/>
        <v>LOW</v>
      </c>
    </row>
    <row r="1569" spans="1:24">
      <c r="A1569" s="7" t="s">
        <v>1699</v>
      </c>
      <c r="B1569" s="1" t="s">
        <v>25</v>
      </c>
      <c r="C1569" s="1">
        <v>313</v>
      </c>
      <c r="D1569" s="1">
        <v>79</v>
      </c>
      <c r="E1569" s="1">
        <v>6</v>
      </c>
      <c r="F1569" s="1">
        <v>5</v>
      </c>
      <c r="G1569" s="1">
        <v>2.5</v>
      </c>
      <c r="H1569" s="1" t="s">
        <v>210</v>
      </c>
      <c r="I1569" s="1" t="s">
        <v>31</v>
      </c>
      <c r="J1569" s="1">
        <v>133</v>
      </c>
      <c r="K1569" s="1">
        <v>3.23</v>
      </c>
      <c r="L1569" s="4">
        <v>133.80000000000001</v>
      </c>
      <c r="M1569" s="1">
        <v>1.56</v>
      </c>
      <c r="N1569" s="1">
        <v>3</v>
      </c>
      <c r="O1569" s="1">
        <v>0.93</v>
      </c>
      <c r="P1569" s="1">
        <v>827</v>
      </c>
      <c r="Q1569" s="1">
        <v>4.41</v>
      </c>
      <c r="R1569" s="1">
        <v>0.82</v>
      </c>
      <c r="S1569" s="2">
        <v>45433</v>
      </c>
      <c r="T1569" s="1">
        <v>157.25</v>
      </c>
      <c r="U1569" s="1">
        <v>0.59299999999999997</v>
      </c>
      <c r="V1569" s="6">
        <f t="shared" si="72"/>
        <v>41879.4</v>
      </c>
      <c r="W1569" s="6" t="str">
        <f t="shared" si="73"/>
        <v>Sufficient</v>
      </c>
      <c r="X1569" s="8" t="str">
        <f t="shared" si="74"/>
        <v>High</v>
      </c>
    </row>
    <row r="1570" spans="1:24">
      <c r="A1570" s="7" t="s">
        <v>1700</v>
      </c>
      <c r="B1570" s="1" t="s">
        <v>41</v>
      </c>
      <c r="C1570" s="1">
        <v>258</v>
      </c>
      <c r="D1570" s="1">
        <v>86</v>
      </c>
      <c r="E1570" s="1">
        <v>10</v>
      </c>
      <c r="F1570" s="1">
        <v>2</v>
      </c>
      <c r="G1570" s="1">
        <v>48.52</v>
      </c>
      <c r="H1570" s="1" t="s">
        <v>229</v>
      </c>
      <c r="I1570" s="1" t="s">
        <v>27</v>
      </c>
      <c r="J1570" s="1">
        <v>172</v>
      </c>
      <c r="K1570" s="1">
        <v>2.59</v>
      </c>
      <c r="L1570" s="4">
        <v>20.89</v>
      </c>
      <c r="M1570" s="1">
        <v>0.14000000000000001</v>
      </c>
      <c r="N1570" s="1">
        <v>3</v>
      </c>
      <c r="O1570" s="1">
        <v>0.97</v>
      </c>
      <c r="P1570" s="1">
        <v>51</v>
      </c>
      <c r="Q1570" s="1">
        <v>8.15</v>
      </c>
      <c r="R1570" s="1">
        <v>0.27</v>
      </c>
      <c r="S1570" s="2">
        <v>45498</v>
      </c>
      <c r="T1570" s="1">
        <v>157.52000000000001</v>
      </c>
      <c r="U1570" s="1">
        <v>0.68300000000000005</v>
      </c>
      <c r="V1570" s="6">
        <f t="shared" si="72"/>
        <v>5389.62</v>
      </c>
      <c r="W1570" s="6" t="str">
        <f t="shared" si="73"/>
        <v>Sufficient</v>
      </c>
      <c r="X1570" s="8" t="str">
        <f t="shared" si="74"/>
        <v>High</v>
      </c>
    </row>
    <row r="1571" spans="1:24">
      <c r="A1571" s="7" t="s">
        <v>1701</v>
      </c>
      <c r="B1571" s="1" t="s">
        <v>25</v>
      </c>
      <c r="C1571" s="1">
        <v>214</v>
      </c>
      <c r="D1571" s="1">
        <v>96</v>
      </c>
      <c r="E1571" s="1">
        <v>3</v>
      </c>
      <c r="F1571" s="1">
        <v>5</v>
      </c>
      <c r="G1571" s="1">
        <v>46.31</v>
      </c>
      <c r="H1571" s="1" t="s">
        <v>38</v>
      </c>
      <c r="I1571" s="1" t="s">
        <v>31</v>
      </c>
      <c r="J1571" s="1">
        <v>94</v>
      </c>
      <c r="K1571" s="1">
        <v>3.39</v>
      </c>
      <c r="L1571" s="4">
        <v>14.26</v>
      </c>
      <c r="M1571" s="1">
        <v>1.01</v>
      </c>
      <c r="N1571" s="1">
        <v>3</v>
      </c>
      <c r="O1571" s="1">
        <v>0.8</v>
      </c>
      <c r="P1571" s="1">
        <v>584</v>
      </c>
      <c r="Q1571" s="1">
        <v>4.79</v>
      </c>
      <c r="R1571" s="1">
        <v>0.56999999999999995</v>
      </c>
      <c r="S1571" s="2">
        <v>45365</v>
      </c>
      <c r="T1571" s="1">
        <v>28.47</v>
      </c>
      <c r="U1571" s="1">
        <v>0.57699999999999996</v>
      </c>
      <c r="V1571" s="6">
        <f t="shared" si="72"/>
        <v>3051.64</v>
      </c>
      <c r="W1571" s="6" t="str">
        <f t="shared" si="73"/>
        <v>Sufficient</v>
      </c>
      <c r="X1571" s="8" t="str">
        <f t="shared" si="74"/>
        <v>Medium</v>
      </c>
    </row>
    <row r="1572" spans="1:24">
      <c r="A1572" s="7" t="s">
        <v>1702</v>
      </c>
      <c r="B1572" s="1" t="s">
        <v>33</v>
      </c>
      <c r="C1572" s="1">
        <v>185</v>
      </c>
      <c r="D1572" s="1">
        <v>82</v>
      </c>
      <c r="E1572" s="1">
        <v>12</v>
      </c>
      <c r="F1572" s="1">
        <v>5</v>
      </c>
      <c r="G1572" s="1">
        <v>46.83</v>
      </c>
      <c r="H1572" s="1" t="s">
        <v>149</v>
      </c>
      <c r="I1572" s="1" t="s">
        <v>31</v>
      </c>
      <c r="J1572" s="1">
        <v>173</v>
      </c>
      <c r="K1572" s="1">
        <v>3.04</v>
      </c>
      <c r="L1572" s="4">
        <v>76.98</v>
      </c>
      <c r="M1572" s="1">
        <v>0.87</v>
      </c>
      <c r="N1572" s="1">
        <v>6</v>
      </c>
      <c r="O1572" s="1">
        <v>0.86</v>
      </c>
      <c r="P1572" s="1">
        <v>408</v>
      </c>
      <c r="Q1572" s="1">
        <v>11.93</v>
      </c>
      <c r="R1572" s="1">
        <v>0.95</v>
      </c>
      <c r="S1572" s="2">
        <v>45608</v>
      </c>
      <c r="T1572" s="1">
        <v>237.03</v>
      </c>
      <c r="U1572" s="1">
        <v>0.71399999999999997</v>
      </c>
      <c r="V1572" s="6">
        <f t="shared" si="72"/>
        <v>14241.300000000001</v>
      </c>
      <c r="W1572" s="6" t="str">
        <f t="shared" si="73"/>
        <v>Sufficient</v>
      </c>
      <c r="X1572" s="8" t="str">
        <f t="shared" si="74"/>
        <v>Medium</v>
      </c>
    </row>
    <row r="1573" spans="1:24">
      <c r="A1573" s="7" t="s">
        <v>1703</v>
      </c>
      <c r="B1573" s="1" t="s">
        <v>25</v>
      </c>
      <c r="C1573" s="1">
        <v>470</v>
      </c>
      <c r="D1573" s="1">
        <v>90</v>
      </c>
      <c r="E1573" s="1">
        <v>6</v>
      </c>
      <c r="F1573" s="1">
        <v>3</v>
      </c>
      <c r="G1573" s="1">
        <v>18.89</v>
      </c>
      <c r="H1573" s="1" t="s">
        <v>132</v>
      </c>
      <c r="I1573" s="1" t="s">
        <v>45</v>
      </c>
      <c r="J1573" s="1">
        <v>73</v>
      </c>
      <c r="K1573" s="1">
        <v>1.9</v>
      </c>
      <c r="L1573" s="4">
        <v>141.51</v>
      </c>
      <c r="M1573" s="1">
        <v>1.94</v>
      </c>
      <c r="N1573" s="1">
        <v>5</v>
      </c>
      <c r="O1573" s="1">
        <v>0.89</v>
      </c>
      <c r="P1573" s="1">
        <v>526</v>
      </c>
      <c r="Q1573" s="1">
        <v>11.88</v>
      </c>
      <c r="R1573" s="1">
        <v>0.26</v>
      </c>
      <c r="S1573" s="2">
        <v>45603</v>
      </c>
      <c r="T1573" s="1">
        <v>185.16</v>
      </c>
      <c r="U1573" s="1">
        <v>0.49399999999999999</v>
      </c>
      <c r="V1573" s="6">
        <f t="shared" si="72"/>
        <v>66509.7</v>
      </c>
      <c r="W1573" s="6" t="str">
        <f t="shared" si="73"/>
        <v>Sufficient</v>
      </c>
      <c r="X1573" s="8" t="str">
        <f t="shared" si="74"/>
        <v>High</v>
      </c>
    </row>
    <row r="1574" spans="1:24">
      <c r="A1574" s="7" t="s">
        <v>1704</v>
      </c>
      <c r="B1574" s="1" t="s">
        <v>66</v>
      </c>
      <c r="C1574" s="1">
        <v>241</v>
      </c>
      <c r="D1574" s="1">
        <v>75</v>
      </c>
      <c r="E1574" s="1">
        <v>13</v>
      </c>
      <c r="F1574" s="1">
        <v>5</v>
      </c>
      <c r="G1574" s="1">
        <v>27.06</v>
      </c>
      <c r="H1574" s="1" t="s">
        <v>128</v>
      </c>
      <c r="I1574" s="1" t="s">
        <v>27</v>
      </c>
      <c r="J1574" s="1">
        <v>169</v>
      </c>
      <c r="K1574" s="1">
        <v>3.23</v>
      </c>
      <c r="L1574" s="4">
        <v>72.78</v>
      </c>
      <c r="M1574" s="1">
        <v>0.44</v>
      </c>
      <c r="N1574" s="1">
        <v>1</v>
      </c>
      <c r="O1574" s="1">
        <v>0.8</v>
      </c>
      <c r="P1574" s="1">
        <v>964</v>
      </c>
      <c r="Q1574" s="1">
        <v>14.4</v>
      </c>
      <c r="R1574" s="1">
        <v>0.48</v>
      </c>
      <c r="S1574" s="2">
        <v>45640</v>
      </c>
      <c r="T1574" s="1">
        <v>203.58</v>
      </c>
      <c r="U1574" s="1">
        <v>0.78400000000000003</v>
      </c>
      <c r="V1574" s="6">
        <f t="shared" si="72"/>
        <v>17539.98</v>
      </c>
      <c r="W1574" s="6" t="str">
        <f t="shared" si="73"/>
        <v>Sufficient</v>
      </c>
      <c r="X1574" s="8" t="str">
        <f t="shared" si="74"/>
        <v>Medium</v>
      </c>
    </row>
    <row r="1575" spans="1:24">
      <c r="A1575" s="7" t="s">
        <v>1705</v>
      </c>
      <c r="B1575" s="1" t="s">
        <v>66</v>
      </c>
      <c r="C1575" s="1">
        <v>80</v>
      </c>
      <c r="D1575" s="1">
        <v>28</v>
      </c>
      <c r="E1575" s="1">
        <v>14</v>
      </c>
      <c r="F1575" s="1">
        <v>2</v>
      </c>
      <c r="G1575" s="1">
        <v>47.75</v>
      </c>
      <c r="H1575" s="1" t="s">
        <v>57</v>
      </c>
      <c r="I1575" s="1" t="s">
        <v>31</v>
      </c>
      <c r="J1575" s="1">
        <v>27</v>
      </c>
      <c r="K1575" s="1">
        <v>2.15</v>
      </c>
      <c r="L1575" s="4">
        <v>136.87</v>
      </c>
      <c r="M1575" s="1">
        <v>1.29</v>
      </c>
      <c r="N1575" s="1">
        <v>4</v>
      </c>
      <c r="O1575" s="1">
        <v>1</v>
      </c>
      <c r="P1575" s="1">
        <v>471</v>
      </c>
      <c r="Q1575" s="1">
        <v>7.26</v>
      </c>
      <c r="R1575" s="1">
        <v>0.61</v>
      </c>
      <c r="S1575" s="2">
        <v>45647</v>
      </c>
      <c r="T1575" s="1">
        <v>232.08</v>
      </c>
      <c r="U1575" s="1">
        <v>0.61</v>
      </c>
      <c r="V1575" s="6">
        <f t="shared" si="72"/>
        <v>10949.6</v>
      </c>
      <c r="W1575" s="6" t="str">
        <f t="shared" si="73"/>
        <v>Sufficient</v>
      </c>
      <c r="X1575" s="8" t="str">
        <f t="shared" si="74"/>
        <v>LOW</v>
      </c>
    </row>
    <row r="1576" spans="1:24">
      <c r="A1576" s="7" t="s">
        <v>1706</v>
      </c>
      <c r="B1576" s="1" t="s">
        <v>29</v>
      </c>
      <c r="C1576" s="1">
        <v>148</v>
      </c>
      <c r="D1576" s="1">
        <v>92</v>
      </c>
      <c r="E1576" s="1">
        <v>13</v>
      </c>
      <c r="F1576" s="1">
        <v>2</v>
      </c>
      <c r="G1576" s="1">
        <v>45.21</v>
      </c>
      <c r="H1576" s="1" t="s">
        <v>156</v>
      </c>
      <c r="I1576" s="1" t="s">
        <v>45</v>
      </c>
      <c r="J1576" s="1">
        <v>43</v>
      </c>
      <c r="K1576" s="1">
        <v>1.38</v>
      </c>
      <c r="L1576" s="4">
        <v>136.44</v>
      </c>
      <c r="M1576" s="1">
        <v>0.48</v>
      </c>
      <c r="N1576" s="1">
        <v>4</v>
      </c>
      <c r="O1576" s="1">
        <v>0.96</v>
      </c>
      <c r="P1576" s="1">
        <v>864</v>
      </c>
      <c r="Q1576" s="1">
        <v>3.22</v>
      </c>
      <c r="R1576" s="1">
        <v>0.92</v>
      </c>
      <c r="S1576" s="2">
        <v>45497</v>
      </c>
      <c r="T1576" s="1">
        <v>172.58</v>
      </c>
      <c r="U1576" s="1">
        <v>0.69099999999999995</v>
      </c>
      <c r="V1576" s="6">
        <f t="shared" si="72"/>
        <v>20193.12</v>
      </c>
      <c r="W1576" s="6" t="str">
        <f t="shared" si="73"/>
        <v>Sufficient</v>
      </c>
      <c r="X1576" s="8" t="str">
        <f t="shared" si="74"/>
        <v>Medium</v>
      </c>
    </row>
    <row r="1577" spans="1:24">
      <c r="A1577" s="7" t="s">
        <v>1707</v>
      </c>
      <c r="B1577" s="1" t="s">
        <v>29</v>
      </c>
      <c r="C1577" s="1">
        <v>497</v>
      </c>
      <c r="D1577" s="1">
        <v>16</v>
      </c>
      <c r="E1577" s="1">
        <v>13</v>
      </c>
      <c r="F1577" s="1">
        <v>7</v>
      </c>
      <c r="G1577" s="1">
        <v>39.72</v>
      </c>
      <c r="H1577" s="1" t="s">
        <v>68</v>
      </c>
      <c r="I1577" s="1" t="s">
        <v>39</v>
      </c>
      <c r="J1577" s="1">
        <v>65</v>
      </c>
      <c r="K1577" s="1">
        <v>3.54</v>
      </c>
      <c r="L1577" s="4">
        <v>163.25</v>
      </c>
      <c r="M1577" s="1">
        <v>1.1399999999999999</v>
      </c>
      <c r="N1577" s="1">
        <v>5</v>
      </c>
      <c r="O1577" s="1">
        <v>0.79</v>
      </c>
      <c r="P1577" s="1">
        <v>645</v>
      </c>
      <c r="Q1577" s="1">
        <v>13.55</v>
      </c>
      <c r="R1577" s="1">
        <v>0.47</v>
      </c>
      <c r="S1577" s="2">
        <v>45311</v>
      </c>
      <c r="T1577" s="1">
        <v>157.5</v>
      </c>
      <c r="U1577" s="1">
        <v>0.61899999999999999</v>
      </c>
      <c r="V1577" s="6">
        <f t="shared" si="72"/>
        <v>81135.25</v>
      </c>
      <c r="W1577" s="6" t="str">
        <f t="shared" si="73"/>
        <v>Sufficient</v>
      </c>
      <c r="X1577" s="8" t="str">
        <f t="shared" si="74"/>
        <v>High</v>
      </c>
    </row>
    <row r="1578" spans="1:24">
      <c r="A1578" s="7" t="s">
        <v>1708</v>
      </c>
      <c r="B1578" s="1" t="s">
        <v>33</v>
      </c>
      <c r="C1578" s="1">
        <v>192</v>
      </c>
      <c r="D1578" s="1">
        <v>72</v>
      </c>
      <c r="E1578" s="1">
        <v>6</v>
      </c>
      <c r="F1578" s="1">
        <v>4</v>
      </c>
      <c r="G1578" s="1">
        <v>20.96</v>
      </c>
      <c r="H1578" s="1" t="s">
        <v>183</v>
      </c>
      <c r="I1578" s="1" t="s">
        <v>31</v>
      </c>
      <c r="J1578" s="1">
        <v>76</v>
      </c>
      <c r="K1578" s="1">
        <v>1.88</v>
      </c>
      <c r="L1578" s="4">
        <v>28.9</v>
      </c>
      <c r="M1578" s="1">
        <v>1.1499999999999999</v>
      </c>
      <c r="N1578" s="1">
        <v>6</v>
      </c>
      <c r="O1578" s="1">
        <v>0.85</v>
      </c>
      <c r="P1578" s="1">
        <v>253</v>
      </c>
      <c r="Q1578" s="1">
        <v>13.47</v>
      </c>
      <c r="R1578" s="1">
        <v>0.85</v>
      </c>
      <c r="S1578" s="2">
        <v>45494</v>
      </c>
      <c r="T1578" s="1">
        <v>202.32</v>
      </c>
      <c r="U1578" s="1">
        <v>0.68500000000000005</v>
      </c>
      <c r="V1578" s="6">
        <f t="shared" si="72"/>
        <v>5548.7999999999993</v>
      </c>
      <c r="W1578" s="6" t="str">
        <f t="shared" si="73"/>
        <v>Sufficient</v>
      </c>
      <c r="X1578" s="8" t="str">
        <f t="shared" si="74"/>
        <v>Medium</v>
      </c>
    </row>
    <row r="1579" spans="1:24">
      <c r="A1579" s="7" t="s">
        <v>1709</v>
      </c>
      <c r="B1579" s="1" t="s">
        <v>41</v>
      </c>
      <c r="C1579" s="1">
        <v>499</v>
      </c>
      <c r="D1579" s="1">
        <v>51</v>
      </c>
      <c r="E1579" s="1">
        <v>3</v>
      </c>
      <c r="F1579" s="1">
        <v>6</v>
      </c>
      <c r="G1579" s="1">
        <v>28.65</v>
      </c>
      <c r="H1579" s="1" t="s">
        <v>26</v>
      </c>
      <c r="I1579" s="1" t="s">
        <v>39</v>
      </c>
      <c r="J1579" s="1">
        <v>100</v>
      </c>
      <c r="K1579" s="1">
        <v>4.5</v>
      </c>
      <c r="L1579" s="4">
        <v>119.65</v>
      </c>
      <c r="M1579" s="1">
        <v>0.24</v>
      </c>
      <c r="N1579" s="1">
        <v>7</v>
      </c>
      <c r="O1579" s="1">
        <v>0.77</v>
      </c>
      <c r="P1579" s="1">
        <v>276</v>
      </c>
      <c r="Q1579" s="1">
        <v>4.29</v>
      </c>
      <c r="R1579" s="1">
        <v>0.77</v>
      </c>
      <c r="S1579" s="2">
        <v>45461</v>
      </c>
      <c r="T1579" s="1">
        <v>271</v>
      </c>
      <c r="U1579" s="1">
        <v>0.60099999999999998</v>
      </c>
      <c r="V1579" s="6">
        <f t="shared" si="72"/>
        <v>59705.350000000006</v>
      </c>
      <c r="W1579" s="6" t="str">
        <f t="shared" si="73"/>
        <v>Sufficient</v>
      </c>
      <c r="X1579" s="8" t="str">
        <f t="shared" si="74"/>
        <v>High</v>
      </c>
    </row>
    <row r="1580" spans="1:24">
      <c r="A1580" s="7" t="s">
        <v>1710</v>
      </c>
      <c r="B1580" s="1" t="s">
        <v>25</v>
      </c>
      <c r="C1580" s="1">
        <v>175</v>
      </c>
      <c r="D1580" s="1">
        <v>51</v>
      </c>
      <c r="E1580" s="1">
        <v>5</v>
      </c>
      <c r="F1580" s="1">
        <v>5</v>
      </c>
      <c r="G1580" s="1">
        <v>39.85</v>
      </c>
      <c r="H1580" s="1" t="s">
        <v>266</v>
      </c>
      <c r="I1580" s="1" t="s">
        <v>27</v>
      </c>
      <c r="J1580" s="1">
        <v>76</v>
      </c>
      <c r="K1580" s="1">
        <v>1.4</v>
      </c>
      <c r="L1580" s="4">
        <v>21.87</v>
      </c>
      <c r="M1580" s="1">
        <v>0.97</v>
      </c>
      <c r="N1580" s="1">
        <v>9</v>
      </c>
      <c r="O1580" s="1">
        <v>0.85</v>
      </c>
      <c r="P1580" s="1">
        <v>997</v>
      </c>
      <c r="Q1580" s="1">
        <v>4.87</v>
      </c>
      <c r="R1580" s="1">
        <v>0.45</v>
      </c>
      <c r="S1580" s="2">
        <v>45645</v>
      </c>
      <c r="T1580" s="1">
        <v>195.16</v>
      </c>
      <c r="U1580" s="1">
        <v>0.44800000000000001</v>
      </c>
      <c r="V1580" s="6">
        <f t="shared" si="72"/>
        <v>3827.25</v>
      </c>
      <c r="W1580" s="6" t="str">
        <f t="shared" si="73"/>
        <v>Sufficient</v>
      </c>
      <c r="X1580" s="8" t="str">
        <f t="shared" si="74"/>
        <v>Medium</v>
      </c>
    </row>
    <row r="1581" spans="1:24">
      <c r="A1581" s="7" t="s">
        <v>1711</v>
      </c>
      <c r="B1581" s="1" t="s">
        <v>33</v>
      </c>
      <c r="C1581" s="1">
        <v>424</v>
      </c>
      <c r="D1581" s="1">
        <v>68</v>
      </c>
      <c r="E1581" s="1">
        <v>7</v>
      </c>
      <c r="F1581" s="1">
        <v>6</v>
      </c>
      <c r="G1581" s="1">
        <v>14.38</v>
      </c>
      <c r="H1581" s="1" t="s">
        <v>327</v>
      </c>
      <c r="I1581" s="1" t="s">
        <v>31</v>
      </c>
      <c r="J1581" s="1">
        <v>119</v>
      </c>
      <c r="K1581" s="1">
        <v>3.2</v>
      </c>
      <c r="L1581" s="4">
        <v>43.43</v>
      </c>
      <c r="M1581" s="1">
        <v>0.98</v>
      </c>
      <c r="N1581" s="1">
        <v>7</v>
      </c>
      <c r="O1581" s="1">
        <v>0.9</v>
      </c>
      <c r="P1581" s="1">
        <v>813</v>
      </c>
      <c r="Q1581" s="1">
        <v>5.39</v>
      </c>
      <c r="R1581" s="1">
        <v>0.47</v>
      </c>
      <c r="S1581" s="2">
        <v>45413</v>
      </c>
      <c r="T1581" s="1">
        <v>238.61</v>
      </c>
      <c r="U1581" s="1">
        <v>0.50800000000000001</v>
      </c>
      <c r="V1581" s="6">
        <f t="shared" si="72"/>
        <v>18414.32</v>
      </c>
      <c r="W1581" s="6" t="str">
        <f t="shared" si="73"/>
        <v>Sufficient</v>
      </c>
      <c r="X1581" s="8" t="str">
        <f t="shared" si="74"/>
        <v>High</v>
      </c>
    </row>
    <row r="1582" spans="1:24">
      <c r="A1582" s="7" t="s">
        <v>1712</v>
      </c>
      <c r="B1582" s="1" t="s">
        <v>29</v>
      </c>
      <c r="C1582" s="1">
        <v>397</v>
      </c>
      <c r="D1582" s="1">
        <v>29</v>
      </c>
      <c r="E1582" s="1">
        <v>8</v>
      </c>
      <c r="F1582" s="1">
        <v>6</v>
      </c>
      <c r="G1582" s="1">
        <v>31.7</v>
      </c>
      <c r="H1582" s="1" t="s">
        <v>258</v>
      </c>
      <c r="I1582" s="1" t="s">
        <v>39</v>
      </c>
      <c r="J1582" s="1">
        <v>176</v>
      </c>
      <c r="K1582" s="1">
        <v>3.07</v>
      </c>
      <c r="L1582" s="4">
        <v>71.849999999999994</v>
      </c>
      <c r="M1582" s="1">
        <v>0.71</v>
      </c>
      <c r="N1582" s="1">
        <v>4</v>
      </c>
      <c r="O1582" s="1">
        <v>0.73</v>
      </c>
      <c r="P1582" s="1">
        <v>866</v>
      </c>
      <c r="Q1582" s="1">
        <v>7.32</v>
      </c>
      <c r="R1582" s="1">
        <v>0.35</v>
      </c>
      <c r="S1582" s="2">
        <v>45317</v>
      </c>
      <c r="T1582" s="1">
        <v>149.28</v>
      </c>
      <c r="U1582" s="1">
        <v>0.56299999999999994</v>
      </c>
      <c r="V1582" s="6">
        <f t="shared" si="72"/>
        <v>28524.449999999997</v>
      </c>
      <c r="W1582" s="6" t="str">
        <f t="shared" si="73"/>
        <v>Sufficient</v>
      </c>
      <c r="X1582" s="8" t="str">
        <f t="shared" si="74"/>
        <v>High</v>
      </c>
    </row>
    <row r="1583" spans="1:24">
      <c r="A1583" s="7" t="s">
        <v>1713</v>
      </c>
      <c r="B1583" s="1" t="s">
        <v>25</v>
      </c>
      <c r="C1583" s="1">
        <v>129</v>
      </c>
      <c r="D1583" s="1">
        <v>82</v>
      </c>
      <c r="E1583" s="1">
        <v>11</v>
      </c>
      <c r="F1583" s="1">
        <v>6</v>
      </c>
      <c r="G1583" s="1">
        <v>41.57</v>
      </c>
      <c r="H1583" s="1" t="s">
        <v>394</v>
      </c>
      <c r="I1583" s="1" t="s">
        <v>39</v>
      </c>
      <c r="J1583" s="1">
        <v>175</v>
      </c>
      <c r="K1583" s="1">
        <v>1.39</v>
      </c>
      <c r="L1583" s="4">
        <v>144.4</v>
      </c>
      <c r="M1583" s="1">
        <v>0.63</v>
      </c>
      <c r="N1583" s="1">
        <v>1</v>
      </c>
      <c r="O1583" s="1">
        <v>0.96</v>
      </c>
      <c r="P1583" s="1">
        <v>200</v>
      </c>
      <c r="Q1583" s="1">
        <v>12.61</v>
      </c>
      <c r="R1583" s="1">
        <v>0.75</v>
      </c>
      <c r="S1583" s="2">
        <v>45535</v>
      </c>
      <c r="T1583" s="1">
        <v>180.98</v>
      </c>
      <c r="U1583" s="1">
        <v>0.82699999999999996</v>
      </c>
      <c r="V1583" s="6">
        <f t="shared" si="72"/>
        <v>18627.600000000002</v>
      </c>
      <c r="W1583" s="6" t="str">
        <f t="shared" si="73"/>
        <v>Sufficient</v>
      </c>
      <c r="X1583" s="8" t="str">
        <f t="shared" si="74"/>
        <v>Medium</v>
      </c>
    </row>
    <row r="1584" spans="1:24">
      <c r="A1584" s="7" t="s">
        <v>1714</v>
      </c>
      <c r="B1584" s="1" t="s">
        <v>29</v>
      </c>
      <c r="C1584" s="1">
        <v>288</v>
      </c>
      <c r="D1584" s="1">
        <v>26</v>
      </c>
      <c r="E1584" s="1">
        <v>11</v>
      </c>
      <c r="F1584" s="1">
        <v>8</v>
      </c>
      <c r="G1584" s="1">
        <v>35.67</v>
      </c>
      <c r="H1584" s="1" t="s">
        <v>42</v>
      </c>
      <c r="I1584" s="1" t="s">
        <v>27</v>
      </c>
      <c r="J1584" s="1">
        <v>49</v>
      </c>
      <c r="K1584" s="1">
        <v>2.48</v>
      </c>
      <c r="L1584" s="4">
        <v>195.04</v>
      </c>
      <c r="M1584" s="1">
        <v>0.53</v>
      </c>
      <c r="N1584" s="1">
        <v>9</v>
      </c>
      <c r="O1584" s="1">
        <v>0.88</v>
      </c>
      <c r="P1584" s="1">
        <v>296</v>
      </c>
      <c r="Q1584" s="1">
        <v>3.02</v>
      </c>
      <c r="R1584" s="1">
        <v>0.65</v>
      </c>
      <c r="S1584" s="2">
        <v>45429</v>
      </c>
      <c r="T1584" s="1">
        <v>62.24</v>
      </c>
      <c r="U1584" s="1">
        <v>0.51300000000000001</v>
      </c>
      <c r="V1584" s="6">
        <f t="shared" si="72"/>
        <v>56171.519999999997</v>
      </c>
      <c r="W1584" s="6" t="str">
        <f t="shared" si="73"/>
        <v>Sufficient</v>
      </c>
      <c r="X1584" s="8" t="str">
        <f t="shared" si="74"/>
        <v>High</v>
      </c>
    </row>
    <row r="1585" spans="1:24">
      <c r="A1585" s="7" t="s">
        <v>1715</v>
      </c>
      <c r="B1585" s="1" t="s">
        <v>25</v>
      </c>
      <c r="C1585" s="1">
        <v>430</v>
      </c>
      <c r="D1585" s="1">
        <v>36</v>
      </c>
      <c r="E1585" s="1">
        <v>11</v>
      </c>
      <c r="F1585" s="1">
        <v>9</v>
      </c>
      <c r="G1585" s="1">
        <v>24.49</v>
      </c>
      <c r="H1585" s="1" t="s">
        <v>346</v>
      </c>
      <c r="I1585" s="1" t="s">
        <v>45</v>
      </c>
      <c r="J1585" s="1">
        <v>156</v>
      </c>
      <c r="K1585" s="1">
        <v>3.54</v>
      </c>
      <c r="L1585" s="4">
        <v>75.08</v>
      </c>
      <c r="M1585" s="1">
        <v>0.11</v>
      </c>
      <c r="N1585" s="1">
        <v>7</v>
      </c>
      <c r="O1585" s="1">
        <v>1</v>
      </c>
      <c r="P1585" s="1">
        <v>867</v>
      </c>
      <c r="Q1585" s="1">
        <v>10.81</v>
      </c>
      <c r="R1585" s="1">
        <v>0.32</v>
      </c>
      <c r="S1585" s="2">
        <v>45482</v>
      </c>
      <c r="T1585" s="1">
        <v>151.66999999999999</v>
      </c>
      <c r="U1585" s="1">
        <v>0.65700000000000003</v>
      </c>
      <c r="V1585" s="6">
        <f t="shared" si="72"/>
        <v>32284.399999999998</v>
      </c>
      <c r="W1585" s="6" t="str">
        <f t="shared" si="73"/>
        <v>Sufficient</v>
      </c>
      <c r="X1585" s="8" t="str">
        <f t="shared" si="74"/>
        <v>High</v>
      </c>
    </row>
    <row r="1586" spans="1:24">
      <c r="A1586" s="7" t="s">
        <v>1716</v>
      </c>
      <c r="B1586" s="1" t="s">
        <v>41</v>
      </c>
      <c r="C1586" s="1">
        <v>375</v>
      </c>
      <c r="D1586" s="1">
        <v>56</v>
      </c>
      <c r="E1586" s="1">
        <v>13</v>
      </c>
      <c r="F1586" s="1">
        <v>7</v>
      </c>
      <c r="G1586" s="1">
        <v>29.65</v>
      </c>
      <c r="H1586" s="1" t="s">
        <v>221</v>
      </c>
      <c r="I1586" s="1" t="s">
        <v>45</v>
      </c>
      <c r="J1586" s="1">
        <v>142</v>
      </c>
      <c r="K1586" s="1">
        <v>1.93</v>
      </c>
      <c r="L1586" s="4">
        <v>109.02</v>
      </c>
      <c r="M1586" s="1">
        <v>0.1</v>
      </c>
      <c r="N1586" s="1">
        <v>5</v>
      </c>
      <c r="O1586" s="1">
        <v>0.71</v>
      </c>
      <c r="P1586" s="1">
        <v>66</v>
      </c>
      <c r="Q1586" s="1">
        <v>5.94</v>
      </c>
      <c r="R1586" s="1">
        <v>0.7</v>
      </c>
      <c r="S1586" s="2">
        <v>45302</v>
      </c>
      <c r="T1586" s="1">
        <v>53.18</v>
      </c>
      <c r="U1586" s="1">
        <v>0.65100000000000002</v>
      </c>
      <c r="V1586" s="6">
        <f t="shared" si="72"/>
        <v>40882.5</v>
      </c>
      <c r="W1586" s="6" t="str">
        <f t="shared" si="73"/>
        <v>Sufficient</v>
      </c>
      <c r="X1586" s="8" t="str">
        <f t="shared" si="74"/>
        <v>High</v>
      </c>
    </row>
    <row r="1587" spans="1:24">
      <c r="A1587" s="7" t="s">
        <v>1717</v>
      </c>
      <c r="B1587" s="1" t="s">
        <v>33</v>
      </c>
      <c r="C1587" s="1">
        <v>410</v>
      </c>
      <c r="D1587" s="1">
        <v>11</v>
      </c>
      <c r="E1587" s="1">
        <v>3</v>
      </c>
      <c r="F1587" s="1">
        <v>6</v>
      </c>
      <c r="G1587" s="1">
        <v>49.45</v>
      </c>
      <c r="H1587" s="1" t="s">
        <v>174</v>
      </c>
      <c r="I1587" s="1" t="s">
        <v>31</v>
      </c>
      <c r="J1587" s="1">
        <v>151</v>
      </c>
      <c r="K1587" s="1">
        <v>1.01</v>
      </c>
      <c r="L1587" s="4">
        <v>59.22</v>
      </c>
      <c r="M1587" s="1">
        <v>1.22</v>
      </c>
      <c r="N1587" s="1">
        <v>2</v>
      </c>
      <c r="O1587" s="1">
        <v>0.95</v>
      </c>
      <c r="P1587" s="1">
        <v>353</v>
      </c>
      <c r="Q1587" s="1">
        <v>3.74</v>
      </c>
      <c r="R1587" s="1">
        <v>0.6</v>
      </c>
      <c r="S1587" s="2">
        <v>45464</v>
      </c>
      <c r="T1587" s="1">
        <v>145.44</v>
      </c>
      <c r="U1587" s="1">
        <v>0.59799999999999998</v>
      </c>
      <c r="V1587" s="6">
        <f t="shared" si="72"/>
        <v>24280.2</v>
      </c>
      <c r="W1587" s="6" t="str">
        <f t="shared" si="73"/>
        <v>Sufficient</v>
      </c>
      <c r="X1587" s="8" t="str">
        <f t="shared" si="74"/>
        <v>High</v>
      </c>
    </row>
    <row r="1588" spans="1:24">
      <c r="A1588" s="7" t="s">
        <v>1718</v>
      </c>
      <c r="B1588" s="1" t="s">
        <v>25</v>
      </c>
      <c r="C1588" s="1">
        <v>297</v>
      </c>
      <c r="D1588" s="1">
        <v>72</v>
      </c>
      <c r="E1588" s="1">
        <v>14</v>
      </c>
      <c r="F1588" s="1">
        <v>9</v>
      </c>
      <c r="G1588" s="1">
        <v>30.5</v>
      </c>
      <c r="H1588" s="1" t="s">
        <v>153</v>
      </c>
      <c r="I1588" s="1" t="s">
        <v>39</v>
      </c>
      <c r="J1588" s="1">
        <v>100</v>
      </c>
      <c r="K1588" s="1">
        <v>3.27</v>
      </c>
      <c r="L1588" s="4">
        <v>138.34</v>
      </c>
      <c r="M1588" s="1">
        <v>0.65</v>
      </c>
      <c r="N1588" s="1">
        <v>3</v>
      </c>
      <c r="O1588" s="1">
        <v>0.94</v>
      </c>
      <c r="P1588" s="1">
        <v>938</v>
      </c>
      <c r="Q1588" s="1">
        <v>5.74</v>
      </c>
      <c r="R1588" s="1">
        <v>0.27</v>
      </c>
      <c r="S1588" s="2">
        <v>45447</v>
      </c>
      <c r="T1588" s="1">
        <v>28.84</v>
      </c>
      <c r="U1588" s="1">
        <v>0.59399999999999997</v>
      </c>
      <c r="V1588" s="6">
        <f t="shared" si="72"/>
        <v>41086.980000000003</v>
      </c>
      <c r="W1588" s="6" t="str">
        <f t="shared" si="73"/>
        <v>Sufficient</v>
      </c>
      <c r="X1588" s="8" t="str">
        <f t="shared" si="74"/>
        <v>High</v>
      </c>
    </row>
    <row r="1589" spans="1:24">
      <c r="A1589" s="7" t="s">
        <v>1719</v>
      </c>
      <c r="B1589" s="1" t="s">
        <v>66</v>
      </c>
      <c r="C1589" s="1">
        <v>93</v>
      </c>
      <c r="D1589" s="1">
        <v>71</v>
      </c>
      <c r="E1589" s="1">
        <v>11</v>
      </c>
      <c r="F1589" s="1">
        <v>9</v>
      </c>
      <c r="G1589" s="1">
        <v>39.5</v>
      </c>
      <c r="H1589" s="1" t="s">
        <v>97</v>
      </c>
      <c r="I1589" s="1" t="s">
        <v>45</v>
      </c>
      <c r="J1589" s="1">
        <v>58</v>
      </c>
      <c r="K1589" s="1">
        <v>1.51</v>
      </c>
      <c r="L1589" s="4">
        <v>79.650000000000006</v>
      </c>
      <c r="M1589" s="1">
        <v>0.42</v>
      </c>
      <c r="N1589" s="1">
        <v>0</v>
      </c>
      <c r="O1589" s="1">
        <v>0.74</v>
      </c>
      <c r="P1589" s="1">
        <v>563</v>
      </c>
      <c r="Q1589" s="1">
        <v>8.4700000000000006</v>
      </c>
      <c r="R1589" s="1">
        <v>0.96</v>
      </c>
      <c r="S1589" s="2">
        <v>45451</v>
      </c>
      <c r="T1589" s="1">
        <v>177.1</v>
      </c>
      <c r="U1589" s="1">
        <v>0.81100000000000005</v>
      </c>
      <c r="V1589" s="6">
        <f t="shared" si="72"/>
        <v>7407.4500000000007</v>
      </c>
      <c r="W1589" s="6" t="str">
        <f t="shared" si="73"/>
        <v>Sufficient</v>
      </c>
      <c r="X1589" s="8" t="str">
        <f t="shared" si="74"/>
        <v>LOW</v>
      </c>
    </row>
    <row r="1590" spans="1:24">
      <c r="A1590" s="7" t="s">
        <v>1720</v>
      </c>
      <c r="B1590" s="1" t="s">
        <v>66</v>
      </c>
      <c r="C1590" s="1">
        <v>456</v>
      </c>
      <c r="D1590" s="1">
        <v>28</v>
      </c>
      <c r="E1590" s="1">
        <v>10</v>
      </c>
      <c r="F1590" s="1">
        <v>7</v>
      </c>
      <c r="G1590" s="1">
        <v>36.6</v>
      </c>
      <c r="H1590" s="1" t="s">
        <v>137</v>
      </c>
      <c r="I1590" s="1" t="s">
        <v>31</v>
      </c>
      <c r="J1590" s="1">
        <v>73</v>
      </c>
      <c r="K1590" s="1">
        <v>3.57</v>
      </c>
      <c r="L1590" s="4">
        <v>101.5</v>
      </c>
      <c r="M1590" s="1">
        <v>1.4</v>
      </c>
      <c r="N1590" s="1">
        <v>2</v>
      </c>
      <c r="O1590" s="1">
        <v>0.8</v>
      </c>
      <c r="P1590" s="1">
        <v>246</v>
      </c>
      <c r="Q1590" s="1">
        <v>13.9</v>
      </c>
      <c r="R1590" s="1">
        <v>0.87</v>
      </c>
      <c r="S1590" s="2">
        <v>45435</v>
      </c>
      <c r="T1590" s="1">
        <v>93.15</v>
      </c>
      <c r="U1590" s="1">
        <v>0.73899999999999999</v>
      </c>
      <c r="V1590" s="6">
        <f t="shared" si="72"/>
        <v>46284</v>
      </c>
      <c r="W1590" s="6" t="str">
        <f t="shared" si="73"/>
        <v>Sufficient</v>
      </c>
      <c r="X1590" s="8" t="str">
        <f t="shared" si="74"/>
        <v>High</v>
      </c>
    </row>
    <row r="1591" spans="1:24">
      <c r="A1591" s="7" t="s">
        <v>1721</v>
      </c>
      <c r="B1591" s="1" t="s">
        <v>25</v>
      </c>
      <c r="C1591" s="1">
        <v>482</v>
      </c>
      <c r="D1591" s="1">
        <v>26</v>
      </c>
      <c r="E1591" s="1">
        <v>4</v>
      </c>
      <c r="F1591" s="1">
        <v>2</v>
      </c>
      <c r="G1591" s="1">
        <v>35.369999999999997</v>
      </c>
      <c r="H1591" s="1" t="s">
        <v>174</v>
      </c>
      <c r="I1591" s="1" t="s">
        <v>39</v>
      </c>
      <c r="J1591" s="1">
        <v>121</v>
      </c>
      <c r="K1591" s="1">
        <v>4.28</v>
      </c>
      <c r="L1591" s="4">
        <v>117.88</v>
      </c>
      <c r="M1591" s="1">
        <v>1.1000000000000001</v>
      </c>
      <c r="N1591" s="1">
        <v>3</v>
      </c>
      <c r="O1591" s="1">
        <v>0.97</v>
      </c>
      <c r="P1591" s="1">
        <v>495</v>
      </c>
      <c r="Q1591" s="1">
        <v>9.8000000000000007</v>
      </c>
      <c r="R1591" s="1">
        <v>0.26</v>
      </c>
      <c r="S1591" s="2">
        <v>45543</v>
      </c>
      <c r="T1591" s="1">
        <v>254.08</v>
      </c>
      <c r="U1591" s="1">
        <v>0.60699999999999998</v>
      </c>
      <c r="V1591" s="6">
        <f t="shared" si="72"/>
        <v>56818.159999999996</v>
      </c>
      <c r="W1591" s="6" t="str">
        <f t="shared" si="73"/>
        <v>Sufficient</v>
      </c>
      <c r="X1591" s="8" t="str">
        <f t="shared" si="74"/>
        <v>High</v>
      </c>
    </row>
    <row r="1592" spans="1:24">
      <c r="A1592" s="7" t="s">
        <v>1722</v>
      </c>
      <c r="B1592" s="1" t="s">
        <v>25</v>
      </c>
      <c r="C1592" s="1">
        <v>226</v>
      </c>
      <c r="D1592" s="1">
        <v>78</v>
      </c>
      <c r="E1592" s="1">
        <v>13</v>
      </c>
      <c r="F1592" s="1">
        <v>8</v>
      </c>
      <c r="G1592" s="1">
        <v>36.1</v>
      </c>
      <c r="H1592" s="1" t="s">
        <v>59</v>
      </c>
      <c r="I1592" s="1" t="s">
        <v>31</v>
      </c>
      <c r="J1592" s="1">
        <v>109</v>
      </c>
      <c r="K1592" s="1">
        <v>1.06</v>
      </c>
      <c r="L1592" s="4">
        <v>140.38999999999999</v>
      </c>
      <c r="M1592" s="1">
        <v>1.84</v>
      </c>
      <c r="N1592" s="1">
        <v>1</v>
      </c>
      <c r="O1592" s="1">
        <v>0.86</v>
      </c>
      <c r="P1592" s="1">
        <v>390</v>
      </c>
      <c r="Q1592" s="1">
        <v>9.5</v>
      </c>
      <c r="R1592" s="1">
        <v>0.95</v>
      </c>
      <c r="S1592" s="2">
        <v>45648</v>
      </c>
      <c r="T1592" s="1">
        <v>119.12</v>
      </c>
      <c r="U1592" s="1">
        <v>0.68500000000000005</v>
      </c>
      <c r="V1592" s="6">
        <f t="shared" si="72"/>
        <v>31728.139999999996</v>
      </c>
      <c r="W1592" s="6" t="str">
        <f t="shared" si="73"/>
        <v>Sufficient</v>
      </c>
      <c r="X1592" s="8" t="str">
        <f t="shared" si="74"/>
        <v>Medium</v>
      </c>
    </row>
    <row r="1593" spans="1:24">
      <c r="A1593" s="7" t="s">
        <v>1723</v>
      </c>
      <c r="B1593" s="1" t="s">
        <v>25</v>
      </c>
      <c r="C1593" s="1">
        <v>407</v>
      </c>
      <c r="D1593" s="1">
        <v>48</v>
      </c>
      <c r="E1593" s="1">
        <v>3</v>
      </c>
      <c r="F1593" s="1">
        <v>5</v>
      </c>
      <c r="G1593" s="1">
        <v>23.27</v>
      </c>
      <c r="H1593" s="1" t="s">
        <v>68</v>
      </c>
      <c r="I1593" s="1" t="s">
        <v>27</v>
      </c>
      <c r="J1593" s="1">
        <v>113</v>
      </c>
      <c r="K1593" s="1">
        <v>2.4700000000000002</v>
      </c>
      <c r="L1593" s="4">
        <v>21.41</v>
      </c>
      <c r="M1593" s="1">
        <v>1.68</v>
      </c>
      <c r="N1593" s="1">
        <v>5</v>
      </c>
      <c r="O1593" s="1">
        <v>0.82</v>
      </c>
      <c r="P1593" s="1">
        <v>830</v>
      </c>
      <c r="Q1593" s="1">
        <v>2.52</v>
      </c>
      <c r="R1593" s="1">
        <v>0.93</v>
      </c>
      <c r="S1593" s="2">
        <v>45642</v>
      </c>
      <c r="T1593" s="1">
        <v>276.14999999999998</v>
      </c>
      <c r="U1593" s="1">
        <v>0.51600000000000001</v>
      </c>
      <c r="V1593" s="6">
        <f t="shared" si="72"/>
        <v>8713.8700000000008</v>
      </c>
      <c r="W1593" s="6" t="str">
        <f t="shared" si="73"/>
        <v>Sufficient</v>
      </c>
      <c r="X1593" s="8" t="str">
        <f t="shared" si="74"/>
        <v>High</v>
      </c>
    </row>
    <row r="1594" spans="1:24">
      <c r="A1594" s="7" t="s">
        <v>1724</v>
      </c>
      <c r="B1594" s="1" t="s">
        <v>66</v>
      </c>
      <c r="C1594" s="1">
        <v>499</v>
      </c>
      <c r="D1594" s="1">
        <v>91</v>
      </c>
      <c r="E1594" s="1">
        <v>3</v>
      </c>
      <c r="F1594" s="1">
        <v>7</v>
      </c>
      <c r="G1594" s="1">
        <v>24.23</v>
      </c>
      <c r="H1594" s="1" t="s">
        <v>70</v>
      </c>
      <c r="I1594" s="1" t="s">
        <v>31</v>
      </c>
      <c r="J1594" s="1">
        <v>172</v>
      </c>
      <c r="K1594" s="1">
        <v>2.5</v>
      </c>
      <c r="L1594" s="4">
        <v>115.43</v>
      </c>
      <c r="M1594" s="1">
        <v>1.48</v>
      </c>
      <c r="N1594" s="1">
        <v>7</v>
      </c>
      <c r="O1594" s="1">
        <v>0.97</v>
      </c>
      <c r="P1594" s="1">
        <v>110</v>
      </c>
      <c r="Q1594" s="1">
        <v>2.12</v>
      </c>
      <c r="R1594" s="1">
        <v>0.23</v>
      </c>
      <c r="S1594" s="2">
        <v>45342</v>
      </c>
      <c r="T1594" s="1">
        <v>147.13999999999999</v>
      </c>
      <c r="U1594" s="1">
        <v>0.38</v>
      </c>
      <c r="V1594" s="6">
        <f t="shared" si="72"/>
        <v>57599.570000000007</v>
      </c>
      <c r="W1594" s="6" t="str">
        <f t="shared" si="73"/>
        <v>Sufficient</v>
      </c>
      <c r="X1594" s="8" t="str">
        <f t="shared" si="74"/>
        <v>High</v>
      </c>
    </row>
    <row r="1595" spans="1:24">
      <c r="A1595" s="7" t="s">
        <v>1725</v>
      </c>
      <c r="B1595" s="1" t="s">
        <v>66</v>
      </c>
      <c r="C1595" s="1">
        <v>298</v>
      </c>
      <c r="D1595" s="1">
        <v>80</v>
      </c>
      <c r="E1595" s="1">
        <v>14</v>
      </c>
      <c r="F1595" s="1">
        <v>4</v>
      </c>
      <c r="G1595" s="1">
        <v>23.93</v>
      </c>
      <c r="H1595" s="1" t="s">
        <v>394</v>
      </c>
      <c r="I1595" s="1" t="s">
        <v>27</v>
      </c>
      <c r="J1595" s="1">
        <v>14</v>
      </c>
      <c r="K1595" s="1">
        <v>3.35</v>
      </c>
      <c r="L1595" s="4">
        <v>91.92</v>
      </c>
      <c r="M1595" s="1">
        <v>0.34</v>
      </c>
      <c r="N1595" s="1">
        <v>5</v>
      </c>
      <c r="O1595" s="1">
        <v>0.73</v>
      </c>
      <c r="P1595" s="1">
        <v>316</v>
      </c>
      <c r="Q1595" s="1">
        <v>2.81</v>
      </c>
      <c r="R1595" s="1">
        <v>0.36</v>
      </c>
      <c r="S1595" s="2">
        <v>45408</v>
      </c>
      <c r="T1595" s="1">
        <v>256.17</v>
      </c>
      <c r="U1595" s="1">
        <v>0.52100000000000002</v>
      </c>
      <c r="V1595" s="6">
        <f t="shared" si="72"/>
        <v>27392.16</v>
      </c>
      <c r="W1595" s="6" t="str">
        <f t="shared" si="73"/>
        <v>Sufficient</v>
      </c>
      <c r="X1595" s="8" t="str">
        <f t="shared" si="74"/>
        <v>High</v>
      </c>
    </row>
    <row r="1596" spans="1:24">
      <c r="A1596" s="7" t="s">
        <v>1726</v>
      </c>
      <c r="B1596" s="1" t="s">
        <v>25</v>
      </c>
      <c r="C1596" s="1">
        <v>394</v>
      </c>
      <c r="D1596" s="1">
        <v>90</v>
      </c>
      <c r="E1596" s="1">
        <v>8</v>
      </c>
      <c r="F1596" s="1">
        <v>9</v>
      </c>
      <c r="G1596" s="1">
        <v>2.63</v>
      </c>
      <c r="H1596" s="1" t="s">
        <v>208</v>
      </c>
      <c r="I1596" s="1" t="s">
        <v>39</v>
      </c>
      <c r="J1596" s="1">
        <v>128</v>
      </c>
      <c r="K1596" s="1">
        <v>2</v>
      </c>
      <c r="L1596" s="4">
        <v>35.42</v>
      </c>
      <c r="M1596" s="1">
        <v>1.37</v>
      </c>
      <c r="N1596" s="1">
        <v>9</v>
      </c>
      <c r="O1596" s="1">
        <v>0.84</v>
      </c>
      <c r="P1596" s="1">
        <v>146</v>
      </c>
      <c r="Q1596" s="1">
        <v>2.34</v>
      </c>
      <c r="R1596" s="1">
        <v>0.76</v>
      </c>
      <c r="S1596" s="2">
        <v>45360</v>
      </c>
      <c r="T1596" s="1">
        <v>96.21</v>
      </c>
      <c r="U1596" s="1">
        <v>0.434</v>
      </c>
      <c r="V1596" s="6">
        <f t="shared" si="72"/>
        <v>13955.480000000001</v>
      </c>
      <c r="W1596" s="6" t="str">
        <f t="shared" si="73"/>
        <v>Sufficient</v>
      </c>
      <c r="X1596" s="8" t="str">
        <f t="shared" si="74"/>
        <v>High</v>
      </c>
    </row>
    <row r="1597" spans="1:24">
      <c r="A1597" s="7" t="s">
        <v>1727</v>
      </c>
      <c r="B1597" s="1" t="s">
        <v>29</v>
      </c>
      <c r="C1597" s="1">
        <v>345</v>
      </c>
      <c r="D1597" s="1">
        <v>48</v>
      </c>
      <c r="E1597" s="1">
        <v>11</v>
      </c>
      <c r="F1597" s="1">
        <v>6</v>
      </c>
      <c r="G1597" s="1">
        <v>12.81</v>
      </c>
      <c r="H1597" s="1" t="s">
        <v>233</v>
      </c>
      <c r="I1597" s="1" t="s">
        <v>39</v>
      </c>
      <c r="J1597" s="1">
        <v>97</v>
      </c>
      <c r="K1597" s="1">
        <v>2.38</v>
      </c>
      <c r="L1597" s="4">
        <v>49.53</v>
      </c>
      <c r="M1597" s="1">
        <v>1.42</v>
      </c>
      <c r="N1597" s="1">
        <v>2</v>
      </c>
      <c r="O1597" s="1">
        <v>0.9</v>
      </c>
      <c r="P1597" s="1">
        <v>332</v>
      </c>
      <c r="Q1597" s="1">
        <v>9.07</v>
      </c>
      <c r="R1597" s="1">
        <v>0.95</v>
      </c>
      <c r="S1597" s="2">
        <v>45445</v>
      </c>
      <c r="T1597" s="1">
        <v>140.96</v>
      </c>
      <c r="U1597" s="1">
        <v>0.70899999999999996</v>
      </c>
      <c r="V1597" s="6">
        <f t="shared" si="72"/>
        <v>17087.850000000002</v>
      </c>
      <c r="W1597" s="6" t="str">
        <f t="shared" si="73"/>
        <v>Sufficient</v>
      </c>
      <c r="X1597" s="8" t="str">
        <f t="shared" si="74"/>
        <v>High</v>
      </c>
    </row>
    <row r="1598" spans="1:24">
      <c r="A1598" s="7" t="s">
        <v>1728</v>
      </c>
      <c r="B1598" s="1" t="s">
        <v>29</v>
      </c>
      <c r="C1598" s="1">
        <v>491</v>
      </c>
      <c r="D1598" s="1">
        <v>45</v>
      </c>
      <c r="E1598" s="1">
        <v>9</v>
      </c>
      <c r="F1598" s="1">
        <v>9</v>
      </c>
      <c r="G1598" s="1">
        <v>8.57</v>
      </c>
      <c r="H1598" s="1" t="s">
        <v>266</v>
      </c>
      <c r="I1598" s="1" t="s">
        <v>39</v>
      </c>
      <c r="J1598" s="1">
        <v>176</v>
      </c>
      <c r="K1598" s="1">
        <v>0.55000000000000004</v>
      </c>
      <c r="L1598" s="4">
        <v>177.94</v>
      </c>
      <c r="M1598" s="1">
        <v>1.55</v>
      </c>
      <c r="N1598" s="1">
        <v>8</v>
      </c>
      <c r="O1598" s="1">
        <v>0.88</v>
      </c>
      <c r="P1598" s="1">
        <v>296</v>
      </c>
      <c r="Q1598" s="1">
        <v>7.34</v>
      </c>
      <c r="R1598" s="1">
        <v>0.86</v>
      </c>
      <c r="S1598" s="2">
        <v>45518</v>
      </c>
      <c r="T1598" s="1">
        <v>193.76</v>
      </c>
      <c r="U1598" s="1">
        <v>0.53100000000000003</v>
      </c>
      <c r="V1598" s="6">
        <f t="shared" si="72"/>
        <v>87368.54</v>
      </c>
      <c r="W1598" s="6" t="str">
        <f t="shared" si="73"/>
        <v>Sufficient</v>
      </c>
      <c r="X1598" s="8" t="str">
        <f t="shared" si="74"/>
        <v>High</v>
      </c>
    </row>
    <row r="1599" spans="1:24">
      <c r="A1599" s="7" t="s">
        <v>1729</v>
      </c>
      <c r="B1599" s="1" t="s">
        <v>41</v>
      </c>
      <c r="C1599" s="1">
        <v>359</v>
      </c>
      <c r="D1599" s="1">
        <v>49</v>
      </c>
      <c r="E1599" s="1">
        <v>7</v>
      </c>
      <c r="F1599" s="1">
        <v>8</v>
      </c>
      <c r="G1599" s="1">
        <v>44.44</v>
      </c>
      <c r="H1599" s="1" t="s">
        <v>95</v>
      </c>
      <c r="I1599" s="1" t="s">
        <v>31</v>
      </c>
      <c r="J1599" s="1">
        <v>136</v>
      </c>
      <c r="K1599" s="1">
        <v>1.05</v>
      </c>
      <c r="L1599" s="4">
        <v>175.64</v>
      </c>
      <c r="M1599" s="1">
        <v>0.6</v>
      </c>
      <c r="N1599" s="1">
        <v>3</v>
      </c>
      <c r="O1599" s="1">
        <v>0.78</v>
      </c>
      <c r="P1599" s="1">
        <v>84</v>
      </c>
      <c r="Q1599" s="1">
        <v>1.07</v>
      </c>
      <c r="R1599" s="1">
        <v>0.43</v>
      </c>
      <c r="S1599" s="2">
        <v>45456</v>
      </c>
      <c r="T1599" s="1">
        <v>85.01</v>
      </c>
      <c r="U1599" s="1">
        <v>0.53600000000000003</v>
      </c>
      <c r="V1599" s="6">
        <f t="shared" si="72"/>
        <v>63054.759999999995</v>
      </c>
      <c r="W1599" s="6" t="str">
        <f t="shared" si="73"/>
        <v>Sufficient</v>
      </c>
      <c r="X1599" s="8" t="str">
        <f t="shared" si="74"/>
        <v>High</v>
      </c>
    </row>
    <row r="1600" spans="1:24">
      <c r="A1600" s="7" t="s">
        <v>1730</v>
      </c>
      <c r="B1600" s="1" t="s">
        <v>33</v>
      </c>
      <c r="C1600" s="1">
        <v>376</v>
      </c>
      <c r="D1600" s="1">
        <v>54</v>
      </c>
      <c r="E1600" s="1">
        <v>13</v>
      </c>
      <c r="F1600" s="1">
        <v>4</v>
      </c>
      <c r="G1600" s="1">
        <v>14.47</v>
      </c>
      <c r="H1600" s="1" t="s">
        <v>38</v>
      </c>
      <c r="I1600" s="1" t="s">
        <v>39</v>
      </c>
      <c r="J1600" s="1">
        <v>33</v>
      </c>
      <c r="K1600" s="1">
        <v>3.06</v>
      </c>
      <c r="L1600" s="4">
        <v>16.329999999999998</v>
      </c>
      <c r="M1600" s="1">
        <v>1.32</v>
      </c>
      <c r="N1600" s="1">
        <v>5</v>
      </c>
      <c r="O1600" s="1">
        <v>0.87</v>
      </c>
      <c r="P1600" s="1">
        <v>835</v>
      </c>
      <c r="Q1600" s="1">
        <v>5.91</v>
      </c>
      <c r="R1600" s="1">
        <v>0.23</v>
      </c>
      <c r="S1600" s="2">
        <v>45429</v>
      </c>
      <c r="T1600" s="1">
        <v>200.63</v>
      </c>
      <c r="U1600" s="1">
        <v>0.46700000000000003</v>
      </c>
      <c r="V1600" s="6">
        <f t="shared" si="72"/>
        <v>6140.079999999999</v>
      </c>
      <c r="W1600" s="6" t="str">
        <f t="shared" si="73"/>
        <v>Sufficient</v>
      </c>
      <c r="X1600" s="8" t="str">
        <f t="shared" si="74"/>
        <v>High</v>
      </c>
    </row>
    <row r="1601" spans="1:24">
      <c r="A1601" s="7" t="s">
        <v>1731</v>
      </c>
      <c r="B1601" s="1" t="s">
        <v>29</v>
      </c>
      <c r="C1601" s="1">
        <v>359</v>
      </c>
      <c r="D1601" s="1">
        <v>13</v>
      </c>
      <c r="E1601" s="1">
        <v>4</v>
      </c>
      <c r="F1601" s="1">
        <v>2</v>
      </c>
      <c r="G1601" s="1">
        <v>7.78</v>
      </c>
      <c r="H1601" s="1" t="s">
        <v>233</v>
      </c>
      <c r="I1601" s="1" t="s">
        <v>39</v>
      </c>
      <c r="J1601" s="1">
        <v>177</v>
      </c>
      <c r="K1601" s="1">
        <v>1.47</v>
      </c>
      <c r="L1601" s="4">
        <v>140.99</v>
      </c>
      <c r="M1601" s="1">
        <v>1.27</v>
      </c>
      <c r="N1601" s="1">
        <v>3</v>
      </c>
      <c r="O1601" s="1">
        <v>0.91</v>
      </c>
      <c r="P1601" s="1">
        <v>518</v>
      </c>
      <c r="Q1601" s="1">
        <v>2.78</v>
      </c>
      <c r="R1601" s="1">
        <v>0.57999999999999996</v>
      </c>
      <c r="S1601" s="2">
        <v>45505</v>
      </c>
      <c r="T1601" s="1">
        <v>93.69</v>
      </c>
      <c r="U1601" s="1">
        <v>0.54800000000000004</v>
      </c>
      <c r="V1601" s="6">
        <f t="shared" si="72"/>
        <v>50615.41</v>
      </c>
      <c r="W1601" s="6" t="str">
        <f t="shared" si="73"/>
        <v>Sufficient</v>
      </c>
      <c r="X1601" s="8" t="str">
        <f t="shared" si="74"/>
        <v>High</v>
      </c>
    </row>
    <row r="1602" spans="1:24">
      <c r="A1602" s="7" t="s">
        <v>1732</v>
      </c>
      <c r="B1602" s="1" t="s">
        <v>66</v>
      </c>
      <c r="C1602" s="1">
        <v>223</v>
      </c>
      <c r="D1602" s="1">
        <v>34</v>
      </c>
      <c r="E1602" s="1">
        <v>3</v>
      </c>
      <c r="F1602" s="1">
        <v>2</v>
      </c>
      <c r="G1602" s="1">
        <v>6.87</v>
      </c>
      <c r="H1602" s="1" t="s">
        <v>346</v>
      </c>
      <c r="I1602" s="1" t="s">
        <v>27</v>
      </c>
      <c r="J1602" s="1">
        <v>116</v>
      </c>
      <c r="K1602" s="1">
        <v>1.1499999999999999</v>
      </c>
      <c r="L1602" s="4">
        <v>115.3</v>
      </c>
      <c r="M1602" s="1">
        <v>0.83</v>
      </c>
      <c r="N1602" s="1">
        <v>3</v>
      </c>
      <c r="O1602" s="1">
        <v>0.88</v>
      </c>
      <c r="P1602" s="1">
        <v>117</v>
      </c>
      <c r="Q1602" s="1">
        <v>14.83</v>
      </c>
      <c r="R1602" s="1">
        <v>0.27</v>
      </c>
      <c r="S1602" s="2">
        <v>45601</v>
      </c>
      <c r="T1602" s="1">
        <v>150.44</v>
      </c>
      <c r="U1602" s="1">
        <v>0.68500000000000005</v>
      </c>
      <c r="V1602" s="6">
        <f t="shared" si="72"/>
        <v>25711.899999999998</v>
      </c>
      <c r="W1602" s="6" t="str">
        <f t="shared" si="73"/>
        <v>Sufficient</v>
      </c>
      <c r="X1602" s="8" t="str">
        <f t="shared" si="74"/>
        <v>Medium</v>
      </c>
    </row>
    <row r="1603" spans="1:24">
      <c r="A1603" s="7" t="s">
        <v>1733</v>
      </c>
      <c r="B1603" s="1" t="s">
        <v>29</v>
      </c>
      <c r="C1603" s="1">
        <v>180</v>
      </c>
      <c r="D1603" s="1">
        <v>78</v>
      </c>
      <c r="E1603" s="1">
        <v>4</v>
      </c>
      <c r="F1603" s="1">
        <v>3</v>
      </c>
      <c r="G1603" s="1">
        <v>35.299999999999997</v>
      </c>
      <c r="H1603" s="1" t="s">
        <v>55</v>
      </c>
      <c r="I1603" s="1" t="s">
        <v>39</v>
      </c>
      <c r="J1603" s="1">
        <v>59</v>
      </c>
      <c r="K1603" s="1">
        <v>1.96</v>
      </c>
      <c r="L1603" s="4">
        <v>188.57</v>
      </c>
      <c r="M1603" s="1">
        <v>1.36</v>
      </c>
      <c r="N1603" s="1">
        <v>1</v>
      </c>
      <c r="O1603" s="1">
        <v>0.91</v>
      </c>
      <c r="P1603" s="1">
        <v>238</v>
      </c>
      <c r="Q1603" s="1">
        <v>7.44</v>
      </c>
      <c r="R1603" s="1">
        <v>0.4</v>
      </c>
      <c r="S1603" s="2">
        <v>45622</v>
      </c>
      <c r="T1603" s="1">
        <v>16.78</v>
      </c>
      <c r="U1603" s="1">
        <v>0.60499999999999998</v>
      </c>
      <c r="V1603" s="6">
        <f t="shared" si="72"/>
        <v>33942.6</v>
      </c>
      <c r="W1603" s="6" t="str">
        <f t="shared" si="73"/>
        <v>Sufficient</v>
      </c>
      <c r="X1603" s="8" t="str">
        <f t="shared" si="74"/>
        <v>Medium</v>
      </c>
    </row>
    <row r="1604" spans="1:24">
      <c r="A1604" s="7" t="s">
        <v>1734</v>
      </c>
      <c r="B1604" s="1" t="s">
        <v>41</v>
      </c>
      <c r="C1604" s="1">
        <v>47</v>
      </c>
      <c r="D1604" s="1">
        <v>39</v>
      </c>
      <c r="E1604" s="1">
        <v>3</v>
      </c>
      <c r="F1604" s="1">
        <v>6</v>
      </c>
      <c r="G1604" s="1">
        <v>1.3</v>
      </c>
      <c r="H1604" s="1" t="s">
        <v>276</v>
      </c>
      <c r="I1604" s="1" t="s">
        <v>39</v>
      </c>
      <c r="J1604" s="1">
        <v>67</v>
      </c>
      <c r="K1604" s="1">
        <v>1.24</v>
      </c>
      <c r="L1604" s="4">
        <v>182.52</v>
      </c>
      <c r="M1604" s="1">
        <v>0.26</v>
      </c>
      <c r="N1604" s="1">
        <v>9</v>
      </c>
      <c r="O1604" s="1">
        <v>0.78</v>
      </c>
      <c r="P1604" s="1">
        <v>90</v>
      </c>
      <c r="Q1604" s="1">
        <v>6.97</v>
      </c>
      <c r="R1604" s="1">
        <v>0.71</v>
      </c>
      <c r="S1604" s="2">
        <v>45337</v>
      </c>
      <c r="T1604" s="1">
        <v>32.67</v>
      </c>
      <c r="U1604" s="1">
        <v>0.58499999999999996</v>
      </c>
      <c r="V1604" s="6">
        <f t="shared" ref="V1604:V1667" si="75">C1604*L1604</f>
        <v>8578.44</v>
      </c>
      <c r="W1604" s="6" t="str">
        <f t="shared" ref="W1604:W1667" si="76">IF(C1604&lt;=D1604,"Reorder Required","Sufficient")</f>
        <v>Sufficient</v>
      </c>
      <c r="X1604" s="8" t="str">
        <f t="shared" ref="X1604:X1667" si="77">IF(C1604&lt;100,"LOW",IF(C1604&lt;250,"Medium","High"))</f>
        <v>LOW</v>
      </c>
    </row>
    <row r="1605" spans="1:24">
      <c r="A1605" s="7" t="s">
        <v>1735</v>
      </c>
      <c r="B1605" s="1" t="s">
        <v>41</v>
      </c>
      <c r="C1605" s="1">
        <v>411</v>
      </c>
      <c r="D1605" s="1">
        <v>85</v>
      </c>
      <c r="E1605" s="1">
        <v>5</v>
      </c>
      <c r="F1605" s="1">
        <v>3</v>
      </c>
      <c r="G1605" s="1">
        <v>24.09</v>
      </c>
      <c r="H1605" s="1" t="s">
        <v>304</v>
      </c>
      <c r="I1605" s="1" t="s">
        <v>39</v>
      </c>
      <c r="J1605" s="1">
        <v>10</v>
      </c>
      <c r="K1605" s="1">
        <v>0.77</v>
      </c>
      <c r="L1605" s="4">
        <v>120.12</v>
      </c>
      <c r="M1605" s="1">
        <v>1.32</v>
      </c>
      <c r="N1605" s="1">
        <v>1</v>
      </c>
      <c r="O1605" s="1">
        <v>0.95</v>
      </c>
      <c r="P1605" s="1">
        <v>657</v>
      </c>
      <c r="Q1605" s="1">
        <v>10.02</v>
      </c>
      <c r="R1605" s="1">
        <v>0.6</v>
      </c>
      <c r="S1605" s="2">
        <v>45388</v>
      </c>
      <c r="T1605" s="1">
        <v>75.86</v>
      </c>
      <c r="U1605" s="1">
        <v>0.69199999999999995</v>
      </c>
      <c r="V1605" s="6">
        <f t="shared" si="75"/>
        <v>49369.32</v>
      </c>
      <c r="W1605" s="6" t="str">
        <f t="shared" si="76"/>
        <v>Sufficient</v>
      </c>
      <c r="X1605" s="8" t="str">
        <f t="shared" si="77"/>
        <v>High</v>
      </c>
    </row>
    <row r="1606" spans="1:24">
      <c r="A1606" s="7" t="s">
        <v>1736</v>
      </c>
      <c r="B1606" s="1" t="s">
        <v>33</v>
      </c>
      <c r="C1606" s="1">
        <v>276</v>
      </c>
      <c r="D1606" s="1">
        <v>77</v>
      </c>
      <c r="E1606" s="1">
        <v>8</v>
      </c>
      <c r="F1606" s="1">
        <v>8</v>
      </c>
      <c r="G1606" s="1">
        <v>6.82</v>
      </c>
      <c r="H1606" s="1" t="s">
        <v>30</v>
      </c>
      <c r="I1606" s="1" t="s">
        <v>45</v>
      </c>
      <c r="J1606" s="1">
        <v>176</v>
      </c>
      <c r="K1606" s="1">
        <v>1.78</v>
      </c>
      <c r="L1606" s="4">
        <v>36.4</v>
      </c>
      <c r="M1606" s="1">
        <v>1.25</v>
      </c>
      <c r="N1606" s="1">
        <v>1</v>
      </c>
      <c r="O1606" s="1">
        <v>0.83</v>
      </c>
      <c r="P1606" s="1">
        <v>732</v>
      </c>
      <c r="Q1606" s="1">
        <v>6</v>
      </c>
      <c r="R1606" s="1">
        <v>0.5</v>
      </c>
      <c r="S1606" s="2">
        <v>45518</v>
      </c>
      <c r="T1606" s="1">
        <v>243.88</v>
      </c>
      <c r="U1606" s="1">
        <v>0.60099999999999998</v>
      </c>
      <c r="V1606" s="6">
        <f t="shared" si="75"/>
        <v>10046.4</v>
      </c>
      <c r="W1606" s="6" t="str">
        <f t="shared" si="76"/>
        <v>Sufficient</v>
      </c>
      <c r="X1606" s="8" t="str">
        <f t="shared" si="77"/>
        <v>High</v>
      </c>
    </row>
    <row r="1607" spans="1:24">
      <c r="A1607" s="7" t="s">
        <v>1737</v>
      </c>
      <c r="B1607" s="1" t="s">
        <v>29</v>
      </c>
      <c r="C1607" s="1">
        <v>184</v>
      </c>
      <c r="D1607" s="1">
        <v>97</v>
      </c>
      <c r="E1607" s="1">
        <v>10</v>
      </c>
      <c r="F1607" s="1">
        <v>4</v>
      </c>
      <c r="G1607" s="1">
        <v>42.63</v>
      </c>
      <c r="H1607" s="1" t="s">
        <v>156</v>
      </c>
      <c r="I1607" s="1" t="s">
        <v>39</v>
      </c>
      <c r="J1607" s="1">
        <v>147</v>
      </c>
      <c r="K1607" s="1">
        <v>1.24</v>
      </c>
      <c r="L1607" s="4">
        <v>97.36</v>
      </c>
      <c r="M1607" s="1">
        <v>0.5</v>
      </c>
      <c r="N1607" s="1">
        <v>1</v>
      </c>
      <c r="O1607" s="1">
        <v>1</v>
      </c>
      <c r="P1607" s="1">
        <v>994</v>
      </c>
      <c r="Q1607" s="1">
        <v>11.02</v>
      </c>
      <c r="R1607" s="1">
        <v>0.94</v>
      </c>
      <c r="S1607" s="2">
        <v>45400</v>
      </c>
      <c r="T1607" s="1">
        <v>201.51</v>
      </c>
      <c r="U1607" s="1">
        <v>0.86499999999999999</v>
      </c>
      <c r="V1607" s="6">
        <f t="shared" si="75"/>
        <v>17914.240000000002</v>
      </c>
      <c r="W1607" s="6" t="str">
        <f t="shared" si="76"/>
        <v>Sufficient</v>
      </c>
      <c r="X1607" s="8" t="str">
        <f t="shared" si="77"/>
        <v>Medium</v>
      </c>
    </row>
    <row r="1608" spans="1:24">
      <c r="A1608" s="7" t="s">
        <v>1738</v>
      </c>
      <c r="B1608" s="1" t="s">
        <v>66</v>
      </c>
      <c r="C1608" s="1">
        <v>82</v>
      </c>
      <c r="D1608" s="1">
        <v>38</v>
      </c>
      <c r="E1608" s="1">
        <v>5</v>
      </c>
      <c r="F1608" s="1">
        <v>9</v>
      </c>
      <c r="G1608" s="1">
        <v>47.96</v>
      </c>
      <c r="H1608" s="1" t="s">
        <v>34</v>
      </c>
      <c r="I1608" s="1" t="s">
        <v>31</v>
      </c>
      <c r="J1608" s="1">
        <v>11</v>
      </c>
      <c r="K1608" s="1">
        <v>4.0999999999999996</v>
      </c>
      <c r="L1608" s="4">
        <v>147.78</v>
      </c>
      <c r="M1608" s="1">
        <v>1.65</v>
      </c>
      <c r="N1608" s="1">
        <v>7</v>
      </c>
      <c r="O1608" s="1">
        <v>0.71</v>
      </c>
      <c r="P1608" s="1">
        <v>956</v>
      </c>
      <c r="Q1608" s="1">
        <v>13.67</v>
      </c>
      <c r="R1608" s="1">
        <v>0.35</v>
      </c>
      <c r="S1608" s="2">
        <v>45500</v>
      </c>
      <c r="T1608" s="1">
        <v>269.10000000000002</v>
      </c>
      <c r="U1608" s="1">
        <v>0.48899999999999999</v>
      </c>
      <c r="V1608" s="6">
        <f t="shared" si="75"/>
        <v>12117.960000000001</v>
      </c>
      <c r="W1608" s="6" t="str">
        <f t="shared" si="76"/>
        <v>Sufficient</v>
      </c>
      <c r="X1608" s="8" t="str">
        <f t="shared" si="77"/>
        <v>LOW</v>
      </c>
    </row>
    <row r="1609" spans="1:24">
      <c r="A1609" s="7" t="s">
        <v>1739</v>
      </c>
      <c r="B1609" s="1" t="s">
        <v>66</v>
      </c>
      <c r="C1609" s="1">
        <v>41</v>
      </c>
      <c r="D1609" s="1">
        <v>82</v>
      </c>
      <c r="E1609" s="1">
        <v>12</v>
      </c>
      <c r="F1609" s="1">
        <v>5</v>
      </c>
      <c r="G1609" s="1">
        <v>47.98</v>
      </c>
      <c r="H1609" s="1" t="s">
        <v>346</v>
      </c>
      <c r="I1609" s="1" t="s">
        <v>27</v>
      </c>
      <c r="J1609" s="1">
        <v>72</v>
      </c>
      <c r="K1609" s="1">
        <v>0.78</v>
      </c>
      <c r="L1609" s="4">
        <v>190.83</v>
      </c>
      <c r="M1609" s="1">
        <v>1.76</v>
      </c>
      <c r="N1609" s="1">
        <v>9</v>
      </c>
      <c r="O1609" s="1">
        <v>0.81</v>
      </c>
      <c r="P1609" s="1">
        <v>116</v>
      </c>
      <c r="Q1609" s="1">
        <v>7.98</v>
      </c>
      <c r="R1609" s="1">
        <v>0.59</v>
      </c>
      <c r="S1609" s="2">
        <v>45540</v>
      </c>
      <c r="T1609" s="1">
        <v>272.37</v>
      </c>
      <c r="U1609" s="1">
        <v>0.43</v>
      </c>
      <c r="V1609" s="6">
        <f t="shared" si="75"/>
        <v>7824.0300000000007</v>
      </c>
      <c r="W1609" s="6" t="str">
        <f t="shared" si="76"/>
        <v>Reorder Required</v>
      </c>
      <c r="X1609" s="8" t="str">
        <f t="shared" si="77"/>
        <v>LOW</v>
      </c>
    </row>
    <row r="1610" spans="1:24">
      <c r="A1610" s="7" t="s">
        <v>1740</v>
      </c>
      <c r="B1610" s="1" t="s">
        <v>25</v>
      </c>
      <c r="C1610" s="1">
        <v>89</v>
      </c>
      <c r="D1610" s="1">
        <v>77</v>
      </c>
      <c r="E1610" s="1">
        <v>11</v>
      </c>
      <c r="F1610" s="1">
        <v>3</v>
      </c>
      <c r="G1610" s="1">
        <v>22.66</v>
      </c>
      <c r="H1610" s="1" t="s">
        <v>279</v>
      </c>
      <c r="I1610" s="1" t="s">
        <v>39</v>
      </c>
      <c r="J1610" s="1">
        <v>25</v>
      </c>
      <c r="K1610" s="1">
        <v>3.86</v>
      </c>
      <c r="L1610" s="4">
        <v>79.13</v>
      </c>
      <c r="M1610" s="1">
        <v>0.5</v>
      </c>
      <c r="N1610" s="1">
        <v>3</v>
      </c>
      <c r="O1610" s="1">
        <v>0.75</v>
      </c>
      <c r="P1610" s="1">
        <v>996</v>
      </c>
      <c r="Q1610" s="1">
        <v>6.36</v>
      </c>
      <c r="R1610" s="1">
        <v>0.66</v>
      </c>
      <c r="S1610" s="2">
        <v>45556</v>
      </c>
      <c r="T1610" s="1">
        <v>118.65</v>
      </c>
      <c r="U1610" s="1">
        <v>0.65700000000000003</v>
      </c>
      <c r="V1610" s="6">
        <f t="shared" si="75"/>
        <v>7042.57</v>
      </c>
      <c r="W1610" s="6" t="str">
        <f t="shared" si="76"/>
        <v>Sufficient</v>
      </c>
      <c r="X1610" s="8" t="str">
        <f t="shared" si="77"/>
        <v>LOW</v>
      </c>
    </row>
    <row r="1611" spans="1:24">
      <c r="A1611" s="7" t="s">
        <v>1741</v>
      </c>
      <c r="B1611" s="1" t="s">
        <v>66</v>
      </c>
      <c r="C1611" s="1">
        <v>400</v>
      </c>
      <c r="D1611" s="1">
        <v>60</v>
      </c>
      <c r="E1611" s="1">
        <v>12</v>
      </c>
      <c r="F1611" s="1">
        <v>2</v>
      </c>
      <c r="G1611" s="1">
        <v>32.58</v>
      </c>
      <c r="H1611" s="1" t="s">
        <v>117</v>
      </c>
      <c r="I1611" s="1" t="s">
        <v>31</v>
      </c>
      <c r="J1611" s="1">
        <v>46</v>
      </c>
      <c r="K1611" s="1">
        <v>2.2200000000000002</v>
      </c>
      <c r="L1611" s="4">
        <v>159.09</v>
      </c>
      <c r="M1611" s="1">
        <v>0.24</v>
      </c>
      <c r="N1611" s="1">
        <v>3</v>
      </c>
      <c r="O1611" s="1">
        <v>0.87</v>
      </c>
      <c r="P1611" s="1">
        <v>357</v>
      </c>
      <c r="Q1611" s="1">
        <v>8.31</v>
      </c>
      <c r="R1611" s="1">
        <v>0.46</v>
      </c>
      <c r="S1611" s="2">
        <v>45483</v>
      </c>
      <c r="T1611" s="1">
        <v>116.58</v>
      </c>
      <c r="U1611" s="1">
        <v>0.69299999999999995</v>
      </c>
      <c r="V1611" s="6">
        <f t="shared" si="75"/>
        <v>63636</v>
      </c>
      <c r="W1611" s="6" t="str">
        <f t="shared" si="76"/>
        <v>Sufficient</v>
      </c>
      <c r="X1611" s="8" t="str">
        <f t="shared" si="77"/>
        <v>High</v>
      </c>
    </row>
    <row r="1612" spans="1:24">
      <c r="A1612" s="7" t="s">
        <v>1742</v>
      </c>
      <c r="B1612" s="1" t="s">
        <v>33</v>
      </c>
      <c r="C1612" s="1">
        <v>424</v>
      </c>
      <c r="D1612" s="1">
        <v>33</v>
      </c>
      <c r="E1612" s="1">
        <v>7</v>
      </c>
      <c r="F1612" s="1">
        <v>6</v>
      </c>
      <c r="G1612" s="1">
        <v>30.39</v>
      </c>
      <c r="H1612" s="1" t="s">
        <v>333</v>
      </c>
      <c r="I1612" s="1" t="s">
        <v>27</v>
      </c>
      <c r="J1612" s="1">
        <v>25</v>
      </c>
      <c r="K1612" s="1">
        <v>3.54</v>
      </c>
      <c r="L1612" s="4">
        <v>139.83000000000001</v>
      </c>
      <c r="M1612" s="1">
        <v>1.25</v>
      </c>
      <c r="N1612" s="1">
        <v>9</v>
      </c>
      <c r="O1612" s="1">
        <v>0.77</v>
      </c>
      <c r="P1612" s="1">
        <v>168</v>
      </c>
      <c r="Q1612" s="1">
        <v>9.4499999999999993</v>
      </c>
      <c r="R1612" s="1">
        <v>0.76</v>
      </c>
      <c r="S1612" s="2">
        <v>45320</v>
      </c>
      <c r="T1612" s="1">
        <v>252.37</v>
      </c>
      <c r="U1612" s="1">
        <v>0.52700000000000002</v>
      </c>
      <c r="V1612" s="6">
        <f t="shared" si="75"/>
        <v>59287.920000000006</v>
      </c>
      <c r="W1612" s="6" t="str">
        <f t="shared" si="76"/>
        <v>Sufficient</v>
      </c>
      <c r="X1612" s="8" t="str">
        <f t="shared" si="77"/>
        <v>High</v>
      </c>
    </row>
    <row r="1613" spans="1:24">
      <c r="A1613" s="7" t="s">
        <v>1743</v>
      </c>
      <c r="B1613" s="1" t="s">
        <v>33</v>
      </c>
      <c r="C1613" s="1">
        <v>115</v>
      </c>
      <c r="D1613" s="1">
        <v>23</v>
      </c>
      <c r="E1613" s="1">
        <v>9</v>
      </c>
      <c r="F1613" s="1">
        <v>9</v>
      </c>
      <c r="G1613" s="1">
        <v>18.149999999999999</v>
      </c>
      <c r="H1613" s="1" t="s">
        <v>59</v>
      </c>
      <c r="I1613" s="1" t="s">
        <v>27</v>
      </c>
      <c r="J1613" s="1">
        <v>96</v>
      </c>
      <c r="K1613" s="1">
        <v>0.74</v>
      </c>
      <c r="L1613" s="4">
        <v>24.88</v>
      </c>
      <c r="M1613" s="1">
        <v>1.01</v>
      </c>
      <c r="N1613" s="1">
        <v>9</v>
      </c>
      <c r="O1613" s="1">
        <v>0.92</v>
      </c>
      <c r="P1613" s="1">
        <v>902</v>
      </c>
      <c r="Q1613" s="1">
        <v>12.87</v>
      </c>
      <c r="R1613" s="1">
        <v>0.89</v>
      </c>
      <c r="S1613" s="2">
        <v>45555</v>
      </c>
      <c r="T1613" s="1">
        <v>133.66999999999999</v>
      </c>
      <c r="U1613" s="1">
        <v>0.65300000000000002</v>
      </c>
      <c r="V1613" s="6">
        <f t="shared" si="75"/>
        <v>2861.2</v>
      </c>
      <c r="W1613" s="6" t="str">
        <f t="shared" si="76"/>
        <v>Sufficient</v>
      </c>
      <c r="X1613" s="8" t="str">
        <f t="shared" si="77"/>
        <v>Medium</v>
      </c>
    </row>
    <row r="1614" spans="1:24">
      <c r="A1614" s="7" t="s">
        <v>1744</v>
      </c>
      <c r="B1614" s="1" t="s">
        <v>66</v>
      </c>
      <c r="C1614" s="1">
        <v>182</v>
      </c>
      <c r="D1614" s="1">
        <v>78</v>
      </c>
      <c r="E1614" s="1">
        <v>10</v>
      </c>
      <c r="F1614" s="1">
        <v>4</v>
      </c>
      <c r="G1614" s="1">
        <v>22.76</v>
      </c>
      <c r="H1614" s="1" t="s">
        <v>205</v>
      </c>
      <c r="I1614" s="1" t="s">
        <v>31</v>
      </c>
      <c r="J1614" s="1">
        <v>99</v>
      </c>
      <c r="K1614" s="1">
        <v>4.6399999999999997</v>
      </c>
      <c r="L1614" s="4">
        <v>116.02</v>
      </c>
      <c r="M1614" s="1">
        <v>0.91</v>
      </c>
      <c r="N1614" s="1">
        <v>2</v>
      </c>
      <c r="O1614" s="1">
        <v>0.96</v>
      </c>
      <c r="P1614" s="1">
        <v>732</v>
      </c>
      <c r="Q1614" s="1">
        <v>6.52</v>
      </c>
      <c r="R1614" s="1">
        <v>0.63</v>
      </c>
      <c r="S1614" s="2">
        <v>45373</v>
      </c>
      <c r="T1614" s="1">
        <v>258.58999999999997</v>
      </c>
      <c r="U1614" s="1">
        <v>0.67400000000000004</v>
      </c>
      <c r="V1614" s="6">
        <f t="shared" si="75"/>
        <v>21115.64</v>
      </c>
      <c r="W1614" s="6" t="str">
        <f t="shared" si="76"/>
        <v>Sufficient</v>
      </c>
      <c r="X1614" s="8" t="str">
        <f t="shared" si="77"/>
        <v>Medium</v>
      </c>
    </row>
    <row r="1615" spans="1:24">
      <c r="A1615" s="7" t="s">
        <v>1745</v>
      </c>
      <c r="B1615" s="1" t="s">
        <v>66</v>
      </c>
      <c r="C1615" s="1">
        <v>98</v>
      </c>
      <c r="D1615" s="1">
        <v>27</v>
      </c>
      <c r="E1615" s="1">
        <v>5</v>
      </c>
      <c r="F1615" s="1">
        <v>7</v>
      </c>
      <c r="G1615" s="1">
        <v>4.1500000000000004</v>
      </c>
      <c r="H1615" s="1" t="s">
        <v>327</v>
      </c>
      <c r="I1615" s="1" t="s">
        <v>31</v>
      </c>
      <c r="J1615" s="1">
        <v>89</v>
      </c>
      <c r="K1615" s="1">
        <v>3.95</v>
      </c>
      <c r="L1615" s="4">
        <v>44.87</v>
      </c>
      <c r="M1615" s="1">
        <v>1.55</v>
      </c>
      <c r="N1615" s="1">
        <v>4</v>
      </c>
      <c r="O1615" s="1">
        <v>0.76</v>
      </c>
      <c r="P1615" s="1">
        <v>235</v>
      </c>
      <c r="Q1615" s="1">
        <v>1.72</v>
      </c>
      <c r="R1615" s="1">
        <v>0.83</v>
      </c>
      <c r="S1615" s="2">
        <v>45325</v>
      </c>
      <c r="T1615" s="1">
        <v>156.72</v>
      </c>
      <c r="U1615" s="1">
        <v>0.50600000000000001</v>
      </c>
      <c r="V1615" s="6">
        <f t="shared" si="75"/>
        <v>4397.2599999999993</v>
      </c>
      <c r="W1615" s="6" t="str">
        <f t="shared" si="76"/>
        <v>Sufficient</v>
      </c>
      <c r="X1615" s="8" t="str">
        <f t="shared" si="77"/>
        <v>LOW</v>
      </c>
    </row>
    <row r="1616" spans="1:24">
      <c r="A1616" s="7" t="s">
        <v>1746</v>
      </c>
      <c r="B1616" s="1" t="s">
        <v>25</v>
      </c>
      <c r="C1616" s="1">
        <v>24</v>
      </c>
      <c r="D1616" s="1">
        <v>51</v>
      </c>
      <c r="E1616" s="1">
        <v>4</v>
      </c>
      <c r="F1616" s="1">
        <v>8</v>
      </c>
      <c r="G1616" s="1">
        <v>39.99</v>
      </c>
      <c r="H1616" s="1" t="s">
        <v>304</v>
      </c>
      <c r="I1616" s="1" t="s">
        <v>45</v>
      </c>
      <c r="J1616" s="1">
        <v>36</v>
      </c>
      <c r="K1616" s="1">
        <v>1.1299999999999999</v>
      </c>
      <c r="L1616" s="4">
        <v>139.87</v>
      </c>
      <c r="M1616" s="1">
        <v>1.94</v>
      </c>
      <c r="N1616" s="1">
        <v>3</v>
      </c>
      <c r="O1616" s="1">
        <v>0.75</v>
      </c>
      <c r="P1616" s="1">
        <v>119</v>
      </c>
      <c r="Q1616" s="1">
        <v>9.83</v>
      </c>
      <c r="R1616" s="1">
        <v>0.25</v>
      </c>
      <c r="S1616" s="2">
        <v>45451</v>
      </c>
      <c r="T1616" s="1">
        <v>133.16999999999999</v>
      </c>
      <c r="U1616" s="1">
        <v>0.47699999999999998</v>
      </c>
      <c r="V1616" s="6">
        <f t="shared" si="75"/>
        <v>3356.88</v>
      </c>
      <c r="W1616" s="6" t="str">
        <f t="shared" si="76"/>
        <v>Reorder Required</v>
      </c>
      <c r="X1616" s="8" t="str">
        <f t="shared" si="77"/>
        <v>LOW</v>
      </c>
    </row>
    <row r="1617" spans="1:24">
      <c r="A1617" s="7" t="s">
        <v>1747</v>
      </c>
      <c r="B1617" s="1" t="s">
        <v>66</v>
      </c>
      <c r="C1617" s="1">
        <v>335</v>
      </c>
      <c r="D1617" s="1">
        <v>66</v>
      </c>
      <c r="E1617" s="1">
        <v>4</v>
      </c>
      <c r="F1617" s="1">
        <v>8</v>
      </c>
      <c r="G1617" s="1">
        <v>12.8</v>
      </c>
      <c r="H1617" s="1" t="s">
        <v>122</v>
      </c>
      <c r="I1617" s="1" t="s">
        <v>45</v>
      </c>
      <c r="J1617" s="1">
        <v>120</v>
      </c>
      <c r="K1617" s="1">
        <v>1.48</v>
      </c>
      <c r="L1617" s="4">
        <v>125.92</v>
      </c>
      <c r="M1617" s="1">
        <v>1.01</v>
      </c>
      <c r="N1617" s="1">
        <v>6</v>
      </c>
      <c r="O1617" s="1">
        <v>0.96</v>
      </c>
      <c r="P1617" s="1">
        <v>806</v>
      </c>
      <c r="Q1617" s="1">
        <v>14.82</v>
      </c>
      <c r="R1617" s="1">
        <v>0.32</v>
      </c>
      <c r="S1617" s="2">
        <v>45655</v>
      </c>
      <c r="T1617" s="1">
        <v>90.93</v>
      </c>
      <c r="U1617" s="1">
        <v>0.63300000000000001</v>
      </c>
      <c r="V1617" s="6">
        <f t="shared" si="75"/>
        <v>42183.199999999997</v>
      </c>
      <c r="W1617" s="6" t="str">
        <f t="shared" si="76"/>
        <v>Sufficient</v>
      </c>
      <c r="X1617" s="8" t="str">
        <f t="shared" si="77"/>
        <v>High</v>
      </c>
    </row>
    <row r="1618" spans="1:24">
      <c r="A1618" s="7" t="s">
        <v>1748</v>
      </c>
      <c r="B1618" s="1" t="s">
        <v>25</v>
      </c>
      <c r="C1618" s="1">
        <v>139</v>
      </c>
      <c r="D1618" s="1">
        <v>92</v>
      </c>
      <c r="E1618" s="1">
        <v>7</v>
      </c>
      <c r="F1618" s="1">
        <v>2</v>
      </c>
      <c r="G1618" s="1">
        <v>23.57</v>
      </c>
      <c r="H1618" s="1" t="s">
        <v>258</v>
      </c>
      <c r="I1618" s="1" t="s">
        <v>39</v>
      </c>
      <c r="J1618" s="1">
        <v>73</v>
      </c>
      <c r="K1618" s="1">
        <v>3.4</v>
      </c>
      <c r="L1618" s="4">
        <v>194.88</v>
      </c>
      <c r="M1618" s="1">
        <v>0.11</v>
      </c>
      <c r="N1618" s="1">
        <v>9</v>
      </c>
      <c r="O1618" s="1">
        <v>0.81</v>
      </c>
      <c r="P1618" s="1">
        <v>974</v>
      </c>
      <c r="Q1618" s="1">
        <v>12.96</v>
      </c>
      <c r="R1618" s="1">
        <v>0.56999999999999995</v>
      </c>
      <c r="S1618" s="2">
        <v>45551</v>
      </c>
      <c r="T1618" s="1">
        <v>46.68</v>
      </c>
      <c r="U1618" s="1">
        <v>0.65800000000000003</v>
      </c>
      <c r="V1618" s="6">
        <f t="shared" si="75"/>
        <v>27088.32</v>
      </c>
      <c r="W1618" s="6" t="str">
        <f t="shared" si="76"/>
        <v>Sufficient</v>
      </c>
      <c r="X1618" s="8" t="str">
        <f t="shared" si="77"/>
        <v>Medium</v>
      </c>
    </row>
    <row r="1619" spans="1:24">
      <c r="A1619" s="7" t="s">
        <v>1749</v>
      </c>
      <c r="B1619" s="1" t="s">
        <v>25</v>
      </c>
      <c r="C1619" s="1">
        <v>321</v>
      </c>
      <c r="D1619" s="1">
        <v>21</v>
      </c>
      <c r="E1619" s="1">
        <v>3</v>
      </c>
      <c r="F1619" s="1">
        <v>7</v>
      </c>
      <c r="G1619" s="1">
        <v>24.55</v>
      </c>
      <c r="H1619" s="1" t="s">
        <v>346</v>
      </c>
      <c r="I1619" s="1" t="s">
        <v>45</v>
      </c>
      <c r="J1619" s="1">
        <v>106</v>
      </c>
      <c r="K1619" s="1">
        <v>4.6500000000000004</v>
      </c>
      <c r="L1619" s="4">
        <v>187.72</v>
      </c>
      <c r="M1619" s="1">
        <v>1.23</v>
      </c>
      <c r="N1619" s="1">
        <v>6</v>
      </c>
      <c r="O1619" s="1">
        <v>0.83</v>
      </c>
      <c r="P1619" s="1">
        <v>720</v>
      </c>
      <c r="Q1619" s="1">
        <v>11.62</v>
      </c>
      <c r="R1619" s="1">
        <v>0.94</v>
      </c>
      <c r="S1619" s="2">
        <v>45498</v>
      </c>
      <c r="T1619" s="1">
        <v>162.51</v>
      </c>
      <c r="U1619" s="1">
        <v>0.66600000000000004</v>
      </c>
      <c r="V1619" s="6">
        <f t="shared" si="75"/>
        <v>60258.12</v>
      </c>
      <c r="W1619" s="6" t="str">
        <f t="shared" si="76"/>
        <v>Sufficient</v>
      </c>
      <c r="X1619" s="8" t="str">
        <f t="shared" si="77"/>
        <v>High</v>
      </c>
    </row>
    <row r="1620" spans="1:24">
      <c r="A1620" s="7" t="s">
        <v>1750</v>
      </c>
      <c r="B1620" s="1" t="s">
        <v>66</v>
      </c>
      <c r="C1620" s="1">
        <v>197</v>
      </c>
      <c r="D1620" s="1">
        <v>91</v>
      </c>
      <c r="E1620" s="1">
        <v>4</v>
      </c>
      <c r="F1620" s="1">
        <v>8</v>
      </c>
      <c r="G1620" s="1">
        <v>28.47</v>
      </c>
      <c r="H1620" s="1" t="s">
        <v>36</v>
      </c>
      <c r="I1620" s="1" t="s">
        <v>31</v>
      </c>
      <c r="J1620" s="1">
        <v>169</v>
      </c>
      <c r="K1620" s="1">
        <v>2.5099999999999998</v>
      </c>
      <c r="L1620" s="4">
        <v>11.78</v>
      </c>
      <c r="M1620" s="1">
        <v>1.34</v>
      </c>
      <c r="N1620" s="1">
        <v>5</v>
      </c>
      <c r="O1620" s="1">
        <v>0.77</v>
      </c>
      <c r="P1620" s="1">
        <v>333</v>
      </c>
      <c r="Q1620" s="1">
        <v>3.47</v>
      </c>
      <c r="R1620" s="1">
        <v>0.63</v>
      </c>
      <c r="S1620" s="2">
        <v>45361</v>
      </c>
      <c r="T1620" s="1">
        <v>104.32</v>
      </c>
      <c r="U1620" s="1">
        <v>0.49199999999999999</v>
      </c>
      <c r="V1620" s="6">
        <f t="shared" si="75"/>
        <v>2320.66</v>
      </c>
      <c r="W1620" s="6" t="str">
        <f t="shared" si="76"/>
        <v>Sufficient</v>
      </c>
      <c r="X1620" s="8" t="str">
        <f t="shared" si="77"/>
        <v>Medium</v>
      </c>
    </row>
    <row r="1621" spans="1:24">
      <c r="A1621" s="7" t="s">
        <v>1751</v>
      </c>
      <c r="B1621" s="1" t="s">
        <v>41</v>
      </c>
      <c r="C1621" s="1">
        <v>195</v>
      </c>
      <c r="D1621" s="1">
        <v>26</v>
      </c>
      <c r="E1621" s="1">
        <v>11</v>
      </c>
      <c r="F1621" s="1">
        <v>5</v>
      </c>
      <c r="G1621" s="1">
        <v>41.08</v>
      </c>
      <c r="H1621" s="1" t="s">
        <v>88</v>
      </c>
      <c r="I1621" s="1" t="s">
        <v>45</v>
      </c>
      <c r="J1621" s="1">
        <v>146</v>
      </c>
      <c r="K1621" s="1">
        <v>2.69</v>
      </c>
      <c r="L1621" s="4">
        <v>25.21</v>
      </c>
      <c r="M1621" s="1">
        <v>1.67</v>
      </c>
      <c r="N1621" s="1">
        <v>6</v>
      </c>
      <c r="O1621" s="1">
        <v>0.83</v>
      </c>
      <c r="P1621" s="1">
        <v>668</v>
      </c>
      <c r="Q1621" s="1">
        <v>11.48</v>
      </c>
      <c r="R1621" s="1">
        <v>0.55000000000000004</v>
      </c>
      <c r="S1621" s="2">
        <v>45560</v>
      </c>
      <c r="T1621" s="1">
        <v>82.34</v>
      </c>
      <c r="U1621" s="1">
        <v>0.54200000000000004</v>
      </c>
      <c r="V1621" s="6">
        <f t="shared" si="75"/>
        <v>4915.95</v>
      </c>
      <c r="W1621" s="6" t="str">
        <f t="shared" si="76"/>
        <v>Sufficient</v>
      </c>
      <c r="X1621" s="8" t="str">
        <f t="shared" si="77"/>
        <v>Medium</v>
      </c>
    </row>
    <row r="1622" spans="1:24">
      <c r="A1622" s="7" t="s">
        <v>1752</v>
      </c>
      <c r="B1622" s="1" t="s">
        <v>41</v>
      </c>
      <c r="C1622" s="1">
        <v>409</v>
      </c>
      <c r="D1622" s="1">
        <v>39</v>
      </c>
      <c r="E1622" s="1">
        <v>9</v>
      </c>
      <c r="F1622" s="1">
        <v>9</v>
      </c>
      <c r="G1622" s="1">
        <v>34.9</v>
      </c>
      <c r="H1622" s="1" t="s">
        <v>274</v>
      </c>
      <c r="I1622" s="1" t="s">
        <v>27</v>
      </c>
      <c r="J1622" s="1">
        <v>20</v>
      </c>
      <c r="K1622" s="1">
        <v>1.57</v>
      </c>
      <c r="L1622" s="4">
        <v>156.13999999999999</v>
      </c>
      <c r="M1622" s="1">
        <v>0.48</v>
      </c>
      <c r="N1622" s="1">
        <v>6</v>
      </c>
      <c r="O1622" s="1">
        <v>0.77</v>
      </c>
      <c r="P1622" s="1">
        <v>995</v>
      </c>
      <c r="Q1622" s="1">
        <v>2.14</v>
      </c>
      <c r="R1622" s="1">
        <v>0.68</v>
      </c>
      <c r="S1622" s="2">
        <v>45583</v>
      </c>
      <c r="T1622" s="1">
        <v>59.2</v>
      </c>
      <c r="U1622" s="1">
        <v>0.55100000000000005</v>
      </c>
      <c r="V1622" s="6">
        <f t="shared" si="75"/>
        <v>63861.259999999995</v>
      </c>
      <c r="W1622" s="6" t="str">
        <f t="shared" si="76"/>
        <v>Sufficient</v>
      </c>
      <c r="X1622" s="8" t="str">
        <f t="shared" si="77"/>
        <v>High</v>
      </c>
    </row>
    <row r="1623" spans="1:24">
      <c r="A1623" s="7" t="s">
        <v>1753</v>
      </c>
      <c r="B1623" s="1" t="s">
        <v>25</v>
      </c>
      <c r="C1623" s="1">
        <v>236</v>
      </c>
      <c r="D1623" s="1">
        <v>97</v>
      </c>
      <c r="E1623" s="1">
        <v>8</v>
      </c>
      <c r="F1623" s="1">
        <v>6</v>
      </c>
      <c r="G1623" s="1">
        <v>33.49</v>
      </c>
      <c r="H1623" s="1" t="s">
        <v>30</v>
      </c>
      <c r="I1623" s="1" t="s">
        <v>31</v>
      </c>
      <c r="J1623" s="1">
        <v>79</v>
      </c>
      <c r="K1623" s="1">
        <v>2.2200000000000002</v>
      </c>
      <c r="L1623" s="4">
        <v>140.27000000000001</v>
      </c>
      <c r="M1623" s="1">
        <v>1.1000000000000001</v>
      </c>
      <c r="N1623" s="1">
        <v>7</v>
      </c>
      <c r="O1623" s="1">
        <v>0.9</v>
      </c>
      <c r="P1623" s="1">
        <v>597</v>
      </c>
      <c r="Q1623" s="1">
        <v>7.91</v>
      </c>
      <c r="R1623" s="1">
        <v>0.3</v>
      </c>
      <c r="S1623" s="2">
        <v>45306</v>
      </c>
      <c r="T1623" s="1">
        <v>122.7</v>
      </c>
      <c r="U1623" s="1">
        <v>0.495</v>
      </c>
      <c r="V1623" s="6">
        <f t="shared" si="75"/>
        <v>33103.72</v>
      </c>
      <c r="W1623" s="6" t="str">
        <f t="shared" si="76"/>
        <v>Sufficient</v>
      </c>
      <c r="X1623" s="8" t="str">
        <f t="shared" si="77"/>
        <v>Medium</v>
      </c>
    </row>
    <row r="1624" spans="1:24">
      <c r="A1624" s="7" t="s">
        <v>1754</v>
      </c>
      <c r="B1624" s="1" t="s">
        <v>66</v>
      </c>
      <c r="C1624" s="1">
        <v>75</v>
      </c>
      <c r="D1624" s="1">
        <v>84</v>
      </c>
      <c r="E1624" s="1">
        <v>11</v>
      </c>
      <c r="F1624" s="1">
        <v>9</v>
      </c>
      <c r="G1624" s="1">
        <v>26.81</v>
      </c>
      <c r="H1624" s="1" t="s">
        <v>238</v>
      </c>
      <c r="I1624" s="1" t="s">
        <v>39</v>
      </c>
      <c r="J1624" s="1">
        <v>167</v>
      </c>
      <c r="K1624" s="1">
        <v>1.79</v>
      </c>
      <c r="L1624" s="4">
        <v>162.18</v>
      </c>
      <c r="M1624" s="1">
        <v>0.95</v>
      </c>
      <c r="N1624" s="1">
        <v>0</v>
      </c>
      <c r="O1624" s="1">
        <v>0.85</v>
      </c>
      <c r="P1624" s="1">
        <v>397</v>
      </c>
      <c r="Q1624" s="1">
        <v>6.19</v>
      </c>
      <c r="R1624" s="1">
        <v>0.72</v>
      </c>
      <c r="S1624" s="2">
        <v>45380</v>
      </c>
      <c r="T1624" s="1">
        <v>171.2</v>
      </c>
      <c r="U1624" s="1">
        <v>0.70199999999999996</v>
      </c>
      <c r="V1624" s="6">
        <f t="shared" si="75"/>
        <v>12163.5</v>
      </c>
      <c r="W1624" s="6" t="str">
        <f t="shared" si="76"/>
        <v>Reorder Required</v>
      </c>
      <c r="X1624" s="8" t="str">
        <f t="shared" si="77"/>
        <v>LOW</v>
      </c>
    </row>
    <row r="1625" spans="1:24">
      <c r="A1625" s="7" t="s">
        <v>1755</v>
      </c>
      <c r="B1625" s="1" t="s">
        <v>41</v>
      </c>
      <c r="C1625" s="1">
        <v>385</v>
      </c>
      <c r="D1625" s="1">
        <v>32</v>
      </c>
      <c r="E1625" s="1">
        <v>9</v>
      </c>
      <c r="F1625" s="1">
        <v>5</v>
      </c>
      <c r="G1625" s="1">
        <v>5.7</v>
      </c>
      <c r="H1625" s="1" t="s">
        <v>153</v>
      </c>
      <c r="I1625" s="1" t="s">
        <v>27</v>
      </c>
      <c r="J1625" s="1">
        <v>152</v>
      </c>
      <c r="K1625" s="1">
        <v>2.08</v>
      </c>
      <c r="L1625" s="4">
        <v>60.69</v>
      </c>
      <c r="M1625" s="1">
        <v>1.36</v>
      </c>
      <c r="N1625" s="1">
        <v>2</v>
      </c>
      <c r="O1625" s="1">
        <v>0.94</v>
      </c>
      <c r="P1625" s="1">
        <v>964</v>
      </c>
      <c r="Q1625" s="1">
        <v>13.67</v>
      </c>
      <c r="R1625" s="1">
        <v>0.28000000000000003</v>
      </c>
      <c r="S1625" s="2">
        <v>45390</v>
      </c>
      <c r="T1625" s="1">
        <v>252.74</v>
      </c>
      <c r="U1625" s="1">
        <v>0.65</v>
      </c>
      <c r="V1625" s="6">
        <f t="shared" si="75"/>
        <v>23365.649999999998</v>
      </c>
      <c r="W1625" s="6" t="str">
        <f t="shared" si="76"/>
        <v>Sufficient</v>
      </c>
      <c r="X1625" s="8" t="str">
        <f t="shared" si="77"/>
        <v>High</v>
      </c>
    </row>
    <row r="1626" spans="1:24">
      <c r="A1626" s="7" t="s">
        <v>1756</v>
      </c>
      <c r="B1626" s="1" t="s">
        <v>66</v>
      </c>
      <c r="C1626" s="1">
        <v>206</v>
      </c>
      <c r="D1626" s="1">
        <v>90</v>
      </c>
      <c r="E1626" s="1">
        <v>13</v>
      </c>
      <c r="F1626" s="1">
        <v>8</v>
      </c>
      <c r="G1626" s="1">
        <v>20.7</v>
      </c>
      <c r="H1626" s="1" t="s">
        <v>350</v>
      </c>
      <c r="I1626" s="1" t="s">
        <v>27</v>
      </c>
      <c r="J1626" s="1">
        <v>57</v>
      </c>
      <c r="K1626" s="1">
        <v>0.59</v>
      </c>
      <c r="L1626" s="4">
        <v>171.37</v>
      </c>
      <c r="M1626" s="1">
        <v>0.22</v>
      </c>
      <c r="N1626" s="1">
        <v>2</v>
      </c>
      <c r="O1626" s="1">
        <v>0.79</v>
      </c>
      <c r="P1626" s="1">
        <v>244</v>
      </c>
      <c r="Q1626" s="1">
        <v>3.24</v>
      </c>
      <c r="R1626" s="1">
        <v>0.66</v>
      </c>
      <c r="S1626" s="2">
        <v>45394</v>
      </c>
      <c r="T1626" s="1">
        <v>247.86</v>
      </c>
      <c r="U1626" s="1">
        <v>0.67100000000000004</v>
      </c>
      <c r="V1626" s="6">
        <f t="shared" si="75"/>
        <v>35302.22</v>
      </c>
      <c r="W1626" s="6" t="str">
        <f t="shared" si="76"/>
        <v>Sufficient</v>
      </c>
      <c r="X1626" s="8" t="str">
        <f t="shared" si="77"/>
        <v>Medium</v>
      </c>
    </row>
    <row r="1627" spans="1:24">
      <c r="A1627" s="7" t="s">
        <v>1757</v>
      </c>
      <c r="B1627" s="1" t="s">
        <v>66</v>
      </c>
      <c r="C1627" s="1">
        <v>251</v>
      </c>
      <c r="D1627" s="1">
        <v>10</v>
      </c>
      <c r="E1627" s="1">
        <v>7</v>
      </c>
      <c r="F1627" s="1">
        <v>5</v>
      </c>
      <c r="G1627" s="1">
        <v>47.91</v>
      </c>
      <c r="H1627" s="1" t="s">
        <v>91</v>
      </c>
      <c r="I1627" s="1" t="s">
        <v>27</v>
      </c>
      <c r="J1627" s="1">
        <v>103</v>
      </c>
      <c r="K1627" s="1">
        <v>0.68</v>
      </c>
      <c r="L1627" s="4">
        <v>94.06</v>
      </c>
      <c r="M1627" s="1">
        <v>1.78</v>
      </c>
      <c r="N1627" s="1">
        <v>4</v>
      </c>
      <c r="O1627" s="1">
        <v>0.85</v>
      </c>
      <c r="P1627" s="1">
        <v>829</v>
      </c>
      <c r="Q1627" s="1">
        <v>12.04</v>
      </c>
      <c r="R1627" s="1">
        <v>0.77</v>
      </c>
      <c r="S1627" s="2">
        <v>45321</v>
      </c>
      <c r="T1627" s="1">
        <v>257.97000000000003</v>
      </c>
      <c r="U1627" s="1">
        <v>0.627</v>
      </c>
      <c r="V1627" s="6">
        <f t="shared" si="75"/>
        <v>23609.06</v>
      </c>
      <c r="W1627" s="6" t="str">
        <f t="shared" si="76"/>
        <v>Sufficient</v>
      </c>
      <c r="X1627" s="8" t="str">
        <f t="shared" si="77"/>
        <v>High</v>
      </c>
    </row>
    <row r="1628" spans="1:24">
      <c r="A1628" s="7" t="s">
        <v>1758</v>
      </c>
      <c r="B1628" s="1" t="s">
        <v>66</v>
      </c>
      <c r="C1628" s="1">
        <v>274</v>
      </c>
      <c r="D1628" s="1">
        <v>88</v>
      </c>
      <c r="E1628" s="1">
        <v>11</v>
      </c>
      <c r="F1628" s="1">
        <v>9</v>
      </c>
      <c r="G1628" s="1">
        <v>49.78</v>
      </c>
      <c r="H1628" s="1" t="s">
        <v>208</v>
      </c>
      <c r="I1628" s="1" t="s">
        <v>31</v>
      </c>
      <c r="J1628" s="1">
        <v>85</v>
      </c>
      <c r="K1628" s="1">
        <v>3.56</v>
      </c>
      <c r="L1628" s="4">
        <v>59.76</v>
      </c>
      <c r="M1628" s="1">
        <v>1.07</v>
      </c>
      <c r="N1628" s="1">
        <v>9</v>
      </c>
      <c r="O1628" s="1">
        <v>0.78</v>
      </c>
      <c r="P1628" s="1">
        <v>533</v>
      </c>
      <c r="Q1628" s="1">
        <v>1.68</v>
      </c>
      <c r="R1628" s="1">
        <v>0.53</v>
      </c>
      <c r="S1628" s="2">
        <v>45419</v>
      </c>
      <c r="T1628" s="1">
        <v>177.11</v>
      </c>
      <c r="U1628" s="1">
        <v>0.39700000000000002</v>
      </c>
      <c r="V1628" s="6">
        <f t="shared" si="75"/>
        <v>16374.24</v>
      </c>
      <c r="W1628" s="6" t="str">
        <f t="shared" si="76"/>
        <v>Sufficient</v>
      </c>
      <c r="X1628" s="8" t="str">
        <f t="shared" si="77"/>
        <v>High</v>
      </c>
    </row>
    <row r="1629" spans="1:24">
      <c r="A1629" s="7" t="s">
        <v>1759</v>
      </c>
      <c r="B1629" s="1" t="s">
        <v>29</v>
      </c>
      <c r="C1629" s="1">
        <v>432</v>
      </c>
      <c r="D1629" s="1">
        <v>41</v>
      </c>
      <c r="E1629" s="1">
        <v>8</v>
      </c>
      <c r="F1629" s="1">
        <v>8</v>
      </c>
      <c r="G1629" s="1">
        <v>36.79</v>
      </c>
      <c r="H1629" s="1" t="s">
        <v>145</v>
      </c>
      <c r="I1629" s="1" t="s">
        <v>31</v>
      </c>
      <c r="J1629" s="1">
        <v>69</v>
      </c>
      <c r="K1629" s="1">
        <v>3.57</v>
      </c>
      <c r="L1629" s="4">
        <v>12.02</v>
      </c>
      <c r="M1629" s="1">
        <v>1.77</v>
      </c>
      <c r="N1629" s="1">
        <v>6</v>
      </c>
      <c r="O1629" s="1">
        <v>0.98</v>
      </c>
      <c r="P1629" s="1">
        <v>637</v>
      </c>
      <c r="Q1629" s="1">
        <v>10.82</v>
      </c>
      <c r="R1629" s="1">
        <v>0.93</v>
      </c>
      <c r="S1629" s="2">
        <v>45308</v>
      </c>
      <c r="T1629" s="1">
        <v>172.27</v>
      </c>
      <c r="U1629" s="1">
        <v>0.629</v>
      </c>
      <c r="V1629" s="6">
        <f t="shared" si="75"/>
        <v>5192.6399999999994</v>
      </c>
      <c r="W1629" s="6" t="str">
        <f t="shared" si="76"/>
        <v>Sufficient</v>
      </c>
      <c r="X1629" s="8" t="str">
        <f t="shared" si="77"/>
        <v>High</v>
      </c>
    </row>
    <row r="1630" spans="1:24">
      <c r="A1630" s="7" t="s">
        <v>1760</v>
      </c>
      <c r="B1630" s="1" t="s">
        <v>66</v>
      </c>
      <c r="C1630" s="1">
        <v>474</v>
      </c>
      <c r="D1630" s="1">
        <v>18</v>
      </c>
      <c r="E1630" s="1">
        <v>8</v>
      </c>
      <c r="F1630" s="1">
        <v>6</v>
      </c>
      <c r="G1630" s="1">
        <v>12.15</v>
      </c>
      <c r="H1630" s="1" t="s">
        <v>252</v>
      </c>
      <c r="I1630" s="1" t="s">
        <v>39</v>
      </c>
      <c r="J1630" s="1">
        <v>77</v>
      </c>
      <c r="K1630" s="1">
        <v>1.99</v>
      </c>
      <c r="L1630" s="4">
        <v>175.56</v>
      </c>
      <c r="M1630" s="1">
        <v>0.75</v>
      </c>
      <c r="N1630" s="1">
        <v>9</v>
      </c>
      <c r="O1630" s="1">
        <v>0.86</v>
      </c>
      <c r="P1630" s="1">
        <v>329</v>
      </c>
      <c r="Q1630" s="1">
        <v>5.1100000000000003</v>
      </c>
      <c r="R1630" s="1">
        <v>0.32</v>
      </c>
      <c r="S1630" s="2">
        <v>45525</v>
      </c>
      <c r="T1630" s="1">
        <v>272.49</v>
      </c>
      <c r="U1630" s="1">
        <v>0.44900000000000001</v>
      </c>
      <c r="V1630" s="6">
        <f t="shared" si="75"/>
        <v>83215.44</v>
      </c>
      <c r="W1630" s="6" t="str">
        <f t="shared" si="76"/>
        <v>Sufficient</v>
      </c>
      <c r="X1630" s="8" t="str">
        <f t="shared" si="77"/>
        <v>High</v>
      </c>
    </row>
    <row r="1631" spans="1:24">
      <c r="A1631" s="7" t="s">
        <v>1761</v>
      </c>
      <c r="B1631" s="1" t="s">
        <v>29</v>
      </c>
      <c r="C1631" s="1">
        <v>123</v>
      </c>
      <c r="D1631" s="1">
        <v>24</v>
      </c>
      <c r="E1631" s="1">
        <v>13</v>
      </c>
      <c r="F1631" s="1">
        <v>6</v>
      </c>
      <c r="G1631" s="1">
        <v>5.99</v>
      </c>
      <c r="H1631" s="1" t="s">
        <v>59</v>
      </c>
      <c r="I1631" s="1" t="s">
        <v>45</v>
      </c>
      <c r="J1631" s="1">
        <v>66</v>
      </c>
      <c r="K1631" s="1">
        <v>4.4800000000000004</v>
      </c>
      <c r="L1631" s="4">
        <v>111.72</v>
      </c>
      <c r="M1631" s="1">
        <v>1.34</v>
      </c>
      <c r="N1631" s="1">
        <v>5</v>
      </c>
      <c r="O1631" s="1">
        <v>0.75</v>
      </c>
      <c r="P1631" s="1">
        <v>882</v>
      </c>
      <c r="Q1631" s="1">
        <v>14.66</v>
      </c>
      <c r="R1631" s="1">
        <v>0.34</v>
      </c>
      <c r="S1631" s="2">
        <v>45317</v>
      </c>
      <c r="T1631" s="1">
        <v>93.68</v>
      </c>
      <c r="U1631" s="1">
        <v>0.57899999999999996</v>
      </c>
      <c r="V1631" s="6">
        <f t="shared" si="75"/>
        <v>13741.56</v>
      </c>
      <c r="W1631" s="6" t="str">
        <f t="shared" si="76"/>
        <v>Sufficient</v>
      </c>
      <c r="X1631" s="8" t="str">
        <f t="shared" si="77"/>
        <v>Medium</v>
      </c>
    </row>
    <row r="1632" spans="1:24">
      <c r="A1632" s="7" t="s">
        <v>1762</v>
      </c>
      <c r="B1632" s="1" t="s">
        <v>25</v>
      </c>
      <c r="C1632" s="1">
        <v>96</v>
      </c>
      <c r="D1632" s="1">
        <v>37</v>
      </c>
      <c r="E1632" s="1">
        <v>6</v>
      </c>
      <c r="F1632" s="1">
        <v>7</v>
      </c>
      <c r="G1632" s="1">
        <v>21.32</v>
      </c>
      <c r="H1632" s="1" t="s">
        <v>50</v>
      </c>
      <c r="I1632" s="1" t="s">
        <v>45</v>
      </c>
      <c r="J1632" s="1">
        <v>73</v>
      </c>
      <c r="K1632" s="1">
        <v>1.7</v>
      </c>
      <c r="L1632" s="4">
        <v>195.32</v>
      </c>
      <c r="M1632" s="1">
        <v>1.92</v>
      </c>
      <c r="N1632" s="1">
        <v>3</v>
      </c>
      <c r="O1632" s="1">
        <v>0.78</v>
      </c>
      <c r="P1632" s="1">
        <v>397</v>
      </c>
      <c r="Q1632" s="1">
        <v>10.4</v>
      </c>
      <c r="R1632" s="1">
        <v>0.61</v>
      </c>
      <c r="S1632" s="2">
        <v>45476</v>
      </c>
      <c r="T1632" s="1">
        <v>52.18</v>
      </c>
      <c r="U1632" s="1">
        <v>0.56499999999999995</v>
      </c>
      <c r="V1632" s="6">
        <f t="shared" si="75"/>
        <v>18750.72</v>
      </c>
      <c r="W1632" s="6" t="str">
        <f t="shared" si="76"/>
        <v>Sufficient</v>
      </c>
      <c r="X1632" s="8" t="str">
        <f t="shared" si="77"/>
        <v>LOW</v>
      </c>
    </row>
    <row r="1633" spans="1:24">
      <c r="A1633" s="7" t="s">
        <v>1763</v>
      </c>
      <c r="B1633" s="1" t="s">
        <v>41</v>
      </c>
      <c r="C1633" s="1">
        <v>249</v>
      </c>
      <c r="D1633" s="1">
        <v>33</v>
      </c>
      <c r="E1633" s="1">
        <v>14</v>
      </c>
      <c r="F1633" s="1">
        <v>5</v>
      </c>
      <c r="G1633" s="1">
        <v>42.97</v>
      </c>
      <c r="H1633" s="1" t="s">
        <v>91</v>
      </c>
      <c r="I1633" s="1" t="s">
        <v>45</v>
      </c>
      <c r="J1633" s="1">
        <v>89</v>
      </c>
      <c r="K1633" s="1">
        <v>2.2799999999999998</v>
      </c>
      <c r="L1633" s="4">
        <v>145.79</v>
      </c>
      <c r="M1633" s="1">
        <v>1.89</v>
      </c>
      <c r="N1633" s="1">
        <v>5</v>
      </c>
      <c r="O1633" s="1">
        <v>0.72</v>
      </c>
      <c r="P1633" s="1">
        <v>641</v>
      </c>
      <c r="Q1633" s="1">
        <v>5.32</v>
      </c>
      <c r="R1633" s="1">
        <v>0.95</v>
      </c>
      <c r="S1633" s="2">
        <v>45652</v>
      </c>
      <c r="T1633" s="1">
        <v>34</v>
      </c>
      <c r="U1633" s="1">
        <v>0.51600000000000001</v>
      </c>
      <c r="V1633" s="6">
        <f t="shared" si="75"/>
        <v>36301.71</v>
      </c>
      <c r="W1633" s="6" t="str">
        <f t="shared" si="76"/>
        <v>Sufficient</v>
      </c>
      <c r="X1633" s="8" t="str">
        <f t="shared" si="77"/>
        <v>Medium</v>
      </c>
    </row>
    <row r="1634" spans="1:24">
      <c r="A1634" s="7" t="s">
        <v>1764</v>
      </c>
      <c r="B1634" s="1" t="s">
        <v>41</v>
      </c>
      <c r="C1634" s="1">
        <v>421</v>
      </c>
      <c r="D1634" s="1">
        <v>69</v>
      </c>
      <c r="E1634" s="1">
        <v>3</v>
      </c>
      <c r="F1634" s="1">
        <v>4</v>
      </c>
      <c r="G1634" s="1">
        <v>36.369999999999997</v>
      </c>
      <c r="H1634" s="1" t="s">
        <v>72</v>
      </c>
      <c r="I1634" s="1" t="s">
        <v>45</v>
      </c>
      <c r="J1634" s="1">
        <v>96</v>
      </c>
      <c r="K1634" s="1">
        <v>3.79</v>
      </c>
      <c r="L1634" s="4">
        <v>25.28</v>
      </c>
      <c r="M1634" s="1">
        <v>1.89</v>
      </c>
      <c r="N1634" s="1">
        <v>6</v>
      </c>
      <c r="O1634" s="1">
        <v>0.71</v>
      </c>
      <c r="P1634" s="1">
        <v>966</v>
      </c>
      <c r="Q1634" s="1">
        <v>4.3</v>
      </c>
      <c r="R1634" s="1">
        <v>0.51</v>
      </c>
      <c r="S1634" s="2">
        <v>45393</v>
      </c>
      <c r="T1634" s="1">
        <v>265.5</v>
      </c>
      <c r="U1634" s="1">
        <v>0.39200000000000002</v>
      </c>
      <c r="V1634" s="6">
        <f t="shared" si="75"/>
        <v>10642.880000000001</v>
      </c>
      <c r="W1634" s="6" t="str">
        <f t="shared" si="76"/>
        <v>Sufficient</v>
      </c>
      <c r="X1634" s="8" t="str">
        <f t="shared" si="77"/>
        <v>High</v>
      </c>
    </row>
    <row r="1635" spans="1:24">
      <c r="A1635" s="7" t="s">
        <v>1765</v>
      </c>
      <c r="B1635" s="1" t="s">
        <v>41</v>
      </c>
      <c r="C1635" s="1">
        <v>277</v>
      </c>
      <c r="D1635" s="1">
        <v>44</v>
      </c>
      <c r="E1635" s="1">
        <v>7</v>
      </c>
      <c r="F1635" s="1">
        <v>7</v>
      </c>
      <c r="G1635" s="1">
        <v>44.31</v>
      </c>
      <c r="H1635" s="1" t="s">
        <v>44</v>
      </c>
      <c r="I1635" s="1" t="s">
        <v>27</v>
      </c>
      <c r="J1635" s="1">
        <v>176</v>
      </c>
      <c r="K1635" s="1">
        <v>3.85</v>
      </c>
      <c r="L1635" s="4">
        <v>121.76</v>
      </c>
      <c r="M1635" s="1">
        <v>0.18</v>
      </c>
      <c r="N1635" s="1">
        <v>3</v>
      </c>
      <c r="O1635" s="1">
        <v>0.86</v>
      </c>
      <c r="P1635" s="1">
        <v>527</v>
      </c>
      <c r="Q1635" s="1">
        <v>9.9499999999999993</v>
      </c>
      <c r="R1635" s="1">
        <v>0.94</v>
      </c>
      <c r="S1635" s="2">
        <v>45432</v>
      </c>
      <c r="T1635" s="1">
        <v>117.81</v>
      </c>
      <c r="U1635" s="1">
        <v>0.81499999999999995</v>
      </c>
      <c r="V1635" s="6">
        <f t="shared" si="75"/>
        <v>33727.520000000004</v>
      </c>
      <c r="W1635" s="6" t="str">
        <f t="shared" si="76"/>
        <v>Sufficient</v>
      </c>
      <c r="X1635" s="8" t="str">
        <f t="shared" si="77"/>
        <v>High</v>
      </c>
    </row>
    <row r="1636" spans="1:24">
      <c r="A1636" s="7" t="s">
        <v>1766</v>
      </c>
      <c r="B1636" s="1" t="s">
        <v>41</v>
      </c>
      <c r="C1636" s="1">
        <v>283</v>
      </c>
      <c r="D1636" s="1">
        <v>95</v>
      </c>
      <c r="E1636" s="1">
        <v>13</v>
      </c>
      <c r="F1636" s="1">
        <v>6</v>
      </c>
      <c r="G1636" s="1">
        <v>31.17</v>
      </c>
      <c r="H1636" s="1" t="s">
        <v>558</v>
      </c>
      <c r="I1636" s="1" t="s">
        <v>31</v>
      </c>
      <c r="J1636" s="1">
        <v>129</v>
      </c>
      <c r="K1636" s="1">
        <v>4.38</v>
      </c>
      <c r="L1636" s="4">
        <v>13.25</v>
      </c>
      <c r="M1636" s="1">
        <v>0.87</v>
      </c>
      <c r="N1636" s="1">
        <v>7</v>
      </c>
      <c r="O1636" s="1">
        <v>0.8</v>
      </c>
      <c r="P1636" s="1">
        <v>147</v>
      </c>
      <c r="Q1636" s="1">
        <v>4.82</v>
      </c>
      <c r="R1636" s="1">
        <v>0.75</v>
      </c>
      <c r="S1636" s="2">
        <v>45480</v>
      </c>
      <c r="T1636" s="1">
        <v>154.63</v>
      </c>
      <c r="U1636" s="1">
        <v>0.54700000000000004</v>
      </c>
      <c r="V1636" s="6">
        <f t="shared" si="75"/>
        <v>3749.75</v>
      </c>
      <c r="W1636" s="6" t="str">
        <f t="shared" si="76"/>
        <v>Sufficient</v>
      </c>
      <c r="X1636" s="8" t="str">
        <f t="shared" si="77"/>
        <v>High</v>
      </c>
    </row>
    <row r="1637" spans="1:24">
      <c r="A1637" s="7" t="s">
        <v>1767</v>
      </c>
      <c r="B1637" s="1" t="s">
        <v>41</v>
      </c>
      <c r="C1637" s="1">
        <v>350</v>
      </c>
      <c r="D1637" s="1">
        <v>36</v>
      </c>
      <c r="E1637" s="1">
        <v>11</v>
      </c>
      <c r="F1637" s="1">
        <v>2</v>
      </c>
      <c r="G1637" s="1">
        <v>7.39</v>
      </c>
      <c r="H1637" s="1" t="s">
        <v>124</v>
      </c>
      <c r="I1637" s="1" t="s">
        <v>45</v>
      </c>
      <c r="J1637" s="1">
        <v>152</v>
      </c>
      <c r="K1637" s="1">
        <v>0.63</v>
      </c>
      <c r="L1637" s="4">
        <v>115.98</v>
      </c>
      <c r="M1637" s="1">
        <v>0.22</v>
      </c>
      <c r="N1637" s="1">
        <v>4</v>
      </c>
      <c r="O1637" s="1">
        <v>0.99</v>
      </c>
      <c r="P1637" s="1">
        <v>331</v>
      </c>
      <c r="Q1637" s="1">
        <v>3.62</v>
      </c>
      <c r="R1637" s="1">
        <v>0.83</v>
      </c>
      <c r="S1637" s="2">
        <v>45529</v>
      </c>
      <c r="T1637" s="1">
        <v>242.89</v>
      </c>
      <c r="U1637" s="1">
        <v>0.71</v>
      </c>
      <c r="V1637" s="6">
        <f t="shared" si="75"/>
        <v>40593</v>
      </c>
      <c r="W1637" s="6" t="str">
        <f t="shared" si="76"/>
        <v>Sufficient</v>
      </c>
      <c r="X1637" s="8" t="str">
        <f t="shared" si="77"/>
        <v>High</v>
      </c>
    </row>
    <row r="1638" spans="1:24">
      <c r="A1638" s="7" t="s">
        <v>1768</v>
      </c>
      <c r="B1638" s="1" t="s">
        <v>41</v>
      </c>
      <c r="C1638" s="1">
        <v>201</v>
      </c>
      <c r="D1638" s="1">
        <v>92</v>
      </c>
      <c r="E1638" s="1">
        <v>10</v>
      </c>
      <c r="F1638" s="1">
        <v>8</v>
      </c>
      <c r="G1638" s="1">
        <v>6.63</v>
      </c>
      <c r="H1638" s="1" t="s">
        <v>126</v>
      </c>
      <c r="I1638" s="1" t="s">
        <v>27</v>
      </c>
      <c r="J1638" s="1">
        <v>88</v>
      </c>
      <c r="K1638" s="1">
        <v>1.33</v>
      </c>
      <c r="L1638" s="4">
        <v>76.540000000000006</v>
      </c>
      <c r="M1638" s="1">
        <v>0.69</v>
      </c>
      <c r="N1638" s="1">
        <v>2</v>
      </c>
      <c r="O1638" s="1">
        <v>0.75</v>
      </c>
      <c r="P1638" s="1">
        <v>679</v>
      </c>
      <c r="Q1638" s="1">
        <v>10.07</v>
      </c>
      <c r="R1638" s="1">
        <v>0.95</v>
      </c>
      <c r="S1638" s="2">
        <v>45550</v>
      </c>
      <c r="T1638" s="1">
        <v>118.22</v>
      </c>
      <c r="U1638" s="1">
        <v>0.76500000000000001</v>
      </c>
      <c r="V1638" s="6">
        <f t="shared" si="75"/>
        <v>15384.54</v>
      </c>
      <c r="W1638" s="6" t="str">
        <f t="shared" si="76"/>
        <v>Sufficient</v>
      </c>
      <c r="X1638" s="8" t="str">
        <f t="shared" si="77"/>
        <v>Medium</v>
      </c>
    </row>
    <row r="1639" spans="1:24">
      <c r="A1639" s="7" t="s">
        <v>1769</v>
      </c>
      <c r="B1639" s="1" t="s">
        <v>41</v>
      </c>
      <c r="C1639" s="1">
        <v>400</v>
      </c>
      <c r="D1639" s="1">
        <v>85</v>
      </c>
      <c r="E1639" s="1">
        <v>10</v>
      </c>
      <c r="F1639" s="1">
        <v>7</v>
      </c>
      <c r="G1639" s="1">
        <v>3.35</v>
      </c>
      <c r="H1639" s="1" t="s">
        <v>156</v>
      </c>
      <c r="I1639" s="1" t="s">
        <v>31</v>
      </c>
      <c r="J1639" s="1">
        <v>165</v>
      </c>
      <c r="K1639" s="1">
        <v>3.38</v>
      </c>
      <c r="L1639" s="4">
        <v>132.22999999999999</v>
      </c>
      <c r="M1639" s="1">
        <v>0.43</v>
      </c>
      <c r="N1639" s="1">
        <v>1</v>
      </c>
      <c r="O1639" s="1">
        <v>0.94</v>
      </c>
      <c r="P1639" s="1">
        <v>468</v>
      </c>
      <c r="Q1639" s="1">
        <v>11.14</v>
      </c>
      <c r="R1639" s="1">
        <v>0.66</v>
      </c>
      <c r="S1639" s="2">
        <v>45495</v>
      </c>
      <c r="T1639" s="1">
        <v>261.70999999999998</v>
      </c>
      <c r="U1639" s="1">
        <v>0.80600000000000005</v>
      </c>
      <c r="V1639" s="6">
        <f t="shared" si="75"/>
        <v>52891.999999999993</v>
      </c>
      <c r="W1639" s="6" t="str">
        <f t="shared" si="76"/>
        <v>Sufficient</v>
      </c>
      <c r="X1639" s="8" t="str">
        <f t="shared" si="77"/>
        <v>High</v>
      </c>
    </row>
    <row r="1640" spans="1:24">
      <c r="A1640" s="7" t="s">
        <v>1770</v>
      </c>
      <c r="B1640" s="1" t="s">
        <v>25</v>
      </c>
      <c r="C1640" s="1">
        <v>275</v>
      </c>
      <c r="D1640" s="1">
        <v>29</v>
      </c>
      <c r="E1640" s="1">
        <v>7</v>
      </c>
      <c r="F1640" s="1">
        <v>3</v>
      </c>
      <c r="G1640" s="1">
        <v>28.79</v>
      </c>
      <c r="H1640" s="1" t="s">
        <v>372</v>
      </c>
      <c r="I1640" s="1" t="s">
        <v>31</v>
      </c>
      <c r="J1640" s="1">
        <v>45</v>
      </c>
      <c r="K1640" s="1">
        <v>2.02</v>
      </c>
      <c r="L1640" s="4">
        <v>112.9</v>
      </c>
      <c r="M1640" s="1">
        <v>1.28</v>
      </c>
      <c r="N1640" s="1">
        <v>0</v>
      </c>
      <c r="O1640" s="1">
        <v>0.79</v>
      </c>
      <c r="P1640" s="1">
        <v>272</v>
      </c>
      <c r="Q1640" s="1">
        <v>4.33</v>
      </c>
      <c r="R1640" s="1">
        <v>0.71</v>
      </c>
      <c r="S1640" s="2">
        <v>45617</v>
      </c>
      <c r="T1640" s="1">
        <v>103.29</v>
      </c>
      <c r="U1640" s="1">
        <v>0.63</v>
      </c>
      <c r="V1640" s="6">
        <f t="shared" si="75"/>
        <v>31047.5</v>
      </c>
      <c r="W1640" s="6" t="str">
        <f t="shared" si="76"/>
        <v>Sufficient</v>
      </c>
      <c r="X1640" s="8" t="str">
        <f t="shared" si="77"/>
        <v>High</v>
      </c>
    </row>
    <row r="1641" spans="1:24">
      <c r="A1641" s="7" t="s">
        <v>1771</v>
      </c>
      <c r="B1641" s="1" t="s">
        <v>66</v>
      </c>
      <c r="C1641" s="1">
        <v>57</v>
      </c>
      <c r="D1641" s="1">
        <v>74</v>
      </c>
      <c r="E1641" s="1">
        <v>14</v>
      </c>
      <c r="F1641" s="1">
        <v>4</v>
      </c>
      <c r="G1641" s="1">
        <v>12.9</v>
      </c>
      <c r="H1641" s="1" t="s">
        <v>309</v>
      </c>
      <c r="I1641" s="1" t="s">
        <v>31</v>
      </c>
      <c r="J1641" s="1">
        <v>63</v>
      </c>
      <c r="K1641" s="1">
        <v>0.7</v>
      </c>
      <c r="L1641" s="4">
        <v>59.66</v>
      </c>
      <c r="M1641" s="1">
        <v>1.58</v>
      </c>
      <c r="N1641" s="1">
        <v>3</v>
      </c>
      <c r="O1641" s="1">
        <v>0.77</v>
      </c>
      <c r="P1641" s="1">
        <v>301</v>
      </c>
      <c r="Q1641" s="1">
        <v>8.5</v>
      </c>
      <c r="R1641" s="1">
        <v>0.66</v>
      </c>
      <c r="S1641" s="2">
        <v>45355</v>
      </c>
      <c r="T1641" s="1">
        <v>222.39</v>
      </c>
      <c r="U1641" s="1">
        <v>0.58099999999999996</v>
      </c>
      <c r="V1641" s="6">
        <f t="shared" si="75"/>
        <v>3400.62</v>
      </c>
      <c r="W1641" s="6" t="str">
        <f t="shared" si="76"/>
        <v>Reorder Required</v>
      </c>
      <c r="X1641" s="8" t="str">
        <f t="shared" si="77"/>
        <v>LOW</v>
      </c>
    </row>
    <row r="1642" spans="1:24">
      <c r="A1642" s="7" t="s">
        <v>1772</v>
      </c>
      <c r="B1642" s="1" t="s">
        <v>33</v>
      </c>
      <c r="C1642" s="1">
        <v>195</v>
      </c>
      <c r="D1642" s="1">
        <v>94</v>
      </c>
      <c r="E1642" s="1">
        <v>11</v>
      </c>
      <c r="F1642" s="1">
        <v>8</v>
      </c>
      <c r="G1642" s="1">
        <v>36.979999999999997</v>
      </c>
      <c r="H1642" s="1" t="s">
        <v>128</v>
      </c>
      <c r="I1642" s="1" t="s">
        <v>27</v>
      </c>
      <c r="J1642" s="1">
        <v>154</v>
      </c>
      <c r="K1642" s="1">
        <v>3.14</v>
      </c>
      <c r="L1642" s="4">
        <v>40.85</v>
      </c>
      <c r="M1642" s="1">
        <v>1.08</v>
      </c>
      <c r="N1642" s="1">
        <v>1</v>
      </c>
      <c r="O1642" s="1">
        <v>0.99</v>
      </c>
      <c r="P1642" s="1">
        <v>129</v>
      </c>
      <c r="Q1642" s="1">
        <v>10.29</v>
      </c>
      <c r="R1642" s="1">
        <v>0.83</v>
      </c>
      <c r="S1642" s="2">
        <v>45640</v>
      </c>
      <c r="T1642" s="1">
        <v>203.54</v>
      </c>
      <c r="U1642" s="1">
        <v>0.77300000000000002</v>
      </c>
      <c r="V1642" s="6">
        <f t="shared" si="75"/>
        <v>7965.75</v>
      </c>
      <c r="W1642" s="6" t="str">
        <f t="shared" si="76"/>
        <v>Sufficient</v>
      </c>
      <c r="X1642" s="8" t="str">
        <f t="shared" si="77"/>
        <v>Medium</v>
      </c>
    </row>
    <row r="1643" spans="1:24">
      <c r="A1643" s="7" t="s">
        <v>1773</v>
      </c>
      <c r="B1643" s="1" t="s">
        <v>29</v>
      </c>
      <c r="C1643" s="1">
        <v>46</v>
      </c>
      <c r="D1643" s="1">
        <v>58</v>
      </c>
      <c r="E1643" s="1">
        <v>5</v>
      </c>
      <c r="F1643" s="1">
        <v>7</v>
      </c>
      <c r="G1643" s="1">
        <v>34.630000000000003</v>
      </c>
      <c r="H1643" s="1" t="s">
        <v>183</v>
      </c>
      <c r="I1643" s="1" t="s">
        <v>45</v>
      </c>
      <c r="J1643" s="1">
        <v>109</v>
      </c>
      <c r="K1643" s="1">
        <v>2.27</v>
      </c>
      <c r="L1643" s="4">
        <v>86.9</v>
      </c>
      <c r="M1643" s="1">
        <v>1.61</v>
      </c>
      <c r="N1643" s="1">
        <v>2</v>
      </c>
      <c r="O1643" s="1">
        <v>0.94</v>
      </c>
      <c r="P1643" s="1">
        <v>875</v>
      </c>
      <c r="Q1643" s="1">
        <v>14.19</v>
      </c>
      <c r="R1643" s="1">
        <v>0.42</v>
      </c>
      <c r="S1643" s="2">
        <v>45307</v>
      </c>
      <c r="T1643" s="1">
        <v>68.39</v>
      </c>
      <c r="U1643" s="1">
        <v>0.66</v>
      </c>
      <c r="V1643" s="6">
        <f t="shared" si="75"/>
        <v>3997.4</v>
      </c>
      <c r="W1643" s="6" t="str">
        <f t="shared" si="76"/>
        <v>Reorder Required</v>
      </c>
      <c r="X1643" s="8" t="str">
        <f t="shared" si="77"/>
        <v>LOW</v>
      </c>
    </row>
    <row r="1644" spans="1:24">
      <c r="A1644" s="7" t="s">
        <v>1774</v>
      </c>
      <c r="B1644" s="1" t="s">
        <v>33</v>
      </c>
      <c r="C1644" s="1">
        <v>295</v>
      </c>
      <c r="D1644" s="1">
        <v>10</v>
      </c>
      <c r="E1644" s="1">
        <v>5</v>
      </c>
      <c r="F1644" s="1">
        <v>6</v>
      </c>
      <c r="G1644" s="1">
        <v>16.59</v>
      </c>
      <c r="H1644" s="1" t="s">
        <v>34</v>
      </c>
      <c r="I1644" s="1" t="s">
        <v>31</v>
      </c>
      <c r="J1644" s="1">
        <v>95</v>
      </c>
      <c r="K1644" s="1">
        <v>2.14</v>
      </c>
      <c r="L1644" s="4">
        <v>197.5</v>
      </c>
      <c r="M1644" s="1">
        <v>0.12</v>
      </c>
      <c r="N1644" s="1">
        <v>0</v>
      </c>
      <c r="O1644" s="1">
        <v>0.89</v>
      </c>
      <c r="P1644" s="1">
        <v>731</v>
      </c>
      <c r="Q1644" s="1">
        <v>12.25</v>
      </c>
      <c r="R1644" s="1">
        <v>0.83</v>
      </c>
      <c r="S1644" s="2">
        <v>45415</v>
      </c>
      <c r="T1644" s="1">
        <v>46.1</v>
      </c>
      <c r="U1644" s="1">
        <v>0.89500000000000002</v>
      </c>
      <c r="V1644" s="6">
        <f t="shared" si="75"/>
        <v>58262.5</v>
      </c>
      <c r="W1644" s="6" t="str">
        <f t="shared" si="76"/>
        <v>Sufficient</v>
      </c>
      <c r="X1644" s="8" t="str">
        <f t="shared" si="77"/>
        <v>High</v>
      </c>
    </row>
    <row r="1645" spans="1:24">
      <c r="A1645" s="7" t="s">
        <v>1775</v>
      </c>
      <c r="B1645" s="1" t="s">
        <v>33</v>
      </c>
      <c r="C1645" s="1">
        <v>159</v>
      </c>
      <c r="D1645" s="1">
        <v>19</v>
      </c>
      <c r="E1645" s="1">
        <v>3</v>
      </c>
      <c r="F1645" s="1">
        <v>9</v>
      </c>
      <c r="G1645" s="1">
        <v>9.66</v>
      </c>
      <c r="H1645" s="1" t="s">
        <v>210</v>
      </c>
      <c r="I1645" s="1" t="s">
        <v>27</v>
      </c>
      <c r="J1645" s="1">
        <v>31</v>
      </c>
      <c r="K1645" s="1">
        <v>1.69</v>
      </c>
      <c r="L1645" s="4">
        <v>92.78</v>
      </c>
      <c r="M1645" s="1">
        <v>1.66</v>
      </c>
      <c r="N1645" s="1">
        <v>5</v>
      </c>
      <c r="O1645" s="1">
        <v>0.91</v>
      </c>
      <c r="P1645" s="1">
        <v>462</v>
      </c>
      <c r="Q1645" s="1">
        <v>6.89</v>
      </c>
      <c r="R1645" s="1">
        <v>0.77</v>
      </c>
      <c r="S1645" s="2">
        <v>45482</v>
      </c>
      <c r="T1645" s="1">
        <v>42.35</v>
      </c>
      <c r="U1645" s="1">
        <v>0.56200000000000006</v>
      </c>
      <c r="V1645" s="6">
        <f t="shared" si="75"/>
        <v>14752.02</v>
      </c>
      <c r="W1645" s="6" t="str">
        <f t="shared" si="76"/>
        <v>Sufficient</v>
      </c>
      <c r="X1645" s="8" t="str">
        <f t="shared" si="77"/>
        <v>Medium</v>
      </c>
    </row>
    <row r="1646" spans="1:24">
      <c r="A1646" s="7" t="s">
        <v>1776</v>
      </c>
      <c r="B1646" s="1" t="s">
        <v>66</v>
      </c>
      <c r="C1646" s="1">
        <v>318</v>
      </c>
      <c r="D1646" s="1">
        <v>56</v>
      </c>
      <c r="E1646" s="1">
        <v>11</v>
      </c>
      <c r="F1646" s="1">
        <v>6</v>
      </c>
      <c r="G1646" s="1">
        <v>6.02</v>
      </c>
      <c r="H1646" s="1" t="s">
        <v>459</v>
      </c>
      <c r="I1646" s="1" t="s">
        <v>31</v>
      </c>
      <c r="J1646" s="1">
        <v>84</v>
      </c>
      <c r="K1646" s="1">
        <v>0.53</v>
      </c>
      <c r="L1646" s="4">
        <v>152.27000000000001</v>
      </c>
      <c r="M1646" s="1">
        <v>0.44</v>
      </c>
      <c r="N1646" s="1">
        <v>3</v>
      </c>
      <c r="O1646" s="1">
        <v>1</v>
      </c>
      <c r="P1646" s="1">
        <v>718</v>
      </c>
      <c r="Q1646" s="1">
        <v>12.82</v>
      </c>
      <c r="R1646" s="1">
        <v>0.68</v>
      </c>
      <c r="S1646" s="2">
        <v>45542</v>
      </c>
      <c r="T1646" s="1">
        <v>198.77</v>
      </c>
      <c r="U1646" s="1">
        <v>0.80300000000000005</v>
      </c>
      <c r="V1646" s="6">
        <f t="shared" si="75"/>
        <v>48421.86</v>
      </c>
      <c r="W1646" s="6" t="str">
        <f t="shared" si="76"/>
        <v>Sufficient</v>
      </c>
      <c r="X1646" s="8" t="str">
        <f t="shared" si="77"/>
        <v>High</v>
      </c>
    </row>
    <row r="1647" spans="1:24">
      <c r="A1647" s="7" t="s">
        <v>1777</v>
      </c>
      <c r="B1647" s="1" t="s">
        <v>66</v>
      </c>
      <c r="C1647" s="1">
        <v>464</v>
      </c>
      <c r="D1647" s="1">
        <v>68</v>
      </c>
      <c r="E1647" s="1">
        <v>8</v>
      </c>
      <c r="F1647" s="1">
        <v>4</v>
      </c>
      <c r="G1647" s="1">
        <v>37.130000000000003</v>
      </c>
      <c r="H1647" s="1" t="s">
        <v>216</v>
      </c>
      <c r="I1647" s="1" t="s">
        <v>39</v>
      </c>
      <c r="J1647" s="1">
        <v>45</v>
      </c>
      <c r="K1647" s="1">
        <v>1.32</v>
      </c>
      <c r="L1647" s="4">
        <v>20.82</v>
      </c>
      <c r="M1647" s="1">
        <v>0.98</v>
      </c>
      <c r="N1647" s="1">
        <v>4</v>
      </c>
      <c r="O1647" s="1">
        <v>0.88</v>
      </c>
      <c r="P1647" s="1">
        <v>442</v>
      </c>
      <c r="Q1647" s="1">
        <v>7.18</v>
      </c>
      <c r="R1647" s="1">
        <v>0.23</v>
      </c>
      <c r="S1647" s="2">
        <v>45596</v>
      </c>
      <c r="T1647" s="1">
        <v>13.75</v>
      </c>
      <c r="U1647" s="1">
        <v>0.54</v>
      </c>
      <c r="V1647" s="6">
        <f t="shared" si="75"/>
        <v>9660.48</v>
      </c>
      <c r="W1647" s="6" t="str">
        <f t="shared" si="76"/>
        <v>Sufficient</v>
      </c>
      <c r="X1647" s="8" t="str">
        <f t="shared" si="77"/>
        <v>High</v>
      </c>
    </row>
    <row r="1648" spans="1:24">
      <c r="A1648" s="7" t="s">
        <v>1778</v>
      </c>
      <c r="B1648" s="1" t="s">
        <v>66</v>
      </c>
      <c r="C1648" s="1">
        <v>306</v>
      </c>
      <c r="D1648" s="1">
        <v>71</v>
      </c>
      <c r="E1648" s="1">
        <v>4</v>
      </c>
      <c r="F1648" s="1">
        <v>3</v>
      </c>
      <c r="G1648" s="1">
        <v>23.07</v>
      </c>
      <c r="H1648" s="1" t="s">
        <v>61</v>
      </c>
      <c r="I1648" s="1" t="s">
        <v>39</v>
      </c>
      <c r="J1648" s="1">
        <v>38</v>
      </c>
      <c r="K1648" s="1">
        <v>2.63</v>
      </c>
      <c r="L1648" s="4">
        <v>81.98</v>
      </c>
      <c r="M1648" s="1">
        <v>0.94</v>
      </c>
      <c r="N1648" s="1">
        <v>7</v>
      </c>
      <c r="O1648" s="1">
        <v>0.73</v>
      </c>
      <c r="P1648" s="1">
        <v>383</v>
      </c>
      <c r="Q1648" s="1">
        <v>2.82</v>
      </c>
      <c r="R1648" s="1">
        <v>0.82</v>
      </c>
      <c r="S1648" s="2">
        <v>45520</v>
      </c>
      <c r="T1648" s="1">
        <v>201.6</v>
      </c>
      <c r="U1648" s="1">
        <v>0.51400000000000001</v>
      </c>
      <c r="V1648" s="6">
        <f t="shared" si="75"/>
        <v>25085.88</v>
      </c>
      <c r="W1648" s="6" t="str">
        <f t="shared" si="76"/>
        <v>Sufficient</v>
      </c>
      <c r="X1648" s="8" t="str">
        <f t="shared" si="77"/>
        <v>High</v>
      </c>
    </row>
    <row r="1649" spans="1:24">
      <c r="A1649" s="7" t="s">
        <v>1779</v>
      </c>
      <c r="B1649" s="1" t="s">
        <v>41</v>
      </c>
      <c r="C1649" s="1">
        <v>110</v>
      </c>
      <c r="D1649" s="1">
        <v>95</v>
      </c>
      <c r="E1649" s="1">
        <v>10</v>
      </c>
      <c r="F1649" s="1">
        <v>7</v>
      </c>
      <c r="G1649" s="1">
        <v>16.850000000000001</v>
      </c>
      <c r="H1649" s="1" t="s">
        <v>181</v>
      </c>
      <c r="I1649" s="1" t="s">
        <v>27</v>
      </c>
      <c r="J1649" s="1">
        <v>179</v>
      </c>
      <c r="K1649" s="1">
        <v>1.74</v>
      </c>
      <c r="L1649" s="4">
        <v>120.26</v>
      </c>
      <c r="M1649" s="1">
        <v>1.76</v>
      </c>
      <c r="N1649" s="1">
        <v>3</v>
      </c>
      <c r="O1649" s="1">
        <v>0.72</v>
      </c>
      <c r="P1649" s="1">
        <v>938</v>
      </c>
      <c r="Q1649" s="1">
        <v>5.78</v>
      </c>
      <c r="R1649" s="1">
        <v>0.31</v>
      </c>
      <c r="S1649" s="2">
        <v>45382</v>
      </c>
      <c r="T1649" s="1">
        <v>236.77</v>
      </c>
      <c r="U1649" s="1">
        <v>0.44700000000000001</v>
      </c>
      <c r="V1649" s="6">
        <f t="shared" si="75"/>
        <v>13228.6</v>
      </c>
      <c r="W1649" s="6" t="str">
        <f t="shared" si="76"/>
        <v>Sufficient</v>
      </c>
      <c r="X1649" s="8" t="str">
        <f t="shared" si="77"/>
        <v>Medium</v>
      </c>
    </row>
    <row r="1650" spans="1:24">
      <c r="A1650" s="7" t="s">
        <v>1780</v>
      </c>
      <c r="B1650" s="1" t="s">
        <v>25</v>
      </c>
      <c r="C1650" s="1">
        <v>499</v>
      </c>
      <c r="D1650" s="1">
        <v>27</v>
      </c>
      <c r="E1650" s="1">
        <v>14</v>
      </c>
      <c r="F1650" s="1">
        <v>9</v>
      </c>
      <c r="G1650" s="1">
        <v>42.98</v>
      </c>
      <c r="H1650" s="1" t="s">
        <v>50</v>
      </c>
      <c r="I1650" s="1" t="s">
        <v>45</v>
      </c>
      <c r="J1650" s="1">
        <v>169</v>
      </c>
      <c r="K1650" s="1">
        <v>4.43</v>
      </c>
      <c r="L1650" s="4">
        <v>152.72999999999999</v>
      </c>
      <c r="M1650" s="1">
        <v>1.94</v>
      </c>
      <c r="N1650" s="1">
        <v>5</v>
      </c>
      <c r="O1650" s="1">
        <v>0.9</v>
      </c>
      <c r="P1650" s="1">
        <v>377</v>
      </c>
      <c r="Q1650" s="1">
        <v>12.27</v>
      </c>
      <c r="R1650" s="1">
        <v>0.97</v>
      </c>
      <c r="S1650" s="2">
        <v>45534</v>
      </c>
      <c r="T1650" s="1">
        <v>97.73</v>
      </c>
      <c r="U1650" s="1">
        <v>0.64400000000000002</v>
      </c>
      <c r="V1650" s="6">
        <f t="shared" si="75"/>
        <v>76212.26999999999</v>
      </c>
      <c r="W1650" s="6" t="str">
        <f t="shared" si="76"/>
        <v>Sufficient</v>
      </c>
      <c r="X1650" s="8" t="str">
        <f t="shared" si="77"/>
        <v>High</v>
      </c>
    </row>
    <row r="1651" spans="1:24">
      <c r="A1651" s="7" t="s">
        <v>1781</v>
      </c>
      <c r="B1651" s="1" t="s">
        <v>41</v>
      </c>
      <c r="C1651" s="1">
        <v>80</v>
      </c>
      <c r="D1651" s="1">
        <v>55</v>
      </c>
      <c r="E1651" s="1">
        <v>11</v>
      </c>
      <c r="F1651" s="1">
        <v>7</v>
      </c>
      <c r="G1651" s="1">
        <v>30.09</v>
      </c>
      <c r="H1651" s="1" t="s">
        <v>325</v>
      </c>
      <c r="I1651" s="1" t="s">
        <v>45</v>
      </c>
      <c r="J1651" s="1">
        <v>151</v>
      </c>
      <c r="K1651" s="1">
        <v>1.1399999999999999</v>
      </c>
      <c r="L1651" s="4">
        <v>110.39</v>
      </c>
      <c r="M1651" s="1">
        <v>0.57999999999999996</v>
      </c>
      <c r="N1651" s="1">
        <v>2</v>
      </c>
      <c r="O1651" s="1">
        <v>0.9</v>
      </c>
      <c r="P1651" s="1">
        <v>51</v>
      </c>
      <c r="Q1651" s="1">
        <v>14.38</v>
      </c>
      <c r="R1651" s="1">
        <v>0.27</v>
      </c>
      <c r="S1651" s="2">
        <v>45592</v>
      </c>
      <c r="T1651" s="1">
        <v>226.25</v>
      </c>
      <c r="U1651" s="1">
        <v>0.72799999999999998</v>
      </c>
      <c r="V1651" s="6">
        <f t="shared" si="75"/>
        <v>8831.2000000000007</v>
      </c>
      <c r="W1651" s="6" t="str">
        <f t="shared" si="76"/>
        <v>Sufficient</v>
      </c>
      <c r="X1651" s="8" t="str">
        <f t="shared" si="77"/>
        <v>LOW</v>
      </c>
    </row>
    <row r="1652" spans="1:24">
      <c r="A1652" s="7" t="s">
        <v>1782</v>
      </c>
      <c r="B1652" s="1" t="s">
        <v>25</v>
      </c>
      <c r="C1652" s="1">
        <v>477</v>
      </c>
      <c r="D1652" s="1">
        <v>41</v>
      </c>
      <c r="E1652" s="1">
        <v>11</v>
      </c>
      <c r="F1652" s="1">
        <v>5</v>
      </c>
      <c r="G1652" s="1">
        <v>26.38</v>
      </c>
      <c r="H1652" s="1" t="s">
        <v>81</v>
      </c>
      <c r="I1652" s="1" t="s">
        <v>31</v>
      </c>
      <c r="J1652" s="1">
        <v>27</v>
      </c>
      <c r="K1652" s="1">
        <v>4.4400000000000004</v>
      </c>
      <c r="L1652" s="4">
        <v>107.91</v>
      </c>
      <c r="M1652" s="1">
        <v>0.23</v>
      </c>
      <c r="N1652" s="1">
        <v>7</v>
      </c>
      <c r="O1652" s="1">
        <v>0.92</v>
      </c>
      <c r="P1652" s="1">
        <v>252</v>
      </c>
      <c r="Q1652" s="1">
        <v>14.77</v>
      </c>
      <c r="R1652" s="1">
        <v>0.78</v>
      </c>
      <c r="S1652" s="2">
        <v>45574</v>
      </c>
      <c r="T1652" s="1">
        <v>57.96</v>
      </c>
      <c r="U1652" s="1">
        <v>0.77400000000000002</v>
      </c>
      <c r="V1652" s="6">
        <f t="shared" si="75"/>
        <v>51473.07</v>
      </c>
      <c r="W1652" s="6" t="str">
        <f t="shared" si="76"/>
        <v>Sufficient</v>
      </c>
      <c r="X1652" s="8" t="str">
        <f t="shared" si="77"/>
        <v>High</v>
      </c>
    </row>
    <row r="1653" spans="1:24">
      <c r="A1653" s="7" t="s">
        <v>1783</v>
      </c>
      <c r="B1653" s="1" t="s">
        <v>25</v>
      </c>
      <c r="C1653" s="1">
        <v>470</v>
      </c>
      <c r="D1653" s="1">
        <v>36</v>
      </c>
      <c r="E1653" s="1">
        <v>4</v>
      </c>
      <c r="F1653" s="1">
        <v>2</v>
      </c>
      <c r="G1653" s="1">
        <v>37.43</v>
      </c>
      <c r="H1653" s="1" t="s">
        <v>370</v>
      </c>
      <c r="I1653" s="1" t="s">
        <v>45</v>
      </c>
      <c r="J1653" s="1">
        <v>47</v>
      </c>
      <c r="K1653" s="1">
        <v>2.3199999999999998</v>
      </c>
      <c r="L1653" s="4">
        <v>155.13999999999999</v>
      </c>
      <c r="M1653" s="1">
        <v>1.34</v>
      </c>
      <c r="N1653" s="1">
        <v>2</v>
      </c>
      <c r="O1653" s="1">
        <v>0.73</v>
      </c>
      <c r="P1653" s="1">
        <v>307</v>
      </c>
      <c r="Q1653" s="1">
        <v>9.9499999999999993</v>
      </c>
      <c r="R1653" s="1">
        <v>0.49</v>
      </c>
      <c r="S1653" s="2">
        <v>45471</v>
      </c>
      <c r="T1653" s="1">
        <v>288.54000000000002</v>
      </c>
      <c r="U1653" s="1">
        <v>0.60299999999999998</v>
      </c>
      <c r="V1653" s="6">
        <f t="shared" si="75"/>
        <v>72915.799999999988</v>
      </c>
      <c r="W1653" s="6" t="str">
        <f t="shared" si="76"/>
        <v>Sufficient</v>
      </c>
      <c r="X1653" s="8" t="str">
        <f t="shared" si="77"/>
        <v>High</v>
      </c>
    </row>
    <row r="1654" spans="1:24">
      <c r="A1654" s="7" t="s">
        <v>1784</v>
      </c>
      <c r="B1654" s="1" t="s">
        <v>33</v>
      </c>
      <c r="C1654" s="1">
        <v>384</v>
      </c>
      <c r="D1654" s="1">
        <v>27</v>
      </c>
      <c r="E1654" s="1">
        <v>4</v>
      </c>
      <c r="F1654" s="1">
        <v>6</v>
      </c>
      <c r="G1654" s="1">
        <v>40.96</v>
      </c>
      <c r="H1654" s="1" t="s">
        <v>185</v>
      </c>
      <c r="I1654" s="1" t="s">
        <v>45</v>
      </c>
      <c r="J1654" s="1">
        <v>110</v>
      </c>
      <c r="K1654" s="1">
        <v>1.74</v>
      </c>
      <c r="L1654" s="4">
        <v>69.52</v>
      </c>
      <c r="M1654" s="1">
        <v>1.06</v>
      </c>
      <c r="N1654" s="1">
        <v>6</v>
      </c>
      <c r="O1654" s="1">
        <v>0.98</v>
      </c>
      <c r="P1654" s="1">
        <v>812</v>
      </c>
      <c r="Q1654" s="1">
        <v>7.7</v>
      </c>
      <c r="R1654" s="1">
        <v>0.79</v>
      </c>
      <c r="S1654" s="2">
        <v>45468</v>
      </c>
      <c r="T1654" s="1">
        <v>77.3</v>
      </c>
      <c r="U1654" s="1">
        <v>0.63100000000000001</v>
      </c>
      <c r="V1654" s="6">
        <f t="shared" si="75"/>
        <v>26695.68</v>
      </c>
      <c r="W1654" s="6" t="str">
        <f t="shared" si="76"/>
        <v>Sufficient</v>
      </c>
      <c r="X1654" s="8" t="str">
        <f t="shared" si="77"/>
        <v>High</v>
      </c>
    </row>
    <row r="1655" spans="1:24">
      <c r="A1655" s="7" t="s">
        <v>1785</v>
      </c>
      <c r="B1655" s="1" t="s">
        <v>33</v>
      </c>
      <c r="C1655" s="1">
        <v>366</v>
      </c>
      <c r="D1655" s="1">
        <v>48</v>
      </c>
      <c r="E1655" s="1">
        <v>9</v>
      </c>
      <c r="F1655" s="1">
        <v>7</v>
      </c>
      <c r="G1655" s="1">
        <v>34.619999999999997</v>
      </c>
      <c r="H1655" s="1" t="s">
        <v>135</v>
      </c>
      <c r="I1655" s="1" t="s">
        <v>39</v>
      </c>
      <c r="J1655" s="1">
        <v>43</v>
      </c>
      <c r="K1655" s="1">
        <v>1.87</v>
      </c>
      <c r="L1655" s="4">
        <v>27.22</v>
      </c>
      <c r="M1655" s="1">
        <v>1.17</v>
      </c>
      <c r="N1655" s="1">
        <v>6</v>
      </c>
      <c r="O1655" s="1">
        <v>0.87</v>
      </c>
      <c r="P1655" s="1">
        <v>416</v>
      </c>
      <c r="Q1655" s="1">
        <v>3.27</v>
      </c>
      <c r="R1655" s="1">
        <v>0.62</v>
      </c>
      <c r="S1655" s="2">
        <v>45375</v>
      </c>
      <c r="T1655" s="1">
        <v>151.63</v>
      </c>
      <c r="U1655" s="1">
        <v>0.505</v>
      </c>
      <c r="V1655" s="6">
        <f t="shared" si="75"/>
        <v>9962.52</v>
      </c>
      <c r="W1655" s="6" t="str">
        <f t="shared" si="76"/>
        <v>Sufficient</v>
      </c>
      <c r="X1655" s="8" t="str">
        <f t="shared" si="77"/>
        <v>High</v>
      </c>
    </row>
    <row r="1656" spans="1:24">
      <c r="A1656" s="7" t="s">
        <v>1786</v>
      </c>
      <c r="B1656" s="1" t="s">
        <v>25</v>
      </c>
      <c r="C1656" s="1">
        <v>182</v>
      </c>
      <c r="D1656" s="1">
        <v>58</v>
      </c>
      <c r="E1656" s="1">
        <v>13</v>
      </c>
      <c r="F1656" s="1">
        <v>7</v>
      </c>
      <c r="G1656" s="1">
        <v>22.56</v>
      </c>
      <c r="H1656" s="1" t="s">
        <v>205</v>
      </c>
      <c r="I1656" s="1" t="s">
        <v>27</v>
      </c>
      <c r="J1656" s="1">
        <v>130</v>
      </c>
      <c r="K1656" s="1">
        <v>1.99</v>
      </c>
      <c r="L1656" s="4">
        <v>75.959999999999994</v>
      </c>
      <c r="M1656" s="1">
        <v>0.19</v>
      </c>
      <c r="N1656" s="1">
        <v>2</v>
      </c>
      <c r="O1656" s="1">
        <v>0.89</v>
      </c>
      <c r="P1656" s="1">
        <v>195</v>
      </c>
      <c r="Q1656" s="1">
        <v>2.44</v>
      </c>
      <c r="R1656" s="1">
        <v>0.7</v>
      </c>
      <c r="S1656" s="2">
        <v>45424</v>
      </c>
      <c r="T1656" s="1">
        <v>294.33999999999997</v>
      </c>
      <c r="U1656" s="1">
        <v>0.69199999999999995</v>
      </c>
      <c r="V1656" s="6">
        <f t="shared" si="75"/>
        <v>13824.72</v>
      </c>
      <c r="W1656" s="6" t="str">
        <f t="shared" si="76"/>
        <v>Sufficient</v>
      </c>
      <c r="X1656" s="8" t="str">
        <f t="shared" si="77"/>
        <v>Medium</v>
      </c>
    </row>
    <row r="1657" spans="1:24">
      <c r="A1657" s="7" t="s">
        <v>1787</v>
      </c>
      <c r="B1657" s="1" t="s">
        <v>25</v>
      </c>
      <c r="C1657" s="1">
        <v>370</v>
      </c>
      <c r="D1657" s="1">
        <v>91</v>
      </c>
      <c r="E1657" s="1">
        <v>6</v>
      </c>
      <c r="F1657" s="1">
        <v>8</v>
      </c>
      <c r="G1657" s="1">
        <v>19.59</v>
      </c>
      <c r="H1657" s="1" t="s">
        <v>74</v>
      </c>
      <c r="I1657" s="1" t="s">
        <v>39</v>
      </c>
      <c r="J1657" s="1">
        <v>96</v>
      </c>
      <c r="K1657" s="1">
        <v>2.78</v>
      </c>
      <c r="L1657" s="4">
        <v>40.21</v>
      </c>
      <c r="M1657" s="1">
        <v>1.57</v>
      </c>
      <c r="N1657" s="1">
        <v>2</v>
      </c>
      <c r="O1657" s="1">
        <v>0.71</v>
      </c>
      <c r="P1657" s="1">
        <v>886</v>
      </c>
      <c r="Q1657" s="1">
        <v>8.26</v>
      </c>
      <c r="R1657" s="1">
        <v>0.26</v>
      </c>
      <c r="S1657" s="2">
        <v>45644</v>
      </c>
      <c r="T1657" s="1">
        <v>273.07</v>
      </c>
      <c r="U1657" s="1">
        <v>0.50700000000000001</v>
      </c>
      <c r="V1657" s="6">
        <f t="shared" si="75"/>
        <v>14877.7</v>
      </c>
      <c r="W1657" s="6" t="str">
        <f t="shared" si="76"/>
        <v>Sufficient</v>
      </c>
      <c r="X1657" s="8" t="str">
        <f t="shared" si="77"/>
        <v>High</v>
      </c>
    </row>
    <row r="1658" spans="1:24">
      <c r="A1658" s="7" t="s">
        <v>1788</v>
      </c>
      <c r="B1658" s="1" t="s">
        <v>41</v>
      </c>
      <c r="C1658" s="1">
        <v>162</v>
      </c>
      <c r="D1658" s="1">
        <v>53</v>
      </c>
      <c r="E1658" s="1">
        <v>3</v>
      </c>
      <c r="F1658" s="1">
        <v>8</v>
      </c>
      <c r="G1658" s="1">
        <v>38.81</v>
      </c>
      <c r="H1658" s="1" t="s">
        <v>233</v>
      </c>
      <c r="I1658" s="1" t="s">
        <v>27</v>
      </c>
      <c r="J1658" s="1">
        <v>169</v>
      </c>
      <c r="K1658" s="1">
        <v>2.09</v>
      </c>
      <c r="L1658" s="4">
        <v>193.53</v>
      </c>
      <c r="M1658" s="1">
        <v>0.54</v>
      </c>
      <c r="N1658" s="1">
        <v>9</v>
      </c>
      <c r="O1658" s="1">
        <v>0.99</v>
      </c>
      <c r="P1658" s="1">
        <v>427</v>
      </c>
      <c r="Q1658" s="1">
        <v>11.19</v>
      </c>
      <c r="R1658" s="1">
        <v>0.97</v>
      </c>
      <c r="S1658" s="2">
        <v>45338</v>
      </c>
      <c r="T1658" s="1">
        <v>201.24</v>
      </c>
      <c r="U1658" s="1">
        <v>0.70699999999999996</v>
      </c>
      <c r="V1658" s="6">
        <f t="shared" si="75"/>
        <v>31351.86</v>
      </c>
      <c r="W1658" s="6" t="str">
        <f t="shared" si="76"/>
        <v>Sufficient</v>
      </c>
      <c r="X1658" s="8" t="str">
        <f t="shared" si="77"/>
        <v>Medium</v>
      </c>
    </row>
    <row r="1659" spans="1:24">
      <c r="A1659" s="7" t="s">
        <v>1789</v>
      </c>
      <c r="B1659" s="1" t="s">
        <v>41</v>
      </c>
      <c r="C1659" s="1">
        <v>419</v>
      </c>
      <c r="D1659" s="1">
        <v>81</v>
      </c>
      <c r="E1659" s="1">
        <v>10</v>
      </c>
      <c r="F1659" s="1">
        <v>7</v>
      </c>
      <c r="G1659" s="1">
        <v>26.38</v>
      </c>
      <c r="H1659" s="1" t="s">
        <v>153</v>
      </c>
      <c r="I1659" s="1" t="s">
        <v>31</v>
      </c>
      <c r="J1659" s="1">
        <v>119</v>
      </c>
      <c r="K1659" s="1">
        <v>3.41</v>
      </c>
      <c r="L1659" s="4">
        <v>119.73</v>
      </c>
      <c r="M1659" s="1">
        <v>0.74</v>
      </c>
      <c r="N1659" s="1">
        <v>9</v>
      </c>
      <c r="O1659" s="1">
        <v>0.87</v>
      </c>
      <c r="P1659" s="1">
        <v>490</v>
      </c>
      <c r="Q1659" s="1">
        <v>5.53</v>
      </c>
      <c r="R1659" s="1">
        <v>0.2</v>
      </c>
      <c r="S1659" s="2">
        <v>45437</v>
      </c>
      <c r="T1659" s="1">
        <v>117.07</v>
      </c>
      <c r="U1659" s="1">
        <v>0.434</v>
      </c>
      <c r="V1659" s="6">
        <f t="shared" si="75"/>
        <v>50166.87</v>
      </c>
      <c r="W1659" s="6" t="str">
        <f t="shared" si="76"/>
        <v>Sufficient</v>
      </c>
      <c r="X1659" s="8" t="str">
        <f t="shared" si="77"/>
        <v>High</v>
      </c>
    </row>
    <row r="1660" spans="1:24">
      <c r="A1660" s="7" t="s">
        <v>1790</v>
      </c>
      <c r="B1660" s="1" t="s">
        <v>33</v>
      </c>
      <c r="C1660" s="1">
        <v>272</v>
      </c>
      <c r="D1660" s="1">
        <v>63</v>
      </c>
      <c r="E1660" s="1">
        <v>4</v>
      </c>
      <c r="F1660" s="1">
        <v>3</v>
      </c>
      <c r="G1660" s="1">
        <v>35.51</v>
      </c>
      <c r="H1660" s="1" t="s">
        <v>346</v>
      </c>
      <c r="I1660" s="1" t="s">
        <v>39</v>
      </c>
      <c r="J1660" s="1">
        <v>76</v>
      </c>
      <c r="K1660" s="1">
        <v>2.41</v>
      </c>
      <c r="L1660" s="4">
        <v>94.85</v>
      </c>
      <c r="M1660" s="1">
        <v>0.53</v>
      </c>
      <c r="N1660" s="1">
        <v>7</v>
      </c>
      <c r="O1660" s="1">
        <v>0.87</v>
      </c>
      <c r="P1660" s="1">
        <v>504</v>
      </c>
      <c r="Q1660" s="1">
        <v>10.45</v>
      </c>
      <c r="R1660" s="1">
        <v>0.95</v>
      </c>
      <c r="S1660" s="2">
        <v>45306</v>
      </c>
      <c r="T1660" s="1">
        <v>213.03</v>
      </c>
      <c r="U1660" s="1">
        <v>0.71</v>
      </c>
      <c r="V1660" s="6">
        <f t="shared" si="75"/>
        <v>25799.199999999997</v>
      </c>
      <c r="W1660" s="6" t="str">
        <f t="shared" si="76"/>
        <v>Sufficient</v>
      </c>
      <c r="X1660" s="8" t="str">
        <f t="shared" si="77"/>
        <v>High</v>
      </c>
    </row>
    <row r="1661" spans="1:24">
      <c r="A1661" s="7" t="s">
        <v>1791</v>
      </c>
      <c r="B1661" s="1" t="s">
        <v>66</v>
      </c>
      <c r="C1661" s="1">
        <v>288</v>
      </c>
      <c r="D1661" s="1">
        <v>43</v>
      </c>
      <c r="E1661" s="1">
        <v>5</v>
      </c>
      <c r="F1661" s="1">
        <v>2</v>
      </c>
      <c r="G1661" s="1">
        <v>44.63</v>
      </c>
      <c r="H1661" s="1" t="s">
        <v>38</v>
      </c>
      <c r="I1661" s="1" t="s">
        <v>27</v>
      </c>
      <c r="J1661" s="1">
        <v>52</v>
      </c>
      <c r="K1661" s="1">
        <v>3.52</v>
      </c>
      <c r="L1661" s="4">
        <v>183.29</v>
      </c>
      <c r="M1661" s="1">
        <v>1.9</v>
      </c>
      <c r="N1661" s="1">
        <v>2</v>
      </c>
      <c r="O1661" s="1">
        <v>0.98</v>
      </c>
      <c r="P1661" s="1">
        <v>456</v>
      </c>
      <c r="Q1661" s="1">
        <v>8.99</v>
      </c>
      <c r="R1661" s="1">
        <v>0.65</v>
      </c>
      <c r="S1661" s="2">
        <v>45489</v>
      </c>
      <c r="T1661" s="1">
        <v>143.47999999999999</v>
      </c>
      <c r="U1661" s="1">
        <v>0.61599999999999999</v>
      </c>
      <c r="V1661" s="6">
        <f t="shared" si="75"/>
        <v>52787.519999999997</v>
      </c>
      <c r="W1661" s="6" t="str">
        <f t="shared" si="76"/>
        <v>Sufficient</v>
      </c>
      <c r="X1661" s="8" t="str">
        <f t="shared" si="77"/>
        <v>High</v>
      </c>
    </row>
    <row r="1662" spans="1:24">
      <c r="A1662" s="7" t="s">
        <v>1792</v>
      </c>
      <c r="B1662" s="1" t="s">
        <v>25</v>
      </c>
      <c r="C1662" s="1">
        <v>388</v>
      </c>
      <c r="D1662" s="1">
        <v>80</v>
      </c>
      <c r="E1662" s="1">
        <v>7</v>
      </c>
      <c r="F1662" s="1">
        <v>7</v>
      </c>
      <c r="G1662" s="1">
        <v>45.88</v>
      </c>
      <c r="H1662" s="1" t="s">
        <v>143</v>
      </c>
      <c r="I1662" s="1" t="s">
        <v>45</v>
      </c>
      <c r="J1662" s="1">
        <v>132</v>
      </c>
      <c r="K1662" s="1">
        <v>3.22</v>
      </c>
      <c r="L1662" s="4">
        <v>181.07</v>
      </c>
      <c r="M1662" s="1">
        <v>0.42</v>
      </c>
      <c r="N1662" s="1">
        <v>1</v>
      </c>
      <c r="O1662" s="1">
        <v>0.98</v>
      </c>
      <c r="P1662" s="1">
        <v>836</v>
      </c>
      <c r="Q1662" s="1">
        <v>14.17</v>
      </c>
      <c r="R1662" s="1">
        <v>0.41</v>
      </c>
      <c r="S1662" s="2">
        <v>45317</v>
      </c>
      <c r="T1662" s="1">
        <v>41.56</v>
      </c>
      <c r="U1662" s="1">
        <v>0.80500000000000005</v>
      </c>
      <c r="V1662" s="6">
        <f t="shared" si="75"/>
        <v>70255.16</v>
      </c>
      <c r="W1662" s="6" t="str">
        <f t="shared" si="76"/>
        <v>Sufficient</v>
      </c>
      <c r="X1662" s="8" t="str">
        <f t="shared" si="77"/>
        <v>High</v>
      </c>
    </row>
    <row r="1663" spans="1:24">
      <c r="A1663" s="7" t="s">
        <v>1793</v>
      </c>
      <c r="B1663" s="1" t="s">
        <v>41</v>
      </c>
      <c r="C1663" s="1">
        <v>310</v>
      </c>
      <c r="D1663" s="1">
        <v>45</v>
      </c>
      <c r="E1663" s="1">
        <v>5</v>
      </c>
      <c r="F1663" s="1">
        <v>4</v>
      </c>
      <c r="G1663" s="1">
        <v>14.61</v>
      </c>
      <c r="H1663" s="1" t="s">
        <v>26</v>
      </c>
      <c r="I1663" s="1" t="s">
        <v>27</v>
      </c>
      <c r="J1663" s="1">
        <v>31</v>
      </c>
      <c r="K1663" s="1">
        <v>1.6</v>
      </c>
      <c r="L1663" s="4">
        <v>88.98</v>
      </c>
      <c r="M1663" s="1">
        <v>1.49</v>
      </c>
      <c r="N1663" s="1">
        <v>4</v>
      </c>
      <c r="O1663" s="1">
        <v>0.77</v>
      </c>
      <c r="P1663" s="1">
        <v>68</v>
      </c>
      <c r="Q1663" s="1">
        <v>3.93</v>
      </c>
      <c r="R1663" s="1">
        <v>0.71</v>
      </c>
      <c r="S1663" s="2">
        <v>45375</v>
      </c>
      <c r="T1663" s="1">
        <v>240.83</v>
      </c>
      <c r="U1663" s="1">
        <v>0.51900000000000002</v>
      </c>
      <c r="V1663" s="6">
        <f t="shared" si="75"/>
        <v>27583.800000000003</v>
      </c>
      <c r="W1663" s="6" t="str">
        <f t="shared" si="76"/>
        <v>Sufficient</v>
      </c>
      <c r="X1663" s="8" t="str">
        <f t="shared" si="77"/>
        <v>High</v>
      </c>
    </row>
    <row r="1664" spans="1:24">
      <c r="A1664" s="7" t="s">
        <v>1794</v>
      </c>
      <c r="B1664" s="1" t="s">
        <v>33</v>
      </c>
      <c r="C1664" s="1">
        <v>478</v>
      </c>
      <c r="D1664" s="1">
        <v>27</v>
      </c>
      <c r="E1664" s="1">
        <v>9</v>
      </c>
      <c r="F1664" s="1">
        <v>6</v>
      </c>
      <c r="G1664" s="1">
        <v>10.210000000000001</v>
      </c>
      <c r="H1664" s="1" t="s">
        <v>244</v>
      </c>
      <c r="I1664" s="1" t="s">
        <v>45</v>
      </c>
      <c r="J1664" s="1">
        <v>96</v>
      </c>
      <c r="K1664" s="1">
        <v>4.16</v>
      </c>
      <c r="L1664" s="4">
        <v>176.2</v>
      </c>
      <c r="M1664" s="1">
        <v>0.56999999999999995</v>
      </c>
      <c r="N1664" s="1">
        <v>6</v>
      </c>
      <c r="O1664" s="1">
        <v>0.98</v>
      </c>
      <c r="P1664" s="1">
        <v>929</v>
      </c>
      <c r="Q1664" s="1">
        <v>9.27</v>
      </c>
      <c r="R1664" s="1">
        <v>0.74</v>
      </c>
      <c r="S1664" s="2">
        <v>45584</v>
      </c>
      <c r="T1664" s="1">
        <v>262.77</v>
      </c>
      <c r="U1664" s="1">
        <v>0.69099999999999995</v>
      </c>
      <c r="V1664" s="6">
        <f t="shared" si="75"/>
        <v>84223.599999999991</v>
      </c>
      <c r="W1664" s="6" t="str">
        <f t="shared" si="76"/>
        <v>Sufficient</v>
      </c>
      <c r="X1664" s="8" t="str">
        <f t="shared" si="77"/>
        <v>High</v>
      </c>
    </row>
    <row r="1665" spans="1:24">
      <c r="A1665" s="7" t="s">
        <v>1795</v>
      </c>
      <c r="B1665" s="1" t="s">
        <v>41</v>
      </c>
      <c r="C1665" s="1">
        <v>206</v>
      </c>
      <c r="D1665" s="1">
        <v>47</v>
      </c>
      <c r="E1665" s="1">
        <v>9</v>
      </c>
      <c r="F1665" s="1">
        <v>5</v>
      </c>
      <c r="G1665" s="1">
        <v>13.8</v>
      </c>
      <c r="H1665" s="1" t="s">
        <v>137</v>
      </c>
      <c r="I1665" s="1" t="s">
        <v>31</v>
      </c>
      <c r="J1665" s="1">
        <v>86</v>
      </c>
      <c r="K1665" s="1">
        <v>4.0999999999999996</v>
      </c>
      <c r="L1665" s="4">
        <v>22.16</v>
      </c>
      <c r="M1665" s="1">
        <v>0.91</v>
      </c>
      <c r="N1665" s="1">
        <v>7</v>
      </c>
      <c r="O1665" s="1">
        <v>0.92</v>
      </c>
      <c r="P1665" s="1">
        <v>482</v>
      </c>
      <c r="Q1665" s="1">
        <v>6.79</v>
      </c>
      <c r="R1665" s="1">
        <v>0.78</v>
      </c>
      <c r="S1665" s="2">
        <v>45401</v>
      </c>
      <c r="T1665" s="1">
        <v>128.21</v>
      </c>
      <c r="U1665" s="1">
        <v>0.6</v>
      </c>
      <c r="V1665" s="6">
        <f t="shared" si="75"/>
        <v>4564.96</v>
      </c>
      <c r="W1665" s="6" t="str">
        <f t="shared" si="76"/>
        <v>Sufficient</v>
      </c>
      <c r="X1665" s="8" t="str">
        <f t="shared" si="77"/>
        <v>Medium</v>
      </c>
    </row>
    <row r="1666" spans="1:24">
      <c r="A1666" s="7" t="s">
        <v>1796</v>
      </c>
      <c r="B1666" s="1" t="s">
        <v>25</v>
      </c>
      <c r="C1666" s="1">
        <v>424</v>
      </c>
      <c r="D1666" s="1">
        <v>68</v>
      </c>
      <c r="E1666" s="1">
        <v>4</v>
      </c>
      <c r="F1666" s="1">
        <v>8</v>
      </c>
      <c r="G1666" s="1">
        <v>37.82</v>
      </c>
      <c r="H1666" s="1" t="s">
        <v>81</v>
      </c>
      <c r="I1666" s="1" t="s">
        <v>45</v>
      </c>
      <c r="J1666" s="1">
        <v>134</v>
      </c>
      <c r="K1666" s="1">
        <v>4.95</v>
      </c>
      <c r="L1666" s="4">
        <v>178.29</v>
      </c>
      <c r="M1666" s="1">
        <v>1.99</v>
      </c>
      <c r="N1666" s="1">
        <v>0</v>
      </c>
      <c r="O1666" s="1">
        <v>0.71</v>
      </c>
      <c r="P1666" s="1">
        <v>478</v>
      </c>
      <c r="Q1666" s="1">
        <v>4.66</v>
      </c>
      <c r="R1666" s="1">
        <v>0.21</v>
      </c>
      <c r="S1666" s="2">
        <v>45405</v>
      </c>
      <c r="T1666" s="1">
        <v>203.06</v>
      </c>
      <c r="U1666" s="1">
        <v>0.44700000000000001</v>
      </c>
      <c r="V1666" s="6">
        <f t="shared" si="75"/>
        <v>75594.959999999992</v>
      </c>
      <c r="W1666" s="6" t="str">
        <f t="shared" si="76"/>
        <v>Sufficient</v>
      </c>
      <c r="X1666" s="8" t="str">
        <f t="shared" si="77"/>
        <v>High</v>
      </c>
    </row>
    <row r="1667" spans="1:24">
      <c r="A1667" s="7" t="s">
        <v>1797</v>
      </c>
      <c r="B1667" s="1" t="s">
        <v>25</v>
      </c>
      <c r="C1667" s="1">
        <v>457</v>
      </c>
      <c r="D1667" s="1">
        <v>18</v>
      </c>
      <c r="E1667" s="1">
        <v>9</v>
      </c>
      <c r="F1667" s="1">
        <v>4</v>
      </c>
      <c r="G1667" s="1">
        <v>19.13</v>
      </c>
      <c r="H1667" s="1" t="s">
        <v>205</v>
      </c>
      <c r="I1667" s="1" t="s">
        <v>27</v>
      </c>
      <c r="J1667" s="1">
        <v>105</v>
      </c>
      <c r="K1667" s="1">
        <v>1.29</v>
      </c>
      <c r="L1667" s="4">
        <v>69.010000000000005</v>
      </c>
      <c r="M1667" s="1">
        <v>0.28999999999999998</v>
      </c>
      <c r="N1667" s="1">
        <v>1</v>
      </c>
      <c r="O1667" s="1">
        <v>0.77</v>
      </c>
      <c r="P1667" s="1">
        <v>301</v>
      </c>
      <c r="Q1667" s="1">
        <v>6</v>
      </c>
      <c r="R1667" s="1">
        <v>0.99</v>
      </c>
      <c r="S1667" s="2">
        <v>45623</v>
      </c>
      <c r="T1667" s="1">
        <v>18.809999999999999</v>
      </c>
      <c r="U1667" s="1">
        <v>0.78300000000000003</v>
      </c>
      <c r="V1667" s="6">
        <f t="shared" si="75"/>
        <v>31537.570000000003</v>
      </c>
      <c r="W1667" s="6" t="str">
        <f t="shared" si="76"/>
        <v>Sufficient</v>
      </c>
      <c r="X1667" s="8" t="str">
        <f t="shared" si="77"/>
        <v>High</v>
      </c>
    </row>
    <row r="1668" spans="1:24">
      <c r="A1668" s="7" t="s">
        <v>1798</v>
      </c>
      <c r="B1668" s="1" t="s">
        <v>29</v>
      </c>
      <c r="C1668" s="1">
        <v>478</v>
      </c>
      <c r="D1668" s="1">
        <v>82</v>
      </c>
      <c r="E1668" s="1">
        <v>13</v>
      </c>
      <c r="F1668" s="1">
        <v>6</v>
      </c>
      <c r="G1668" s="1">
        <v>9.5</v>
      </c>
      <c r="H1668" s="1" t="s">
        <v>113</v>
      </c>
      <c r="I1668" s="1" t="s">
        <v>39</v>
      </c>
      <c r="J1668" s="1">
        <v>131</v>
      </c>
      <c r="K1668" s="1">
        <v>4.32</v>
      </c>
      <c r="L1668" s="4">
        <v>117.37</v>
      </c>
      <c r="M1668" s="1">
        <v>1.77</v>
      </c>
      <c r="N1668" s="1">
        <v>6</v>
      </c>
      <c r="O1668" s="1">
        <v>0.82</v>
      </c>
      <c r="P1668" s="1">
        <v>845</v>
      </c>
      <c r="Q1668" s="1">
        <v>5.12</v>
      </c>
      <c r="R1668" s="1">
        <v>0.69</v>
      </c>
      <c r="S1668" s="2">
        <v>45407</v>
      </c>
      <c r="T1668" s="1">
        <v>67.2</v>
      </c>
      <c r="U1668" s="1">
        <v>0.47299999999999998</v>
      </c>
      <c r="V1668" s="6">
        <f t="shared" ref="V1668:V1731" si="78">C1668*L1668</f>
        <v>56102.86</v>
      </c>
      <c r="W1668" s="6" t="str">
        <f t="shared" ref="W1668:W1731" si="79">IF(C1668&lt;=D1668,"Reorder Required","Sufficient")</f>
        <v>Sufficient</v>
      </c>
      <c r="X1668" s="8" t="str">
        <f t="shared" ref="X1668:X1731" si="80">IF(C1668&lt;100,"LOW",IF(C1668&lt;250,"Medium","High"))</f>
        <v>High</v>
      </c>
    </row>
    <row r="1669" spans="1:24">
      <c r="A1669" s="7" t="s">
        <v>1799</v>
      </c>
      <c r="B1669" s="1" t="s">
        <v>66</v>
      </c>
      <c r="C1669" s="1">
        <v>433</v>
      </c>
      <c r="D1669" s="1">
        <v>81</v>
      </c>
      <c r="E1669" s="1">
        <v>8</v>
      </c>
      <c r="F1669" s="1">
        <v>9</v>
      </c>
      <c r="G1669" s="1">
        <v>5.82</v>
      </c>
      <c r="H1669" s="1" t="s">
        <v>266</v>
      </c>
      <c r="I1669" s="1" t="s">
        <v>27</v>
      </c>
      <c r="J1669" s="1">
        <v>166</v>
      </c>
      <c r="K1669" s="1">
        <v>4.42</v>
      </c>
      <c r="L1669" s="4">
        <v>61.24</v>
      </c>
      <c r="M1669" s="1">
        <v>1.9</v>
      </c>
      <c r="N1669" s="1">
        <v>8</v>
      </c>
      <c r="O1669" s="1">
        <v>0.87</v>
      </c>
      <c r="P1669" s="1">
        <v>892</v>
      </c>
      <c r="Q1669" s="1">
        <v>8.39</v>
      </c>
      <c r="R1669" s="1">
        <v>0.5</v>
      </c>
      <c r="S1669" s="2">
        <v>45638</v>
      </c>
      <c r="T1669" s="1">
        <v>175.38</v>
      </c>
      <c r="U1669" s="1">
        <v>0.436</v>
      </c>
      <c r="V1669" s="6">
        <f t="shared" si="78"/>
        <v>26516.920000000002</v>
      </c>
      <c r="W1669" s="6" t="str">
        <f t="shared" si="79"/>
        <v>Sufficient</v>
      </c>
      <c r="X1669" s="8" t="str">
        <f t="shared" si="80"/>
        <v>High</v>
      </c>
    </row>
    <row r="1670" spans="1:24">
      <c r="A1670" s="7" t="s">
        <v>1800</v>
      </c>
      <c r="B1670" s="1" t="s">
        <v>29</v>
      </c>
      <c r="C1670" s="1">
        <v>323</v>
      </c>
      <c r="D1670" s="1">
        <v>60</v>
      </c>
      <c r="E1670" s="1">
        <v>12</v>
      </c>
      <c r="F1670" s="1">
        <v>8</v>
      </c>
      <c r="G1670" s="1">
        <v>17.04</v>
      </c>
      <c r="H1670" s="1" t="s">
        <v>274</v>
      </c>
      <c r="I1670" s="1" t="s">
        <v>39</v>
      </c>
      <c r="J1670" s="1">
        <v>49</v>
      </c>
      <c r="K1670" s="1">
        <v>3.39</v>
      </c>
      <c r="L1670" s="4">
        <v>197.11</v>
      </c>
      <c r="M1670" s="1">
        <v>1.43</v>
      </c>
      <c r="N1670" s="1">
        <v>2</v>
      </c>
      <c r="O1670" s="1">
        <v>0.91</v>
      </c>
      <c r="P1670" s="1">
        <v>611</v>
      </c>
      <c r="Q1670" s="1">
        <v>8.81</v>
      </c>
      <c r="R1670" s="1">
        <v>0.66</v>
      </c>
      <c r="S1670" s="2">
        <v>45397</v>
      </c>
      <c r="T1670" s="1">
        <v>89.48</v>
      </c>
      <c r="U1670" s="1">
        <v>0.64800000000000002</v>
      </c>
      <c r="V1670" s="6">
        <f t="shared" si="78"/>
        <v>63666.530000000006</v>
      </c>
      <c r="W1670" s="6" t="str">
        <f t="shared" si="79"/>
        <v>Sufficient</v>
      </c>
      <c r="X1670" s="8" t="str">
        <f t="shared" si="80"/>
        <v>High</v>
      </c>
    </row>
    <row r="1671" spans="1:24">
      <c r="A1671" s="7" t="s">
        <v>1801</v>
      </c>
      <c r="B1671" s="1" t="s">
        <v>33</v>
      </c>
      <c r="C1671" s="1">
        <v>310</v>
      </c>
      <c r="D1671" s="1">
        <v>44</v>
      </c>
      <c r="E1671" s="1">
        <v>11</v>
      </c>
      <c r="F1671" s="1">
        <v>3</v>
      </c>
      <c r="G1671" s="1">
        <v>7.67</v>
      </c>
      <c r="H1671" s="1" t="s">
        <v>139</v>
      </c>
      <c r="I1671" s="1" t="s">
        <v>27</v>
      </c>
      <c r="J1671" s="1">
        <v>113</v>
      </c>
      <c r="K1671" s="1">
        <v>2.78</v>
      </c>
      <c r="L1671" s="4">
        <v>23.64</v>
      </c>
      <c r="M1671" s="1">
        <v>0.12</v>
      </c>
      <c r="N1671" s="1">
        <v>7</v>
      </c>
      <c r="O1671" s="1">
        <v>0.76</v>
      </c>
      <c r="P1671" s="1">
        <v>956</v>
      </c>
      <c r="Q1671" s="1">
        <v>13.12</v>
      </c>
      <c r="R1671" s="1">
        <v>0.34</v>
      </c>
      <c r="S1671" s="2">
        <v>45429</v>
      </c>
      <c r="T1671" s="1">
        <v>283.87</v>
      </c>
      <c r="U1671" s="1">
        <v>0.64300000000000002</v>
      </c>
      <c r="V1671" s="6">
        <f t="shared" si="78"/>
        <v>7328.4000000000005</v>
      </c>
      <c r="W1671" s="6" t="str">
        <f t="shared" si="79"/>
        <v>Sufficient</v>
      </c>
      <c r="X1671" s="8" t="str">
        <f t="shared" si="80"/>
        <v>High</v>
      </c>
    </row>
    <row r="1672" spans="1:24">
      <c r="A1672" s="7" t="s">
        <v>1802</v>
      </c>
      <c r="B1672" s="1" t="s">
        <v>41</v>
      </c>
      <c r="C1672" s="1">
        <v>105</v>
      </c>
      <c r="D1672" s="1">
        <v>91</v>
      </c>
      <c r="E1672" s="1">
        <v>11</v>
      </c>
      <c r="F1672" s="1">
        <v>8</v>
      </c>
      <c r="G1672" s="1">
        <v>8.66</v>
      </c>
      <c r="H1672" s="1" t="s">
        <v>128</v>
      </c>
      <c r="I1672" s="1" t="s">
        <v>27</v>
      </c>
      <c r="J1672" s="1">
        <v>128</v>
      </c>
      <c r="K1672" s="1">
        <v>4.8099999999999996</v>
      </c>
      <c r="L1672" s="4">
        <v>94.92</v>
      </c>
      <c r="M1672" s="1">
        <v>1.66</v>
      </c>
      <c r="N1672" s="1">
        <v>9</v>
      </c>
      <c r="O1672" s="1">
        <v>0.95</v>
      </c>
      <c r="P1672" s="1">
        <v>872</v>
      </c>
      <c r="Q1672" s="1">
        <v>11.94</v>
      </c>
      <c r="R1672" s="1">
        <v>0.4</v>
      </c>
      <c r="S1672" s="2">
        <v>45625</v>
      </c>
      <c r="T1672" s="1">
        <v>252.74</v>
      </c>
      <c r="U1672" s="1">
        <v>0.48299999999999998</v>
      </c>
      <c r="V1672" s="6">
        <f t="shared" si="78"/>
        <v>9966.6</v>
      </c>
      <c r="W1672" s="6" t="str">
        <f t="shared" si="79"/>
        <v>Sufficient</v>
      </c>
      <c r="X1672" s="8" t="str">
        <f t="shared" si="80"/>
        <v>Medium</v>
      </c>
    </row>
    <row r="1673" spans="1:24">
      <c r="A1673" s="7" t="s">
        <v>1803</v>
      </c>
      <c r="B1673" s="1" t="s">
        <v>33</v>
      </c>
      <c r="C1673" s="1">
        <v>185</v>
      </c>
      <c r="D1673" s="1">
        <v>14</v>
      </c>
      <c r="E1673" s="1">
        <v>4</v>
      </c>
      <c r="F1673" s="1">
        <v>2</v>
      </c>
      <c r="G1673" s="1">
        <v>34.51</v>
      </c>
      <c r="H1673" s="1" t="s">
        <v>72</v>
      </c>
      <c r="I1673" s="1" t="s">
        <v>31</v>
      </c>
      <c r="J1673" s="1">
        <v>147</v>
      </c>
      <c r="K1673" s="1">
        <v>4.88</v>
      </c>
      <c r="L1673" s="4">
        <v>127.99</v>
      </c>
      <c r="M1673" s="1">
        <v>1.78</v>
      </c>
      <c r="N1673" s="1">
        <v>2</v>
      </c>
      <c r="O1673" s="1">
        <v>0.95</v>
      </c>
      <c r="P1673" s="1">
        <v>698</v>
      </c>
      <c r="Q1673" s="1">
        <v>5.24</v>
      </c>
      <c r="R1673" s="1">
        <v>0.27</v>
      </c>
      <c r="S1673" s="2">
        <v>45501</v>
      </c>
      <c r="T1673" s="1">
        <v>199.95</v>
      </c>
      <c r="U1673" s="1">
        <v>0.496</v>
      </c>
      <c r="V1673" s="6">
        <f t="shared" si="78"/>
        <v>23678.149999999998</v>
      </c>
      <c r="W1673" s="6" t="str">
        <f t="shared" si="79"/>
        <v>Sufficient</v>
      </c>
      <c r="X1673" s="8" t="str">
        <f t="shared" si="80"/>
        <v>Medium</v>
      </c>
    </row>
    <row r="1674" spans="1:24">
      <c r="A1674" s="7" t="s">
        <v>1804</v>
      </c>
      <c r="B1674" s="1" t="s">
        <v>25</v>
      </c>
      <c r="C1674" s="1">
        <v>434</v>
      </c>
      <c r="D1674" s="1">
        <v>23</v>
      </c>
      <c r="E1674" s="1">
        <v>9</v>
      </c>
      <c r="F1674" s="1">
        <v>2</v>
      </c>
      <c r="G1674" s="1">
        <v>1.97</v>
      </c>
      <c r="H1674" s="1" t="s">
        <v>74</v>
      </c>
      <c r="I1674" s="1" t="s">
        <v>45</v>
      </c>
      <c r="J1674" s="1">
        <v>129</v>
      </c>
      <c r="K1674" s="1">
        <v>3.39</v>
      </c>
      <c r="L1674" s="4">
        <v>126.97</v>
      </c>
      <c r="M1674" s="1">
        <v>1.96</v>
      </c>
      <c r="N1674" s="1">
        <v>3</v>
      </c>
      <c r="O1674" s="1">
        <v>0.89</v>
      </c>
      <c r="P1674" s="1">
        <v>959</v>
      </c>
      <c r="Q1674" s="1">
        <v>14.04</v>
      </c>
      <c r="R1674" s="1">
        <v>0.9</v>
      </c>
      <c r="S1674" s="2">
        <v>45554</v>
      </c>
      <c r="T1674" s="1">
        <v>299.66000000000003</v>
      </c>
      <c r="U1674" s="1">
        <v>0.68899999999999995</v>
      </c>
      <c r="V1674" s="6">
        <f t="shared" si="78"/>
        <v>55104.979999999996</v>
      </c>
      <c r="W1674" s="6" t="str">
        <f t="shared" si="79"/>
        <v>Sufficient</v>
      </c>
      <c r="X1674" s="8" t="str">
        <f t="shared" si="80"/>
        <v>High</v>
      </c>
    </row>
    <row r="1675" spans="1:24">
      <c r="A1675" s="7" t="s">
        <v>1805</v>
      </c>
      <c r="B1675" s="1" t="s">
        <v>29</v>
      </c>
      <c r="C1675" s="1">
        <v>481</v>
      </c>
      <c r="D1675" s="1">
        <v>39</v>
      </c>
      <c r="E1675" s="1">
        <v>7</v>
      </c>
      <c r="F1675" s="1">
        <v>6</v>
      </c>
      <c r="G1675" s="1">
        <v>6.76</v>
      </c>
      <c r="H1675" s="1" t="s">
        <v>294</v>
      </c>
      <c r="I1675" s="1" t="s">
        <v>27</v>
      </c>
      <c r="J1675" s="1">
        <v>26</v>
      </c>
      <c r="K1675" s="1">
        <v>2.12</v>
      </c>
      <c r="L1675" s="4">
        <v>150.36000000000001</v>
      </c>
      <c r="M1675" s="1">
        <v>1.69</v>
      </c>
      <c r="N1675" s="1">
        <v>1</v>
      </c>
      <c r="O1675" s="1">
        <v>0.98</v>
      </c>
      <c r="P1675" s="1">
        <v>787</v>
      </c>
      <c r="Q1675" s="1">
        <v>13.16</v>
      </c>
      <c r="R1675" s="1">
        <v>0.4</v>
      </c>
      <c r="S1675" s="2">
        <v>45302</v>
      </c>
      <c r="T1675" s="1">
        <v>80.540000000000006</v>
      </c>
      <c r="U1675" s="1">
        <v>0.66200000000000003</v>
      </c>
      <c r="V1675" s="6">
        <f t="shared" si="78"/>
        <v>72323.16</v>
      </c>
      <c r="W1675" s="6" t="str">
        <f t="shared" si="79"/>
        <v>Sufficient</v>
      </c>
      <c r="X1675" s="8" t="str">
        <f t="shared" si="80"/>
        <v>High</v>
      </c>
    </row>
    <row r="1676" spans="1:24">
      <c r="A1676" s="7" t="s">
        <v>1806</v>
      </c>
      <c r="B1676" s="1" t="s">
        <v>29</v>
      </c>
      <c r="C1676" s="1">
        <v>427</v>
      </c>
      <c r="D1676" s="1">
        <v>13</v>
      </c>
      <c r="E1676" s="1">
        <v>8</v>
      </c>
      <c r="F1676" s="1">
        <v>4</v>
      </c>
      <c r="G1676" s="1">
        <v>42.37</v>
      </c>
      <c r="H1676" s="1" t="s">
        <v>115</v>
      </c>
      <c r="I1676" s="1" t="s">
        <v>39</v>
      </c>
      <c r="J1676" s="1">
        <v>111</v>
      </c>
      <c r="K1676" s="1">
        <v>4.18</v>
      </c>
      <c r="L1676" s="4">
        <v>147.63999999999999</v>
      </c>
      <c r="M1676" s="1">
        <v>0.95</v>
      </c>
      <c r="N1676" s="1">
        <v>8</v>
      </c>
      <c r="O1676" s="1">
        <v>0.94</v>
      </c>
      <c r="P1676" s="1">
        <v>270</v>
      </c>
      <c r="Q1676" s="1">
        <v>9.76</v>
      </c>
      <c r="R1676" s="1">
        <v>0.79</v>
      </c>
      <c r="S1676" s="2">
        <v>45641</v>
      </c>
      <c r="T1676" s="1">
        <v>276.55</v>
      </c>
      <c r="U1676" s="1">
        <v>0.621</v>
      </c>
      <c r="V1676" s="6">
        <f t="shared" si="78"/>
        <v>63042.279999999992</v>
      </c>
      <c r="W1676" s="6" t="str">
        <f t="shared" si="79"/>
        <v>Sufficient</v>
      </c>
      <c r="X1676" s="8" t="str">
        <f t="shared" si="80"/>
        <v>High</v>
      </c>
    </row>
    <row r="1677" spans="1:24">
      <c r="A1677" s="7" t="s">
        <v>1807</v>
      </c>
      <c r="B1677" s="1" t="s">
        <v>29</v>
      </c>
      <c r="C1677" s="1">
        <v>133</v>
      </c>
      <c r="D1677" s="1">
        <v>48</v>
      </c>
      <c r="E1677" s="1">
        <v>3</v>
      </c>
      <c r="F1677" s="1">
        <v>5</v>
      </c>
      <c r="G1677" s="1">
        <v>42.4</v>
      </c>
      <c r="H1677" s="1" t="s">
        <v>85</v>
      </c>
      <c r="I1677" s="1" t="s">
        <v>45</v>
      </c>
      <c r="J1677" s="1">
        <v>139</v>
      </c>
      <c r="K1677" s="1">
        <v>0.9</v>
      </c>
      <c r="L1677" s="4">
        <v>160.69999999999999</v>
      </c>
      <c r="M1677" s="1">
        <v>1.41</v>
      </c>
      <c r="N1677" s="1">
        <v>4</v>
      </c>
      <c r="O1677" s="1">
        <v>0.77</v>
      </c>
      <c r="P1677" s="1">
        <v>162</v>
      </c>
      <c r="Q1677" s="1">
        <v>1.26</v>
      </c>
      <c r="R1677" s="1">
        <v>0.42</v>
      </c>
      <c r="S1677" s="2">
        <v>45296</v>
      </c>
      <c r="T1677" s="1">
        <v>98.33</v>
      </c>
      <c r="U1677" s="1">
        <v>0.434</v>
      </c>
      <c r="V1677" s="6">
        <f t="shared" si="78"/>
        <v>21373.1</v>
      </c>
      <c r="W1677" s="6" t="str">
        <f t="shared" si="79"/>
        <v>Sufficient</v>
      </c>
      <c r="X1677" s="8" t="str">
        <f t="shared" si="80"/>
        <v>Medium</v>
      </c>
    </row>
    <row r="1678" spans="1:24">
      <c r="A1678" s="7" t="s">
        <v>1808</v>
      </c>
      <c r="B1678" s="1" t="s">
        <v>33</v>
      </c>
      <c r="C1678" s="1">
        <v>452</v>
      </c>
      <c r="D1678" s="1">
        <v>93</v>
      </c>
      <c r="E1678" s="1">
        <v>9</v>
      </c>
      <c r="F1678" s="1">
        <v>3</v>
      </c>
      <c r="G1678" s="1">
        <v>17.13</v>
      </c>
      <c r="H1678" s="1" t="s">
        <v>30</v>
      </c>
      <c r="I1678" s="1" t="s">
        <v>31</v>
      </c>
      <c r="J1678" s="1">
        <v>154</v>
      </c>
      <c r="K1678" s="1">
        <v>1.81</v>
      </c>
      <c r="L1678" s="4">
        <v>54.51</v>
      </c>
      <c r="M1678" s="1">
        <v>1.02</v>
      </c>
      <c r="N1678" s="1">
        <v>4</v>
      </c>
      <c r="O1678" s="1">
        <v>0.94</v>
      </c>
      <c r="P1678" s="1">
        <v>198</v>
      </c>
      <c r="Q1678" s="1">
        <v>3.93</v>
      </c>
      <c r="R1678" s="1">
        <v>0.32</v>
      </c>
      <c r="S1678" s="2">
        <v>45534</v>
      </c>
      <c r="T1678" s="1">
        <v>183.01</v>
      </c>
      <c r="U1678" s="1">
        <v>0.52200000000000002</v>
      </c>
      <c r="V1678" s="6">
        <f t="shared" si="78"/>
        <v>24638.52</v>
      </c>
      <c r="W1678" s="6" t="str">
        <f t="shared" si="79"/>
        <v>Sufficient</v>
      </c>
      <c r="X1678" s="8" t="str">
        <f t="shared" si="80"/>
        <v>High</v>
      </c>
    </row>
    <row r="1679" spans="1:24">
      <c r="A1679" s="7" t="s">
        <v>1809</v>
      </c>
      <c r="B1679" s="1" t="s">
        <v>25</v>
      </c>
      <c r="C1679" s="1">
        <v>499</v>
      </c>
      <c r="D1679" s="1">
        <v>73</v>
      </c>
      <c r="E1679" s="1">
        <v>8</v>
      </c>
      <c r="F1679" s="1">
        <v>6</v>
      </c>
      <c r="G1679" s="1">
        <v>5.31</v>
      </c>
      <c r="H1679" s="1" t="s">
        <v>83</v>
      </c>
      <c r="I1679" s="1" t="s">
        <v>45</v>
      </c>
      <c r="J1679" s="1">
        <v>117</v>
      </c>
      <c r="K1679" s="1">
        <v>4.93</v>
      </c>
      <c r="L1679" s="4">
        <v>80.400000000000006</v>
      </c>
      <c r="M1679" s="1">
        <v>0.77</v>
      </c>
      <c r="N1679" s="1">
        <v>3</v>
      </c>
      <c r="O1679" s="1">
        <v>0.99</v>
      </c>
      <c r="P1679" s="1">
        <v>609</v>
      </c>
      <c r="Q1679" s="1">
        <v>12.05</v>
      </c>
      <c r="R1679" s="1">
        <v>0.28999999999999998</v>
      </c>
      <c r="S1679" s="2">
        <v>45359</v>
      </c>
      <c r="T1679" s="1">
        <v>135.97</v>
      </c>
      <c r="U1679" s="1">
        <v>0.68</v>
      </c>
      <c r="V1679" s="6">
        <f t="shared" si="78"/>
        <v>40119.600000000006</v>
      </c>
      <c r="W1679" s="6" t="str">
        <f t="shared" si="79"/>
        <v>Sufficient</v>
      </c>
      <c r="X1679" s="8" t="str">
        <f t="shared" si="80"/>
        <v>High</v>
      </c>
    </row>
    <row r="1680" spans="1:24">
      <c r="A1680" s="7" t="s">
        <v>1810</v>
      </c>
      <c r="B1680" s="1" t="s">
        <v>41</v>
      </c>
      <c r="C1680" s="1">
        <v>375</v>
      </c>
      <c r="D1680" s="1">
        <v>34</v>
      </c>
      <c r="E1680" s="1">
        <v>6</v>
      </c>
      <c r="F1680" s="1">
        <v>9</v>
      </c>
      <c r="G1680" s="1">
        <v>35.54</v>
      </c>
      <c r="H1680" s="1" t="s">
        <v>83</v>
      </c>
      <c r="I1680" s="1" t="s">
        <v>27</v>
      </c>
      <c r="J1680" s="1">
        <v>99</v>
      </c>
      <c r="K1680" s="1">
        <v>4.16</v>
      </c>
      <c r="L1680" s="4">
        <v>82.59</v>
      </c>
      <c r="M1680" s="1">
        <v>1.29</v>
      </c>
      <c r="N1680" s="1">
        <v>4</v>
      </c>
      <c r="O1680" s="1">
        <v>0.74</v>
      </c>
      <c r="P1680" s="1">
        <v>107</v>
      </c>
      <c r="Q1680" s="1">
        <v>7.35</v>
      </c>
      <c r="R1680" s="1">
        <v>0.89</v>
      </c>
      <c r="S1680" s="2">
        <v>45623</v>
      </c>
      <c r="T1680" s="1">
        <v>138.53</v>
      </c>
      <c r="U1680" s="1">
        <v>0.61499999999999999</v>
      </c>
      <c r="V1680" s="6">
        <f t="shared" si="78"/>
        <v>30971.25</v>
      </c>
      <c r="W1680" s="6" t="str">
        <f t="shared" si="79"/>
        <v>Sufficient</v>
      </c>
      <c r="X1680" s="8" t="str">
        <f t="shared" si="80"/>
        <v>High</v>
      </c>
    </row>
    <row r="1681" spans="1:24">
      <c r="A1681" s="7" t="s">
        <v>1811</v>
      </c>
      <c r="B1681" s="1" t="s">
        <v>41</v>
      </c>
      <c r="C1681" s="1">
        <v>435</v>
      </c>
      <c r="D1681" s="1">
        <v>37</v>
      </c>
      <c r="E1681" s="1">
        <v>3</v>
      </c>
      <c r="F1681" s="1">
        <v>3</v>
      </c>
      <c r="G1681" s="1">
        <v>18.649999999999999</v>
      </c>
      <c r="H1681" s="1" t="s">
        <v>159</v>
      </c>
      <c r="I1681" s="1" t="s">
        <v>39</v>
      </c>
      <c r="J1681" s="1">
        <v>128</v>
      </c>
      <c r="K1681" s="1">
        <v>4.7300000000000004</v>
      </c>
      <c r="L1681" s="4">
        <v>191.61</v>
      </c>
      <c r="M1681" s="1">
        <v>1.56</v>
      </c>
      <c r="N1681" s="1">
        <v>0</v>
      </c>
      <c r="O1681" s="1">
        <v>0.99</v>
      </c>
      <c r="P1681" s="1">
        <v>246</v>
      </c>
      <c r="Q1681" s="1">
        <v>2.76</v>
      </c>
      <c r="R1681" s="1">
        <v>0.3</v>
      </c>
      <c r="S1681" s="2">
        <v>45380</v>
      </c>
      <c r="T1681" s="1">
        <v>231.13</v>
      </c>
      <c r="U1681" s="1">
        <v>0.53900000000000003</v>
      </c>
      <c r="V1681" s="6">
        <f t="shared" si="78"/>
        <v>83350.350000000006</v>
      </c>
      <c r="W1681" s="6" t="str">
        <f t="shared" si="79"/>
        <v>Sufficient</v>
      </c>
      <c r="X1681" s="8" t="str">
        <f t="shared" si="80"/>
        <v>High</v>
      </c>
    </row>
    <row r="1682" spans="1:24">
      <c r="A1682" s="7" t="s">
        <v>1812</v>
      </c>
      <c r="B1682" s="1" t="s">
        <v>33</v>
      </c>
      <c r="C1682" s="1">
        <v>202</v>
      </c>
      <c r="D1682" s="1">
        <v>85</v>
      </c>
      <c r="E1682" s="1">
        <v>11</v>
      </c>
      <c r="F1682" s="1">
        <v>2</v>
      </c>
      <c r="G1682" s="1">
        <v>3.23</v>
      </c>
      <c r="H1682" s="1" t="s">
        <v>137</v>
      </c>
      <c r="I1682" s="1" t="s">
        <v>39</v>
      </c>
      <c r="J1682" s="1">
        <v>175</v>
      </c>
      <c r="K1682" s="1">
        <v>3.18</v>
      </c>
      <c r="L1682" s="4">
        <v>87.77</v>
      </c>
      <c r="M1682" s="1">
        <v>1.31</v>
      </c>
      <c r="N1682" s="1">
        <v>9</v>
      </c>
      <c r="O1682" s="1">
        <v>0.71</v>
      </c>
      <c r="P1682" s="1">
        <v>786</v>
      </c>
      <c r="Q1682" s="1">
        <v>6.72</v>
      </c>
      <c r="R1682" s="1">
        <v>0.27</v>
      </c>
      <c r="S1682" s="2">
        <v>45599</v>
      </c>
      <c r="T1682" s="1">
        <v>110.79</v>
      </c>
      <c r="U1682" s="1">
        <v>0.375</v>
      </c>
      <c r="V1682" s="6">
        <f t="shared" si="78"/>
        <v>17729.54</v>
      </c>
      <c r="W1682" s="6" t="str">
        <f t="shared" si="79"/>
        <v>Sufficient</v>
      </c>
      <c r="X1682" s="8" t="str">
        <f t="shared" si="80"/>
        <v>Medium</v>
      </c>
    </row>
    <row r="1683" spans="1:24">
      <c r="A1683" s="7" t="s">
        <v>1813</v>
      </c>
      <c r="B1683" s="1" t="s">
        <v>29</v>
      </c>
      <c r="C1683" s="1">
        <v>226</v>
      </c>
      <c r="D1683" s="1">
        <v>75</v>
      </c>
      <c r="E1683" s="1">
        <v>6</v>
      </c>
      <c r="F1683" s="1">
        <v>7</v>
      </c>
      <c r="G1683" s="1">
        <v>8.73</v>
      </c>
      <c r="H1683" s="1" t="s">
        <v>282</v>
      </c>
      <c r="I1683" s="1" t="s">
        <v>45</v>
      </c>
      <c r="J1683" s="1">
        <v>174</v>
      </c>
      <c r="K1683" s="1">
        <v>2.33</v>
      </c>
      <c r="L1683" s="4">
        <v>52.16</v>
      </c>
      <c r="M1683" s="1">
        <v>1.67</v>
      </c>
      <c r="N1683" s="1">
        <v>9</v>
      </c>
      <c r="O1683" s="1">
        <v>0.86</v>
      </c>
      <c r="P1683" s="1">
        <v>698</v>
      </c>
      <c r="Q1683" s="1">
        <v>3.97</v>
      </c>
      <c r="R1683" s="1">
        <v>0.21</v>
      </c>
      <c r="S1683" s="2">
        <v>45296</v>
      </c>
      <c r="T1683" s="1">
        <v>157.18</v>
      </c>
      <c r="U1683" s="1">
        <v>0.32</v>
      </c>
      <c r="V1683" s="6">
        <f t="shared" si="78"/>
        <v>11788.16</v>
      </c>
      <c r="W1683" s="6" t="str">
        <f t="shared" si="79"/>
        <v>Sufficient</v>
      </c>
      <c r="X1683" s="8" t="str">
        <f t="shared" si="80"/>
        <v>Medium</v>
      </c>
    </row>
    <row r="1684" spans="1:24">
      <c r="A1684" s="7" t="s">
        <v>1814</v>
      </c>
      <c r="B1684" s="1" t="s">
        <v>66</v>
      </c>
      <c r="C1684" s="1">
        <v>275</v>
      </c>
      <c r="D1684" s="1">
        <v>87</v>
      </c>
      <c r="E1684" s="1">
        <v>4</v>
      </c>
      <c r="F1684" s="1">
        <v>7</v>
      </c>
      <c r="G1684" s="1">
        <v>7.72</v>
      </c>
      <c r="H1684" s="1" t="s">
        <v>68</v>
      </c>
      <c r="I1684" s="1" t="s">
        <v>39</v>
      </c>
      <c r="J1684" s="1">
        <v>72</v>
      </c>
      <c r="K1684" s="1">
        <v>4.91</v>
      </c>
      <c r="L1684" s="4">
        <v>130.15</v>
      </c>
      <c r="M1684" s="1">
        <v>0.44</v>
      </c>
      <c r="N1684" s="1">
        <v>5</v>
      </c>
      <c r="O1684" s="1">
        <v>0.93</v>
      </c>
      <c r="P1684" s="1">
        <v>756</v>
      </c>
      <c r="Q1684" s="1">
        <v>13.5</v>
      </c>
      <c r="R1684" s="1">
        <v>0.49</v>
      </c>
      <c r="S1684" s="2">
        <v>45406</v>
      </c>
      <c r="T1684" s="1">
        <v>71.400000000000006</v>
      </c>
      <c r="U1684" s="1">
        <v>0.72</v>
      </c>
      <c r="V1684" s="6">
        <f t="shared" si="78"/>
        <v>35791.25</v>
      </c>
      <c r="W1684" s="6" t="str">
        <f t="shared" si="79"/>
        <v>Sufficient</v>
      </c>
      <c r="X1684" s="8" t="str">
        <f t="shared" si="80"/>
        <v>High</v>
      </c>
    </row>
    <row r="1685" spans="1:24">
      <c r="A1685" s="7" t="s">
        <v>1815</v>
      </c>
      <c r="B1685" s="1" t="s">
        <v>33</v>
      </c>
      <c r="C1685" s="1">
        <v>254</v>
      </c>
      <c r="D1685" s="1">
        <v>31</v>
      </c>
      <c r="E1685" s="1">
        <v>10</v>
      </c>
      <c r="F1685" s="1">
        <v>5</v>
      </c>
      <c r="G1685" s="1">
        <v>29.87</v>
      </c>
      <c r="H1685" s="1" t="s">
        <v>294</v>
      </c>
      <c r="I1685" s="1" t="s">
        <v>27</v>
      </c>
      <c r="J1685" s="1">
        <v>14</v>
      </c>
      <c r="K1685" s="1">
        <v>1.89</v>
      </c>
      <c r="L1685" s="4">
        <v>91.18</v>
      </c>
      <c r="M1685" s="1">
        <v>0.81</v>
      </c>
      <c r="N1685" s="1">
        <v>3</v>
      </c>
      <c r="O1685" s="1">
        <v>0.94</v>
      </c>
      <c r="P1685" s="1">
        <v>767</v>
      </c>
      <c r="Q1685" s="1">
        <v>13.45</v>
      </c>
      <c r="R1685" s="1">
        <v>0.95</v>
      </c>
      <c r="S1685" s="2">
        <v>45421</v>
      </c>
      <c r="T1685" s="1">
        <v>231.41</v>
      </c>
      <c r="U1685" s="1">
        <v>0.81599999999999995</v>
      </c>
      <c r="V1685" s="6">
        <f t="shared" si="78"/>
        <v>23159.72</v>
      </c>
      <c r="W1685" s="6" t="str">
        <f t="shared" si="79"/>
        <v>Sufficient</v>
      </c>
      <c r="X1685" s="8" t="str">
        <f t="shared" si="80"/>
        <v>High</v>
      </c>
    </row>
    <row r="1686" spans="1:24">
      <c r="A1686" s="7" t="s">
        <v>1816</v>
      </c>
      <c r="B1686" s="1" t="s">
        <v>33</v>
      </c>
      <c r="C1686" s="1">
        <v>461</v>
      </c>
      <c r="D1686" s="1">
        <v>40</v>
      </c>
      <c r="E1686" s="1">
        <v>4</v>
      </c>
      <c r="F1686" s="1">
        <v>3</v>
      </c>
      <c r="G1686" s="1">
        <v>45.01</v>
      </c>
      <c r="H1686" s="1" t="s">
        <v>91</v>
      </c>
      <c r="I1686" s="1" t="s">
        <v>39</v>
      </c>
      <c r="J1686" s="1">
        <v>34</v>
      </c>
      <c r="K1686" s="1">
        <v>3.91</v>
      </c>
      <c r="L1686" s="4">
        <v>57.52</v>
      </c>
      <c r="M1686" s="1">
        <v>0.69</v>
      </c>
      <c r="N1686" s="1">
        <v>3</v>
      </c>
      <c r="O1686" s="1">
        <v>0.92</v>
      </c>
      <c r="P1686" s="1">
        <v>67</v>
      </c>
      <c r="Q1686" s="1">
        <v>6.42</v>
      </c>
      <c r="R1686" s="1">
        <v>0.93</v>
      </c>
      <c r="S1686" s="2">
        <v>45603</v>
      </c>
      <c r="T1686" s="1">
        <v>170.06</v>
      </c>
      <c r="U1686" s="1">
        <v>0.72699999999999998</v>
      </c>
      <c r="V1686" s="6">
        <f t="shared" si="78"/>
        <v>26516.720000000001</v>
      </c>
      <c r="W1686" s="6" t="str">
        <f t="shared" si="79"/>
        <v>Sufficient</v>
      </c>
      <c r="X1686" s="8" t="str">
        <f t="shared" si="80"/>
        <v>High</v>
      </c>
    </row>
    <row r="1687" spans="1:24">
      <c r="A1687" s="7" t="s">
        <v>1817</v>
      </c>
      <c r="B1687" s="1" t="s">
        <v>25</v>
      </c>
      <c r="C1687" s="1">
        <v>374</v>
      </c>
      <c r="D1687" s="1">
        <v>32</v>
      </c>
      <c r="E1687" s="1">
        <v>7</v>
      </c>
      <c r="F1687" s="1">
        <v>6</v>
      </c>
      <c r="G1687" s="1">
        <v>39.86</v>
      </c>
      <c r="H1687" s="1" t="s">
        <v>70</v>
      </c>
      <c r="I1687" s="1" t="s">
        <v>39</v>
      </c>
      <c r="J1687" s="1">
        <v>82</v>
      </c>
      <c r="K1687" s="1">
        <v>3.01</v>
      </c>
      <c r="L1687" s="4">
        <v>145.88</v>
      </c>
      <c r="M1687" s="1">
        <v>0.47</v>
      </c>
      <c r="N1687" s="1">
        <v>4</v>
      </c>
      <c r="O1687" s="1">
        <v>0.86</v>
      </c>
      <c r="P1687" s="1">
        <v>829</v>
      </c>
      <c r="Q1687" s="1">
        <v>2.92</v>
      </c>
      <c r="R1687" s="1">
        <v>0.28999999999999998</v>
      </c>
      <c r="S1687" s="2">
        <v>45448</v>
      </c>
      <c r="T1687" s="1">
        <v>83.97</v>
      </c>
      <c r="U1687" s="1">
        <v>0.54200000000000004</v>
      </c>
      <c r="V1687" s="6">
        <f t="shared" si="78"/>
        <v>54559.119999999995</v>
      </c>
      <c r="W1687" s="6" t="str">
        <f t="shared" si="79"/>
        <v>Sufficient</v>
      </c>
      <c r="X1687" s="8" t="str">
        <f t="shared" si="80"/>
        <v>High</v>
      </c>
    </row>
    <row r="1688" spans="1:24">
      <c r="A1688" s="7" t="s">
        <v>1818</v>
      </c>
      <c r="B1688" s="1" t="s">
        <v>41</v>
      </c>
      <c r="C1688" s="1">
        <v>22</v>
      </c>
      <c r="D1688" s="1">
        <v>57</v>
      </c>
      <c r="E1688" s="1">
        <v>13</v>
      </c>
      <c r="F1688" s="1">
        <v>5</v>
      </c>
      <c r="G1688" s="1">
        <v>27.78</v>
      </c>
      <c r="H1688" s="1" t="s">
        <v>411</v>
      </c>
      <c r="I1688" s="1" t="s">
        <v>39</v>
      </c>
      <c r="J1688" s="1">
        <v>133</v>
      </c>
      <c r="K1688" s="1">
        <v>1.53</v>
      </c>
      <c r="L1688" s="4">
        <v>46.47</v>
      </c>
      <c r="M1688" s="1">
        <v>0.94</v>
      </c>
      <c r="N1688" s="1">
        <v>0</v>
      </c>
      <c r="O1688" s="1">
        <v>0.9</v>
      </c>
      <c r="P1688" s="1">
        <v>264</v>
      </c>
      <c r="Q1688" s="1">
        <v>6.02</v>
      </c>
      <c r="R1688" s="1">
        <v>0.21</v>
      </c>
      <c r="S1688" s="2">
        <v>45656</v>
      </c>
      <c r="T1688" s="1">
        <v>87.12</v>
      </c>
      <c r="U1688" s="1">
        <v>0.60799999999999998</v>
      </c>
      <c r="V1688" s="6">
        <f t="shared" si="78"/>
        <v>1022.3399999999999</v>
      </c>
      <c r="W1688" s="6" t="str">
        <f t="shared" si="79"/>
        <v>Reorder Required</v>
      </c>
      <c r="X1688" s="8" t="str">
        <f t="shared" si="80"/>
        <v>LOW</v>
      </c>
    </row>
    <row r="1689" spans="1:24">
      <c r="A1689" s="7" t="s">
        <v>1819</v>
      </c>
      <c r="B1689" s="1" t="s">
        <v>33</v>
      </c>
      <c r="C1689" s="1">
        <v>227</v>
      </c>
      <c r="D1689" s="1">
        <v>29</v>
      </c>
      <c r="E1689" s="1">
        <v>8</v>
      </c>
      <c r="F1689" s="1">
        <v>8</v>
      </c>
      <c r="G1689" s="1">
        <v>21.69</v>
      </c>
      <c r="H1689" s="1" t="s">
        <v>103</v>
      </c>
      <c r="I1689" s="1" t="s">
        <v>27</v>
      </c>
      <c r="J1689" s="1">
        <v>31</v>
      </c>
      <c r="K1689" s="1">
        <v>0.57999999999999996</v>
      </c>
      <c r="L1689" s="4">
        <v>130.34</v>
      </c>
      <c r="M1689" s="1">
        <v>1.9</v>
      </c>
      <c r="N1689" s="1">
        <v>3</v>
      </c>
      <c r="O1689" s="1">
        <v>0.91</v>
      </c>
      <c r="P1689" s="1">
        <v>767</v>
      </c>
      <c r="Q1689" s="1">
        <v>2.8</v>
      </c>
      <c r="R1689" s="1">
        <v>0.8</v>
      </c>
      <c r="S1689" s="2">
        <v>45655</v>
      </c>
      <c r="T1689" s="1">
        <v>95.13</v>
      </c>
      <c r="U1689" s="1">
        <v>0.52900000000000003</v>
      </c>
      <c r="V1689" s="6">
        <f t="shared" si="78"/>
        <v>29587.18</v>
      </c>
      <c r="W1689" s="6" t="str">
        <f t="shared" si="79"/>
        <v>Sufficient</v>
      </c>
      <c r="X1689" s="8" t="str">
        <f t="shared" si="80"/>
        <v>Medium</v>
      </c>
    </row>
    <row r="1690" spans="1:24">
      <c r="A1690" s="7" t="s">
        <v>1820</v>
      </c>
      <c r="B1690" s="1" t="s">
        <v>33</v>
      </c>
      <c r="C1690" s="1">
        <v>216</v>
      </c>
      <c r="D1690" s="1">
        <v>47</v>
      </c>
      <c r="E1690" s="1">
        <v>13</v>
      </c>
      <c r="F1690" s="1">
        <v>8</v>
      </c>
      <c r="G1690" s="1">
        <v>31.32</v>
      </c>
      <c r="H1690" s="1" t="s">
        <v>128</v>
      </c>
      <c r="I1690" s="1" t="s">
        <v>31</v>
      </c>
      <c r="J1690" s="1">
        <v>102</v>
      </c>
      <c r="K1690" s="1">
        <v>2.23</v>
      </c>
      <c r="L1690" s="4">
        <v>91.8</v>
      </c>
      <c r="M1690" s="1">
        <v>1.1200000000000001</v>
      </c>
      <c r="N1690" s="1">
        <v>9</v>
      </c>
      <c r="O1690" s="1">
        <v>0.85</v>
      </c>
      <c r="P1690" s="1">
        <v>685</v>
      </c>
      <c r="Q1690" s="1">
        <v>5.26</v>
      </c>
      <c r="R1690" s="1">
        <v>0.45</v>
      </c>
      <c r="S1690" s="2">
        <v>45621</v>
      </c>
      <c r="T1690" s="1">
        <v>212.79</v>
      </c>
      <c r="U1690" s="1">
        <v>0.438</v>
      </c>
      <c r="V1690" s="6">
        <f t="shared" si="78"/>
        <v>19828.8</v>
      </c>
      <c r="W1690" s="6" t="str">
        <f t="shared" si="79"/>
        <v>Sufficient</v>
      </c>
      <c r="X1690" s="8" t="str">
        <f t="shared" si="80"/>
        <v>Medium</v>
      </c>
    </row>
    <row r="1691" spans="1:24">
      <c r="A1691" s="7" t="s">
        <v>1821</v>
      </c>
      <c r="B1691" s="1" t="s">
        <v>29</v>
      </c>
      <c r="C1691" s="1">
        <v>360</v>
      </c>
      <c r="D1691" s="1">
        <v>64</v>
      </c>
      <c r="E1691" s="1">
        <v>10</v>
      </c>
      <c r="F1691" s="1">
        <v>9</v>
      </c>
      <c r="G1691" s="1">
        <v>22.75</v>
      </c>
      <c r="H1691" s="1" t="s">
        <v>216</v>
      </c>
      <c r="I1691" s="1" t="s">
        <v>39</v>
      </c>
      <c r="J1691" s="1">
        <v>44</v>
      </c>
      <c r="K1691" s="1">
        <v>2.96</v>
      </c>
      <c r="L1691" s="4">
        <v>70.64</v>
      </c>
      <c r="M1691" s="1">
        <v>0.64</v>
      </c>
      <c r="N1691" s="1">
        <v>2</v>
      </c>
      <c r="O1691" s="1">
        <v>0.88</v>
      </c>
      <c r="P1691" s="1">
        <v>65</v>
      </c>
      <c r="Q1691" s="1">
        <v>11.8</v>
      </c>
      <c r="R1691" s="1">
        <v>0.87</v>
      </c>
      <c r="S1691" s="2">
        <v>45432</v>
      </c>
      <c r="T1691" s="1">
        <v>182.58</v>
      </c>
      <c r="U1691" s="1">
        <v>0.80300000000000005</v>
      </c>
      <c r="V1691" s="6">
        <f t="shared" si="78"/>
        <v>25430.400000000001</v>
      </c>
      <c r="W1691" s="6" t="str">
        <f t="shared" si="79"/>
        <v>Sufficient</v>
      </c>
      <c r="X1691" s="8" t="str">
        <f t="shared" si="80"/>
        <v>High</v>
      </c>
    </row>
    <row r="1692" spans="1:24">
      <c r="A1692" s="7" t="s">
        <v>1822</v>
      </c>
      <c r="B1692" s="1" t="s">
        <v>29</v>
      </c>
      <c r="C1692" s="1">
        <v>144</v>
      </c>
      <c r="D1692" s="1">
        <v>77</v>
      </c>
      <c r="E1692" s="1">
        <v>13</v>
      </c>
      <c r="F1692" s="1">
        <v>4</v>
      </c>
      <c r="G1692" s="1">
        <v>13.06</v>
      </c>
      <c r="H1692" s="1" t="s">
        <v>88</v>
      </c>
      <c r="I1692" s="1" t="s">
        <v>31</v>
      </c>
      <c r="J1692" s="1">
        <v>64</v>
      </c>
      <c r="K1692" s="1">
        <v>1.32</v>
      </c>
      <c r="L1692" s="4">
        <v>189.74</v>
      </c>
      <c r="M1692" s="1">
        <v>0.77</v>
      </c>
      <c r="N1692" s="1">
        <v>4</v>
      </c>
      <c r="O1692" s="1">
        <v>0.95</v>
      </c>
      <c r="P1692" s="1">
        <v>726</v>
      </c>
      <c r="Q1692" s="1">
        <v>5.09</v>
      </c>
      <c r="R1692" s="1">
        <v>0.37</v>
      </c>
      <c r="S1692" s="2">
        <v>45508</v>
      </c>
      <c r="T1692" s="1">
        <v>248.45</v>
      </c>
      <c r="U1692" s="1">
        <v>0.57499999999999996</v>
      </c>
      <c r="V1692" s="6">
        <f t="shared" si="78"/>
        <v>27322.560000000001</v>
      </c>
      <c r="W1692" s="6" t="str">
        <f t="shared" si="79"/>
        <v>Sufficient</v>
      </c>
      <c r="X1692" s="8" t="str">
        <f t="shared" si="80"/>
        <v>Medium</v>
      </c>
    </row>
    <row r="1693" spans="1:24">
      <c r="A1693" s="7" t="s">
        <v>1823</v>
      </c>
      <c r="B1693" s="1" t="s">
        <v>66</v>
      </c>
      <c r="C1693" s="1">
        <v>157</v>
      </c>
      <c r="D1693" s="1">
        <v>88</v>
      </c>
      <c r="E1693" s="1">
        <v>3</v>
      </c>
      <c r="F1693" s="1">
        <v>7</v>
      </c>
      <c r="G1693" s="1">
        <v>34.28</v>
      </c>
      <c r="H1693" s="1" t="s">
        <v>126</v>
      </c>
      <c r="I1693" s="1" t="s">
        <v>45</v>
      </c>
      <c r="J1693" s="1">
        <v>137</v>
      </c>
      <c r="K1693" s="1">
        <v>2.37</v>
      </c>
      <c r="L1693" s="4">
        <v>71.64</v>
      </c>
      <c r="M1693" s="1">
        <v>1.26</v>
      </c>
      <c r="N1693" s="1">
        <v>9</v>
      </c>
      <c r="O1693" s="1">
        <v>0.79</v>
      </c>
      <c r="P1693" s="1">
        <v>709</v>
      </c>
      <c r="Q1693" s="1">
        <v>8.6199999999999992</v>
      </c>
      <c r="R1693" s="1">
        <v>0.59</v>
      </c>
      <c r="S1693" s="2">
        <v>45484</v>
      </c>
      <c r="T1693" s="1">
        <v>175.74</v>
      </c>
      <c r="U1693" s="1">
        <v>0.48499999999999999</v>
      </c>
      <c r="V1693" s="6">
        <f t="shared" si="78"/>
        <v>11247.48</v>
      </c>
      <c r="W1693" s="6" t="str">
        <f t="shared" si="79"/>
        <v>Sufficient</v>
      </c>
      <c r="X1693" s="8" t="str">
        <f t="shared" si="80"/>
        <v>Medium</v>
      </c>
    </row>
    <row r="1694" spans="1:24">
      <c r="A1694" s="7" t="s">
        <v>1824</v>
      </c>
      <c r="B1694" s="1" t="s">
        <v>25</v>
      </c>
      <c r="C1694" s="1">
        <v>358</v>
      </c>
      <c r="D1694" s="1">
        <v>97</v>
      </c>
      <c r="E1694" s="1">
        <v>3</v>
      </c>
      <c r="F1694" s="1">
        <v>6</v>
      </c>
      <c r="G1694" s="1">
        <v>43.79</v>
      </c>
      <c r="H1694" s="1" t="s">
        <v>115</v>
      </c>
      <c r="I1694" s="1" t="s">
        <v>45</v>
      </c>
      <c r="J1694" s="1">
        <v>29</v>
      </c>
      <c r="K1694" s="1">
        <v>3.27</v>
      </c>
      <c r="L1694" s="4">
        <v>76.03</v>
      </c>
      <c r="M1694" s="1">
        <v>0.77</v>
      </c>
      <c r="N1694" s="1">
        <v>4</v>
      </c>
      <c r="O1694" s="1">
        <v>0.86</v>
      </c>
      <c r="P1694" s="1">
        <v>837</v>
      </c>
      <c r="Q1694" s="1">
        <v>2.66</v>
      </c>
      <c r="R1694" s="1">
        <v>0.23</v>
      </c>
      <c r="S1694" s="2">
        <v>45470</v>
      </c>
      <c r="T1694" s="1">
        <v>98.93</v>
      </c>
      <c r="U1694" s="1">
        <v>0.496</v>
      </c>
      <c r="V1694" s="6">
        <f t="shared" si="78"/>
        <v>27218.74</v>
      </c>
      <c r="W1694" s="6" t="str">
        <f t="shared" si="79"/>
        <v>Sufficient</v>
      </c>
      <c r="X1694" s="8" t="str">
        <f t="shared" si="80"/>
        <v>High</v>
      </c>
    </row>
    <row r="1695" spans="1:24">
      <c r="A1695" s="7" t="s">
        <v>1825</v>
      </c>
      <c r="B1695" s="1" t="s">
        <v>66</v>
      </c>
      <c r="C1695" s="1">
        <v>44</v>
      </c>
      <c r="D1695" s="1">
        <v>98</v>
      </c>
      <c r="E1695" s="1">
        <v>14</v>
      </c>
      <c r="F1695" s="1">
        <v>3</v>
      </c>
      <c r="G1695" s="1">
        <v>19.27</v>
      </c>
      <c r="H1695" s="1" t="s">
        <v>214</v>
      </c>
      <c r="I1695" s="1" t="s">
        <v>27</v>
      </c>
      <c r="J1695" s="1">
        <v>14</v>
      </c>
      <c r="K1695" s="1">
        <v>3.72</v>
      </c>
      <c r="L1695" s="4">
        <v>175.42</v>
      </c>
      <c r="M1695" s="1">
        <v>1.1200000000000001</v>
      </c>
      <c r="N1695" s="1">
        <v>7</v>
      </c>
      <c r="O1695" s="1">
        <v>0.7</v>
      </c>
      <c r="P1695" s="1">
        <v>448</v>
      </c>
      <c r="Q1695" s="1">
        <v>5.87</v>
      </c>
      <c r="R1695" s="1">
        <v>0.92</v>
      </c>
      <c r="S1695" s="2">
        <v>45527</v>
      </c>
      <c r="T1695" s="1">
        <v>289.23</v>
      </c>
      <c r="U1695" s="1">
        <v>0.55000000000000004</v>
      </c>
      <c r="V1695" s="6">
        <f t="shared" si="78"/>
        <v>7718.48</v>
      </c>
      <c r="W1695" s="6" t="str">
        <f t="shared" si="79"/>
        <v>Reorder Required</v>
      </c>
      <c r="X1695" s="8" t="str">
        <f t="shared" si="80"/>
        <v>LOW</v>
      </c>
    </row>
    <row r="1696" spans="1:24">
      <c r="A1696" s="7" t="s">
        <v>1826</v>
      </c>
      <c r="B1696" s="1" t="s">
        <v>29</v>
      </c>
      <c r="C1696" s="1">
        <v>87</v>
      </c>
      <c r="D1696" s="1">
        <v>10</v>
      </c>
      <c r="E1696" s="1">
        <v>6</v>
      </c>
      <c r="F1696" s="1">
        <v>5</v>
      </c>
      <c r="G1696" s="1">
        <v>42.24</v>
      </c>
      <c r="H1696" s="1" t="s">
        <v>61</v>
      </c>
      <c r="I1696" s="1" t="s">
        <v>27</v>
      </c>
      <c r="J1696" s="1">
        <v>176</v>
      </c>
      <c r="K1696" s="1">
        <v>0.74</v>
      </c>
      <c r="L1696" s="4">
        <v>34.520000000000003</v>
      </c>
      <c r="M1696" s="1">
        <v>0.62</v>
      </c>
      <c r="N1696" s="1">
        <v>0</v>
      </c>
      <c r="O1696" s="1">
        <v>0.91</v>
      </c>
      <c r="P1696" s="1">
        <v>282</v>
      </c>
      <c r="Q1696" s="1">
        <v>1.55</v>
      </c>
      <c r="R1696" s="1">
        <v>0.34</v>
      </c>
      <c r="S1696" s="2">
        <v>45421</v>
      </c>
      <c r="T1696" s="1">
        <v>266.97000000000003</v>
      </c>
      <c r="U1696" s="1">
        <v>0.60899999999999999</v>
      </c>
      <c r="V1696" s="6">
        <f t="shared" si="78"/>
        <v>3003.2400000000002</v>
      </c>
      <c r="W1696" s="6" t="str">
        <f t="shared" si="79"/>
        <v>Sufficient</v>
      </c>
      <c r="X1696" s="8" t="str">
        <f t="shared" si="80"/>
        <v>LOW</v>
      </c>
    </row>
    <row r="1697" spans="1:24">
      <c r="A1697" s="7" t="s">
        <v>1827</v>
      </c>
      <c r="B1697" s="1" t="s">
        <v>41</v>
      </c>
      <c r="C1697" s="1">
        <v>80</v>
      </c>
      <c r="D1697" s="1">
        <v>16</v>
      </c>
      <c r="E1697" s="1">
        <v>7</v>
      </c>
      <c r="F1697" s="1">
        <v>6</v>
      </c>
      <c r="G1697" s="1">
        <v>22.12</v>
      </c>
      <c r="H1697" s="1" t="s">
        <v>214</v>
      </c>
      <c r="I1697" s="1" t="s">
        <v>27</v>
      </c>
      <c r="J1697" s="1">
        <v>72</v>
      </c>
      <c r="K1697" s="1">
        <v>3.49</v>
      </c>
      <c r="L1697" s="4">
        <v>30.53</v>
      </c>
      <c r="M1697" s="1">
        <v>0.76</v>
      </c>
      <c r="N1697" s="1">
        <v>2</v>
      </c>
      <c r="O1697" s="1">
        <v>0.76</v>
      </c>
      <c r="P1697" s="1">
        <v>74</v>
      </c>
      <c r="Q1697" s="1">
        <v>8.67</v>
      </c>
      <c r="R1697" s="1">
        <v>0.44</v>
      </c>
      <c r="S1697" s="2">
        <v>45403</v>
      </c>
      <c r="T1697" s="1">
        <v>90.86</v>
      </c>
      <c r="U1697" s="1">
        <v>0.64</v>
      </c>
      <c r="V1697" s="6">
        <f t="shared" si="78"/>
        <v>2442.4</v>
      </c>
      <c r="W1697" s="6" t="str">
        <f t="shared" si="79"/>
        <v>Sufficient</v>
      </c>
      <c r="X1697" s="8" t="str">
        <f t="shared" si="80"/>
        <v>LOW</v>
      </c>
    </row>
    <row r="1698" spans="1:24">
      <c r="A1698" s="7" t="s">
        <v>1828</v>
      </c>
      <c r="B1698" s="1" t="s">
        <v>29</v>
      </c>
      <c r="C1698" s="1">
        <v>48</v>
      </c>
      <c r="D1698" s="1">
        <v>66</v>
      </c>
      <c r="E1698" s="1">
        <v>11</v>
      </c>
      <c r="F1698" s="1">
        <v>5</v>
      </c>
      <c r="G1698" s="1">
        <v>20.67</v>
      </c>
      <c r="H1698" s="1" t="s">
        <v>176</v>
      </c>
      <c r="I1698" s="1" t="s">
        <v>27</v>
      </c>
      <c r="J1698" s="1">
        <v>41</v>
      </c>
      <c r="K1698" s="1">
        <v>0.76</v>
      </c>
      <c r="L1698" s="4">
        <v>63.71</v>
      </c>
      <c r="M1698" s="1">
        <v>1.44</v>
      </c>
      <c r="N1698" s="1">
        <v>4</v>
      </c>
      <c r="O1698" s="1">
        <v>0.84</v>
      </c>
      <c r="P1698" s="1">
        <v>450</v>
      </c>
      <c r="Q1698" s="1">
        <v>5.87</v>
      </c>
      <c r="R1698" s="1">
        <v>0.57999999999999996</v>
      </c>
      <c r="S1698" s="2">
        <v>45530</v>
      </c>
      <c r="T1698" s="1">
        <v>274.68</v>
      </c>
      <c r="U1698" s="1">
        <v>0.53800000000000003</v>
      </c>
      <c r="V1698" s="6">
        <f t="shared" si="78"/>
        <v>3058.08</v>
      </c>
      <c r="W1698" s="6" t="str">
        <f t="shared" si="79"/>
        <v>Reorder Required</v>
      </c>
      <c r="X1698" s="8" t="str">
        <f t="shared" si="80"/>
        <v>LOW</v>
      </c>
    </row>
    <row r="1699" spans="1:24">
      <c r="A1699" s="7" t="s">
        <v>1829</v>
      </c>
      <c r="B1699" s="1" t="s">
        <v>25</v>
      </c>
      <c r="C1699" s="1">
        <v>402</v>
      </c>
      <c r="D1699" s="1">
        <v>21</v>
      </c>
      <c r="E1699" s="1">
        <v>13</v>
      </c>
      <c r="F1699" s="1">
        <v>5</v>
      </c>
      <c r="G1699" s="1">
        <v>2.39</v>
      </c>
      <c r="H1699" s="1" t="s">
        <v>276</v>
      </c>
      <c r="I1699" s="1" t="s">
        <v>31</v>
      </c>
      <c r="J1699" s="1">
        <v>83</v>
      </c>
      <c r="K1699" s="1">
        <v>0.63</v>
      </c>
      <c r="L1699" s="4">
        <v>122.41</v>
      </c>
      <c r="M1699" s="1">
        <v>1.21</v>
      </c>
      <c r="N1699" s="1">
        <v>2</v>
      </c>
      <c r="O1699" s="1">
        <v>0.76</v>
      </c>
      <c r="P1699" s="1">
        <v>829</v>
      </c>
      <c r="Q1699" s="1">
        <v>13.21</v>
      </c>
      <c r="R1699" s="1">
        <v>0.42</v>
      </c>
      <c r="S1699" s="2">
        <v>45446</v>
      </c>
      <c r="T1699" s="1">
        <v>218.84</v>
      </c>
      <c r="U1699" s="1">
        <v>0.65100000000000002</v>
      </c>
      <c r="V1699" s="6">
        <f t="shared" si="78"/>
        <v>49208.82</v>
      </c>
      <c r="W1699" s="6" t="str">
        <f t="shared" si="79"/>
        <v>Sufficient</v>
      </c>
      <c r="X1699" s="8" t="str">
        <f t="shared" si="80"/>
        <v>High</v>
      </c>
    </row>
    <row r="1700" spans="1:24">
      <c r="A1700" s="7" t="s">
        <v>1830</v>
      </c>
      <c r="B1700" s="1" t="s">
        <v>29</v>
      </c>
      <c r="C1700" s="1">
        <v>38</v>
      </c>
      <c r="D1700" s="1">
        <v>14</v>
      </c>
      <c r="E1700" s="1">
        <v>9</v>
      </c>
      <c r="F1700" s="1">
        <v>5</v>
      </c>
      <c r="G1700" s="1">
        <v>35.07</v>
      </c>
      <c r="H1700" s="1" t="s">
        <v>171</v>
      </c>
      <c r="I1700" s="1" t="s">
        <v>27</v>
      </c>
      <c r="J1700" s="1">
        <v>177</v>
      </c>
      <c r="K1700" s="1">
        <v>1.19</v>
      </c>
      <c r="L1700" s="4">
        <v>83.02</v>
      </c>
      <c r="M1700" s="1">
        <v>0.28000000000000003</v>
      </c>
      <c r="N1700" s="1">
        <v>5</v>
      </c>
      <c r="O1700" s="1">
        <v>0.71</v>
      </c>
      <c r="P1700" s="1">
        <v>414</v>
      </c>
      <c r="Q1700" s="1">
        <v>6.5</v>
      </c>
      <c r="R1700" s="1">
        <v>0.23</v>
      </c>
      <c r="S1700" s="2">
        <v>45638</v>
      </c>
      <c r="T1700" s="1">
        <v>130.26</v>
      </c>
      <c r="U1700" s="1">
        <v>0.54700000000000004</v>
      </c>
      <c r="V1700" s="6">
        <f t="shared" si="78"/>
        <v>3154.7599999999998</v>
      </c>
      <c r="W1700" s="6" t="str">
        <f t="shared" si="79"/>
        <v>Sufficient</v>
      </c>
      <c r="X1700" s="8" t="str">
        <f t="shared" si="80"/>
        <v>LOW</v>
      </c>
    </row>
    <row r="1701" spans="1:24">
      <c r="A1701" s="7" t="s">
        <v>1831</v>
      </c>
      <c r="B1701" s="1" t="s">
        <v>25</v>
      </c>
      <c r="C1701" s="1">
        <v>190</v>
      </c>
      <c r="D1701" s="1">
        <v>59</v>
      </c>
      <c r="E1701" s="1">
        <v>9</v>
      </c>
      <c r="F1701" s="1">
        <v>3</v>
      </c>
      <c r="G1701" s="1">
        <v>40.57</v>
      </c>
      <c r="H1701" s="1" t="s">
        <v>106</v>
      </c>
      <c r="I1701" s="1" t="s">
        <v>31</v>
      </c>
      <c r="J1701" s="1">
        <v>154</v>
      </c>
      <c r="K1701" s="1">
        <v>3.44</v>
      </c>
      <c r="L1701" s="4">
        <v>125.63</v>
      </c>
      <c r="M1701" s="1">
        <v>1.95</v>
      </c>
      <c r="N1701" s="1">
        <v>9</v>
      </c>
      <c r="O1701" s="1">
        <v>0.84</v>
      </c>
      <c r="P1701" s="1">
        <v>987</v>
      </c>
      <c r="Q1701" s="1">
        <v>8.81</v>
      </c>
      <c r="R1701" s="1">
        <v>0.22</v>
      </c>
      <c r="S1701" s="2">
        <v>45558</v>
      </c>
      <c r="T1701" s="1">
        <v>145.38999999999999</v>
      </c>
      <c r="U1701" s="1">
        <v>0.35399999999999998</v>
      </c>
      <c r="V1701" s="6">
        <f t="shared" si="78"/>
        <v>23869.7</v>
      </c>
      <c r="W1701" s="6" t="str">
        <f t="shared" si="79"/>
        <v>Sufficient</v>
      </c>
      <c r="X1701" s="8" t="str">
        <f t="shared" si="80"/>
        <v>Medium</v>
      </c>
    </row>
    <row r="1702" spans="1:24">
      <c r="A1702" s="7" t="s">
        <v>1832</v>
      </c>
      <c r="B1702" s="1" t="s">
        <v>25</v>
      </c>
      <c r="C1702" s="1">
        <v>469</v>
      </c>
      <c r="D1702" s="1">
        <v>51</v>
      </c>
      <c r="E1702" s="1">
        <v>10</v>
      </c>
      <c r="F1702" s="1">
        <v>6</v>
      </c>
      <c r="G1702" s="1">
        <v>33.51</v>
      </c>
      <c r="H1702" s="1" t="s">
        <v>181</v>
      </c>
      <c r="I1702" s="1" t="s">
        <v>39</v>
      </c>
      <c r="J1702" s="1">
        <v>110</v>
      </c>
      <c r="K1702" s="1">
        <v>0.74</v>
      </c>
      <c r="L1702" s="4">
        <v>40.35</v>
      </c>
      <c r="M1702" s="1">
        <v>0.19</v>
      </c>
      <c r="N1702" s="1">
        <v>2</v>
      </c>
      <c r="O1702" s="1">
        <v>0.83</v>
      </c>
      <c r="P1702" s="1">
        <v>344</v>
      </c>
      <c r="Q1702" s="1">
        <v>14.67</v>
      </c>
      <c r="R1702" s="1">
        <v>0.96</v>
      </c>
      <c r="S1702" s="2">
        <v>45611</v>
      </c>
      <c r="T1702" s="1">
        <v>139.44999999999999</v>
      </c>
      <c r="U1702" s="1">
        <v>0.89500000000000002</v>
      </c>
      <c r="V1702" s="6">
        <f t="shared" si="78"/>
        <v>18924.150000000001</v>
      </c>
      <c r="W1702" s="6" t="str">
        <f t="shared" si="79"/>
        <v>Sufficient</v>
      </c>
      <c r="X1702" s="8" t="str">
        <f t="shared" si="80"/>
        <v>High</v>
      </c>
    </row>
    <row r="1703" spans="1:24">
      <c r="A1703" s="7" t="s">
        <v>1833</v>
      </c>
      <c r="B1703" s="1" t="s">
        <v>25</v>
      </c>
      <c r="C1703" s="1">
        <v>93</v>
      </c>
      <c r="D1703" s="1">
        <v>21</v>
      </c>
      <c r="E1703" s="1">
        <v>7</v>
      </c>
      <c r="F1703" s="1">
        <v>2</v>
      </c>
      <c r="G1703" s="1">
        <v>8.42</v>
      </c>
      <c r="H1703" s="1" t="s">
        <v>350</v>
      </c>
      <c r="I1703" s="1" t="s">
        <v>39</v>
      </c>
      <c r="J1703" s="1">
        <v>88</v>
      </c>
      <c r="K1703" s="1">
        <v>0.59</v>
      </c>
      <c r="L1703" s="4">
        <v>59.68</v>
      </c>
      <c r="M1703" s="1">
        <v>0.26</v>
      </c>
      <c r="N1703" s="1">
        <v>5</v>
      </c>
      <c r="O1703" s="1">
        <v>0.83</v>
      </c>
      <c r="P1703" s="1">
        <v>486</v>
      </c>
      <c r="Q1703" s="1">
        <v>10</v>
      </c>
      <c r="R1703" s="1">
        <v>0.46</v>
      </c>
      <c r="S1703" s="2">
        <v>45495</v>
      </c>
      <c r="T1703" s="1">
        <v>241.09</v>
      </c>
      <c r="U1703" s="1">
        <v>0.66500000000000004</v>
      </c>
      <c r="V1703" s="6">
        <f t="shared" si="78"/>
        <v>5550.24</v>
      </c>
      <c r="W1703" s="6" t="str">
        <f t="shared" si="79"/>
        <v>Sufficient</v>
      </c>
      <c r="X1703" s="8" t="str">
        <f t="shared" si="80"/>
        <v>LOW</v>
      </c>
    </row>
    <row r="1704" spans="1:24">
      <c r="A1704" s="7" t="s">
        <v>1834</v>
      </c>
      <c r="B1704" s="1" t="s">
        <v>25</v>
      </c>
      <c r="C1704" s="1">
        <v>80</v>
      </c>
      <c r="D1704" s="1">
        <v>27</v>
      </c>
      <c r="E1704" s="1">
        <v>7</v>
      </c>
      <c r="F1704" s="1">
        <v>2</v>
      </c>
      <c r="G1704" s="1">
        <v>6.06</v>
      </c>
      <c r="H1704" s="1" t="s">
        <v>153</v>
      </c>
      <c r="I1704" s="1" t="s">
        <v>45</v>
      </c>
      <c r="J1704" s="1">
        <v>169</v>
      </c>
      <c r="K1704" s="1">
        <v>1.03</v>
      </c>
      <c r="L1704" s="4">
        <v>117.38</v>
      </c>
      <c r="M1704" s="1">
        <v>1.43</v>
      </c>
      <c r="N1704" s="1">
        <v>7</v>
      </c>
      <c r="O1704" s="1">
        <v>0.76</v>
      </c>
      <c r="P1704" s="1">
        <v>120</v>
      </c>
      <c r="Q1704" s="1">
        <v>8.01</v>
      </c>
      <c r="R1704" s="1">
        <v>0.47</v>
      </c>
      <c r="S1704" s="2">
        <v>45591</v>
      </c>
      <c r="T1704" s="1">
        <v>60.9</v>
      </c>
      <c r="U1704" s="1">
        <v>0.47</v>
      </c>
      <c r="V1704" s="6">
        <f t="shared" si="78"/>
        <v>9390.4</v>
      </c>
      <c r="W1704" s="6" t="str">
        <f t="shared" si="79"/>
        <v>Sufficient</v>
      </c>
      <c r="X1704" s="8" t="str">
        <f t="shared" si="80"/>
        <v>LOW</v>
      </c>
    </row>
    <row r="1705" spans="1:24">
      <c r="A1705" s="7" t="s">
        <v>1835</v>
      </c>
      <c r="B1705" s="1" t="s">
        <v>25</v>
      </c>
      <c r="C1705" s="1">
        <v>446</v>
      </c>
      <c r="D1705" s="1">
        <v>75</v>
      </c>
      <c r="E1705" s="1">
        <v>3</v>
      </c>
      <c r="F1705" s="1">
        <v>3</v>
      </c>
      <c r="G1705" s="1">
        <v>29.07</v>
      </c>
      <c r="H1705" s="1" t="s">
        <v>57</v>
      </c>
      <c r="I1705" s="1" t="s">
        <v>45</v>
      </c>
      <c r="J1705" s="1">
        <v>32</v>
      </c>
      <c r="K1705" s="1">
        <v>4.7699999999999996</v>
      </c>
      <c r="L1705" s="4">
        <v>51.26</v>
      </c>
      <c r="M1705" s="1">
        <v>1.45</v>
      </c>
      <c r="N1705" s="1">
        <v>3</v>
      </c>
      <c r="O1705" s="1">
        <v>0.98</v>
      </c>
      <c r="P1705" s="1">
        <v>761</v>
      </c>
      <c r="Q1705" s="1">
        <v>2.37</v>
      </c>
      <c r="R1705" s="1">
        <v>0.94</v>
      </c>
      <c r="S1705" s="2">
        <v>45344</v>
      </c>
      <c r="T1705" s="1">
        <v>27.01</v>
      </c>
      <c r="U1705" s="1">
        <v>0.61099999999999999</v>
      </c>
      <c r="V1705" s="6">
        <f t="shared" si="78"/>
        <v>22861.96</v>
      </c>
      <c r="W1705" s="6" t="str">
        <f t="shared" si="79"/>
        <v>Sufficient</v>
      </c>
      <c r="X1705" s="8" t="str">
        <f t="shared" si="80"/>
        <v>High</v>
      </c>
    </row>
    <row r="1706" spans="1:24">
      <c r="A1706" s="7" t="s">
        <v>1836</v>
      </c>
      <c r="B1706" s="1" t="s">
        <v>41</v>
      </c>
      <c r="C1706" s="1">
        <v>172</v>
      </c>
      <c r="D1706" s="1">
        <v>83</v>
      </c>
      <c r="E1706" s="1">
        <v>11</v>
      </c>
      <c r="F1706" s="1">
        <v>8</v>
      </c>
      <c r="G1706" s="1">
        <v>20.67</v>
      </c>
      <c r="H1706" s="1" t="s">
        <v>135</v>
      </c>
      <c r="I1706" s="1" t="s">
        <v>31</v>
      </c>
      <c r="J1706" s="1">
        <v>65</v>
      </c>
      <c r="K1706" s="1">
        <v>4.58</v>
      </c>
      <c r="L1706" s="4">
        <v>90.33</v>
      </c>
      <c r="M1706" s="1">
        <v>0.14000000000000001</v>
      </c>
      <c r="N1706" s="1">
        <v>7</v>
      </c>
      <c r="O1706" s="1">
        <v>0.7</v>
      </c>
      <c r="P1706" s="1">
        <v>608</v>
      </c>
      <c r="Q1706" s="1">
        <v>12.49</v>
      </c>
      <c r="R1706" s="1">
        <v>0.87</v>
      </c>
      <c r="S1706" s="2">
        <v>45295</v>
      </c>
      <c r="T1706" s="1">
        <v>154.55000000000001</v>
      </c>
      <c r="U1706" s="1">
        <v>0.72699999999999998</v>
      </c>
      <c r="V1706" s="6">
        <f t="shared" si="78"/>
        <v>15536.76</v>
      </c>
      <c r="W1706" s="6" t="str">
        <f t="shared" si="79"/>
        <v>Sufficient</v>
      </c>
      <c r="X1706" s="8" t="str">
        <f t="shared" si="80"/>
        <v>Medium</v>
      </c>
    </row>
    <row r="1707" spans="1:24">
      <c r="A1707" s="7" t="s">
        <v>1837</v>
      </c>
      <c r="B1707" s="1" t="s">
        <v>66</v>
      </c>
      <c r="C1707" s="1">
        <v>295</v>
      </c>
      <c r="D1707" s="1">
        <v>88</v>
      </c>
      <c r="E1707" s="1">
        <v>8</v>
      </c>
      <c r="F1707" s="1">
        <v>3</v>
      </c>
      <c r="G1707" s="1">
        <v>22.03</v>
      </c>
      <c r="H1707" s="1" t="s">
        <v>57</v>
      </c>
      <c r="I1707" s="1" t="s">
        <v>27</v>
      </c>
      <c r="J1707" s="1">
        <v>146</v>
      </c>
      <c r="K1707" s="1">
        <v>0.89</v>
      </c>
      <c r="L1707" s="4">
        <v>118.8</v>
      </c>
      <c r="M1707" s="1">
        <v>1.32</v>
      </c>
      <c r="N1707" s="1">
        <v>6</v>
      </c>
      <c r="O1707" s="1">
        <v>0.97</v>
      </c>
      <c r="P1707" s="1">
        <v>74</v>
      </c>
      <c r="Q1707" s="1">
        <v>9.99</v>
      </c>
      <c r="R1707" s="1">
        <v>0.75</v>
      </c>
      <c r="S1707" s="2">
        <v>45553</v>
      </c>
      <c r="T1707" s="1">
        <v>94.22</v>
      </c>
      <c r="U1707" s="1">
        <v>0.625</v>
      </c>
      <c r="V1707" s="6">
        <f t="shared" si="78"/>
        <v>35046</v>
      </c>
      <c r="W1707" s="6" t="str">
        <f t="shared" si="79"/>
        <v>Sufficient</v>
      </c>
      <c r="X1707" s="8" t="str">
        <f t="shared" si="80"/>
        <v>High</v>
      </c>
    </row>
    <row r="1708" spans="1:24">
      <c r="A1708" s="7" t="s">
        <v>1838</v>
      </c>
      <c r="B1708" s="1" t="s">
        <v>33</v>
      </c>
      <c r="C1708" s="1">
        <v>67</v>
      </c>
      <c r="D1708" s="1">
        <v>26</v>
      </c>
      <c r="E1708" s="1">
        <v>11</v>
      </c>
      <c r="F1708" s="1">
        <v>7</v>
      </c>
      <c r="G1708" s="1">
        <v>48.42</v>
      </c>
      <c r="H1708" s="1" t="s">
        <v>294</v>
      </c>
      <c r="I1708" s="1" t="s">
        <v>45</v>
      </c>
      <c r="J1708" s="1">
        <v>115</v>
      </c>
      <c r="K1708" s="1">
        <v>1.87</v>
      </c>
      <c r="L1708" s="4">
        <v>194.99</v>
      </c>
      <c r="M1708" s="1">
        <v>0.16</v>
      </c>
      <c r="N1708" s="1">
        <v>3</v>
      </c>
      <c r="O1708" s="1">
        <v>0.92</v>
      </c>
      <c r="P1708" s="1">
        <v>774</v>
      </c>
      <c r="Q1708" s="1">
        <v>2.52</v>
      </c>
      <c r="R1708" s="1">
        <v>0.73</v>
      </c>
      <c r="S1708" s="2">
        <v>45631</v>
      </c>
      <c r="T1708" s="1">
        <v>173.54</v>
      </c>
      <c r="U1708" s="1">
        <v>0.68799999999999994</v>
      </c>
      <c r="V1708" s="6">
        <f t="shared" si="78"/>
        <v>13064.33</v>
      </c>
      <c r="W1708" s="6" t="str">
        <f t="shared" si="79"/>
        <v>Sufficient</v>
      </c>
      <c r="X1708" s="8" t="str">
        <f t="shared" si="80"/>
        <v>LOW</v>
      </c>
    </row>
    <row r="1709" spans="1:24">
      <c r="A1709" s="7" t="s">
        <v>1839</v>
      </c>
      <c r="B1709" s="1" t="s">
        <v>66</v>
      </c>
      <c r="C1709" s="1">
        <v>230</v>
      </c>
      <c r="D1709" s="1">
        <v>77</v>
      </c>
      <c r="E1709" s="1">
        <v>5</v>
      </c>
      <c r="F1709" s="1">
        <v>5</v>
      </c>
      <c r="G1709" s="1">
        <v>36.47</v>
      </c>
      <c r="H1709" s="1" t="s">
        <v>115</v>
      </c>
      <c r="I1709" s="1" t="s">
        <v>31</v>
      </c>
      <c r="J1709" s="1">
        <v>78</v>
      </c>
      <c r="K1709" s="1">
        <v>4.76</v>
      </c>
      <c r="L1709" s="4">
        <v>25.18</v>
      </c>
      <c r="M1709" s="1">
        <v>1.93</v>
      </c>
      <c r="N1709" s="1">
        <v>2</v>
      </c>
      <c r="O1709" s="1">
        <v>0.75</v>
      </c>
      <c r="P1709" s="1">
        <v>995</v>
      </c>
      <c r="Q1709" s="1">
        <v>4.4400000000000004</v>
      </c>
      <c r="R1709" s="1">
        <v>0.84</v>
      </c>
      <c r="S1709" s="2">
        <v>45483</v>
      </c>
      <c r="T1709" s="1">
        <v>293.68</v>
      </c>
      <c r="U1709" s="1">
        <v>0.54400000000000004</v>
      </c>
      <c r="V1709" s="6">
        <f t="shared" si="78"/>
        <v>5791.4</v>
      </c>
      <c r="W1709" s="6" t="str">
        <f t="shared" si="79"/>
        <v>Sufficient</v>
      </c>
      <c r="X1709" s="8" t="str">
        <f t="shared" si="80"/>
        <v>Medium</v>
      </c>
    </row>
    <row r="1710" spans="1:24">
      <c r="A1710" s="7" t="s">
        <v>1840</v>
      </c>
      <c r="B1710" s="1" t="s">
        <v>25</v>
      </c>
      <c r="C1710" s="1">
        <v>362</v>
      </c>
      <c r="D1710" s="1">
        <v>80</v>
      </c>
      <c r="E1710" s="1">
        <v>7</v>
      </c>
      <c r="F1710" s="1">
        <v>6</v>
      </c>
      <c r="G1710" s="1">
        <v>21.18</v>
      </c>
      <c r="H1710" s="1" t="s">
        <v>238</v>
      </c>
      <c r="I1710" s="1" t="s">
        <v>45</v>
      </c>
      <c r="J1710" s="1">
        <v>31</v>
      </c>
      <c r="K1710" s="1">
        <v>0.94</v>
      </c>
      <c r="L1710" s="4">
        <v>97.48</v>
      </c>
      <c r="M1710" s="1">
        <v>1.42</v>
      </c>
      <c r="N1710" s="1">
        <v>4</v>
      </c>
      <c r="O1710" s="1">
        <v>0.84</v>
      </c>
      <c r="P1710" s="1">
        <v>423</v>
      </c>
      <c r="Q1710" s="1">
        <v>8.5299999999999994</v>
      </c>
      <c r="R1710" s="1">
        <v>0.34</v>
      </c>
      <c r="S1710" s="2">
        <v>45579</v>
      </c>
      <c r="T1710" s="1">
        <v>204.72</v>
      </c>
      <c r="U1710" s="1">
        <v>0.52800000000000002</v>
      </c>
      <c r="V1710" s="6">
        <f t="shared" si="78"/>
        <v>35287.760000000002</v>
      </c>
      <c r="W1710" s="6" t="str">
        <f t="shared" si="79"/>
        <v>Sufficient</v>
      </c>
      <c r="X1710" s="8" t="str">
        <f t="shared" si="80"/>
        <v>High</v>
      </c>
    </row>
    <row r="1711" spans="1:24">
      <c r="A1711" s="7" t="s">
        <v>1841</v>
      </c>
      <c r="B1711" s="1" t="s">
        <v>41</v>
      </c>
      <c r="C1711" s="1">
        <v>427</v>
      </c>
      <c r="D1711" s="1">
        <v>71</v>
      </c>
      <c r="E1711" s="1">
        <v>4</v>
      </c>
      <c r="F1711" s="1">
        <v>6</v>
      </c>
      <c r="G1711" s="1">
        <v>1.94</v>
      </c>
      <c r="H1711" s="1" t="s">
        <v>36</v>
      </c>
      <c r="I1711" s="1" t="s">
        <v>27</v>
      </c>
      <c r="J1711" s="1">
        <v>41</v>
      </c>
      <c r="K1711" s="1">
        <v>0.93</v>
      </c>
      <c r="L1711" s="4">
        <v>85.29</v>
      </c>
      <c r="M1711" s="1">
        <v>0.45</v>
      </c>
      <c r="N1711" s="1">
        <v>4</v>
      </c>
      <c r="O1711" s="1">
        <v>1</v>
      </c>
      <c r="P1711" s="1">
        <v>594</v>
      </c>
      <c r="Q1711" s="1">
        <v>1.63</v>
      </c>
      <c r="R1711" s="1">
        <v>0.73</v>
      </c>
      <c r="S1711" s="2">
        <v>45623</v>
      </c>
      <c r="T1711" s="1">
        <v>288.17</v>
      </c>
      <c r="U1711" s="1">
        <v>0.64300000000000002</v>
      </c>
      <c r="V1711" s="6">
        <f t="shared" si="78"/>
        <v>36418.83</v>
      </c>
      <c r="W1711" s="6" t="str">
        <f t="shared" si="79"/>
        <v>Sufficient</v>
      </c>
      <c r="X1711" s="8" t="str">
        <f t="shared" si="80"/>
        <v>High</v>
      </c>
    </row>
    <row r="1712" spans="1:24">
      <c r="A1712" s="7" t="s">
        <v>1842</v>
      </c>
      <c r="B1712" s="1" t="s">
        <v>29</v>
      </c>
      <c r="C1712" s="1">
        <v>158</v>
      </c>
      <c r="D1712" s="1">
        <v>50</v>
      </c>
      <c r="E1712" s="1">
        <v>12</v>
      </c>
      <c r="F1712" s="1">
        <v>4</v>
      </c>
      <c r="G1712" s="1">
        <v>2.67</v>
      </c>
      <c r="H1712" s="1" t="s">
        <v>171</v>
      </c>
      <c r="I1712" s="1" t="s">
        <v>31</v>
      </c>
      <c r="J1712" s="1">
        <v>11</v>
      </c>
      <c r="K1712" s="1">
        <v>0.89</v>
      </c>
      <c r="L1712" s="4">
        <v>166.61</v>
      </c>
      <c r="M1712" s="1">
        <v>0.4</v>
      </c>
      <c r="N1712" s="1">
        <v>6</v>
      </c>
      <c r="O1712" s="1">
        <v>0.89</v>
      </c>
      <c r="P1712" s="1">
        <v>507</v>
      </c>
      <c r="Q1712" s="1">
        <v>11.06</v>
      </c>
      <c r="R1712" s="1">
        <v>0.28000000000000003</v>
      </c>
      <c r="S1712" s="2">
        <v>45596</v>
      </c>
      <c r="T1712" s="1">
        <v>222.3</v>
      </c>
      <c r="U1712" s="1">
        <v>0.621</v>
      </c>
      <c r="V1712" s="6">
        <f t="shared" si="78"/>
        <v>26324.38</v>
      </c>
      <c r="W1712" s="6" t="str">
        <f t="shared" si="79"/>
        <v>Sufficient</v>
      </c>
      <c r="X1712" s="8" t="str">
        <f t="shared" si="80"/>
        <v>Medium</v>
      </c>
    </row>
    <row r="1713" spans="1:24">
      <c r="A1713" s="7" t="s">
        <v>1843</v>
      </c>
      <c r="B1713" s="1" t="s">
        <v>41</v>
      </c>
      <c r="C1713" s="1">
        <v>129</v>
      </c>
      <c r="D1713" s="1">
        <v>43</v>
      </c>
      <c r="E1713" s="1">
        <v>7</v>
      </c>
      <c r="F1713" s="1">
        <v>4</v>
      </c>
      <c r="G1713" s="1">
        <v>34.56</v>
      </c>
      <c r="H1713" s="1" t="s">
        <v>346</v>
      </c>
      <c r="I1713" s="1" t="s">
        <v>45</v>
      </c>
      <c r="J1713" s="1">
        <v>132</v>
      </c>
      <c r="K1713" s="1">
        <v>4.8899999999999997</v>
      </c>
      <c r="L1713" s="4">
        <v>181.06</v>
      </c>
      <c r="M1713" s="1">
        <v>1.18</v>
      </c>
      <c r="N1713" s="1">
        <v>0</v>
      </c>
      <c r="O1713" s="1">
        <v>0.74</v>
      </c>
      <c r="P1713" s="1">
        <v>263</v>
      </c>
      <c r="Q1713" s="1">
        <v>4.1900000000000004</v>
      </c>
      <c r="R1713" s="1">
        <v>0.3</v>
      </c>
      <c r="S1713" s="2">
        <v>45603</v>
      </c>
      <c r="T1713" s="1">
        <v>32.020000000000003</v>
      </c>
      <c r="U1713" s="1">
        <v>0.54600000000000004</v>
      </c>
      <c r="V1713" s="6">
        <f t="shared" si="78"/>
        <v>23356.74</v>
      </c>
      <c r="W1713" s="6" t="str">
        <f t="shared" si="79"/>
        <v>Sufficient</v>
      </c>
      <c r="X1713" s="8" t="str">
        <f t="shared" si="80"/>
        <v>Medium</v>
      </c>
    </row>
    <row r="1714" spans="1:24">
      <c r="A1714" s="7" t="s">
        <v>1844</v>
      </c>
      <c r="B1714" s="1" t="s">
        <v>25</v>
      </c>
      <c r="C1714" s="1">
        <v>202</v>
      </c>
      <c r="D1714" s="1">
        <v>79</v>
      </c>
      <c r="E1714" s="1">
        <v>10</v>
      </c>
      <c r="F1714" s="1">
        <v>9</v>
      </c>
      <c r="G1714" s="1">
        <v>42.05</v>
      </c>
      <c r="H1714" s="1" t="s">
        <v>77</v>
      </c>
      <c r="I1714" s="1" t="s">
        <v>27</v>
      </c>
      <c r="J1714" s="1">
        <v>94</v>
      </c>
      <c r="K1714" s="1">
        <v>3.84</v>
      </c>
      <c r="L1714" s="4">
        <v>182.33</v>
      </c>
      <c r="M1714" s="1">
        <v>1.3</v>
      </c>
      <c r="N1714" s="1">
        <v>8</v>
      </c>
      <c r="O1714" s="1">
        <v>0.84</v>
      </c>
      <c r="P1714" s="1">
        <v>260</v>
      </c>
      <c r="Q1714" s="1">
        <v>7.86</v>
      </c>
      <c r="R1714" s="1">
        <v>0.39</v>
      </c>
      <c r="S1714" s="2">
        <v>45436</v>
      </c>
      <c r="T1714" s="1">
        <v>267.89999999999998</v>
      </c>
      <c r="U1714" s="1">
        <v>0.46100000000000002</v>
      </c>
      <c r="V1714" s="6">
        <f t="shared" si="78"/>
        <v>36830.660000000003</v>
      </c>
      <c r="W1714" s="6" t="str">
        <f t="shared" si="79"/>
        <v>Sufficient</v>
      </c>
      <c r="X1714" s="8" t="str">
        <f t="shared" si="80"/>
        <v>Medium</v>
      </c>
    </row>
    <row r="1715" spans="1:24">
      <c r="A1715" s="7" t="s">
        <v>1845</v>
      </c>
      <c r="B1715" s="1" t="s">
        <v>41</v>
      </c>
      <c r="C1715" s="1">
        <v>47</v>
      </c>
      <c r="D1715" s="1">
        <v>54</v>
      </c>
      <c r="E1715" s="1">
        <v>13</v>
      </c>
      <c r="F1715" s="1">
        <v>2</v>
      </c>
      <c r="G1715" s="1">
        <v>35.68</v>
      </c>
      <c r="H1715" s="1" t="s">
        <v>210</v>
      </c>
      <c r="I1715" s="1" t="s">
        <v>31</v>
      </c>
      <c r="J1715" s="1">
        <v>23</v>
      </c>
      <c r="K1715" s="1">
        <v>1.47</v>
      </c>
      <c r="L1715" s="4">
        <v>81.28</v>
      </c>
      <c r="M1715" s="1">
        <v>1.68</v>
      </c>
      <c r="N1715" s="1">
        <v>1</v>
      </c>
      <c r="O1715" s="1">
        <v>0.84</v>
      </c>
      <c r="P1715" s="1">
        <v>590</v>
      </c>
      <c r="Q1715" s="1">
        <v>4.38</v>
      </c>
      <c r="R1715" s="1">
        <v>0.77</v>
      </c>
      <c r="S1715" s="2">
        <v>45444</v>
      </c>
      <c r="T1715" s="1">
        <v>67.69</v>
      </c>
      <c r="U1715" s="1">
        <v>0.59199999999999997</v>
      </c>
      <c r="V1715" s="6">
        <f t="shared" si="78"/>
        <v>3820.16</v>
      </c>
      <c r="W1715" s="6" t="str">
        <f t="shared" si="79"/>
        <v>Reorder Required</v>
      </c>
      <c r="X1715" s="8" t="str">
        <f t="shared" si="80"/>
        <v>LOW</v>
      </c>
    </row>
    <row r="1716" spans="1:24">
      <c r="A1716" s="7" t="s">
        <v>1846</v>
      </c>
      <c r="B1716" s="1" t="s">
        <v>41</v>
      </c>
      <c r="C1716" s="1">
        <v>216</v>
      </c>
      <c r="D1716" s="1">
        <v>67</v>
      </c>
      <c r="E1716" s="1">
        <v>4</v>
      </c>
      <c r="F1716" s="1">
        <v>4</v>
      </c>
      <c r="G1716" s="1">
        <v>20.89</v>
      </c>
      <c r="H1716" s="1" t="s">
        <v>59</v>
      </c>
      <c r="I1716" s="1" t="s">
        <v>31</v>
      </c>
      <c r="J1716" s="1">
        <v>46</v>
      </c>
      <c r="K1716" s="1">
        <v>0.71</v>
      </c>
      <c r="L1716" s="4">
        <v>67.88</v>
      </c>
      <c r="M1716" s="1">
        <v>1.82</v>
      </c>
      <c r="N1716" s="1">
        <v>8</v>
      </c>
      <c r="O1716" s="1">
        <v>0.94</v>
      </c>
      <c r="P1716" s="1">
        <v>820</v>
      </c>
      <c r="Q1716" s="1">
        <v>7.85</v>
      </c>
      <c r="R1716" s="1">
        <v>0.91</v>
      </c>
      <c r="S1716" s="2">
        <v>45642</v>
      </c>
      <c r="T1716" s="1">
        <v>260.79000000000002</v>
      </c>
      <c r="U1716" s="1">
        <v>0.53300000000000003</v>
      </c>
      <c r="V1716" s="6">
        <f t="shared" si="78"/>
        <v>14662.079999999998</v>
      </c>
      <c r="W1716" s="6" t="str">
        <f t="shared" si="79"/>
        <v>Sufficient</v>
      </c>
      <c r="X1716" s="8" t="str">
        <f t="shared" si="80"/>
        <v>Medium</v>
      </c>
    </row>
    <row r="1717" spans="1:24">
      <c r="A1717" s="7" t="s">
        <v>1847</v>
      </c>
      <c r="B1717" s="1" t="s">
        <v>25</v>
      </c>
      <c r="C1717" s="1">
        <v>210</v>
      </c>
      <c r="D1717" s="1">
        <v>60</v>
      </c>
      <c r="E1717" s="1">
        <v>10</v>
      </c>
      <c r="F1717" s="1">
        <v>4</v>
      </c>
      <c r="G1717" s="1">
        <v>2.5299999999999998</v>
      </c>
      <c r="H1717" s="1" t="s">
        <v>77</v>
      </c>
      <c r="I1717" s="1" t="s">
        <v>31</v>
      </c>
      <c r="J1717" s="1">
        <v>36</v>
      </c>
      <c r="K1717" s="1">
        <v>4.84</v>
      </c>
      <c r="L1717" s="4">
        <v>95.34</v>
      </c>
      <c r="M1717" s="1">
        <v>0.85</v>
      </c>
      <c r="N1717" s="1">
        <v>8</v>
      </c>
      <c r="O1717" s="1">
        <v>0.97</v>
      </c>
      <c r="P1717" s="1">
        <v>88</v>
      </c>
      <c r="Q1717" s="1">
        <v>3.66</v>
      </c>
      <c r="R1717" s="1">
        <v>0.75</v>
      </c>
      <c r="S1717" s="2">
        <v>45347</v>
      </c>
      <c r="T1717" s="1">
        <v>227.23</v>
      </c>
      <c r="U1717" s="1">
        <v>0.54800000000000004</v>
      </c>
      <c r="V1717" s="6">
        <f t="shared" si="78"/>
        <v>20021.400000000001</v>
      </c>
      <c r="W1717" s="6" t="str">
        <f t="shared" si="79"/>
        <v>Sufficient</v>
      </c>
      <c r="X1717" s="8" t="str">
        <f t="shared" si="80"/>
        <v>Medium</v>
      </c>
    </row>
    <row r="1718" spans="1:24">
      <c r="A1718" s="7" t="s">
        <v>1848</v>
      </c>
      <c r="B1718" s="1" t="s">
        <v>41</v>
      </c>
      <c r="C1718" s="1">
        <v>334</v>
      </c>
      <c r="D1718" s="1">
        <v>43</v>
      </c>
      <c r="E1718" s="1">
        <v>6</v>
      </c>
      <c r="F1718" s="1">
        <v>2</v>
      </c>
      <c r="G1718" s="1">
        <v>48.4</v>
      </c>
      <c r="H1718" s="1" t="s">
        <v>77</v>
      </c>
      <c r="I1718" s="1" t="s">
        <v>39</v>
      </c>
      <c r="J1718" s="1">
        <v>161</v>
      </c>
      <c r="K1718" s="1">
        <v>2.41</v>
      </c>
      <c r="L1718" s="4">
        <v>75.36</v>
      </c>
      <c r="M1718" s="1">
        <v>1.7</v>
      </c>
      <c r="N1718" s="1">
        <v>2</v>
      </c>
      <c r="O1718" s="1">
        <v>0.72</v>
      </c>
      <c r="P1718" s="1">
        <v>309</v>
      </c>
      <c r="Q1718" s="1">
        <v>9.31</v>
      </c>
      <c r="R1718" s="1">
        <v>0.53</v>
      </c>
      <c r="S1718" s="2">
        <v>45538</v>
      </c>
      <c r="T1718" s="1">
        <v>253.2</v>
      </c>
      <c r="U1718" s="1">
        <v>0.56399999999999995</v>
      </c>
      <c r="V1718" s="6">
        <f t="shared" si="78"/>
        <v>25170.240000000002</v>
      </c>
      <c r="W1718" s="6" t="str">
        <f t="shared" si="79"/>
        <v>Sufficient</v>
      </c>
      <c r="X1718" s="8" t="str">
        <f t="shared" si="80"/>
        <v>High</v>
      </c>
    </row>
    <row r="1719" spans="1:24">
      <c r="A1719" s="7" t="s">
        <v>1849</v>
      </c>
      <c r="B1719" s="1" t="s">
        <v>33</v>
      </c>
      <c r="C1719" s="1">
        <v>408</v>
      </c>
      <c r="D1719" s="1">
        <v>53</v>
      </c>
      <c r="E1719" s="1">
        <v>12</v>
      </c>
      <c r="F1719" s="1">
        <v>7</v>
      </c>
      <c r="G1719" s="1">
        <v>49.33</v>
      </c>
      <c r="H1719" s="1" t="s">
        <v>394</v>
      </c>
      <c r="I1719" s="1" t="s">
        <v>31</v>
      </c>
      <c r="J1719" s="1">
        <v>73</v>
      </c>
      <c r="K1719" s="1">
        <v>3.19</v>
      </c>
      <c r="L1719" s="4">
        <v>146.58000000000001</v>
      </c>
      <c r="M1719" s="1">
        <v>1.1299999999999999</v>
      </c>
      <c r="N1719" s="1">
        <v>6</v>
      </c>
      <c r="O1719" s="1">
        <v>0.79</v>
      </c>
      <c r="P1719" s="1">
        <v>726</v>
      </c>
      <c r="Q1719" s="1">
        <v>13.75</v>
      </c>
      <c r="R1719" s="1">
        <v>0.61</v>
      </c>
      <c r="S1719" s="2">
        <v>45324</v>
      </c>
      <c r="T1719" s="1">
        <v>83.54</v>
      </c>
      <c r="U1719" s="1">
        <v>0.63</v>
      </c>
      <c r="V1719" s="6">
        <f t="shared" si="78"/>
        <v>59804.640000000007</v>
      </c>
      <c r="W1719" s="6" t="str">
        <f t="shared" si="79"/>
        <v>Sufficient</v>
      </c>
      <c r="X1719" s="8" t="str">
        <f t="shared" si="80"/>
        <v>High</v>
      </c>
    </row>
    <row r="1720" spans="1:24">
      <c r="A1720" s="7" t="s">
        <v>1850</v>
      </c>
      <c r="B1720" s="1" t="s">
        <v>33</v>
      </c>
      <c r="C1720" s="1">
        <v>70</v>
      </c>
      <c r="D1720" s="1">
        <v>24</v>
      </c>
      <c r="E1720" s="1">
        <v>12</v>
      </c>
      <c r="F1720" s="1">
        <v>8</v>
      </c>
      <c r="G1720" s="1">
        <v>27.92</v>
      </c>
      <c r="H1720" s="1" t="s">
        <v>176</v>
      </c>
      <c r="I1720" s="1" t="s">
        <v>45</v>
      </c>
      <c r="J1720" s="1">
        <v>79</v>
      </c>
      <c r="K1720" s="1">
        <v>1.76</v>
      </c>
      <c r="L1720" s="4">
        <v>50.58</v>
      </c>
      <c r="M1720" s="1">
        <v>0.99</v>
      </c>
      <c r="N1720" s="1">
        <v>2</v>
      </c>
      <c r="O1720" s="1">
        <v>0.79</v>
      </c>
      <c r="P1720" s="1">
        <v>144</v>
      </c>
      <c r="Q1720" s="1">
        <v>12.3</v>
      </c>
      <c r="R1720" s="1">
        <v>0.77</v>
      </c>
      <c r="S1720" s="2">
        <v>45464</v>
      </c>
      <c r="T1720" s="1">
        <v>244.15</v>
      </c>
      <c r="U1720" s="1">
        <v>0.73699999999999999</v>
      </c>
      <c r="V1720" s="6">
        <f t="shared" si="78"/>
        <v>3540.6</v>
      </c>
      <c r="W1720" s="6" t="str">
        <f t="shared" si="79"/>
        <v>Sufficient</v>
      </c>
      <c r="X1720" s="8" t="str">
        <f t="shared" si="80"/>
        <v>LOW</v>
      </c>
    </row>
    <row r="1721" spans="1:24">
      <c r="A1721" s="7" t="s">
        <v>1851</v>
      </c>
      <c r="B1721" s="1" t="s">
        <v>41</v>
      </c>
      <c r="C1721" s="1">
        <v>168</v>
      </c>
      <c r="D1721" s="1">
        <v>87</v>
      </c>
      <c r="E1721" s="1">
        <v>3</v>
      </c>
      <c r="F1721" s="1">
        <v>2</v>
      </c>
      <c r="G1721" s="1">
        <v>4.46</v>
      </c>
      <c r="H1721" s="1" t="s">
        <v>132</v>
      </c>
      <c r="I1721" s="1" t="s">
        <v>31</v>
      </c>
      <c r="J1721" s="1">
        <v>163</v>
      </c>
      <c r="K1721" s="1">
        <v>3.91</v>
      </c>
      <c r="L1721" s="4">
        <v>135.15</v>
      </c>
      <c r="M1721" s="1">
        <v>1.43</v>
      </c>
      <c r="N1721" s="1">
        <v>7</v>
      </c>
      <c r="O1721" s="1">
        <v>1</v>
      </c>
      <c r="P1721" s="1">
        <v>439</v>
      </c>
      <c r="Q1721" s="1">
        <v>4.38</v>
      </c>
      <c r="R1721" s="1">
        <v>0.69</v>
      </c>
      <c r="S1721" s="2">
        <v>45433</v>
      </c>
      <c r="T1721" s="1">
        <v>187</v>
      </c>
      <c r="U1721" s="1">
        <v>0.51300000000000001</v>
      </c>
      <c r="V1721" s="6">
        <f t="shared" si="78"/>
        <v>22705.200000000001</v>
      </c>
      <c r="W1721" s="6" t="str">
        <f t="shared" si="79"/>
        <v>Sufficient</v>
      </c>
      <c r="X1721" s="8" t="str">
        <f t="shared" si="80"/>
        <v>Medium</v>
      </c>
    </row>
    <row r="1722" spans="1:24">
      <c r="A1722" s="7" t="s">
        <v>1852</v>
      </c>
      <c r="B1722" s="1" t="s">
        <v>29</v>
      </c>
      <c r="C1722" s="1">
        <v>287</v>
      </c>
      <c r="D1722" s="1">
        <v>79</v>
      </c>
      <c r="E1722" s="1">
        <v>7</v>
      </c>
      <c r="F1722" s="1">
        <v>8</v>
      </c>
      <c r="G1722" s="1">
        <v>27.51</v>
      </c>
      <c r="H1722" s="1" t="s">
        <v>411</v>
      </c>
      <c r="I1722" s="1" t="s">
        <v>31</v>
      </c>
      <c r="J1722" s="1">
        <v>24</v>
      </c>
      <c r="K1722" s="1">
        <v>1.39</v>
      </c>
      <c r="L1722" s="4">
        <v>186.13</v>
      </c>
      <c r="M1722" s="1">
        <v>0.3</v>
      </c>
      <c r="N1722" s="1">
        <v>7</v>
      </c>
      <c r="O1722" s="1">
        <v>0.87</v>
      </c>
      <c r="P1722" s="1">
        <v>269</v>
      </c>
      <c r="Q1722" s="1">
        <v>7.97</v>
      </c>
      <c r="R1722" s="1">
        <v>0.62</v>
      </c>
      <c r="S1722" s="2">
        <v>45619</v>
      </c>
      <c r="T1722" s="1">
        <v>33.74</v>
      </c>
      <c r="U1722" s="1">
        <v>0.63400000000000001</v>
      </c>
      <c r="V1722" s="6">
        <f t="shared" si="78"/>
        <v>53419.31</v>
      </c>
      <c r="W1722" s="6" t="str">
        <f t="shared" si="79"/>
        <v>Sufficient</v>
      </c>
      <c r="X1722" s="8" t="str">
        <f t="shared" si="80"/>
        <v>High</v>
      </c>
    </row>
    <row r="1723" spans="1:24">
      <c r="A1723" s="7" t="s">
        <v>1853</v>
      </c>
      <c r="B1723" s="1" t="s">
        <v>25</v>
      </c>
      <c r="C1723" s="1">
        <v>69</v>
      </c>
      <c r="D1723" s="1">
        <v>59</v>
      </c>
      <c r="E1723" s="1">
        <v>3</v>
      </c>
      <c r="F1723" s="1">
        <v>9</v>
      </c>
      <c r="G1723" s="1">
        <v>44.72</v>
      </c>
      <c r="H1723" s="1" t="s">
        <v>117</v>
      </c>
      <c r="I1723" s="1" t="s">
        <v>31</v>
      </c>
      <c r="J1723" s="1">
        <v>38</v>
      </c>
      <c r="K1723" s="1">
        <v>4.04</v>
      </c>
      <c r="L1723" s="4">
        <v>63.18</v>
      </c>
      <c r="M1723" s="1">
        <v>0.6</v>
      </c>
      <c r="N1723" s="1">
        <v>2</v>
      </c>
      <c r="O1723" s="1">
        <v>0.96</v>
      </c>
      <c r="P1723" s="1">
        <v>955</v>
      </c>
      <c r="Q1723" s="1">
        <v>6.92</v>
      </c>
      <c r="R1723" s="1">
        <v>0.39</v>
      </c>
      <c r="S1723" s="2">
        <v>45458</v>
      </c>
      <c r="T1723" s="1">
        <v>267.85000000000002</v>
      </c>
      <c r="U1723" s="1">
        <v>0.66200000000000003</v>
      </c>
      <c r="V1723" s="6">
        <f t="shared" si="78"/>
        <v>4359.42</v>
      </c>
      <c r="W1723" s="6" t="str">
        <f t="shared" si="79"/>
        <v>Sufficient</v>
      </c>
      <c r="X1723" s="8" t="str">
        <f t="shared" si="80"/>
        <v>LOW</v>
      </c>
    </row>
    <row r="1724" spans="1:24">
      <c r="A1724" s="7" t="s">
        <v>1854</v>
      </c>
      <c r="B1724" s="1" t="s">
        <v>33</v>
      </c>
      <c r="C1724" s="1">
        <v>407</v>
      </c>
      <c r="D1724" s="1">
        <v>41</v>
      </c>
      <c r="E1724" s="1">
        <v>9</v>
      </c>
      <c r="F1724" s="1">
        <v>4</v>
      </c>
      <c r="G1724" s="1">
        <v>34.32</v>
      </c>
      <c r="H1724" s="1" t="s">
        <v>176</v>
      </c>
      <c r="I1724" s="1" t="s">
        <v>31</v>
      </c>
      <c r="J1724" s="1">
        <v>83</v>
      </c>
      <c r="K1724" s="1">
        <v>1.54</v>
      </c>
      <c r="L1724" s="4">
        <v>138.61000000000001</v>
      </c>
      <c r="M1724" s="1">
        <v>1.65</v>
      </c>
      <c r="N1724" s="1">
        <v>4</v>
      </c>
      <c r="O1724" s="1">
        <v>0.83</v>
      </c>
      <c r="P1724" s="1">
        <v>317</v>
      </c>
      <c r="Q1724" s="1">
        <v>14.52</v>
      </c>
      <c r="R1724" s="1">
        <v>0.69</v>
      </c>
      <c r="S1724" s="2">
        <v>45433</v>
      </c>
      <c r="T1724" s="1">
        <v>264.27999999999997</v>
      </c>
      <c r="U1724" s="1">
        <v>0.65300000000000002</v>
      </c>
      <c r="V1724" s="6">
        <f t="shared" si="78"/>
        <v>56414.270000000004</v>
      </c>
      <c r="W1724" s="6" t="str">
        <f t="shared" si="79"/>
        <v>Sufficient</v>
      </c>
      <c r="X1724" s="8" t="str">
        <f t="shared" si="80"/>
        <v>High</v>
      </c>
    </row>
    <row r="1725" spans="1:24">
      <c r="A1725" s="7" t="s">
        <v>1855</v>
      </c>
      <c r="B1725" s="1" t="s">
        <v>29</v>
      </c>
      <c r="C1725" s="1">
        <v>265</v>
      </c>
      <c r="D1725" s="1">
        <v>76</v>
      </c>
      <c r="E1725" s="1">
        <v>10</v>
      </c>
      <c r="F1725" s="1">
        <v>6</v>
      </c>
      <c r="G1725" s="1">
        <v>36.28</v>
      </c>
      <c r="H1725" s="1" t="s">
        <v>256</v>
      </c>
      <c r="I1725" s="1" t="s">
        <v>31</v>
      </c>
      <c r="J1725" s="1">
        <v>37</v>
      </c>
      <c r="K1725" s="1">
        <v>0.94</v>
      </c>
      <c r="L1725" s="4">
        <v>37.28</v>
      </c>
      <c r="M1725" s="1">
        <v>1.06</v>
      </c>
      <c r="N1725" s="1">
        <v>6</v>
      </c>
      <c r="O1725" s="1">
        <v>0.92</v>
      </c>
      <c r="P1725" s="1">
        <v>543</v>
      </c>
      <c r="Q1725" s="1">
        <v>12.18</v>
      </c>
      <c r="R1725" s="1">
        <v>0.21</v>
      </c>
      <c r="S1725" s="2">
        <v>45425</v>
      </c>
      <c r="T1725" s="1">
        <v>175.88</v>
      </c>
      <c r="U1725" s="1">
        <v>0.56200000000000006</v>
      </c>
      <c r="V1725" s="6">
        <f t="shared" si="78"/>
        <v>9879.2000000000007</v>
      </c>
      <c r="W1725" s="6" t="str">
        <f t="shared" si="79"/>
        <v>Sufficient</v>
      </c>
      <c r="X1725" s="8" t="str">
        <f t="shared" si="80"/>
        <v>High</v>
      </c>
    </row>
    <row r="1726" spans="1:24">
      <c r="A1726" s="7" t="s">
        <v>1856</v>
      </c>
      <c r="B1726" s="1" t="s">
        <v>41</v>
      </c>
      <c r="C1726" s="1">
        <v>132</v>
      </c>
      <c r="D1726" s="1">
        <v>12</v>
      </c>
      <c r="E1726" s="1">
        <v>5</v>
      </c>
      <c r="F1726" s="1">
        <v>4</v>
      </c>
      <c r="G1726" s="1">
        <v>5.16</v>
      </c>
      <c r="H1726" s="1" t="s">
        <v>61</v>
      </c>
      <c r="I1726" s="1" t="s">
        <v>39</v>
      </c>
      <c r="J1726" s="1">
        <v>68</v>
      </c>
      <c r="K1726" s="1">
        <v>2.65</v>
      </c>
      <c r="L1726" s="4">
        <v>33.06</v>
      </c>
      <c r="M1726" s="1">
        <v>1.83</v>
      </c>
      <c r="N1726" s="1">
        <v>0</v>
      </c>
      <c r="O1726" s="1">
        <v>0.79</v>
      </c>
      <c r="P1726" s="1">
        <v>679</v>
      </c>
      <c r="Q1726" s="1">
        <v>2.5</v>
      </c>
      <c r="R1726" s="1">
        <v>0.65</v>
      </c>
      <c r="S1726" s="2">
        <v>45627</v>
      </c>
      <c r="T1726" s="1">
        <v>141.26</v>
      </c>
      <c r="U1726" s="1">
        <v>0.53800000000000003</v>
      </c>
      <c r="V1726" s="6">
        <f t="shared" si="78"/>
        <v>4363.92</v>
      </c>
      <c r="W1726" s="6" t="str">
        <f t="shared" si="79"/>
        <v>Sufficient</v>
      </c>
      <c r="X1726" s="8" t="str">
        <f t="shared" si="80"/>
        <v>Medium</v>
      </c>
    </row>
    <row r="1727" spans="1:24">
      <c r="A1727" s="7" t="s">
        <v>1857</v>
      </c>
      <c r="B1727" s="1" t="s">
        <v>29</v>
      </c>
      <c r="C1727" s="1">
        <v>189</v>
      </c>
      <c r="D1727" s="1">
        <v>95</v>
      </c>
      <c r="E1727" s="1">
        <v>5</v>
      </c>
      <c r="F1727" s="1">
        <v>5</v>
      </c>
      <c r="G1727" s="1">
        <v>6.22</v>
      </c>
      <c r="H1727" s="1" t="s">
        <v>282</v>
      </c>
      <c r="I1727" s="1" t="s">
        <v>27</v>
      </c>
      <c r="J1727" s="1">
        <v>82</v>
      </c>
      <c r="K1727" s="1">
        <v>4.16</v>
      </c>
      <c r="L1727" s="4">
        <v>31.97</v>
      </c>
      <c r="M1727" s="1">
        <v>0.27</v>
      </c>
      <c r="N1727" s="1">
        <v>2</v>
      </c>
      <c r="O1727" s="1">
        <v>0.97</v>
      </c>
      <c r="P1727" s="1">
        <v>115</v>
      </c>
      <c r="Q1727" s="1">
        <v>3.36</v>
      </c>
      <c r="R1727" s="1">
        <v>0.86</v>
      </c>
      <c r="S1727" s="2">
        <v>45656</v>
      </c>
      <c r="T1727" s="1">
        <v>126.16</v>
      </c>
      <c r="U1727" s="1">
        <v>0.74399999999999999</v>
      </c>
      <c r="V1727" s="6">
        <f t="shared" si="78"/>
        <v>6042.33</v>
      </c>
      <c r="W1727" s="6" t="str">
        <f t="shared" si="79"/>
        <v>Sufficient</v>
      </c>
      <c r="X1727" s="8" t="str">
        <f t="shared" si="80"/>
        <v>Medium</v>
      </c>
    </row>
    <row r="1728" spans="1:24">
      <c r="A1728" s="7" t="s">
        <v>1858</v>
      </c>
      <c r="B1728" s="1" t="s">
        <v>66</v>
      </c>
      <c r="C1728" s="1">
        <v>487</v>
      </c>
      <c r="D1728" s="1">
        <v>95</v>
      </c>
      <c r="E1728" s="1">
        <v>9</v>
      </c>
      <c r="F1728" s="1">
        <v>9</v>
      </c>
      <c r="G1728" s="1">
        <v>7.24</v>
      </c>
      <c r="H1728" s="1" t="s">
        <v>258</v>
      </c>
      <c r="I1728" s="1" t="s">
        <v>39</v>
      </c>
      <c r="J1728" s="1">
        <v>158</v>
      </c>
      <c r="K1728" s="1">
        <v>2.23</v>
      </c>
      <c r="L1728" s="4">
        <v>36.32</v>
      </c>
      <c r="M1728" s="1">
        <v>0.7</v>
      </c>
      <c r="N1728" s="1">
        <v>0</v>
      </c>
      <c r="O1728" s="1">
        <v>0.84</v>
      </c>
      <c r="P1728" s="1">
        <v>436</v>
      </c>
      <c r="Q1728" s="1">
        <v>10.83</v>
      </c>
      <c r="R1728" s="1">
        <v>0.34</v>
      </c>
      <c r="S1728" s="2">
        <v>45625</v>
      </c>
      <c r="T1728" s="1">
        <v>184.79</v>
      </c>
      <c r="U1728" s="1">
        <v>0.71</v>
      </c>
      <c r="V1728" s="6">
        <f t="shared" si="78"/>
        <v>17687.84</v>
      </c>
      <c r="W1728" s="6" t="str">
        <f t="shared" si="79"/>
        <v>Sufficient</v>
      </c>
      <c r="X1728" s="8" t="str">
        <f t="shared" si="80"/>
        <v>High</v>
      </c>
    </row>
    <row r="1729" spans="1:24">
      <c r="A1729" s="7" t="s">
        <v>1859</v>
      </c>
      <c r="B1729" s="1" t="s">
        <v>33</v>
      </c>
      <c r="C1729" s="1">
        <v>185</v>
      </c>
      <c r="D1729" s="1">
        <v>83</v>
      </c>
      <c r="E1729" s="1">
        <v>6</v>
      </c>
      <c r="F1729" s="1">
        <v>8</v>
      </c>
      <c r="G1729" s="1">
        <v>45.31</v>
      </c>
      <c r="H1729" s="1" t="s">
        <v>470</v>
      </c>
      <c r="I1729" s="1" t="s">
        <v>45</v>
      </c>
      <c r="J1729" s="1">
        <v>19</v>
      </c>
      <c r="K1729" s="1">
        <v>0.63</v>
      </c>
      <c r="L1729" s="4">
        <v>51.07</v>
      </c>
      <c r="M1729" s="1">
        <v>0.78</v>
      </c>
      <c r="N1729" s="1">
        <v>1</v>
      </c>
      <c r="O1729" s="1">
        <v>0.94</v>
      </c>
      <c r="P1729" s="1">
        <v>242</v>
      </c>
      <c r="Q1729" s="1">
        <v>3.24</v>
      </c>
      <c r="R1729" s="1">
        <v>0.28999999999999998</v>
      </c>
      <c r="S1729" s="2">
        <v>45444</v>
      </c>
      <c r="T1729" s="1">
        <v>254.09</v>
      </c>
      <c r="U1729" s="1">
        <v>0.59099999999999997</v>
      </c>
      <c r="V1729" s="6">
        <f t="shared" si="78"/>
        <v>9447.9500000000007</v>
      </c>
      <c r="W1729" s="6" t="str">
        <f t="shared" si="79"/>
        <v>Sufficient</v>
      </c>
      <c r="X1729" s="8" t="str">
        <f t="shared" si="80"/>
        <v>Medium</v>
      </c>
    </row>
    <row r="1730" spans="1:24">
      <c r="A1730" s="7" t="s">
        <v>1860</v>
      </c>
      <c r="B1730" s="1" t="s">
        <v>41</v>
      </c>
      <c r="C1730" s="1">
        <v>428</v>
      </c>
      <c r="D1730" s="1">
        <v>60</v>
      </c>
      <c r="E1730" s="1">
        <v>5</v>
      </c>
      <c r="F1730" s="1">
        <v>8</v>
      </c>
      <c r="G1730" s="1">
        <v>26.77</v>
      </c>
      <c r="H1730" s="1" t="s">
        <v>266</v>
      </c>
      <c r="I1730" s="1" t="s">
        <v>27</v>
      </c>
      <c r="J1730" s="1">
        <v>141</v>
      </c>
      <c r="K1730" s="1">
        <v>2.99</v>
      </c>
      <c r="L1730" s="4">
        <v>116.94</v>
      </c>
      <c r="M1730" s="1">
        <v>0.9</v>
      </c>
      <c r="N1730" s="1">
        <v>6</v>
      </c>
      <c r="O1730" s="1">
        <v>0.78</v>
      </c>
      <c r="P1730" s="1">
        <v>369</v>
      </c>
      <c r="Q1730" s="1">
        <v>14.31</v>
      </c>
      <c r="R1730" s="1">
        <v>0.98</v>
      </c>
      <c r="S1730" s="2">
        <v>45388</v>
      </c>
      <c r="T1730" s="1">
        <v>174.12</v>
      </c>
      <c r="U1730" s="1">
        <v>0.73299999999999998</v>
      </c>
      <c r="V1730" s="6">
        <f t="shared" si="78"/>
        <v>50050.32</v>
      </c>
      <c r="W1730" s="6" t="str">
        <f t="shared" si="79"/>
        <v>Sufficient</v>
      </c>
      <c r="X1730" s="8" t="str">
        <f t="shared" si="80"/>
        <v>High</v>
      </c>
    </row>
    <row r="1731" spans="1:24">
      <c r="A1731" s="7" t="s">
        <v>1861</v>
      </c>
      <c r="B1731" s="1" t="s">
        <v>25</v>
      </c>
      <c r="C1731" s="1">
        <v>33</v>
      </c>
      <c r="D1731" s="1">
        <v>76</v>
      </c>
      <c r="E1731" s="1">
        <v>10</v>
      </c>
      <c r="F1731" s="1">
        <v>5</v>
      </c>
      <c r="G1731" s="1">
        <v>39.79</v>
      </c>
      <c r="H1731" s="1" t="s">
        <v>331</v>
      </c>
      <c r="I1731" s="1" t="s">
        <v>45</v>
      </c>
      <c r="J1731" s="1">
        <v>71</v>
      </c>
      <c r="K1731" s="1">
        <v>3.56</v>
      </c>
      <c r="L1731" s="4">
        <v>155.72999999999999</v>
      </c>
      <c r="M1731" s="1">
        <v>1.97</v>
      </c>
      <c r="N1731" s="1">
        <v>6</v>
      </c>
      <c r="O1731" s="1">
        <v>0.91</v>
      </c>
      <c r="P1731" s="1">
        <v>596</v>
      </c>
      <c r="Q1731" s="1">
        <v>14.9</v>
      </c>
      <c r="R1731" s="1">
        <v>0.87</v>
      </c>
      <c r="S1731" s="2">
        <v>45368</v>
      </c>
      <c r="T1731" s="1">
        <v>47.6</v>
      </c>
      <c r="U1731" s="1">
        <v>0.63800000000000001</v>
      </c>
      <c r="V1731" s="6">
        <f t="shared" si="78"/>
        <v>5139.0899999999992</v>
      </c>
      <c r="W1731" s="6" t="str">
        <f t="shared" si="79"/>
        <v>Reorder Required</v>
      </c>
      <c r="X1731" s="8" t="str">
        <f t="shared" si="80"/>
        <v>LOW</v>
      </c>
    </row>
    <row r="1732" spans="1:24">
      <c r="A1732" s="7" t="s">
        <v>1862</v>
      </c>
      <c r="B1732" s="1" t="s">
        <v>41</v>
      </c>
      <c r="C1732" s="1">
        <v>222</v>
      </c>
      <c r="D1732" s="1">
        <v>85</v>
      </c>
      <c r="E1732" s="1">
        <v>5</v>
      </c>
      <c r="F1732" s="1">
        <v>5</v>
      </c>
      <c r="G1732" s="1">
        <v>6.65</v>
      </c>
      <c r="H1732" s="1" t="s">
        <v>117</v>
      </c>
      <c r="I1732" s="1" t="s">
        <v>31</v>
      </c>
      <c r="J1732" s="1">
        <v>141</v>
      </c>
      <c r="K1732" s="1">
        <v>3.83</v>
      </c>
      <c r="L1732" s="4">
        <v>34.1</v>
      </c>
      <c r="M1732" s="1">
        <v>0.69</v>
      </c>
      <c r="N1732" s="1">
        <v>2</v>
      </c>
      <c r="O1732" s="1">
        <v>0.82</v>
      </c>
      <c r="P1732" s="1">
        <v>969</v>
      </c>
      <c r="Q1732" s="1">
        <v>11.9</v>
      </c>
      <c r="R1732" s="1">
        <v>0.44</v>
      </c>
      <c r="S1732" s="2">
        <v>45556</v>
      </c>
      <c r="T1732" s="1">
        <v>98.79</v>
      </c>
      <c r="U1732" s="1">
        <v>0.70199999999999996</v>
      </c>
      <c r="V1732" s="6">
        <f t="shared" ref="V1732:V1795" si="81">C1732*L1732</f>
        <v>7570.2000000000007</v>
      </c>
      <c r="W1732" s="6" t="str">
        <f t="shared" ref="W1732:W1795" si="82">IF(C1732&lt;=D1732,"Reorder Required","Sufficient")</f>
        <v>Sufficient</v>
      </c>
      <c r="X1732" s="8" t="str">
        <f t="shared" ref="X1732:X1795" si="83">IF(C1732&lt;100,"LOW",IF(C1732&lt;250,"Medium","High"))</f>
        <v>Medium</v>
      </c>
    </row>
    <row r="1733" spans="1:24">
      <c r="A1733" s="7" t="s">
        <v>1863</v>
      </c>
      <c r="B1733" s="1" t="s">
        <v>25</v>
      </c>
      <c r="C1733" s="1">
        <v>307</v>
      </c>
      <c r="D1733" s="1">
        <v>57</v>
      </c>
      <c r="E1733" s="1">
        <v>9</v>
      </c>
      <c r="F1733" s="1">
        <v>7</v>
      </c>
      <c r="G1733" s="1">
        <v>46.45</v>
      </c>
      <c r="H1733" s="1" t="s">
        <v>50</v>
      </c>
      <c r="I1733" s="1" t="s">
        <v>45</v>
      </c>
      <c r="J1733" s="1">
        <v>136</v>
      </c>
      <c r="K1733" s="1">
        <v>2.31</v>
      </c>
      <c r="L1733" s="4">
        <v>175.3</v>
      </c>
      <c r="M1733" s="1">
        <v>1.0900000000000001</v>
      </c>
      <c r="N1733" s="1">
        <v>5</v>
      </c>
      <c r="O1733" s="1">
        <v>0.71</v>
      </c>
      <c r="P1733" s="1">
        <v>224</v>
      </c>
      <c r="Q1733" s="1">
        <v>1.38</v>
      </c>
      <c r="R1733" s="1">
        <v>0.37</v>
      </c>
      <c r="S1733" s="2">
        <v>45415</v>
      </c>
      <c r="T1733" s="1">
        <v>203.79</v>
      </c>
      <c r="U1733" s="1">
        <v>0.42499999999999999</v>
      </c>
      <c r="V1733" s="6">
        <f t="shared" si="81"/>
        <v>53817.100000000006</v>
      </c>
      <c r="W1733" s="6" t="str">
        <f t="shared" si="82"/>
        <v>Sufficient</v>
      </c>
      <c r="X1733" s="8" t="str">
        <f t="shared" si="83"/>
        <v>High</v>
      </c>
    </row>
    <row r="1734" spans="1:24">
      <c r="A1734" s="7" t="s">
        <v>1864</v>
      </c>
      <c r="B1734" s="1" t="s">
        <v>41</v>
      </c>
      <c r="C1734" s="1">
        <v>414</v>
      </c>
      <c r="D1734" s="1">
        <v>26</v>
      </c>
      <c r="E1734" s="1">
        <v>4</v>
      </c>
      <c r="F1734" s="1">
        <v>3</v>
      </c>
      <c r="G1734" s="1">
        <v>41.24</v>
      </c>
      <c r="H1734" s="1" t="s">
        <v>147</v>
      </c>
      <c r="I1734" s="1" t="s">
        <v>39</v>
      </c>
      <c r="J1734" s="1">
        <v>15</v>
      </c>
      <c r="K1734" s="1">
        <v>0.94</v>
      </c>
      <c r="L1734" s="4">
        <v>170.12</v>
      </c>
      <c r="M1734" s="1">
        <v>1.1200000000000001</v>
      </c>
      <c r="N1734" s="1">
        <v>5</v>
      </c>
      <c r="O1734" s="1">
        <v>0.82</v>
      </c>
      <c r="P1734" s="1">
        <v>161</v>
      </c>
      <c r="Q1734" s="1">
        <v>7.76</v>
      </c>
      <c r="R1734" s="1">
        <v>0.47</v>
      </c>
      <c r="S1734" s="2">
        <v>45321</v>
      </c>
      <c r="T1734" s="1">
        <v>197.58</v>
      </c>
      <c r="U1734" s="1">
        <v>0.54900000000000004</v>
      </c>
      <c r="V1734" s="6">
        <f t="shared" si="81"/>
        <v>70429.680000000008</v>
      </c>
      <c r="W1734" s="6" t="str">
        <f t="shared" si="82"/>
        <v>Sufficient</v>
      </c>
      <c r="X1734" s="8" t="str">
        <f t="shared" si="83"/>
        <v>High</v>
      </c>
    </row>
    <row r="1735" spans="1:24">
      <c r="A1735" s="7" t="s">
        <v>1865</v>
      </c>
      <c r="B1735" s="1" t="s">
        <v>29</v>
      </c>
      <c r="C1735" s="1">
        <v>208</v>
      </c>
      <c r="D1735" s="1">
        <v>16</v>
      </c>
      <c r="E1735" s="1">
        <v>13</v>
      </c>
      <c r="F1735" s="1">
        <v>5</v>
      </c>
      <c r="G1735" s="1">
        <v>12.01</v>
      </c>
      <c r="H1735" s="1" t="s">
        <v>72</v>
      </c>
      <c r="I1735" s="1" t="s">
        <v>39</v>
      </c>
      <c r="J1735" s="1">
        <v>89</v>
      </c>
      <c r="K1735" s="1">
        <v>3.13</v>
      </c>
      <c r="L1735" s="4">
        <v>148.19999999999999</v>
      </c>
      <c r="M1735" s="1">
        <v>1.56</v>
      </c>
      <c r="N1735" s="1">
        <v>1</v>
      </c>
      <c r="O1735" s="1">
        <v>0.87</v>
      </c>
      <c r="P1735" s="1">
        <v>357</v>
      </c>
      <c r="Q1735" s="1">
        <v>6.69</v>
      </c>
      <c r="R1735" s="1">
        <v>0.54</v>
      </c>
      <c r="S1735" s="2">
        <v>45599</v>
      </c>
      <c r="T1735" s="1">
        <v>160.47999999999999</v>
      </c>
      <c r="U1735" s="1">
        <v>0.59499999999999997</v>
      </c>
      <c r="V1735" s="6">
        <f t="shared" si="81"/>
        <v>30825.599999999999</v>
      </c>
      <c r="W1735" s="6" t="str">
        <f t="shared" si="82"/>
        <v>Sufficient</v>
      </c>
      <c r="X1735" s="8" t="str">
        <f t="shared" si="83"/>
        <v>Medium</v>
      </c>
    </row>
    <row r="1736" spans="1:24">
      <c r="A1736" s="7" t="s">
        <v>1866</v>
      </c>
      <c r="B1736" s="1" t="s">
        <v>29</v>
      </c>
      <c r="C1736" s="1">
        <v>421</v>
      </c>
      <c r="D1736" s="1">
        <v>22</v>
      </c>
      <c r="E1736" s="1">
        <v>13</v>
      </c>
      <c r="F1736" s="1">
        <v>8</v>
      </c>
      <c r="G1736" s="1">
        <v>43.83</v>
      </c>
      <c r="H1736" s="1" t="s">
        <v>68</v>
      </c>
      <c r="I1736" s="1" t="s">
        <v>31</v>
      </c>
      <c r="J1736" s="1">
        <v>81</v>
      </c>
      <c r="K1736" s="1">
        <v>1.98</v>
      </c>
      <c r="L1736" s="4">
        <v>90.93</v>
      </c>
      <c r="M1736" s="1">
        <v>1.08</v>
      </c>
      <c r="N1736" s="1">
        <v>8</v>
      </c>
      <c r="O1736" s="1">
        <v>0.75</v>
      </c>
      <c r="P1736" s="1">
        <v>851</v>
      </c>
      <c r="Q1736" s="1">
        <v>12.19</v>
      </c>
      <c r="R1736" s="1">
        <v>0.86</v>
      </c>
      <c r="S1736" s="2">
        <v>45498</v>
      </c>
      <c r="T1736" s="1">
        <v>79.739999999999995</v>
      </c>
      <c r="U1736" s="1">
        <v>0.61699999999999999</v>
      </c>
      <c r="V1736" s="6">
        <f t="shared" si="81"/>
        <v>38281.530000000006</v>
      </c>
      <c r="W1736" s="6" t="str">
        <f t="shared" si="82"/>
        <v>Sufficient</v>
      </c>
      <c r="X1736" s="8" t="str">
        <f t="shared" si="83"/>
        <v>High</v>
      </c>
    </row>
    <row r="1737" spans="1:24">
      <c r="A1737" s="7" t="s">
        <v>1867</v>
      </c>
      <c r="B1737" s="1" t="s">
        <v>29</v>
      </c>
      <c r="C1737" s="1">
        <v>174</v>
      </c>
      <c r="D1737" s="1">
        <v>75</v>
      </c>
      <c r="E1737" s="1">
        <v>3</v>
      </c>
      <c r="F1737" s="1">
        <v>6</v>
      </c>
      <c r="G1737" s="1">
        <v>13.91</v>
      </c>
      <c r="H1737" s="1" t="s">
        <v>106</v>
      </c>
      <c r="I1737" s="1" t="s">
        <v>31</v>
      </c>
      <c r="J1737" s="1">
        <v>25</v>
      </c>
      <c r="K1737" s="1">
        <v>4.76</v>
      </c>
      <c r="L1737" s="4">
        <v>10.3</v>
      </c>
      <c r="M1737" s="1">
        <v>1.25</v>
      </c>
      <c r="N1737" s="1">
        <v>7</v>
      </c>
      <c r="O1737" s="1">
        <v>0.76</v>
      </c>
      <c r="P1737" s="1">
        <v>389</v>
      </c>
      <c r="Q1737" s="1">
        <v>5.0199999999999996</v>
      </c>
      <c r="R1737" s="1">
        <v>0.39</v>
      </c>
      <c r="S1737" s="2">
        <v>45630</v>
      </c>
      <c r="T1737" s="1">
        <v>88.47</v>
      </c>
      <c r="U1737" s="1">
        <v>0.432</v>
      </c>
      <c r="V1737" s="6">
        <f t="shared" si="81"/>
        <v>1792.2</v>
      </c>
      <c r="W1737" s="6" t="str">
        <f t="shared" si="82"/>
        <v>Sufficient</v>
      </c>
      <c r="X1737" s="8" t="str">
        <f t="shared" si="83"/>
        <v>Medium</v>
      </c>
    </row>
    <row r="1738" spans="1:24">
      <c r="A1738" s="7" t="s">
        <v>1868</v>
      </c>
      <c r="B1738" s="1" t="s">
        <v>66</v>
      </c>
      <c r="C1738" s="1">
        <v>74</v>
      </c>
      <c r="D1738" s="1">
        <v>13</v>
      </c>
      <c r="E1738" s="1">
        <v>14</v>
      </c>
      <c r="F1738" s="1">
        <v>8</v>
      </c>
      <c r="G1738" s="1">
        <v>11.06</v>
      </c>
      <c r="H1738" s="1" t="s">
        <v>156</v>
      </c>
      <c r="I1738" s="1" t="s">
        <v>27</v>
      </c>
      <c r="J1738" s="1">
        <v>47</v>
      </c>
      <c r="K1738" s="1">
        <v>2.76</v>
      </c>
      <c r="L1738" s="4">
        <v>149.61000000000001</v>
      </c>
      <c r="M1738" s="1">
        <v>1.53</v>
      </c>
      <c r="N1738" s="1">
        <v>1</v>
      </c>
      <c r="O1738" s="1">
        <v>0.84</v>
      </c>
      <c r="P1738" s="1">
        <v>129</v>
      </c>
      <c r="Q1738" s="1">
        <v>6.41</v>
      </c>
      <c r="R1738" s="1">
        <v>0.78</v>
      </c>
      <c r="S1738" s="2">
        <v>45455</v>
      </c>
      <c r="T1738" s="1">
        <v>150.43</v>
      </c>
      <c r="U1738" s="1">
        <v>0.63600000000000001</v>
      </c>
      <c r="V1738" s="6">
        <f t="shared" si="81"/>
        <v>11071.140000000001</v>
      </c>
      <c r="W1738" s="6" t="str">
        <f t="shared" si="82"/>
        <v>Sufficient</v>
      </c>
      <c r="X1738" s="8" t="str">
        <f t="shared" si="83"/>
        <v>LOW</v>
      </c>
    </row>
    <row r="1739" spans="1:24">
      <c r="A1739" s="7" t="s">
        <v>1869</v>
      </c>
      <c r="B1739" s="1" t="s">
        <v>25</v>
      </c>
      <c r="C1739" s="1">
        <v>201</v>
      </c>
      <c r="D1739" s="1">
        <v>19</v>
      </c>
      <c r="E1739" s="1">
        <v>8</v>
      </c>
      <c r="F1739" s="1">
        <v>8</v>
      </c>
      <c r="G1739" s="1">
        <v>13.95</v>
      </c>
      <c r="H1739" s="1" t="s">
        <v>459</v>
      </c>
      <c r="I1739" s="1" t="s">
        <v>39</v>
      </c>
      <c r="J1739" s="1">
        <v>74</v>
      </c>
      <c r="K1739" s="1">
        <v>2.63</v>
      </c>
      <c r="L1739" s="4">
        <v>177.01</v>
      </c>
      <c r="M1739" s="1">
        <v>0.28999999999999998</v>
      </c>
      <c r="N1739" s="1">
        <v>3</v>
      </c>
      <c r="O1739" s="1">
        <v>0.8</v>
      </c>
      <c r="P1739" s="1">
        <v>527</v>
      </c>
      <c r="Q1739" s="1">
        <v>2.31</v>
      </c>
      <c r="R1739" s="1">
        <v>0.94</v>
      </c>
      <c r="S1739" s="2">
        <v>45640</v>
      </c>
      <c r="T1739" s="1">
        <v>124.4</v>
      </c>
      <c r="U1739" s="1">
        <v>0.69</v>
      </c>
      <c r="V1739" s="6">
        <f t="shared" si="81"/>
        <v>35579.009999999995</v>
      </c>
      <c r="W1739" s="6" t="str">
        <f t="shared" si="82"/>
        <v>Sufficient</v>
      </c>
      <c r="X1739" s="8" t="str">
        <f t="shared" si="83"/>
        <v>Medium</v>
      </c>
    </row>
    <row r="1740" spans="1:24">
      <c r="A1740" s="7" t="s">
        <v>1870</v>
      </c>
      <c r="B1740" s="1" t="s">
        <v>29</v>
      </c>
      <c r="C1740" s="1">
        <v>229</v>
      </c>
      <c r="D1740" s="1">
        <v>97</v>
      </c>
      <c r="E1740" s="1">
        <v>10</v>
      </c>
      <c r="F1740" s="1">
        <v>7</v>
      </c>
      <c r="G1740" s="1">
        <v>45.59</v>
      </c>
      <c r="H1740" s="1" t="s">
        <v>44</v>
      </c>
      <c r="I1740" s="1" t="s">
        <v>39</v>
      </c>
      <c r="J1740" s="1">
        <v>135</v>
      </c>
      <c r="K1740" s="1">
        <v>1.89</v>
      </c>
      <c r="L1740" s="4">
        <v>73.7</v>
      </c>
      <c r="M1740" s="1">
        <v>1.93</v>
      </c>
      <c r="N1740" s="1">
        <v>8</v>
      </c>
      <c r="O1740" s="1">
        <v>0.83</v>
      </c>
      <c r="P1740" s="1">
        <v>160</v>
      </c>
      <c r="Q1740" s="1">
        <v>5.8</v>
      </c>
      <c r="R1740" s="1">
        <v>0.5</v>
      </c>
      <c r="S1740" s="2">
        <v>45363</v>
      </c>
      <c r="T1740" s="1">
        <v>101.62</v>
      </c>
      <c r="U1740" s="1">
        <v>0.39</v>
      </c>
      <c r="V1740" s="6">
        <f t="shared" si="81"/>
        <v>16877.3</v>
      </c>
      <c r="W1740" s="6" t="str">
        <f t="shared" si="82"/>
        <v>Sufficient</v>
      </c>
      <c r="X1740" s="8" t="str">
        <f t="shared" si="83"/>
        <v>Medium</v>
      </c>
    </row>
    <row r="1741" spans="1:24">
      <c r="A1741" s="7" t="s">
        <v>1871</v>
      </c>
      <c r="B1741" s="1" t="s">
        <v>66</v>
      </c>
      <c r="C1741" s="1">
        <v>395</v>
      </c>
      <c r="D1741" s="1">
        <v>26</v>
      </c>
      <c r="E1741" s="1">
        <v>3</v>
      </c>
      <c r="F1741" s="1">
        <v>3</v>
      </c>
      <c r="G1741" s="1">
        <v>45.86</v>
      </c>
      <c r="H1741" s="1" t="s">
        <v>50</v>
      </c>
      <c r="I1741" s="1" t="s">
        <v>27</v>
      </c>
      <c r="J1741" s="1">
        <v>92</v>
      </c>
      <c r="K1741" s="1">
        <v>2.02</v>
      </c>
      <c r="L1741" s="4">
        <v>146.41999999999999</v>
      </c>
      <c r="M1741" s="1">
        <v>1.71</v>
      </c>
      <c r="N1741" s="1">
        <v>3</v>
      </c>
      <c r="O1741" s="1">
        <v>0.84</v>
      </c>
      <c r="P1741" s="1">
        <v>536</v>
      </c>
      <c r="Q1741" s="1">
        <v>14.63</v>
      </c>
      <c r="R1741" s="1">
        <v>0.22</v>
      </c>
      <c r="S1741" s="2">
        <v>45305</v>
      </c>
      <c r="T1741" s="1">
        <v>250.54</v>
      </c>
      <c r="U1741" s="1">
        <v>0.57599999999999996</v>
      </c>
      <c r="V1741" s="6">
        <f t="shared" si="81"/>
        <v>57835.899999999994</v>
      </c>
      <c r="W1741" s="6" t="str">
        <f t="shared" si="82"/>
        <v>Sufficient</v>
      </c>
      <c r="X1741" s="8" t="str">
        <f t="shared" si="83"/>
        <v>High</v>
      </c>
    </row>
    <row r="1742" spans="1:24">
      <c r="A1742" s="7" t="s">
        <v>1872</v>
      </c>
      <c r="B1742" s="1" t="s">
        <v>25</v>
      </c>
      <c r="C1742" s="1">
        <v>490</v>
      </c>
      <c r="D1742" s="1">
        <v>61</v>
      </c>
      <c r="E1742" s="1">
        <v>12</v>
      </c>
      <c r="F1742" s="1">
        <v>3</v>
      </c>
      <c r="G1742" s="1">
        <v>17.12</v>
      </c>
      <c r="H1742" s="1" t="s">
        <v>119</v>
      </c>
      <c r="I1742" s="1" t="s">
        <v>39</v>
      </c>
      <c r="J1742" s="1">
        <v>26</v>
      </c>
      <c r="K1742" s="1">
        <v>2.81</v>
      </c>
      <c r="L1742" s="4">
        <v>21.79</v>
      </c>
      <c r="M1742" s="1">
        <v>0.84</v>
      </c>
      <c r="N1742" s="1">
        <v>6</v>
      </c>
      <c r="O1742" s="1">
        <v>0.74</v>
      </c>
      <c r="P1742" s="1">
        <v>970</v>
      </c>
      <c r="Q1742" s="1">
        <v>14.19</v>
      </c>
      <c r="R1742" s="1">
        <v>0.86</v>
      </c>
      <c r="S1742" s="2">
        <v>45627</v>
      </c>
      <c r="T1742" s="1">
        <v>156.16999999999999</v>
      </c>
      <c r="U1742" s="1">
        <v>0.70499999999999996</v>
      </c>
      <c r="V1742" s="6">
        <f t="shared" si="81"/>
        <v>10677.1</v>
      </c>
      <c r="W1742" s="6" t="str">
        <f t="shared" si="82"/>
        <v>Sufficient</v>
      </c>
      <c r="X1742" s="8" t="str">
        <f t="shared" si="83"/>
        <v>High</v>
      </c>
    </row>
    <row r="1743" spans="1:24">
      <c r="A1743" s="7" t="s">
        <v>1873</v>
      </c>
      <c r="B1743" s="1" t="s">
        <v>41</v>
      </c>
      <c r="C1743" s="1">
        <v>94</v>
      </c>
      <c r="D1743" s="1">
        <v>15</v>
      </c>
      <c r="E1743" s="1">
        <v>14</v>
      </c>
      <c r="F1743" s="1">
        <v>5</v>
      </c>
      <c r="G1743" s="1">
        <v>35.57</v>
      </c>
      <c r="H1743" s="1" t="s">
        <v>77</v>
      </c>
      <c r="I1743" s="1" t="s">
        <v>27</v>
      </c>
      <c r="J1743" s="1">
        <v>122</v>
      </c>
      <c r="K1743" s="1">
        <v>1.88</v>
      </c>
      <c r="L1743" s="4">
        <v>144.80000000000001</v>
      </c>
      <c r="M1743" s="1">
        <v>1.48</v>
      </c>
      <c r="N1743" s="1">
        <v>4</v>
      </c>
      <c r="O1743" s="1">
        <v>0.75</v>
      </c>
      <c r="P1743" s="1">
        <v>502</v>
      </c>
      <c r="Q1743" s="1">
        <v>11.5</v>
      </c>
      <c r="R1743" s="1">
        <v>0.77</v>
      </c>
      <c r="S1743" s="2">
        <v>45546</v>
      </c>
      <c r="T1743" s="1">
        <v>155.88999999999999</v>
      </c>
      <c r="U1743" s="1">
        <v>0.629</v>
      </c>
      <c r="V1743" s="6">
        <f t="shared" si="81"/>
        <v>13611.2</v>
      </c>
      <c r="W1743" s="6" t="str">
        <f t="shared" si="82"/>
        <v>Sufficient</v>
      </c>
      <c r="X1743" s="8" t="str">
        <f t="shared" si="83"/>
        <v>LOW</v>
      </c>
    </row>
    <row r="1744" spans="1:24">
      <c r="A1744" s="7" t="s">
        <v>1874</v>
      </c>
      <c r="B1744" s="1" t="s">
        <v>66</v>
      </c>
      <c r="C1744" s="1">
        <v>296</v>
      </c>
      <c r="D1744" s="1">
        <v>92</v>
      </c>
      <c r="E1744" s="1">
        <v>11</v>
      </c>
      <c r="F1744" s="1">
        <v>9</v>
      </c>
      <c r="G1744" s="1">
        <v>34.11</v>
      </c>
      <c r="H1744" s="1" t="s">
        <v>171</v>
      </c>
      <c r="I1744" s="1" t="s">
        <v>39</v>
      </c>
      <c r="J1744" s="1">
        <v>165</v>
      </c>
      <c r="K1744" s="1">
        <v>4.5199999999999996</v>
      </c>
      <c r="L1744" s="4">
        <v>22.98</v>
      </c>
      <c r="M1744" s="1">
        <v>1.55</v>
      </c>
      <c r="N1744" s="1">
        <v>9</v>
      </c>
      <c r="O1744" s="1">
        <v>0.95</v>
      </c>
      <c r="P1744" s="1">
        <v>462</v>
      </c>
      <c r="Q1744" s="1">
        <v>13.7</v>
      </c>
      <c r="R1744" s="1">
        <v>0.32</v>
      </c>
      <c r="S1744" s="2">
        <v>45443</v>
      </c>
      <c r="T1744" s="1">
        <v>134.13999999999999</v>
      </c>
      <c r="U1744" s="1">
        <v>0.502</v>
      </c>
      <c r="V1744" s="6">
        <f t="shared" si="81"/>
        <v>6802.08</v>
      </c>
      <c r="W1744" s="6" t="str">
        <f t="shared" si="82"/>
        <v>Sufficient</v>
      </c>
      <c r="X1744" s="8" t="str">
        <f t="shared" si="83"/>
        <v>High</v>
      </c>
    </row>
    <row r="1745" spans="1:24">
      <c r="A1745" s="7" t="s">
        <v>1875</v>
      </c>
      <c r="B1745" s="1" t="s">
        <v>33</v>
      </c>
      <c r="C1745" s="1">
        <v>447</v>
      </c>
      <c r="D1745" s="1">
        <v>78</v>
      </c>
      <c r="E1745" s="1">
        <v>5</v>
      </c>
      <c r="F1745" s="1">
        <v>4</v>
      </c>
      <c r="G1745" s="1">
        <v>40.520000000000003</v>
      </c>
      <c r="H1745" s="1" t="s">
        <v>30</v>
      </c>
      <c r="I1745" s="1" t="s">
        <v>45</v>
      </c>
      <c r="J1745" s="1">
        <v>149</v>
      </c>
      <c r="K1745" s="1">
        <v>2.48</v>
      </c>
      <c r="L1745" s="4">
        <v>121.57</v>
      </c>
      <c r="M1745" s="1">
        <v>1.72</v>
      </c>
      <c r="N1745" s="1">
        <v>5</v>
      </c>
      <c r="O1745" s="1">
        <v>0.75</v>
      </c>
      <c r="P1745" s="1">
        <v>653</v>
      </c>
      <c r="Q1745" s="1">
        <v>3.96</v>
      </c>
      <c r="R1745" s="1">
        <v>0.68</v>
      </c>
      <c r="S1745" s="2">
        <v>45424</v>
      </c>
      <c r="T1745" s="1">
        <v>207.46</v>
      </c>
      <c r="U1745" s="1">
        <v>0.46700000000000003</v>
      </c>
      <c r="V1745" s="6">
        <f t="shared" si="81"/>
        <v>54341.789999999994</v>
      </c>
      <c r="W1745" s="6" t="str">
        <f t="shared" si="82"/>
        <v>Sufficient</v>
      </c>
      <c r="X1745" s="8" t="str">
        <f t="shared" si="83"/>
        <v>High</v>
      </c>
    </row>
    <row r="1746" spans="1:24">
      <c r="A1746" s="7" t="s">
        <v>1876</v>
      </c>
      <c r="B1746" s="1" t="s">
        <v>66</v>
      </c>
      <c r="C1746" s="1">
        <v>152</v>
      </c>
      <c r="D1746" s="1">
        <v>83</v>
      </c>
      <c r="E1746" s="1">
        <v>5</v>
      </c>
      <c r="F1746" s="1">
        <v>8</v>
      </c>
      <c r="G1746" s="1">
        <v>15.53</v>
      </c>
      <c r="H1746" s="1" t="s">
        <v>97</v>
      </c>
      <c r="I1746" s="1" t="s">
        <v>45</v>
      </c>
      <c r="J1746" s="1">
        <v>79</v>
      </c>
      <c r="K1746" s="1">
        <v>1.81</v>
      </c>
      <c r="L1746" s="4">
        <v>123.54</v>
      </c>
      <c r="M1746" s="1">
        <v>0.46</v>
      </c>
      <c r="N1746" s="1">
        <v>0</v>
      </c>
      <c r="O1746" s="1">
        <v>0.9</v>
      </c>
      <c r="P1746" s="1">
        <v>998</v>
      </c>
      <c r="Q1746" s="1">
        <v>9.7100000000000009</v>
      </c>
      <c r="R1746" s="1">
        <v>0.86</v>
      </c>
      <c r="S1746" s="2">
        <v>45506</v>
      </c>
      <c r="T1746" s="1">
        <v>60.94</v>
      </c>
      <c r="U1746" s="1">
        <v>0.83499999999999996</v>
      </c>
      <c r="V1746" s="6">
        <f t="shared" si="81"/>
        <v>18778.080000000002</v>
      </c>
      <c r="W1746" s="6" t="str">
        <f t="shared" si="82"/>
        <v>Sufficient</v>
      </c>
      <c r="X1746" s="8" t="str">
        <f t="shared" si="83"/>
        <v>Medium</v>
      </c>
    </row>
    <row r="1747" spans="1:24">
      <c r="A1747" s="7" t="s">
        <v>1877</v>
      </c>
      <c r="B1747" s="1" t="s">
        <v>66</v>
      </c>
      <c r="C1747" s="1">
        <v>362</v>
      </c>
      <c r="D1747" s="1">
        <v>18</v>
      </c>
      <c r="E1747" s="1">
        <v>6</v>
      </c>
      <c r="F1747" s="1">
        <v>2</v>
      </c>
      <c r="G1747" s="1">
        <v>26</v>
      </c>
      <c r="H1747" s="1" t="s">
        <v>38</v>
      </c>
      <c r="I1747" s="1" t="s">
        <v>27</v>
      </c>
      <c r="J1747" s="1">
        <v>80</v>
      </c>
      <c r="K1747" s="1">
        <v>1.2</v>
      </c>
      <c r="L1747" s="4">
        <v>67.41</v>
      </c>
      <c r="M1747" s="1">
        <v>1.44</v>
      </c>
      <c r="N1747" s="1">
        <v>3</v>
      </c>
      <c r="O1747" s="1">
        <v>0.83</v>
      </c>
      <c r="P1747" s="1">
        <v>235</v>
      </c>
      <c r="Q1747" s="1">
        <v>8</v>
      </c>
      <c r="R1747" s="1">
        <v>0.34</v>
      </c>
      <c r="S1747" s="2">
        <v>45499</v>
      </c>
      <c r="T1747" s="1">
        <v>283.64</v>
      </c>
      <c r="U1747" s="1">
        <v>0.53700000000000003</v>
      </c>
      <c r="V1747" s="6">
        <f t="shared" si="81"/>
        <v>24402.42</v>
      </c>
      <c r="W1747" s="6" t="str">
        <f t="shared" si="82"/>
        <v>Sufficient</v>
      </c>
      <c r="X1747" s="8" t="str">
        <f t="shared" si="83"/>
        <v>High</v>
      </c>
    </row>
    <row r="1748" spans="1:24">
      <c r="A1748" s="7" t="s">
        <v>1878</v>
      </c>
      <c r="B1748" s="1" t="s">
        <v>25</v>
      </c>
      <c r="C1748" s="1">
        <v>444</v>
      </c>
      <c r="D1748" s="1">
        <v>86</v>
      </c>
      <c r="E1748" s="1">
        <v>13</v>
      </c>
      <c r="F1748" s="1">
        <v>4</v>
      </c>
      <c r="G1748" s="1">
        <v>33.72</v>
      </c>
      <c r="H1748" s="1" t="s">
        <v>147</v>
      </c>
      <c r="I1748" s="1" t="s">
        <v>27</v>
      </c>
      <c r="J1748" s="1">
        <v>140</v>
      </c>
      <c r="K1748" s="1">
        <v>3.53</v>
      </c>
      <c r="L1748" s="4">
        <v>25.03</v>
      </c>
      <c r="M1748" s="1">
        <v>0.16</v>
      </c>
      <c r="N1748" s="1">
        <v>4</v>
      </c>
      <c r="O1748" s="1">
        <v>0.99</v>
      </c>
      <c r="P1748" s="1">
        <v>602</v>
      </c>
      <c r="Q1748" s="1">
        <v>6.92</v>
      </c>
      <c r="R1748" s="1">
        <v>0.38</v>
      </c>
      <c r="S1748" s="2">
        <v>45490</v>
      </c>
      <c r="T1748" s="1">
        <v>40.340000000000003</v>
      </c>
      <c r="U1748" s="1">
        <v>0.67</v>
      </c>
      <c r="V1748" s="6">
        <f t="shared" si="81"/>
        <v>11113.32</v>
      </c>
      <c r="W1748" s="6" t="str">
        <f t="shared" si="82"/>
        <v>Sufficient</v>
      </c>
      <c r="X1748" s="8" t="str">
        <f t="shared" si="83"/>
        <v>High</v>
      </c>
    </row>
    <row r="1749" spans="1:24">
      <c r="A1749" s="7" t="s">
        <v>1879</v>
      </c>
      <c r="B1749" s="1" t="s">
        <v>41</v>
      </c>
      <c r="C1749" s="1">
        <v>78</v>
      </c>
      <c r="D1749" s="1">
        <v>92</v>
      </c>
      <c r="E1749" s="1">
        <v>3</v>
      </c>
      <c r="F1749" s="1">
        <v>4</v>
      </c>
      <c r="G1749" s="1">
        <v>2.29</v>
      </c>
      <c r="H1749" s="1" t="s">
        <v>44</v>
      </c>
      <c r="I1749" s="1" t="s">
        <v>31</v>
      </c>
      <c r="J1749" s="1">
        <v>58</v>
      </c>
      <c r="K1749" s="1">
        <v>0.62</v>
      </c>
      <c r="L1749" s="4">
        <v>190.37</v>
      </c>
      <c r="M1749" s="1">
        <v>0.32</v>
      </c>
      <c r="N1749" s="1">
        <v>5</v>
      </c>
      <c r="O1749" s="1">
        <v>0.72</v>
      </c>
      <c r="P1749" s="1">
        <v>136</v>
      </c>
      <c r="Q1749" s="1">
        <v>5.55</v>
      </c>
      <c r="R1749" s="1">
        <v>0.36</v>
      </c>
      <c r="S1749" s="2">
        <v>45310</v>
      </c>
      <c r="T1749" s="1">
        <v>215.99</v>
      </c>
      <c r="U1749" s="1">
        <v>0.55800000000000005</v>
      </c>
      <c r="V1749" s="6">
        <f t="shared" si="81"/>
        <v>14848.86</v>
      </c>
      <c r="W1749" s="6" t="str">
        <f t="shared" si="82"/>
        <v>Reorder Required</v>
      </c>
      <c r="X1749" s="8" t="str">
        <f t="shared" si="83"/>
        <v>LOW</v>
      </c>
    </row>
    <row r="1750" spans="1:24">
      <c r="A1750" s="7" t="s">
        <v>1880</v>
      </c>
      <c r="B1750" s="1" t="s">
        <v>33</v>
      </c>
      <c r="C1750" s="1">
        <v>364</v>
      </c>
      <c r="D1750" s="1">
        <v>30</v>
      </c>
      <c r="E1750" s="1">
        <v>11</v>
      </c>
      <c r="F1750" s="1">
        <v>3</v>
      </c>
      <c r="G1750" s="1">
        <v>19.46</v>
      </c>
      <c r="H1750" s="1" t="s">
        <v>61</v>
      </c>
      <c r="I1750" s="1" t="s">
        <v>39</v>
      </c>
      <c r="J1750" s="1">
        <v>30</v>
      </c>
      <c r="K1750" s="1">
        <v>2.52</v>
      </c>
      <c r="L1750" s="4">
        <v>111.76</v>
      </c>
      <c r="M1750" s="1">
        <v>1.57</v>
      </c>
      <c r="N1750" s="1">
        <v>5</v>
      </c>
      <c r="O1750" s="1">
        <v>0.95</v>
      </c>
      <c r="P1750" s="1">
        <v>273</v>
      </c>
      <c r="Q1750" s="1">
        <v>13.13</v>
      </c>
      <c r="R1750" s="1">
        <v>1</v>
      </c>
      <c r="S1750" s="2">
        <v>45590</v>
      </c>
      <c r="T1750" s="1">
        <v>214.25</v>
      </c>
      <c r="U1750" s="1">
        <v>0.70799999999999996</v>
      </c>
      <c r="V1750" s="6">
        <f t="shared" si="81"/>
        <v>40680.639999999999</v>
      </c>
      <c r="W1750" s="6" t="str">
        <f t="shared" si="82"/>
        <v>Sufficient</v>
      </c>
      <c r="X1750" s="8" t="str">
        <f t="shared" si="83"/>
        <v>High</v>
      </c>
    </row>
    <row r="1751" spans="1:24">
      <c r="A1751" s="7" t="s">
        <v>1881</v>
      </c>
      <c r="B1751" s="1" t="s">
        <v>29</v>
      </c>
      <c r="C1751" s="1">
        <v>201</v>
      </c>
      <c r="D1751" s="1">
        <v>33</v>
      </c>
      <c r="E1751" s="1">
        <v>13</v>
      </c>
      <c r="F1751" s="1">
        <v>3</v>
      </c>
      <c r="G1751" s="1">
        <v>35.1</v>
      </c>
      <c r="H1751" s="1" t="s">
        <v>77</v>
      </c>
      <c r="I1751" s="1" t="s">
        <v>45</v>
      </c>
      <c r="J1751" s="1">
        <v>145</v>
      </c>
      <c r="K1751" s="1">
        <v>2.98</v>
      </c>
      <c r="L1751" s="4">
        <v>120.15</v>
      </c>
      <c r="M1751" s="1">
        <v>1.64</v>
      </c>
      <c r="N1751" s="1">
        <v>4</v>
      </c>
      <c r="O1751" s="1">
        <v>0.85</v>
      </c>
      <c r="P1751" s="1">
        <v>100</v>
      </c>
      <c r="Q1751" s="1">
        <v>7.78</v>
      </c>
      <c r="R1751" s="1">
        <v>0.38</v>
      </c>
      <c r="S1751" s="2">
        <v>45654</v>
      </c>
      <c r="T1751" s="1">
        <v>43.04</v>
      </c>
      <c r="U1751" s="1">
        <v>0.50600000000000001</v>
      </c>
      <c r="V1751" s="6">
        <f t="shared" si="81"/>
        <v>24150.15</v>
      </c>
      <c r="W1751" s="6" t="str">
        <f t="shared" si="82"/>
        <v>Sufficient</v>
      </c>
      <c r="X1751" s="8" t="str">
        <f t="shared" si="83"/>
        <v>Medium</v>
      </c>
    </row>
    <row r="1752" spans="1:24">
      <c r="A1752" s="7" t="s">
        <v>1882</v>
      </c>
      <c r="B1752" s="1" t="s">
        <v>29</v>
      </c>
      <c r="C1752" s="1">
        <v>477</v>
      </c>
      <c r="D1752" s="1">
        <v>13</v>
      </c>
      <c r="E1752" s="1">
        <v>5</v>
      </c>
      <c r="F1752" s="1">
        <v>7</v>
      </c>
      <c r="G1752" s="1">
        <v>13.38</v>
      </c>
      <c r="H1752" s="1" t="s">
        <v>159</v>
      </c>
      <c r="I1752" s="1" t="s">
        <v>31</v>
      </c>
      <c r="J1752" s="1">
        <v>73</v>
      </c>
      <c r="K1752" s="1">
        <v>2.0299999999999998</v>
      </c>
      <c r="L1752" s="4">
        <v>126.85</v>
      </c>
      <c r="M1752" s="1">
        <v>1.23</v>
      </c>
      <c r="N1752" s="1">
        <v>2</v>
      </c>
      <c r="O1752" s="1">
        <v>0.7</v>
      </c>
      <c r="P1752" s="1">
        <v>175</v>
      </c>
      <c r="Q1752" s="1">
        <v>11.14</v>
      </c>
      <c r="R1752" s="1">
        <v>0.41</v>
      </c>
      <c r="S1752" s="2">
        <v>45584</v>
      </c>
      <c r="T1752" s="1">
        <v>297.98</v>
      </c>
      <c r="U1752" s="1">
        <v>0.60799999999999998</v>
      </c>
      <c r="V1752" s="6">
        <f t="shared" si="81"/>
        <v>60507.45</v>
      </c>
      <c r="W1752" s="6" t="str">
        <f t="shared" si="82"/>
        <v>Sufficient</v>
      </c>
      <c r="X1752" s="8" t="str">
        <f t="shared" si="83"/>
        <v>High</v>
      </c>
    </row>
    <row r="1753" spans="1:24">
      <c r="A1753" s="7" t="s">
        <v>1883</v>
      </c>
      <c r="B1753" s="1" t="s">
        <v>66</v>
      </c>
      <c r="C1753" s="1">
        <v>425</v>
      </c>
      <c r="D1753" s="1">
        <v>33</v>
      </c>
      <c r="E1753" s="1">
        <v>12</v>
      </c>
      <c r="F1753" s="1">
        <v>7</v>
      </c>
      <c r="G1753" s="1">
        <v>47.93</v>
      </c>
      <c r="H1753" s="1" t="s">
        <v>143</v>
      </c>
      <c r="I1753" s="1" t="s">
        <v>39</v>
      </c>
      <c r="J1753" s="1">
        <v>167</v>
      </c>
      <c r="K1753" s="1">
        <v>3.87</v>
      </c>
      <c r="L1753" s="4">
        <v>179.3</v>
      </c>
      <c r="M1753" s="1">
        <v>1.21</v>
      </c>
      <c r="N1753" s="1">
        <v>1</v>
      </c>
      <c r="O1753" s="1">
        <v>0.78</v>
      </c>
      <c r="P1753" s="1">
        <v>195</v>
      </c>
      <c r="Q1753" s="1">
        <v>10.88</v>
      </c>
      <c r="R1753" s="1">
        <v>0.24</v>
      </c>
      <c r="S1753" s="2">
        <v>45389</v>
      </c>
      <c r="T1753" s="1">
        <v>19.95</v>
      </c>
      <c r="U1753" s="1">
        <v>0.60799999999999998</v>
      </c>
      <c r="V1753" s="6">
        <f t="shared" si="81"/>
        <v>76202.5</v>
      </c>
      <c r="W1753" s="6" t="str">
        <f t="shared" si="82"/>
        <v>Sufficient</v>
      </c>
      <c r="X1753" s="8" t="str">
        <f t="shared" si="83"/>
        <v>High</v>
      </c>
    </row>
    <row r="1754" spans="1:24">
      <c r="A1754" s="7" t="s">
        <v>1884</v>
      </c>
      <c r="B1754" s="1" t="s">
        <v>25</v>
      </c>
      <c r="C1754" s="1">
        <v>358</v>
      </c>
      <c r="D1754" s="1">
        <v>68</v>
      </c>
      <c r="E1754" s="1">
        <v>6</v>
      </c>
      <c r="F1754" s="1">
        <v>3</v>
      </c>
      <c r="G1754" s="1">
        <v>2.48</v>
      </c>
      <c r="H1754" s="1" t="s">
        <v>558</v>
      </c>
      <c r="I1754" s="1" t="s">
        <v>45</v>
      </c>
      <c r="J1754" s="1">
        <v>41</v>
      </c>
      <c r="K1754" s="1">
        <v>3.54</v>
      </c>
      <c r="L1754" s="4">
        <v>21.45</v>
      </c>
      <c r="M1754" s="1">
        <v>1.52</v>
      </c>
      <c r="N1754" s="1">
        <v>6</v>
      </c>
      <c r="O1754" s="1">
        <v>0.82</v>
      </c>
      <c r="P1754" s="1">
        <v>90</v>
      </c>
      <c r="Q1754" s="1">
        <v>2.9</v>
      </c>
      <c r="R1754" s="1">
        <v>0.99</v>
      </c>
      <c r="S1754" s="2">
        <v>45467</v>
      </c>
      <c r="T1754" s="1">
        <v>115.76</v>
      </c>
      <c r="U1754" s="1">
        <v>0.52900000000000003</v>
      </c>
      <c r="V1754" s="6">
        <f t="shared" si="81"/>
        <v>7679.0999999999995</v>
      </c>
      <c r="W1754" s="6" t="str">
        <f t="shared" si="82"/>
        <v>Sufficient</v>
      </c>
      <c r="X1754" s="8" t="str">
        <f t="shared" si="83"/>
        <v>High</v>
      </c>
    </row>
    <row r="1755" spans="1:24">
      <c r="A1755" s="7" t="s">
        <v>1885</v>
      </c>
      <c r="B1755" s="1" t="s">
        <v>25</v>
      </c>
      <c r="C1755" s="1">
        <v>340</v>
      </c>
      <c r="D1755" s="1">
        <v>12</v>
      </c>
      <c r="E1755" s="1">
        <v>3</v>
      </c>
      <c r="F1755" s="1">
        <v>6</v>
      </c>
      <c r="G1755" s="1">
        <v>47.95</v>
      </c>
      <c r="H1755" s="1" t="s">
        <v>52</v>
      </c>
      <c r="I1755" s="1" t="s">
        <v>39</v>
      </c>
      <c r="J1755" s="1">
        <v>29</v>
      </c>
      <c r="K1755" s="1">
        <v>4.87</v>
      </c>
      <c r="L1755" s="4">
        <v>179.72</v>
      </c>
      <c r="M1755" s="1">
        <v>1.82</v>
      </c>
      <c r="N1755" s="1">
        <v>0</v>
      </c>
      <c r="O1755" s="1">
        <v>0.79</v>
      </c>
      <c r="P1755" s="1">
        <v>404</v>
      </c>
      <c r="Q1755" s="1">
        <v>1.69</v>
      </c>
      <c r="R1755" s="1">
        <v>0.4</v>
      </c>
      <c r="S1755" s="2">
        <v>45405</v>
      </c>
      <c r="T1755" s="1">
        <v>133.18</v>
      </c>
      <c r="U1755" s="1">
        <v>0.47899999999999998</v>
      </c>
      <c r="V1755" s="6">
        <f t="shared" si="81"/>
        <v>61104.800000000003</v>
      </c>
      <c r="W1755" s="6" t="str">
        <f t="shared" si="82"/>
        <v>Sufficient</v>
      </c>
      <c r="X1755" s="8" t="str">
        <f t="shared" si="83"/>
        <v>High</v>
      </c>
    </row>
    <row r="1756" spans="1:24">
      <c r="A1756" s="7" t="s">
        <v>1886</v>
      </c>
      <c r="B1756" s="1" t="s">
        <v>29</v>
      </c>
      <c r="C1756" s="1">
        <v>83</v>
      </c>
      <c r="D1756" s="1">
        <v>77</v>
      </c>
      <c r="E1756" s="1">
        <v>6</v>
      </c>
      <c r="F1756" s="1">
        <v>6</v>
      </c>
      <c r="G1756" s="1">
        <v>11.62</v>
      </c>
      <c r="H1756" s="1" t="s">
        <v>183</v>
      </c>
      <c r="I1756" s="1" t="s">
        <v>27</v>
      </c>
      <c r="J1756" s="1">
        <v>25</v>
      </c>
      <c r="K1756" s="1">
        <v>2.79</v>
      </c>
      <c r="L1756" s="4">
        <v>55.54</v>
      </c>
      <c r="M1756" s="1">
        <v>0.9</v>
      </c>
      <c r="N1756" s="1">
        <v>4</v>
      </c>
      <c r="O1756" s="1">
        <v>0.81</v>
      </c>
      <c r="P1756" s="1">
        <v>494</v>
      </c>
      <c r="Q1756" s="1">
        <v>12.76</v>
      </c>
      <c r="R1756" s="1">
        <v>0.78</v>
      </c>
      <c r="S1756" s="2">
        <v>45643</v>
      </c>
      <c r="T1756" s="1">
        <v>242.81</v>
      </c>
      <c r="U1756" s="1">
        <v>0.71799999999999997</v>
      </c>
      <c r="V1756" s="6">
        <f t="shared" si="81"/>
        <v>4609.82</v>
      </c>
      <c r="W1756" s="6" t="str">
        <f t="shared" si="82"/>
        <v>Sufficient</v>
      </c>
      <c r="X1756" s="8" t="str">
        <f t="shared" si="83"/>
        <v>LOW</v>
      </c>
    </row>
    <row r="1757" spans="1:24">
      <c r="A1757" s="7" t="s">
        <v>1887</v>
      </c>
      <c r="B1757" s="1" t="s">
        <v>33</v>
      </c>
      <c r="C1757" s="1">
        <v>346</v>
      </c>
      <c r="D1757" s="1">
        <v>49</v>
      </c>
      <c r="E1757" s="1">
        <v>3</v>
      </c>
      <c r="F1757" s="1">
        <v>2</v>
      </c>
      <c r="G1757" s="1">
        <v>3.39</v>
      </c>
      <c r="H1757" s="1" t="s">
        <v>77</v>
      </c>
      <c r="I1757" s="1" t="s">
        <v>45</v>
      </c>
      <c r="J1757" s="1">
        <v>162</v>
      </c>
      <c r="K1757" s="1">
        <v>2.92</v>
      </c>
      <c r="L1757" s="4">
        <v>24.81</v>
      </c>
      <c r="M1757" s="1">
        <v>0.32</v>
      </c>
      <c r="N1757" s="1">
        <v>3</v>
      </c>
      <c r="O1757" s="1">
        <v>0.98</v>
      </c>
      <c r="P1757" s="1">
        <v>412</v>
      </c>
      <c r="Q1757" s="1">
        <v>7.86</v>
      </c>
      <c r="R1757" s="1">
        <v>0.22</v>
      </c>
      <c r="S1757" s="2">
        <v>45565</v>
      </c>
      <c r="T1757" s="1">
        <v>18.649999999999999</v>
      </c>
      <c r="U1757" s="1">
        <v>0.65300000000000002</v>
      </c>
      <c r="V1757" s="6">
        <f t="shared" si="81"/>
        <v>8584.26</v>
      </c>
      <c r="W1757" s="6" t="str">
        <f t="shared" si="82"/>
        <v>Sufficient</v>
      </c>
      <c r="X1757" s="8" t="str">
        <f t="shared" si="83"/>
        <v>High</v>
      </c>
    </row>
    <row r="1758" spans="1:24">
      <c r="A1758" s="7" t="s">
        <v>1888</v>
      </c>
      <c r="B1758" s="1" t="s">
        <v>41</v>
      </c>
      <c r="C1758" s="1">
        <v>279</v>
      </c>
      <c r="D1758" s="1">
        <v>57</v>
      </c>
      <c r="E1758" s="1">
        <v>7</v>
      </c>
      <c r="F1758" s="1">
        <v>3</v>
      </c>
      <c r="G1758" s="1">
        <v>15.33</v>
      </c>
      <c r="H1758" s="1" t="s">
        <v>34</v>
      </c>
      <c r="I1758" s="1" t="s">
        <v>45</v>
      </c>
      <c r="J1758" s="1">
        <v>69</v>
      </c>
      <c r="K1758" s="1">
        <v>1.61</v>
      </c>
      <c r="L1758" s="4">
        <v>134.88</v>
      </c>
      <c r="M1758" s="1">
        <v>1.69</v>
      </c>
      <c r="N1758" s="1">
        <v>6</v>
      </c>
      <c r="O1758" s="1">
        <v>0.81</v>
      </c>
      <c r="P1758" s="1">
        <v>585</v>
      </c>
      <c r="Q1758" s="1">
        <v>12.34</v>
      </c>
      <c r="R1758" s="1">
        <v>0.83</v>
      </c>
      <c r="S1758" s="2">
        <v>45618</v>
      </c>
      <c r="T1758" s="1">
        <v>171.54</v>
      </c>
      <c r="U1758" s="1">
        <v>0.60399999999999998</v>
      </c>
      <c r="V1758" s="6">
        <f t="shared" si="81"/>
        <v>37631.519999999997</v>
      </c>
      <c r="W1758" s="6" t="str">
        <f t="shared" si="82"/>
        <v>Sufficient</v>
      </c>
      <c r="X1758" s="8" t="str">
        <f t="shared" si="83"/>
        <v>High</v>
      </c>
    </row>
    <row r="1759" spans="1:24">
      <c r="A1759" s="7" t="s">
        <v>1889</v>
      </c>
      <c r="B1759" s="1" t="s">
        <v>33</v>
      </c>
      <c r="C1759" s="1">
        <v>212</v>
      </c>
      <c r="D1759" s="1">
        <v>63</v>
      </c>
      <c r="E1759" s="1">
        <v>7</v>
      </c>
      <c r="F1759" s="1">
        <v>5</v>
      </c>
      <c r="G1759" s="1">
        <v>39.53</v>
      </c>
      <c r="H1759" s="1" t="s">
        <v>74</v>
      </c>
      <c r="I1759" s="1" t="s">
        <v>31</v>
      </c>
      <c r="J1759" s="1">
        <v>146</v>
      </c>
      <c r="K1759" s="1">
        <v>2.23</v>
      </c>
      <c r="L1759" s="4">
        <v>195.63</v>
      </c>
      <c r="M1759" s="1">
        <v>0.75</v>
      </c>
      <c r="N1759" s="1">
        <v>1</v>
      </c>
      <c r="O1759" s="1">
        <v>0.83</v>
      </c>
      <c r="P1759" s="1">
        <v>864</v>
      </c>
      <c r="Q1759" s="1">
        <v>5.16</v>
      </c>
      <c r="R1759" s="1">
        <v>0.8</v>
      </c>
      <c r="S1759" s="2">
        <v>45535</v>
      </c>
      <c r="T1759" s="1">
        <v>69.16</v>
      </c>
      <c r="U1759" s="1">
        <v>0.7</v>
      </c>
      <c r="V1759" s="6">
        <f t="shared" si="81"/>
        <v>41473.56</v>
      </c>
      <c r="W1759" s="6" t="str">
        <f t="shared" si="82"/>
        <v>Sufficient</v>
      </c>
      <c r="X1759" s="8" t="str">
        <f t="shared" si="83"/>
        <v>Medium</v>
      </c>
    </row>
    <row r="1760" spans="1:24">
      <c r="A1760" s="7" t="s">
        <v>1890</v>
      </c>
      <c r="B1760" s="1" t="s">
        <v>41</v>
      </c>
      <c r="C1760" s="1">
        <v>162</v>
      </c>
      <c r="D1760" s="1">
        <v>44</v>
      </c>
      <c r="E1760" s="1">
        <v>13</v>
      </c>
      <c r="F1760" s="1">
        <v>7</v>
      </c>
      <c r="G1760" s="1">
        <v>37.869999999999997</v>
      </c>
      <c r="H1760" s="1" t="s">
        <v>156</v>
      </c>
      <c r="I1760" s="1" t="s">
        <v>39</v>
      </c>
      <c r="J1760" s="1">
        <v>112</v>
      </c>
      <c r="K1760" s="1">
        <v>0.62</v>
      </c>
      <c r="L1760" s="4">
        <v>20.88</v>
      </c>
      <c r="M1760" s="1">
        <v>0.35</v>
      </c>
      <c r="N1760" s="1">
        <v>7</v>
      </c>
      <c r="O1760" s="1">
        <v>0.93</v>
      </c>
      <c r="P1760" s="1">
        <v>333</v>
      </c>
      <c r="Q1760" s="1">
        <v>13.07</v>
      </c>
      <c r="R1760" s="1">
        <v>0.27</v>
      </c>
      <c r="S1760" s="2">
        <v>45635</v>
      </c>
      <c r="T1760" s="1">
        <v>176.05</v>
      </c>
      <c r="U1760" s="1">
        <v>0.63900000000000001</v>
      </c>
      <c r="V1760" s="6">
        <f t="shared" si="81"/>
        <v>3382.56</v>
      </c>
      <c r="W1760" s="6" t="str">
        <f t="shared" si="82"/>
        <v>Sufficient</v>
      </c>
      <c r="X1760" s="8" t="str">
        <f t="shared" si="83"/>
        <v>Medium</v>
      </c>
    </row>
    <row r="1761" spans="1:24">
      <c r="A1761" s="7" t="s">
        <v>1891</v>
      </c>
      <c r="B1761" s="1" t="s">
        <v>29</v>
      </c>
      <c r="C1761" s="1">
        <v>123</v>
      </c>
      <c r="D1761" s="1">
        <v>65</v>
      </c>
      <c r="E1761" s="1">
        <v>9</v>
      </c>
      <c r="F1761" s="1">
        <v>3</v>
      </c>
      <c r="G1761" s="1">
        <v>11.23</v>
      </c>
      <c r="H1761" s="1" t="s">
        <v>200</v>
      </c>
      <c r="I1761" s="1" t="s">
        <v>27</v>
      </c>
      <c r="J1761" s="1">
        <v>70</v>
      </c>
      <c r="K1761" s="1">
        <v>3.6</v>
      </c>
      <c r="L1761" s="4">
        <v>90.96</v>
      </c>
      <c r="M1761" s="1">
        <v>1.27</v>
      </c>
      <c r="N1761" s="1">
        <v>8</v>
      </c>
      <c r="O1761" s="1">
        <v>0.94</v>
      </c>
      <c r="P1761" s="1">
        <v>85</v>
      </c>
      <c r="Q1761" s="1">
        <v>12.63</v>
      </c>
      <c r="R1761" s="1">
        <v>0.3</v>
      </c>
      <c r="S1761" s="2">
        <v>45475</v>
      </c>
      <c r="T1761" s="1">
        <v>197.44</v>
      </c>
      <c r="U1761" s="1">
        <v>0.52900000000000003</v>
      </c>
      <c r="V1761" s="6">
        <f t="shared" si="81"/>
        <v>11188.08</v>
      </c>
      <c r="W1761" s="6" t="str">
        <f t="shared" si="82"/>
        <v>Sufficient</v>
      </c>
      <c r="X1761" s="8" t="str">
        <f t="shared" si="83"/>
        <v>Medium</v>
      </c>
    </row>
    <row r="1762" spans="1:24">
      <c r="A1762" s="7" t="s">
        <v>1892</v>
      </c>
      <c r="B1762" s="1" t="s">
        <v>41</v>
      </c>
      <c r="C1762" s="1">
        <v>479</v>
      </c>
      <c r="D1762" s="1">
        <v>98</v>
      </c>
      <c r="E1762" s="1">
        <v>10</v>
      </c>
      <c r="F1762" s="1">
        <v>6</v>
      </c>
      <c r="G1762" s="1">
        <v>10.64</v>
      </c>
      <c r="H1762" s="1" t="s">
        <v>178</v>
      </c>
      <c r="I1762" s="1" t="s">
        <v>27</v>
      </c>
      <c r="J1762" s="1">
        <v>177</v>
      </c>
      <c r="K1762" s="1">
        <v>1.9</v>
      </c>
      <c r="L1762" s="4">
        <v>110.66</v>
      </c>
      <c r="M1762" s="1">
        <v>1.2</v>
      </c>
      <c r="N1762" s="1">
        <v>9</v>
      </c>
      <c r="O1762" s="1">
        <v>0.73</v>
      </c>
      <c r="P1762" s="1">
        <v>326</v>
      </c>
      <c r="Q1762" s="1">
        <v>6.34</v>
      </c>
      <c r="R1762" s="1">
        <v>0.44</v>
      </c>
      <c r="S1762" s="2">
        <v>45551</v>
      </c>
      <c r="T1762" s="1">
        <v>19.899999999999999</v>
      </c>
      <c r="U1762" s="1">
        <v>0.41899999999999998</v>
      </c>
      <c r="V1762" s="6">
        <f t="shared" si="81"/>
        <v>53006.14</v>
      </c>
      <c r="W1762" s="6" t="str">
        <f t="shared" si="82"/>
        <v>Sufficient</v>
      </c>
      <c r="X1762" s="8" t="str">
        <f t="shared" si="83"/>
        <v>High</v>
      </c>
    </row>
    <row r="1763" spans="1:24">
      <c r="A1763" s="7" t="s">
        <v>1893</v>
      </c>
      <c r="B1763" s="1" t="s">
        <v>25</v>
      </c>
      <c r="C1763" s="1">
        <v>425</v>
      </c>
      <c r="D1763" s="1">
        <v>49</v>
      </c>
      <c r="E1763" s="1">
        <v>6</v>
      </c>
      <c r="F1763" s="1">
        <v>3</v>
      </c>
      <c r="G1763" s="1">
        <v>32.49</v>
      </c>
      <c r="H1763" s="1" t="s">
        <v>34</v>
      </c>
      <c r="I1763" s="1" t="s">
        <v>39</v>
      </c>
      <c r="J1763" s="1">
        <v>113</v>
      </c>
      <c r="K1763" s="1">
        <v>2.93</v>
      </c>
      <c r="L1763" s="4">
        <v>57.9</v>
      </c>
      <c r="M1763" s="1">
        <v>1</v>
      </c>
      <c r="N1763" s="1">
        <v>0</v>
      </c>
      <c r="O1763" s="1">
        <v>0.91</v>
      </c>
      <c r="P1763" s="1">
        <v>745</v>
      </c>
      <c r="Q1763" s="1">
        <v>6.76</v>
      </c>
      <c r="R1763" s="1">
        <v>0.48</v>
      </c>
      <c r="S1763" s="2">
        <v>45445</v>
      </c>
      <c r="T1763" s="1">
        <v>29.56</v>
      </c>
      <c r="U1763" s="1">
        <v>0.66800000000000004</v>
      </c>
      <c r="V1763" s="6">
        <f t="shared" si="81"/>
        <v>24607.5</v>
      </c>
      <c r="W1763" s="6" t="str">
        <f t="shared" si="82"/>
        <v>Sufficient</v>
      </c>
      <c r="X1763" s="8" t="str">
        <f t="shared" si="83"/>
        <v>High</v>
      </c>
    </row>
    <row r="1764" spans="1:24">
      <c r="A1764" s="7" t="s">
        <v>1894</v>
      </c>
      <c r="B1764" s="1" t="s">
        <v>66</v>
      </c>
      <c r="C1764" s="1">
        <v>233</v>
      </c>
      <c r="D1764" s="1">
        <v>86</v>
      </c>
      <c r="E1764" s="1">
        <v>9</v>
      </c>
      <c r="F1764" s="1">
        <v>6</v>
      </c>
      <c r="G1764" s="1">
        <v>23.45</v>
      </c>
      <c r="H1764" s="1" t="s">
        <v>440</v>
      </c>
      <c r="I1764" s="1" t="s">
        <v>39</v>
      </c>
      <c r="J1764" s="1">
        <v>70</v>
      </c>
      <c r="K1764" s="1">
        <v>1.65</v>
      </c>
      <c r="L1764" s="4">
        <v>196.75</v>
      </c>
      <c r="M1764" s="1">
        <v>1.73</v>
      </c>
      <c r="N1764" s="1">
        <v>4</v>
      </c>
      <c r="O1764" s="1">
        <v>0.84</v>
      </c>
      <c r="P1764" s="1">
        <v>374</v>
      </c>
      <c r="Q1764" s="1">
        <v>5.91</v>
      </c>
      <c r="R1764" s="1">
        <v>0.83</v>
      </c>
      <c r="S1764" s="2">
        <v>45379</v>
      </c>
      <c r="T1764" s="1">
        <v>34.72</v>
      </c>
      <c r="U1764" s="1">
        <v>0.56000000000000005</v>
      </c>
      <c r="V1764" s="6">
        <f t="shared" si="81"/>
        <v>45842.75</v>
      </c>
      <c r="W1764" s="6" t="str">
        <f t="shared" si="82"/>
        <v>Sufficient</v>
      </c>
      <c r="X1764" s="8" t="str">
        <f t="shared" si="83"/>
        <v>Medium</v>
      </c>
    </row>
    <row r="1765" spans="1:24">
      <c r="A1765" s="7" t="s">
        <v>1895</v>
      </c>
      <c r="B1765" s="1" t="s">
        <v>66</v>
      </c>
      <c r="C1765" s="1">
        <v>261</v>
      </c>
      <c r="D1765" s="1">
        <v>77</v>
      </c>
      <c r="E1765" s="1">
        <v>6</v>
      </c>
      <c r="F1765" s="1">
        <v>3</v>
      </c>
      <c r="G1765" s="1">
        <v>39.82</v>
      </c>
      <c r="H1765" s="1" t="s">
        <v>178</v>
      </c>
      <c r="I1765" s="1" t="s">
        <v>27</v>
      </c>
      <c r="J1765" s="1">
        <v>85</v>
      </c>
      <c r="K1765" s="1">
        <v>3.29</v>
      </c>
      <c r="L1765" s="4">
        <v>131.78</v>
      </c>
      <c r="M1765" s="1">
        <v>0.62</v>
      </c>
      <c r="N1765" s="1">
        <v>3</v>
      </c>
      <c r="O1765" s="1">
        <v>0.74</v>
      </c>
      <c r="P1765" s="1">
        <v>715</v>
      </c>
      <c r="Q1765" s="1">
        <v>1.49</v>
      </c>
      <c r="R1765" s="1">
        <v>0.25</v>
      </c>
      <c r="S1765" s="2">
        <v>45628</v>
      </c>
      <c r="T1765" s="1">
        <v>257.16000000000003</v>
      </c>
      <c r="U1765" s="1">
        <v>0.496</v>
      </c>
      <c r="V1765" s="6">
        <f t="shared" si="81"/>
        <v>34394.58</v>
      </c>
      <c r="W1765" s="6" t="str">
        <f t="shared" si="82"/>
        <v>Sufficient</v>
      </c>
      <c r="X1765" s="8" t="str">
        <f t="shared" si="83"/>
        <v>High</v>
      </c>
    </row>
    <row r="1766" spans="1:24">
      <c r="A1766" s="7" t="s">
        <v>1896</v>
      </c>
      <c r="B1766" s="1" t="s">
        <v>29</v>
      </c>
      <c r="C1766" s="1">
        <v>450</v>
      </c>
      <c r="D1766" s="1">
        <v>55</v>
      </c>
      <c r="E1766" s="1">
        <v>5</v>
      </c>
      <c r="F1766" s="1">
        <v>8</v>
      </c>
      <c r="G1766" s="1">
        <v>2.1800000000000002</v>
      </c>
      <c r="H1766" s="1" t="s">
        <v>85</v>
      </c>
      <c r="I1766" s="1" t="s">
        <v>39</v>
      </c>
      <c r="J1766" s="1">
        <v>24</v>
      </c>
      <c r="K1766" s="1">
        <v>2.5099999999999998</v>
      </c>
      <c r="L1766" s="4">
        <v>170.43</v>
      </c>
      <c r="M1766" s="1">
        <v>0.13</v>
      </c>
      <c r="N1766" s="1">
        <v>4</v>
      </c>
      <c r="O1766" s="1">
        <v>0.78</v>
      </c>
      <c r="P1766" s="1">
        <v>231</v>
      </c>
      <c r="Q1766" s="1">
        <v>10.63</v>
      </c>
      <c r="R1766" s="1">
        <v>0.72</v>
      </c>
      <c r="S1766" s="2">
        <v>45577</v>
      </c>
      <c r="T1766" s="1">
        <v>278.73</v>
      </c>
      <c r="U1766" s="1">
        <v>0.749</v>
      </c>
      <c r="V1766" s="6">
        <f t="shared" si="81"/>
        <v>76693.5</v>
      </c>
      <c r="W1766" s="6" t="str">
        <f t="shared" si="82"/>
        <v>Sufficient</v>
      </c>
      <c r="X1766" s="8" t="str">
        <f t="shared" si="83"/>
        <v>High</v>
      </c>
    </row>
    <row r="1767" spans="1:24">
      <c r="A1767" s="7" t="s">
        <v>1897</v>
      </c>
      <c r="B1767" s="1" t="s">
        <v>25</v>
      </c>
      <c r="C1767" s="1">
        <v>228</v>
      </c>
      <c r="D1767" s="1">
        <v>87</v>
      </c>
      <c r="E1767" s="1">
        <v>8</v>
      </c>
      <c r="F1767" s="1">
        <v>5</v>
      </c>
      <c r="G1767" s="1">
        <v>30.91</v>
      </c>
      <c r="H1767" s="1" t="s">
        <v>97</v>
      </c>
      <c r="I1767" s="1" t="s">
        <v>31</v>
      </c>
      <c r="J1767" s="1">
        <v>141</v>
      </c>
      <c r="K1767" s="1">
        <v>2.67</v>
      </c>
      <c r="L1767" s="4">
        <v>89</v>
      </c>
      <c r="M1767" s="1">
        <v>0.71</v>
      </c>
      <c r="N1767" s="1">
        <v>8</v>
      </c>
      <c r="O1767" s="1">
        <v>0.71</v>
      </c>
      <c r="P1767" s="1">
        <v>520</v>
      </c>
      <c r="Q1767" s="1">
        <v>4.82</v>
      </c>
      <c r="R1767" s="1">
        <v>0.38</v>
      </c>
      <c r="S1767" s="2">
        <v>45384</v>
      </c>
      <c r="T1767" s="1">
        <v>136.94</v>
      </c>
      <c r="U1767" s="1">
        <v>0.45100000000000001</v>
      </c>
      <c r="V1767" s="6">
        <f t="shared" si="81"/>
        <v>20292</v>
      </c>
      <c r="W1767" s="6" t="str">
        <f t="shared" si="82"/>
        <v>Sufficient</v>
      </c>
      <c r="X1767" s="8" t="str">
        <f t="shared" si="83"/>
        <v>Medium</v>
      </c>
    </row>
    <row r="1768" spans="1:24">
      <c r="A1768" s="7" t="s">
        <v>1898</v>
      </c>
      <c r="B1768" s="1" t="s">
        <v>33</v>
      </c>
      <c r="C1768" s="1">
        <v>112</v>
      </c>
      <c r="D1768" s="1">
        <v>22</v>
      </c>
      <c r="E1768" s="1">
        <v>6</v>
      </c>
      <c r="F1768" s="1">
        <v>9</v>
      </c>
      <c r="G1768" s="1">
        <v>36.799999999999997</v>
      </c>
      <c r="H1768" s="1" t="s">
        <v>331</v>
      </c>
      <c r="I1768" s="1" t="s">
        <v>39</v>
      </c>
      <c r="J1768" s="1">
        <v>160</v>
      </c>
      <c r="K1768" s="1">
        <v>4.74</v>
      </c>
      <c r="L1768" s="4">
        <v>77.25</v>
      </c>
      <c r="M1768" s="1">
        <v>0.12</v>
      </c>
      <c r="N1768" s="1">
        <v>2</v>
      </c>
      <c r="O1768" s="1">
        <v>0.81</v>
      </c>
      <c r="P1768" s="1">
        <v>861</v>
      </c>
      <c r="Q1768" s="1">
        <v>13.38</v>
      </c>
      <c r="R1768" s="1">
        <v>0.51</v>
      </c>
      <c r="S1768" s="2">
        <v>45442</v>
      </c>
      <c r="T1768" s="1">
        <v>263.69</v>
      </c>
      <c r="U1768" s="1">
        <v>0.79</v>
      </c>
      <c r="V1768" s="6">
        <f t="shared" si="81"/>
        <v>8652</v>
      </c>
      <c r="W1768" s="6" t="str">
        <f t="shared" si="82"/>
        <v>Sufficient</v>
      </c>
      <c r="X1768" s="8" t="str">
        <f t="shared" si="83"/>
        <v>Medium</v>
      </c>
    </row>
    <row r="1769" spans="1:24">
      <c r="A1769" s="7" t="s">
        <v>1899</v>
      </c>
      <c r="B1769" s="1" t="s">
        <v>25</v>
      </c>
      <c r="C1769" s="1">
        <v>449</v>
      </c>
      <c r="D1769" s="1">
        <v>36</v>
      </c>
      <c r="E1769" s="1">
        <v>5</v>
      </c>
      <c r="F1769" s="1">
        <v>2</v>
      </c>
      <c r="G1769" s="1">
        <v>49.68</v>
      </c>
      <c r="H1769" s="1" t="s">
        <v>103</v>
      </c>
      <c r="I1769" s="1" t="s">
        <v>31</v>
      </c>
      <c r="J1769" s="1">
        <v>164</v>
      </c>
      <c r="K1769" s="1">
        <v>3.68</v>
      </c>
      <c r="L1769" s="4">
        <v>115.1</v>
      </c>
      <c r="M1769" s="1">
        <v>1.1299999999999999</v>
      </c>
      <c r="N1769" s="1">
        <v>0</v>
      </c>
      <c r="O1769" s="1">
        <v>0.78</v>
      </c>
      <c r="P1769" s="1">
        <v>466</v>
      </c>
      <c r="Q1769" s="1">
        <v>13.56</v>
      </c>
      <c r="R1769" s="1">
        <v>0.2</v>
      </c>
      <c r="S1769" s="2">
        <v>45341</v>
      </c>
      <c r="T1769" s="1">
        <v>148.1</v>
      </c>
      <c r="U1769" s="1">
        <v>0.66400000000000003</v>
      </c>
      <c r="V1769" s="6">
        <f t="shared" si="81"/>
        <v>51679.899999999994</v>
      </c>
      <c r="W1769" s="6" t="str">
        <f t="shared" si="82"/>
        <v>Sufficient</v>
      </c>
      <c r="X1769" s="8" t="str">
        <f t="shared" si="83"/>
        <v>High</v>
      </c>
    </row>
    <row r="1770" spans="1:24">
      <c r="A1770" s="7" t="s">
        <v>1900</v>
      </c>
      <c r="B1770" s="1" t="s">
        <v>66</v>
      </c>
      <c r="C1770" s="1">
        <v>161</v>
      </c>
      <c r="D1770" s="1">
        <v>15</v>
      </c>
      <c r="E1770" s="1">
        <v>11</v>
      </c>
      <c r="F1770" s="1">
        <v>8</v>
      </c>
      <c r="G1770" s="1">
        <v>34.26</v>
      </c>
      <c r="H1770" s="1" t="s">
        <v>119</v>
      </c>
      <c r="I1770" s="1" t="s">
        <v>31</v>
      </c>
      <c r="J1770" s="1">
        <v>112</v>
      </c>
      <c r="K1770" s="1">
        <v>1.68</v>
      </c>
      <c r="L1770" s="4">
        <v>92.7</v>
      </c>
      <c r="M1770" s="1">
        <v>0.82</v>
      </c>
      <c r="N1770" s="1">
        <v>2</v>
      </c>
      <c r="O1770" s="1">
        <v>0.81</v>
      </c>
      <c r="P1770" s="1">
        <v>715</v>
      </c>
      <c r="Q1770" s="1">
        <v>11.12</v>
      </c>
      <c r="R1770" s="1">
        <v>0.43</v>
      </c>
      <c r="S1770" s="2">
        <v>45533</v>
      </c>
      <c r="T1770" s="1">
        <v>126.33</v>
      </c>
      <c r="U1770" s="1">
        <v>0.67400000000000004</v>
      </c>
      <c r="V1770" s="6">
        <f t="shared" si="81"/>
        <v>14924.7</v>
      </c>
      <c r="W1770" s="6" t="str">
        <f t="shared" si="82"/>
        <v>Sufficient</v>
      </c>
      <c r="X1770" s="8" t="str">
        <f t="shared" si="83"/>
        <v>Medium</v>
      </c>
    </row>
    <row r="1771" spans="1:24">
      <c r="A1771" s="7" t="s">
        <v>1901</v>
      </c>
      <c r="B1771" s="1" t="s">
        <v>66</v>
      </c>
      <c r="C1771" s="1">
        <v>453</v>
      </c>
      <c r="D1771" s="1">
        <v>26</v>
      </c>
      <c r="E1771" s="1">
        <v>7</v>
      </c>
      <c r="F1771" s="1">
        <v>5</v>
      </c>
      <c r="G1771" s="1">
        <v>12.36</v>
      </c>
      <c r="H1771" s="1" t="s">
        <v>95</v>
      </c>
      <c r="I1771" s="1" t="s">
        <v>39</v>
      </c>
      <c r="J1771" s="1">
        <v>174</v>
      </c>
      <c r="K1771" s="1">
        <v>2.77</v>
      </c>
      <c r="L1771" s="4">
        <v>145.84</v>
      </c>
      <c r="M1771" s="1">
        <v>1.65</v>
      </c>
      <c r="N1771" s="1">
        <v>3</v>
      </c>
      <c r="O1771" s="1">
        <v>0.87</v>
      </c>
      <c r="P1771" s="1">
        <v>938</v>
      </c>
      <c r="Q1771" s="1">
        <v>3.54</v>
      </c>
      <c r="R1771" s="1">
        <v>0.34</v>
      </c>
      <c r="S1771" s="2">
        <v>45357</v>
      </c>
      <c r="T1771" s="1">
        <v>164.06</v>
      </c>
      <c r="U1771" s="1">
        <v>0.46400000000000002</v>
      </c>
      <c r="V1771" s="6">
        <f t="shared" si="81"/>
        <v>66065.52</v>
      </c>
      <c r="W1771" s="6" t="str">
        <f t="shared" si="82"/>
        <v>Sufficient</v>
      </c>
      <c r="X1771" s="8" t="str">
        <f t="shared" si="83"/>
        <v>High</v>
      </c>
    </row>
    <row r="1772" spans="1:24">
      <c r="A1772" s="7" t="s">
        <v>1902</v>
      </c>
      <c r="B1772" s="1" t="s">
        <v>25</v>
      </c>
      <c r="C1772" s="1">
        <v>423</v>
      </c>
      <c r="D1772" s="1">
        <v>45</v>
      </c>
      <c r="E1772" s="1">
        <v>9</v>
      </c>
      <c r="F1772" s="1">
        <v>6</v>
      </c>
      <c r="G1772" s="1">
        <v>6.3</v>
      </c>
      <c r="H1772" s="1" t="s">
        <v>440</v>
      </c>
      <c r="I1772" s="1" t="s">
        <v>45</v>
      </c>
      <c r="J1772" s="1">
        <v>174</v>
      </c>
      <c r="K1772" s="1">
        <v>2.6</v>
      </c>
      <c r="L1772" s="4">
        <v>60.51</v>
      </c>
      <c r="M1772" s="1">
        <v>1.62</v>
      </c>
      <c r="N1772" s="1">
        <v>1</v>
      </c>
      <c r="O1772" s="1">
        <v>0.92</v>
      </c>
      <c r="P1772" s="1">
        <v>199</v>
      </c>
      <c r="Q1772" s="1">
        <v>2.25</v>
      </c>
      <c r="R1772" s="1">
        <v>0.6</v>
      </c>
      <c r="S1772" s="2">
        <v>45424</v>
      </c>
      <c r="T1772" s="1">
        <v>239.15</v>
      </c>
      <c r="U1772" s="1">
        <v>0.55200000000000005</v>
      </c>
      <c r="V1772" s="6">
        <f t="shared" si="81"/>
        <v>25595.73</v>
      </c>
      <c r="W1772" s="6" t="str">
        <f t="shared" si="82"/>
        <v>Sufficient</v>
      </c>
      <c r="X1772" s="8" t="str">
        <f t="shared" si="83"/>
        <v>High</v>
      </c>
    </row>
    <row r="1773" spans="1:24">
      <c r="A1773" s="7" t="s">
        <v>1903</v>
      </c>
      <c r="B1773" s="1" t="s">
        <v>25</v>
      </c>
      <c r="C1773" s="1">
        <v>453</v>
      </c>
      <c r="D1773" s="1">
        <v>90</v>
      </c>
      <c r="E1773" s="1">
        <v>14</v>
      </c>
      <c r="F1773" s="1">
        <v>7</v>
      </c>
      <c r="G1773" s="1">
        <v>32.4</v>
      </c>
      <c r="H1773" s="1" t="s">
        <v>233</v>
      </c>
      <c r="I1773" s="1" t="s">
        <v>45</v>
      </c>
      <c r="J1773" s="1">
        <v>166</v>
      </c>
      <c r="K1773" s="1">
        <v>4.08</v>
      </c>
      <c r="L1773" s="4">
        <v>95.42</v>
      </c>
      <c r="M1773" s="1">
        <v>0.93</v>
      </c>
      <c r="N1773" s="1">
        <v>0</v>
      </c>
      <c r="O1773" s="1">
        <v>0.88</v>
      </c>
      <c r="P1773" s="1">
        <v>453</v>
      </c>
      <c r="Q1773" s="1">
        <v>12.43</v>
      </c>
      <c r="R1773" s="1">
        <v>0.33</v>
      </c>
      <c r="S1773" s="2">
        <v>45578</v>
      </c>
      <c r="T1773" s="1">
        <v>74.89</v>
      </c>
      <c r="U1773" s="1">
        <v>0.71499999999999997</v>
      </c>
      <c r="V1773" s="6">
        <f t="shared" si="81"/>
        <v>43225.26</v>
      </c>
      <c r="W1773" s="6" t="str">
        <f t="shared" si="82"/>
        <v>Sufficient</v>
      </c>
      <c r="X1773" s="8" t="str">
        <f t="shared" si="83"/>
        <v>High</v>
      </c>
    </row>
    <row r="1774" spans="1:24">
      <c r="A1774" s="7" t="s">
        <v>1904</v>
      </c>
      <c r="B1774" s="1" t="s">
        <v>66</v>
      </c>
      <c r="C1774" s="1">
        <v>131</v>
      </c>
      <c r="D1774" s="1">
        <v>11</v>
      </c>
      <c r="E1774" s="1">
        <v>8</v>
      </c>
      <c r="F1774" s="1">
        <v>7</v>
      </c>
      <c r="G1774" s="1">
        <v>26.64</v>
      </c>
      <c r="H1774" s="1" t="s">
        <v>221</v>
      </c>
      <c r="I1774" s="1" t="s">
        <v>31</v>
      </c>
      <c r="J1774" s="1">
        <v>166</v>
      </c>
      <c r="K1774" s="1">
        <v>4.25</v>
      </c>
      <c r="L1774" s="4">
        <v>180.08</v>
      </c>
      <c r="M1774" s="1">
        <v>0.51</v>
      </c>
      <c r="N1774" s="1">
        <v>0</v>
      </c>
      <c r="O1774" s="1">
        <v>0.9</v>
      </c>
      <c r="P1774" s="1">
        <v>563</v>
      </c>
      <c r="Q1774" s="1">
        <v>13.5</v>
      </c>
      <c r="R1774" s="1">
        <v>0.87</v>
      </c>
      <c r="S1774" s="2">
        <v>45385</v>
      </c>
      <c r="T1774" s="1">
        <v>97.5</v>
      </c>
      <c r="U1774" s="1">
        <v>0.88300000000000001</v>
      </c>
      <c r="V1774" s="6">
        <f t="shared" si="81"/>
        <v>23590.480000000003</v>
      </c>
      <c r="W1774" s="6" t="str">
        <f t="shared" si="82"/>
        <v>Sufficient</v>
      </c>
      <c r="X1774" s="8" t="str">
        <f t="shared" si="83"/>
        <v>Medium</v>
      </c>
    </row>
    <row r="1775" spans="1:24">
      <c r="A1775" s="7" t="s">
        <v>1905</v>
      </c>
      <c r="B1775" s="1" t="s">
        <v>33</v>
      </c>
      <c r="C1775" s="1">
        <v>436</v>
      </c>
      <c r="D1775" s="1">
        <v>86</v>
      </c>
      <c r="E1775" s="1">
        <v>12</v>
      </c>
      <c r="F1775" s="1">
        <v>4</v>
      </c>
      <c r="G1775" s="1">
        <v>45.06</v>
      </c>
      <c r="H1775" s="1" t="s">
        <v>156</v>
      </c>
      <c r="I1775" s="1" t="s">
        <v>39</v>
      </c>
      <c r="J1775" s="1">
        <v>84</v>
      </c>
      <c r="K1775" s="1">
        <v>1.78</v>
      </c>
      <c r="L1775" s="4">
        <v>153.66</v>
      </c>
      <c r="M1775" s="1">
        <v>0.9</v>
      </c>
      <c r="N1775" s="1">
        <v>7</v>
      </c>
      <c r="O1775" s="1">
        <v>0.96</v>
      </c>
      <c r="P1775" s="1">
        <v>858</v>
      </c>
      <c r="Q1775" s="1">
        <v>5.93</v>
      </c>
      <c r="R1775" s="1">
        <v>0.91</v>
      </c>
      <c r="S1775" s="2">
        <v>45640</v>
      </c>
      <c r="T1775" s="1">
        <v>256.17</v>
      </c>
      <c r="U1775" s="1">
        <v>0.623</v>
      </c>
      <c r="V1775" s="6">
        <f t="shared" si="81"/>
        <v>66995.759999999995</v>
      </c>
      <c r="W1775" s="6" t="str">
        <f t="shared" si="82"/>
        <v>Sufficient</v>
      </c>
      <c r="X1775" s="8" t="str">
        <f t="shared" si="83"/>
        <v>High</v>
      </c>
    </row>
    <row r="1776" spans="1:24">
      <c r="A1776" s="7" t="s">
        <v>1906</v>
      </c>
      <c r="B1776" s="1" t="s">
        <v>29</v>
      </c>
      <c r="C1776" s="1">
        <v>394</v>
      </c>
      <c r="D1776" s="1">
        <v>61</v>
      </c>
      <c r="E1776" s="1">
        <v>7</v>
      </c>
      <c r="F1776" s="1">
        <v>5</v>
      </c>
      <c r="G1776" s="1">
        <v>36.6</v>
      </c>
      <c r="H1776" s="1" t="s">
        <v>216</v>
      </c>
      <c r="I1776" s="1" t="s">
        <v>31</v>
      </c>
      <c r="J1776" s="1">
        <v>37</v>
      </c>
      <c r="K1776" s="1">
        <v>4.2</v>
      </c>
      <c r="L1776" s="4">
        <v>41.93</v>
      </c>
      <c r="M1776" s="1">
        <v>1.32</v>
      </c>
      <c r="N1776" s="1">
        <v>3</v>
      </c>
      <c r="O1776" s="1">
        <v>0.96</v>
      </c>
      <c r="P1776" s="1">
        <v>615</v>
      </c>
      <c r="Q1776" s="1">
        <v>5.94</v>
      </c>
      <c r="R1776" s="1">
        <v>0.88</v>
      </c>
      <c r="S1776" s="2">
        <v>45463</v>
      </c>
      <c r="T1776" s="1">
        <v>275.63</v>
      </c>
      <c r="U1776" s="1">
        <v>0.65500000000000003</v>
      </c>
      <c r="V1776" s="6">
        <f t="shared" si="81"/>
        <v>16520.419999999998</v>
      </c>
      <c r="W1776" s="6" t="str">
        <f t="shared" si="82"/>
        <v>Sufficient</v>
      </c>
      <c r="X1776" s="8" t="str">
        <f t="shared" si="83"/>
        <v>High</v>
      </c>
    </row>
    <row r="1777" spans="1:24">
      <c r="A1777" s="7" t="s">
        <v>1907</v>
      </c>
      <c r="B1777" s="1" t="s">
        <v>29</v>
      </c>
      <c r="C1777" s="1">
        <v>78</v>
      </c>
      <c r="D1777" s="1">
        <v>75</v>
      </c>
      <c r="E1777" s="1">
        <v>9</v>
      </c>
      <c r="F1777" s="1">
        <v>3</v>
      </c>
      <c r="G1777" s="1">
        <v>25.98</v>
      </c>
      <c r="H1777" s="1" t="s">
        <v>153</v>
      </c>
      <c r="I1777" s="1" t="s">
        <v>39</v>
      </c>
      <c r="J1777" s="1">
        <v>83</v>
      </c>
      <c r="K1777" s="1">
        <v>1.31</v>
      </c>
      <c r="L1777" s="4">
        <v>178.5</v>
      </c>
      <c r="M1777" s="1">
        <v>0.46</v>
      </c>
      <c r="N1777" s="1">
        <v>1</v>
      </c>
      <c r="O1777" s="1">
        <v>0.96</v>
      </c>
      <c r="P1777" s="1">
        <v>490</v>
      </c>
      <c r="Q1777" s="1">
        <v>6.46</v>
      </c>
      <c r="R1777" s="1">
        <v>0.99</v>
      </c>
      <c r="S1777" s="2">
        <v>45627</v>
      </c>
      <c r="T1777" s="1">
        <v>45.67</v>
      </c>
      <c r="U1777" s="1">
        <v>0.81</v>
      </c>
      <c r="V1777" s="6">
        <f t="shared" si="81"/>
        <v>13923</v>
      </c>
      <c r="W1777" s="6" t="str">
        <f t="shared" si="82"/>
        <v>Sufficient</v>
      </c>
      <c r="X1777" s="8" t="str">
        <f t="shared" si="83"/>
        <v>LOW</v>
      </c>
    </row>
    <row r="1778" spans="1:24">
      <c r="A1778" s="7" t="s">
        <v>1908</v>
      </c>
      <c r="B1778" s="1" t="s">
        <v>25</v>
      </c>
      <c r="C1778" s="1">
        <v>62</v>
      </c>
      <c r="D1778" s="1">
        <v>61</v>
      </c>
      <c r="E1778" s="1">
        <v>13</v>
      </c>
      <c r="F1778" s="1">
        <v>2</v>
      </c>
      <c r="G1778" s="1">
        <v>20.78</v>
      </c>
      <c r="H1778" s="1" t="s">
        <v>233</v>
      </c>
      <c r="I1778" s="1" t="s">
        <v>39</v>
      </c>
      <c r="J1778" s="1">
        <v>142</v>
      </c>
      <c r="K1778" s="1">
        <v>3.93</v>
      </c>
      <c r="L1778" s="4">
        <v>121.91</v>
      </c>
      <c r="M1778" s="1">
        <v>1.57</v>
      </c>
      <c r="N1778" s="1">
        <v>9</v>
      </c>
      <c r="O1778" s="1">
        <v>0.75</v>
      </c>
      <c r="P1778" s="1">
        <v>963</v>
      </c>
      <c r="Q1778" s="1">
        <v>12.59</v>
      </c>
      <c r="R1778" s="1">
        <v>0.93</v>
      </c>
      <c r="S1778" s="2">
        <v>45337</v>
      </c>
      <c r="T1778" s="1">
        <v>214.43</v>
      </c>
      <c r="U1778" s="1">
        <v>0.56699999999999995</v>
      </c>
      <c r="V1778" s="6">
        <f t="shared" si="81"/>
        <v>7558.42</v>
      </c>
      <c r="W1778" s="6" t="str">
        <f t="shared" si="82"/>
        <v>Sufficient</v>
      </c>
      <c r="X1778" s="8" t="str">
        <f t="shared" si="83"/>
        <v>LOW</v>
      </c>
    </row>
    <row r="1779" spans="1:24">
      <c r="A1779" s="7" t="s">
        <v>1909</v>
      </c>
      <c r="B1779" s="1" t="s">
        <v>29</v>
      </c>
      <c r="C1779" s="1">
        <v>226</v>
      </c>
      <c r="D1779" s="1">
        <v>52</v>
      </c>
      <c r="E1779" s="1">
        <v>8</v>
      </c>
      <c r="F1779" s="1">
        <v>3</v>
      </c>
      <c r="G1779" s="1">
        <v>20.81</v>
      </c>
      <c r="H1779" s="1" t="s">
        <v>36</v>
      </c>
      <c r="I1779" s="1" t="s">
        <v>27</v>
      </c>
      <c r="J1779" s="1">
        <v>134</v>
      </c>
      <c r="K1779" s="1">
        <v>1.62</v>
      </c>
      <c r="L1779" s="4">
        <v>139.06</v>
      </c>
      <c r="M1779" s="1">
        <v>0.73</v>
      </c>
      <c r="N1779" s="1">
        <v>2</v>
      </c>
      <c r="O1779" s="1">
        <v>0.78</v>
      </c>
      <c r="P1779" s="1">
        <v>950</v>
      </c>
      <c r="Q1779" s="1">
        <v>10.9</v>
      </c>
      <c r="R1779" s="1">
        <v>0.42</v>
      </c>
      <c r="S1779" s="2">
        <v>45405</v>
      </c>
      <c r="T1779" s="1">
        <v>12.79</v>
      </c>
      <c r="U1779" s="1">
        <v>0.67200000000000004</v>
      </c>
      <c r="V1779" s="6">
        <f t="shared" si="81"/>
        <v>31427.56</v>
      </c>
      <c r="W1779" s="6" t="str">
        <f t="shared" si="82"/>
        <v>Sufficient</v>
      </c>
      <c r="X1779" s="8" t="str">
        <f t="shared" si="83"/>
        <v>Medium</v>
      </c>
    </row>
    <row r="1780" spans="1:24">
      <c r="A1780" s="7" t="s">
        <v>1910</v>
      </c>
      <c r="B1780" s="1" t="s">
        <v>66</v>
      </c>
      <c r="C1780" s="1">
        <v>287</v>
      </c>
      <c r="D1780" s="1">
        <v>99</v>
      </c>
      <c r="E1780" s="1">
        <v>12</v>
      </c>
      <c r="F1780" s="1">
        <v>3</v>
      </c>
      <c r="G1780" s="1">
        <v>12.09</v>
      </c>
      <c r="H1780" s="1" t="s">
        <v>26</v>
      </c>
      <c r="I1780" s="1" t="s">
        <v>45</v>
      </c>
      <c r="J1780" s="1">
        <v>65</v>
      </c>
      <c r="K1780" s="1">
        <v>1.84</v>
      </c>
      <c r="L1780" s="4">
        <v>65.91</v>
      </c>
      <c r="M1780" s="1">
        <v>1.87</v>
      </c>
      <c r="N1780" s="1">
        <v>7</v>
      </c>
      <c r="O1780" s="1">
        <v>0.85</v>
      </c>
      <c r="P1780" s="1">
        <v>295</v>
      </c>
      <c r="Q1780" s="1">
        <v>2.71</v>
      </c>
      <c r="R1780" s="1">
        <v>0.45</v>
      </c>
      <c r="S1780" s="2">
        <v>45473</v>
      </c>
      <c r="T1780" s="1">
        <v>81.39</v>
      </c>
      <c r="U1780" s="1">
        <v>0.36899999999999999</v>
      </c>
      <c r="V1780" s="6">
        <f t="shared" si="81"/>
        <v>18916.169999999998</v>
      </c>
      <c r="W1780" s="6" t="str">
        <f t="shared" si="82"/>
        <v>Sufficient</v>
      </c>
      <c r="X1780" s="8" t="str">
        <f t="shared" si="83"/>
        <v>High</v>
      </c>
    </row>
    <row r="1781" spans="1:24">
      <c r="A1781" s="7" t="s">
        <v>1911</v>
      </c>
      <c r="B1781" s="1" t="s">
        <v>66</v>
      </c>
      <c r="C1781" s="1">
        <v>315</v>
      </c>
      <c r="D1781" s="1">
        <v>31</v>
      </c>
      <c r="E1781" s="1">
        <v>4</v>
      </c>
      <c r="F1781" s="1">
        <v>5</v>
      </c>
      <c r="G1781" s="1">
        <v>1.85</v>
      </c>
      <c r="H1781" s="1" t="s">
        <v>34</v>
      </c>
      <c r="I1781" s="1" t="s">
        <v>45</v>
      </c>
      <c r="J1781" s="1">
        <v>73</v>
      </c>
      <c r="K1781" s="1">
        <v>4.34</v>
      </c>
      <c r="L1781" s="4">
        <v>93.89</v>
      </c>
      <c r="M1781" s="1">
        <v>1.07</v>
      </c>
      <c r="N1781" s="1">
        <v>5</v>
      </c>
      <c r="O1781" s="1">
        <v>0.81</v>
      </c>
      <c r="P1781" s="1">
        <v>95</v>
      </c>
      <c r="Q1781" s="1">
        <v>9.89</v>
      </c>
      <c r="R1781" s="1">
        <v>0.63</v>
      </c>
      <c r="S1781" s="2">
        <v>45406</v>
      </c>
      <c r="T1781" s="1">
        <v>29.9</v>
      </c>
      <c r="U1781" s="1">
        <v>0.61299999999999999</v>
      </c>
      <c r="V1781" s="6">
        <f t="shared" si="81"/>
        <v>29575.35</v>
      </c>
      <c r="W1781" s="6" t="str">
        <f t="shared" si="82"/>
        <v>Sufficient</v>
      </c>
      <c r="X1781" s="8" t="str">
        <f t="shared" si="83"/>
        <v>High</v>
      </c>
    </row>
    <row r="1782" spans="1:24">
      <c r="A1782" s="7" t="s">
        <v>1912</v>
      </c>
      <c r="B1782" s="1" t="s">
        <v>25</v>
      </c>
      <c r="C1782" s="1">
        <v>137</v>
      </c>
      <c r="D1782" s="1">
        <v>64</v>
      </c>
      <c r="E1782" s="1">
        <v>5</v>
      </c>
      <c r="F1782" s="1">
        <v>9</v>
      </c>
      <c r="G1782" s="1">
        <v>29.17</v>
      </c>
      <c r="H1782" s="1" t="s">
        <v>57</v>
      </c>
      <c r="I1782" s="1" t="s">
        <v>27</v>
      </c>
      <c r="J1782" s="1">
        <v>136</v>
      </c>
      <c r="K1782" s="1">
        <v>2.39</v>
      </c>
      <c r="L1782" s="4">
        <v>163.29</v>
      </c>
      <c r="M1782" s="1">
        <v>1.71</v>
      </c>
      <c r="N1782" s="1">
        <v>7</v>
      </c>
      <c r="O1782" s="1">
        <v>0.74</v>
      </c>
      <c r="P1782" s="1">
        <v>124</v>
      </c>
      <c r="Q1782" s="1">
        <v>1.1399999999999999</v>
      </c>
      <c r="R1782" s="1">
        <v>0.51</v>
      </c>
      <c r="S1782" s="2">
        <v>45449</v>
      </c>
      <c r="T1782" s="1">
        <v>159.46</v>
      </c>
      <c r="U1782" s="1">
        <v>0.35399999999999998</v>
      </c>
      <c r="V1782" s="6">
        <f t="shared" si="81"/>
        <v>22370.73</v>
      </c>
      <c r="W1782" s="6" t="str">
        <f t="shared" si="82"/>
        <v>Sufficient</v>
      </c>
      <c r="X1782" s="8" t="str">
        <f t="shared" si="83"/>
        <v>Medium</v>
      </c>
    </row>
    <row r="1783" spans="1:24">
      <c r="A1783" s="7" t="s">
        <v>1913</v>
      </c>
      <c r="B1783" s="1" t="s">
        <v>25</v>
      </c>
      <c r="C1783" s="1">
        <v>39</v>
      </c>
      <c r="D1783" s="1">
        <v>76</v>
      </c>
      <c r="E1783" s="1">
        <v>4</v>
      </c>
      <c r="F1783" s="1">
        <v>2</v>
      </c>
      <c r="G1783" s="1">
        <v>11.41</v>
      </c>
      <c r="H1783" s="1" t="s">
        <v>238</v>
      </c>
      <c r="I1783" s="1" t="s">
        <v>27</v>
      </c>
      <c r="J1783" s="1">
        <v>130</v>
      </c>
      <c r="K1783" s="1">
        <v>4.96</v>
      </c>
      <c r="L1783" s="4">
        <v>72.83</v>
      </c>
      <c r="M1783" s="1">
        <v>1.27</v>
      </c>
      <c r="N1783" s="1">
        <v>9</v>
      </c>
      <c r="O1783" s="1">
        <v>0.79</v>
      </c>
      <c r="P1783" s="1">
        <v>198</v>
      </c>
      <c r="Q1783" s="1">
        <v>10.95</v>
      </c>
      <c r="R1783" s="1">
        <v>0.98</v>
      </c>
      <c r="S1783" s="2">
        <v>45507</v>
      </c>
      <c r="T1783" s="1">
        <v>109.58</v>
      </c>
      <c r="U1783" s="1">
        <v>0.59299999999999997</v>
      </c>
      <c r="V1783" s="6">
        <f t="shared" si="81"/>
        <v>2840.37</v>
      </c>
      <c r="W1783" s="6" t="str">
        <f t="shared" si="82"/>
        <v>Reorder Required</v>
      </c>
      <c r="X1783" s="8" t="str">
        <f t="shared" si="83"/>
        <v>LOW</v>
      </c>
    </row>
    <row r="1784" spans="1:24">
      <c r="A1784" s="7" t="s">
        <v>1914</v>
      </c>
      <c r="B1784" s="1" t="s">
        <v>25</v>
      </c>
      <c r="C1784" s="1">
        <v>241</v>
      </c>
      <c r="D1784" s="1">
        <v>69</v>
      </c>
      <c r="E1784" s="1">
        <v>14</v>
      </c>
      <c r="F1784" s="1">
        <v>4</v>
      </c>
      <c r="G1784" s="1">
        <v>11.21</v>
      </c>
      <c r="H1784" s="1" t="s">
        <v>274</v>
      </c>
      <c r="I1784" s="1" t="s">
        <v>27</v>
      </c>
      <c r="J1784" s="1">
        <v>98</v>
      </c>
      <c r="K1784" s="1">
        <v>1.18</v>
      </c>
      <c r="L1784" s="4">
        <v>41.36</v>
      </c>
      <c r="M1784" s="1">
        <v>1.1499999999999999</v>
      </c>
      <c r="N1784" s="1">
        <v>4</v>
      </c>
      <c r="O1784" s="1">
        <v>0.99</v>
      </c>
      <c r="P1784" s="1">
        <v>455</v>
      </c>
      <c r="Q1784" s="1">
        <v>11.7</v>
      </c>
      <c r="R1784" s="1">
        <v>0.47</v>
      </c>
      <c r="S1784" s="2">
        <v>45461</v>
      </c>
      <c r="T1784" s="1">
        <v>49.9</v>
      </c>
      <c r="U1784" s="1">
        <v>0.65300000000000002</v>
      </c>
      <c r="V1784" s="6">
        <f t="shared" si="81"/>
        <v>9967.76</v>
      </c>
      <c r="W1784" s="6" t="str">
        <f t="shared" si="82"/>
        <v>Sufficient</v>
      </c>
      <c r="X1784" s="8" t="str">
        <f t="shared" si="83"/>
        <v>Medium</v>
      </c>
    </row>
    <row r="1785" spans="1:24">
      <c r="A1785" s="7" t="s">
        <v>1915</v>
      </c>
      <c r="B1785" s="1" t="s">
        <v>33</v>
      </c>
      <c r="C1785" s="1">
        <v>185</v>
      </c>
      <c r="D1785" s="1">
        <v>67</v>
      </c>
      <c r="E1785" s="1">
        <v>5</v>
      </c>
      <c r="F1785" s="1">
        <v>8</v>
      </c>
      <c r="G1785" s="1">
        <v>7.14</v>
      </c>
      <c r="H1785" s="1" t="s">
        <v>68</v>
      </c>
      <c r="I1785" s="1" t="s">
        <v>31</v>
      </c>
      <c r="J1785" s="1">
        <v>26</v>
      </c>
      <c r="K1785" s="1">
        <v>2.59</v>
      </c>
      <c r="L1785" s="4">
        <v>81.88</v>
      </c>
      <c r="M1785" s="1">
        <v>1.4</v>
      </c>
      <c r="N1785" s="1">
        <v>2</v>
      </c>
      <c r="O1785" s="1">
        <v>0.8</v>
      </c>
      <c r="P1785" s="1">
        <v>52</v>
      </c>
      <c r="Q1785" s="1">
        <v>12.41</v>
      </c>
      <c r="R1785" s="1">
        <v>0.79</v>
      </c>
      <c r="S1785" s="2">
        <v>45482</v>
      </c>
      <c r="T1785" s="1">
        <v>10.09</v>
      </c>
      <c r="U1785" s="1">
        <v>0.70299999999999996</v>
      </c>
      <c r="V1785" s="6">
        <f t="shared" si="81"/>
        <v>15147.8</v>
      </c>
      <c r="W1785" s="6" t="str">
        <f t="shared" si="82"/>
        <v>Sufficient</v>
      </c>
      <c r="X1785" s="8" t="str">
        <f t="shared" si="83"/>
        <v>Medium</v>
      </c>
    </row>
    <row r="1786" spans="1:24">
      <c r="A1786" s="7" t="s">
        <v>1916</v>
      </c>
      <c r="B1786" s="1" t="s">
        <v>29</v>
      </c>
      <c r="C1786" s="1">
        <v>150</v>
      </c>
      <c r="D1786" s="1">
        <v>21</v>
      </c>
      <c r="E1786" s="1">
        <v>3</v>
      </c>
      <c r="F1786" s="1">
        <v>3</v>
      </c>
      <c r="G1786" s="1">
        <v>10.29</v>
      </c>
      <c r="H1786" s="1" t="s">
        <v>113</v>
      </c>
      <c r="I1786" s="1" t="s">
        <v>31</v>
      </c>
      <c r="J1786" s="1">
        <v>106</v>
      </c>
      <c r="K1786" s="1">
        <v>3.8</v>
      </c>
      <c r="L1786" s="4">
        <v>23.15</v>
      </c>
      <c r="M1786" s="1">
        <v>1.64</v>
      </c>
      <c r="N1786" s="1">
        <v>5</v>
      </c>
      <c r="O1786" s="1">
        <v>0.83</v>
      </c>
      <c r="P1786" s="1">
        <v>58</v>
      </c>
      <c r="Q1786" s="1">
        <v>9.76</v>
      </c>
      <c r="R1786" s="1">
        <v>0.66</v>
      </c>
      <c r="S1786" s="2">
        <v>45425</v>
      </c>
      <c r="T1786" s="1">
        <v>122.63</v>
      </c>
      <c r="U1786" s="1">
        <v>0.56399999999999995</v>
      </c>
      <c r="V1786" s="6">
        <f t="shared" si="81"/>
        <v>3472.5</v>
      </c>
      <c r="W1786" s="6" t="str">
        <f t="shared" si="82"/>
        <v>Sufficient</v>
      </c>
      <c r="X1786" s="8" t="str">
        <f t="shared" si="83"/>
        <v>Medium</v>
      </c>
    </row>
    <row r="1787" spans="1:24">
      <c r="A1787" s="7" t="s">
        <v>1917</v>
      </c>
      <c r="B1787" s="1" t="s">
        <v>25</v>
      </c>
      <c r="C1787" s="1">
        <v>175</v>
      </c>
      <c r="D1787" s="1">
        <v>97</v>
      </c>
      <c r="E1787" s="1">
        <v>10</v>
      </c>
      <c r="F1787" s="1">
        <v>2</v>
      </c>
      <c r="G1787" s="1">
        <v>2.56</v>
      </c>
      <c r="H1787" s="1" t="s">
        <v>88</v>
      </c>
      <c r="I1787" s="1" t="s">
        <v>31</v>
      </c>
      <c r="J1787" s="1">
        <v>64</v>
      </c>
      <c r="K1787" s="1">
        <v>0.52</v>
      </c>
      <c r="L1787" s="4">
        <v>146.38999999999999</v>
      </c>
      <c r="M1787" s="1">
        <v>1.32</v>
      </c>
      <c r="N1787" s="1">
        <v>9</v>
      </c>
      <c r="O1787" s="1">
        <v>0.7</v>
      </c>
      <c r="P1787" s="1">
        <v>563</v>
      </c>
      <c r="Q1787" s="1">
        <v>3.53</v>
      </c>
      <c r="R1787" s="1">
        <v>0.97</v>
      </c>
      <c r="S1787" s="2">
        <v>45591</v>
      </c>
      <c r="T1787" s="1">
        <v>95.4</v>
      </c>
      <c r="U1787" s="1">
        <v>0.46899999999999997</v>
      </c>
      <c r="V1787" s="6">
        <f t="shared" si="81"/>
        <v>25618.249999999996</v>
      </c>
      <c r="W1787" s="6" t="str">
        <f t="shared" si="82"/>
        <v>Sufficient</v>
      </c>
      <c r="X1787" s="8" t="str">
        <f t="shared" si="83"/>
        <v>Medium</v>
      </c>
    </row>
    <row r="1788" spans="1:24">
      <c r="A1788" s="7" t="s">
        <v>1918</v>
      </c>
      <c r="B1788" s="1" t="s">
        <v>41</v>
      </c>
      <c r="C1788" s="1">
        <v>203</v>
      </c>
      <c r="D1788" s="1">
        <v>78</v>
      </c>
      <c r="E1788" s="1">
        <v>8</v>
      </c>
      <c r="F1788" s="1">
        <v>4</v>
      </c>
      <c r="G1788" s="1">
        <v>34.04</v>
      </c>
      <c r="H1788" s="1" t="s">
        <v>128</v>
      </c>
      <c r="I1788" s="1" t="s">
        <v>31</v>
      </c>
      <c r="J1788" s="1">
        <v>146</v>
      </c>
      <c r="K1788" s="1">
        <v>1.18</v>
      </c>
      <c r="L1788" s="4">
        <v>38.07</v>
      </c>
      <c r="M1788" s="1">
        <v>1.61</v>
      </c>
      <c r="N1788" s="1">
        <v>7</v>
      </c>
      <c r="O1788" s="1">
        <v>0.92</v>
      </c>
      <c r="P1788" s="1">
        <v>287</v>
      </c>
      <c r="Q1788" s="1">
        <v>12.11</v>
      </c>
      <c r="R1788" s="1">
        <v>0.8</v>
      </c>
      <c r="S1788" s="2">
        <v>45442</v>
      </c>
      <c r="T1788" s="1">
        <v>23.54</v>
      </c>
      <c r="U1788" s="1">
        <v>0.60399999999999998</v>
      </c>
      <c r="V1788" s="6">
        <f t="shared" si="81"/>
        <v>7728.21</v>
      </c>
      <c r="W1788" s="6" t="str">
        <f t="shared" si="82"/>
        <v>Sufficient</v>
      </c>
      <c r="X1788" s="8" t="str">
        <f t="shared" si="83"/>
        <v>Medium</v>
      </c>
    </row>
    <row r="1789" spans="1:24">
      <c r="A1789" s="7" t="s">
        <v>1919</v>
      </c>
      <c r="B1789" s="1" t="s">
        <v>41</v>
      </c>
      <c r="C1789" s="1">
        <v>109</v>
      </c>
      <c r="D1789" s="1">
        <v>93</v>
      </c>
      <c r="E1789" s="1">
        <v>4</v>
      </c>
      <c r="F1789" s="1">
        <v>8</v>
      </c>
      <c r="G1789" s="1">
        <v>20.67</v>
      </c>
      <c r="H1789" s="1" t="s">
        <v>103</v>
      </c>
      <c r="I1789" s="1" t="s">
        <v>31</v>
      </c>
      <c r="J1789" s="1">
        <v>119</v>
      </c>
      <c r="K1789" s="1">
        <v>0.59</v>
      </c>
      <c r="L1789" s="4">
        <v>64.17</v>
      </c>
      <c r="M1789" s="1">
        <v>0.46</v>
      </c>
      <c r="N1789" s="1">
        <v>4</v>
      </c>
      <c r="O1789" s="1">
        <v>0.82</v>
      </c>
      <c r="P1789" s="1">
        <v>589</v>
      </c>
      <c r="Q1789" s="1">
        <v>13.6</v>
      </c>
      <c r="R1789" s="1">
        <v>0.44</v>
      </c>
      <c r="S1789" s="2">
        <v>45529</v>
      </c>
      <c r="T1789" s="1">
        <v>257.01</v>
      </c>
      <c r="U1789" s="1">
        <v>0.70699999999999996</v>
      </c>
      <c r="V1789" s="6">
        <f t="shared" si="81"/>
        <v>6994.53</v>
      </c>
      <c r="W1789" s="6" t="str">
        <f t="shared" si="82"/>
        <v>Sufficient</v>
      </c>
      <c r="X1789" s="8" t="str">
        <f t="shared" si="83"/>
        <v>Medium</v>
      </c>
    </row>
    <row r="1790" spans="1:24">
      <c r="A1790" s="7" t="s">
        <v>1920</v>
      </c>
      <c r="B1790" s="1" t="s">
        <v>66</v>
      </c>
      <c r="C1790" s="1">
        <v>113</v>
      </c>
      <c r="D1790" s="1">
        <v>48</v>
      </c>
      <c r="E1790" s="1">
        <v>10</v>
      </c>
      <c r="F1790" s="1">
        <v>3</v>
      </c>
      <c r="G1790" s="1">
        <v>28.51</v>
      </c>
      <c r="H1790" s="1" t="s">
        <v>99</v>
      </c>
      <c r="I1790" s="1" t="s">
        <v>45</v>
      </c>
      <c r="J1790" s="1">
        <v>25</v>
      </c>
      <c r="K1790" s="1">
        <v>4.97</v>
      </c>
      <c r="L1790" s="4">
        <v>177.41</v>
      </c>
      <c r="M1790" s="1">
        <v>0.63</v>
      </c>
      <c r="N1790" s="1">
        <v>4</v>
      </c>
      <c r="O1790" s="1">
        <v>0.73</v>
      </c>
      <c r="P1790" s="1">
        <v>339</v>
      </c>
      <c r="Q1790" s="1">
        <v>9.8699999999999992</v>
      </c>
      <c r="R1790" s="1">
        <v>0.36</v>
      </c>
      <c r="S1790" s="2">
        <v>45352</v>
      </c>
      <c r="T1790" s="1">
        <v>129.13</v>
      </c>
      <c r="U1790" s="1">
        <v>0.60699999999999998</v>
      </c>
      <c r="V1790" s="6">
        <f t="shared" si="81"/>
        <v>20047.329999999998</v>
      </c>
      <c r="W1790" s="6" t="str">
        <f t="shared" si="82"/>
        <v>Sufficient</v>
      </c>
      <c r="X1790" s="8" t="str">
        <f t="shared" si="83"/>
        <v>Medium</v>
      </c>
    </row>
    <row r="1791" spans="1:24">
      <c r="A1791" s="7" t="s">
        <v>1921</v>
      </c>
      <c r="B1791" s="1" t="s">
        <v>29</v>
      </c>
      <c r="C1791" s="1">
        <v>32</v>
      </c>
      <c r="D1791" s="1">
        <v>22</v>
      </c>
      <c r="E1791" s="1">
        <v>8</v>
      </c>
      <c r="F1791" s="1">
        <v>2</v>
      </c>
      <c r="G1791" s="1">
        <v>32.21</v>
      </c>
      <c r="H1791" s="1" t="s">
        <v>171</v>
      </c>
      <c r="I1791" s="1" t="s">
        <v>45</v>
      </c>
      <c r="J1791" s="1">
        <v>153</v>
      </c>
      <c r="K1791" s="1">
        <v>3.92</v>
      </c>
      <c r="L1791" s="4">
        <v>112.69</v>
      </c>
      <c r="M1791" s="1">
        <v>0.54</v>
      </c>
      <c r="N1791" s="1">
        <v>2</v>
      </c>
      <c r="O1791" s="1">
        <v>0.99</v>
      </c>
      <c r="P1791" s="1">
        <v>230</v>
      </c>
      <c r="Q1791" s="1">
        <v>4.8499999999999996</v>
      </c>
      <c r="R1791" s="1">
        <v>0.88</v>
      </c>
      <c r="S1791" s="2">
        <v>45532</v>
      </c>
      <c r="T1791" s="1">
        <v>234.69</v>
      </c>
      <c r="U1791" s="1">
        <v>0.745</v>
      </c>
      <c r="V1791" s="6">
        <f t="shared" si="81"/>
        <v>3606.08</v>
      </c>
      <c r="W1791" s="6" t="str">
        <f t="shared" si="82"/>
        <v>Sufficient</v>
      </c>
      <c r="X1791" s="8" t="str">
        <f t="shared" si="83"/>
        <v>LOW</v>
      </c>
    </row>
    <row r="1792" spans="1:24">
      <c r="A1792" s="7" t="s">
        <v>1922</v>
      </c>
      <c r="B1792" s="1" t="s">
        <v>25</v>
      </c>
      <c r="C1792" s="1">
        <v>480</v>
      </c>
      <c r="D1792" s="1">
        <v>50</v>
      </c>
      <c r="E1792" s="1">
        <v>9</v>
      </c>
      <c r="F1792" s="1">
        <v>8</v>
      </c>
      <c r="G1792" s="1">
        <v>48.65</v>
      </c>
      <c r="H1792" s="1" t="s">
        <v>331</v>
      </c>
      <c r="I1792" s="1" t="s">
        <v>39</v>
      </c>
      <c r="J1792" s="1">
        <v>22</v>
      </c>
      <c r="K1792" s="1">
        <v>2.1800000000000002</v>
      </c>
      <c r="L1792" s="4">
        <v>71.05</v>
      </c>
      <c r="M1792" s="1">
        <v>1.62</v>
      </c>
      <c r="N1792" s="1">
        <v>2</v>
      </c>
      <c r="O1792" s="1">
        <v>0.93</v>
      </c>
      <c r="P1792" s="1">
        <v>364</v>
      </c>
      <c r="Q1792" s="1">
        <v>3.51</v>
      </c>
      <c r="R1792" s="1">
        <v>0.93</v>
      </c>
      <c r="S1792" s="2">
        <v>45319</v>
      </c>
      <c r="T1792" s="1">
        <v>132.38999999999999</v>
      </c>
      <c r="U1792" s="1">
        <v>0.61699999999999999</v>
      </c>
      <c r="V1792" s="6">
        <f t="shared" si="81"/>
        <v>34104</v>
      </c>
      <c r="W1792" s="6" t="str">
        <f t="shared" si="82"/>
        <v>Sufficient</v>
      </c>
      <c r="X1792" s="8" t="str">
        <f t="shared" si="83"/>
        <v>High</v>
      </c>
    </row>
    <row r="1793" spans="1:24">
      <c r="A1793" s="7" t="s">
        <v>1923</v>
      </c>
      <c r="B1793" s="1" t="s">
        <v>41</v>
      </c>
      <c r="C1793" s="1">
        <v>341</v>
      </c>
      <c r="D1793" s="1">
        <v>66</v>
      </c>
      <c r="E1793" s="1">
        <v>13</v>
      </c>
      <c r="F1793" s="1">
        <v>5</v>
      </c>
      <c r="G1793" s="1">
        <v>4.3499999999999996</v>
      </c>
      <c r="H1793" s="1" t="s">
        <v>282</v>
      </c>
      <c r="I1793" s="1" t="s">
        <v>45</v>
      </c>
      <c r="J1793" s="1">
        <v>87</v>
      </c>
      <c r="K1793" s="1">
        <v>1.2</v>
      </c>
      <c r="L1793" s="4">
        <v>114.06</v>
      </c>
      <c r="M1793" s="1">
        <v>0.26</v>
      </c>
      <c r="N1793" s="1">
        <v>7</v>
      </c>
      <c r="O1793" s="1">
        <v>0.92</v>
      </c>
      <c r="P1793" s="1">
        <v>315</v>
      </c>
      <c r="Q1793" s="1">
        <v>4.24</v>
      </c>
      <c r="R1793" s="1">
        <v>0.86</v>
      </c>
      <c r="S1793" s="2">
        <v>45616</v>
      </c>
      <c r="T1793" s="1">
        <v>29.58</v>
      </c>
      <c r="U1793" s="1">
        <v>0.64700000000000002</v>
      </c>
      <c r="V1793" s="6">
        <f t="shared" si="81"/>
        <v>38894.46</v>
      </c>
      <c r="W1793" s="6" t="str">
        <f t="shared" si="82"/>
        <v>Sufficient</v>
      </c>
      <c r="X1793" s="8" t="str">
        <f t="shared" si="83"/>
        <v>High</v>
      </c>
    </row>
    <row r="1794" spans="1:24">
      <c r="A1794" s="7" t="s">
        <v>1924</v>
      </c>
      <c r="B1794" s="1" t="s">
        <v>29</v>
      </c>
      <c r="C1794" s="1">
        <v>312</v>
      </c>
      <c r="D1794" s="1">
        <v>62</v>
      </c>
      <c r="E1794" s="1">
        <v>3</v>
      </c>
      <c r="F1794" s="1">
        <v>9</v>
      </c>
      <c r="G1794" s="1">
        <v>21.48</v>
      </c>
      <c r="H1794" s="1" t="s">
        <v>205</v>
      </c>
      <c r="I1794" s="1" t="s">
        <v>27</v>
      </c>
      <c r="J1794" s="1">
        <v>94</v>
      </c>
      <c r="K1794" s="1">
        <v>0.91</v>
      </c>
      <c r="L1794" s="4">
        <v>51.47</v>
      </c>
      <c r="M1794" s="1">
        <v>1.61</v>
      </c>
      <c r="N1794" s="1">
        <v>0</v>
      </c>
      <c r="O1794" s="1">
        <v>0.99</v>
      </c>
      <c r="P1794" s="1">
        <v>132</v>
      </c>
      <c r="Q1794" s="1">
        <v>1.24</v>
      </c>
      <c r="R1794" s="1">
        <v>0.79</v>
      </c>
      <c r="S1794" s="2">
        <v>45590</v>
      </c>
      <c r="T1794" s="1">
        <v>124.34</v>
      </c>
      <c r="U1794" s="1">
        <v>0.61199999999999999</v>
      </c>
      <c r="V1794" s="6">
        <f t="shared" si="81"/>
        <v>16058.64</v>
      </c>
      <c r="W1794" s="6" t="str">
        <f t="shared" si="82"/>
        <v>Sufficient</v>
      </c>
      <c r="X1794" s="8" t="str">
        <f t="shared" si="83"/>
        <v>High</v>
      </c>
    </row>
    <row r="1795" spans="1:24">
      <c r="A1795" s="7" t="s">
        <v>1925</v>
      </c>
      <c r="B1795" s="1" t="s">
        <v>66</v>
      </c>
      <c r="C1795" s="1">
        <v>452</v>
      </c>
      <c r="D1795" s="1">
        <v>21</v>
      </c>
      <c r="E1795" s="1">
        <v>9</v>
      </c>
      <c r="F1795" s="1">
        <v>7</v>
      </c>
      <c r="G1795" s="1">
        <v>13.05</v>
      </c>
      <c r="H1795" s="1" t="s">
        <v>208</v>
      </c>
      <c r="I1795" s="1" t="s">
        <v>45</v>
      </c>
      <c r="J1795" s="1">
        <v>82</v>
      </c>
      <c r="K1795" s="1">
        <v>2.89</v>
      </c>
      <c r="L1795" s="4">
        <v>14.78</v>
      </c>
      <c r="M1795" s="1">
        <v>0.84</v>
      </c>
      <c r="N1795" s="1">
        <v>3</v>
      </c>
      <c r="O1795" s="1">
        <v>0.82</v>
      </c>
      <c r="P1795" s="1">
        <v>910</v>
      </c>
      <c r="Q1795" s="1">
        <v>1.1399999999999999</v>
      </c>
      <c r="R1795" s="1">
        <v>0.46</v>
      </c>
      <c r="S1795" s="2">
        <v>45589</v>
      </c>
      <c r="T1795" s="1">
        <v>266.98</v>
      </c>
      <c r="U1795" s="1">
        <v>0.52700000000000002</v>
      </c>
      <c r="V1795" s="6">
        <f t="shared" si="81"/>
        <v>6680.5599999999995</v>
      </c>
      <c r="W1795" s="6" t="str">
        <f t="shared" si="82"/>
        <v>Sufficient</v>
      </c>
      <c r="X1795" s="8" t="str">
        <f t="shared" si="83"/>
        <v>High</v>
      </c>
    </row>
    <row r="1796" spans="1:24">
      <c r="A1796" s="7" t="s">
        <v>1926</v>
      </c>
      <c r="B1796" s="1" t="s">
        <v>33</v>
      </c>
      <c r="C1796" s="1">
        <v>249</v>
      </c>
      <c r="D1796" s="1">
        <v>22</v>
      </c>
      <c r="E1796" s="1">
        <v>5</v>
      </c>
      <c r="F1796" s="1">
        <v>7</v>
      </c>
      <c r="G1796" s="1">
        <v>24.36</v>
      </c>
      <c r="H1796" s="1" t="s">
        <v>221</v>
      </c>
      <c r="I1796" s="1" t="s">
        <v>27</v>
      </c>
      <c r="J1796" s="1">
        <v>128</v>
      </c>
      <c r="K1796" s="1">
        <v>4.8899999999999997</v>
      </c>
      <c r="L1796" s="4">
        <v>124.71</v>
      </c>
      <c r="M1796" s="1">
        <v>0.25</v>
      </c>
      <c r="N1796" s="1">
        <v>8</v>
      </c>
      <c r="O1796" s="1">
        <v>0.92</v>
      </c>
      <c r="P1796" s="1">
        <v>814</v>
      </c>
      <c r="Q1796" s="1">
        <v>5.16</v>
      </c>
      <c r="R1796" s="1">
        <v>0.6</v>
      </c>
      <c r="S1796" s="2">
        <v>45609</v>
      </c>
      <c r="T1796" s="1">
        <v>12.25</v>
      </c>
      <c r="U1796" s="1">
        <v>0.58799999999999997</v>
      </c>
      <c r="V1796" s="6">
        <f t="shared" ref="V1796:V1859" si="84">C1796*L1796</f>
        <v>31052.789999999997</v>
      </c>
      <c r="W1796" s="6" t="str">
        <f t="shared" ref="W1796:W1859" si="85">IF(C1796&lt;=D1796,"Reorder Required","Sufficient")</f>
        <v>Sufficient</v>
      </c>
      <c r="X1796" s="8" t="str">
        <f t="shared" ref="X1796:X1859" si="86">IF(C1796&lt;100,"LOW",IF(C1796&lt;250,"Medium","High"))</f>
        <v>Medium</v>
      </c>
    </row>
    <row r="1797" spans="1:24">
      <c r="A1797" s="7" t="s">
        <v>1927</v>
      </c>
      <c r="B1797" s="1" t="s">
        <v>29</v>
      </c>
      <c r="C1797" s="1">
        <v>341</v>
      </c>
      <c r="D1797" s="1">
        <v>83</v>
      </c>
      <c r="E1797" s="1">
        <v>13</v>
      </c>
      <c r="F1797" s="1">
        <v>3</v>
      </c>
      <c r="G1797" s="1">
        <v>46.1</v>
      </c>
      <c r="H1797" s="1" t="s">
        <v>266</v>
      </c>
      <c r="I1797" s="1" t="s">
        <v>45</v>
      </c>
      <c r="J1797" s="1">
        <v>178</v>
      </c>
      <c r="K1797" s="1">
        <v>3.54</v>
      </c>
      <c r="L1797" s="4">
        <v>145.68</v>
      </c>
      <c r="M1797" s="1">
        <v>0.91</v>
      </c>
      <c r="N1797" s="1">
        <v>5</v>
      </c>
      <c r="O1797" s="1">
        <v>0.76</v>
      </c>
      <c r="P1797" s="1">
        <v>307</v>
      </c>
      <c r="Q1797" s="1">
        <v>13.92</v>
      </c>
      <c r="R1797" s="1">
        <v>0.93</v>
      </c>
      <c r="S1797" s="2">
        <v>45328</v>
      </c>
      <c r="T1797" s="1">
        <v>269.64</v>
      </c>
      <c r="U1797" s="1">
        <v>0.73299999999999998</v>
      </c>
      <c r="V1797" s="6">
        <f t="shared" si="84"/>
        <v>49676.880000000005</v>
      </c>
      <c r="W1797" s="6" t="str">
        <f t="shared" si="85"/>
        <v>Sufficient</v>
      </c>
      <c r="X1797" s="8" t="str">
        <f t="shared" si="86"/>
        <v>High</v>
      </c>
    </row>
    <row r="1798" spans="1:24">
      <c r="A1798" s="7" t="s">
        <v>1928</v>
      </c>
      <c r="B1798" s="1" t="s">
        <v>29</v>
      </c>
      <c r="C1798" s="1">
        <v>311</v>
      </c>
      <c r="D1798" s="1">
        <v>66</v>
      </c>
      <c r="E1798" s="1">
        <v>14</v>
      </c>
      <c r="F1798" s="1">
        <v>3</v>
      </c>
      <c r="G1798" s="1">
        <v>36.479999999999997</v>
      </c>
      <c r="H1798" s="1" t="s">
        <v>135</v>
      </c>
      <c r="I1798" s="1" t="s">
        <v>31</v>
      </c>
      <c r="J1798" s="1">
        <v>77</v>
      </c>
      <c r="K1798" s="1">
        <v>2.14</v>
      </c>
      <c r="L1798" s="4">
        <v>177.16</v>
      </c>
      <c r="M1798" s="1">
        <v>0.67</v>
      </c>
      <c r="N1798" s="1">
        <v>5</v>
      </c>
      <c r="O1798" s="1">
        <v>0.91</v>
      </c>
      <c r="P1798" s="1">
        <v>609</v>
      </c>
      <c r="Q1798" s="1">
        <v>9.6999999999999993</v>
      </c>
      <c r="R1798" s="1">
        <v>0.31</v>
      </c>
      <c r="S1798" s="2">
        <v>45533</v>
      </c>
      <c r="T1798" s="1">
        <v>200.45</v>
      </c>
      <c r="U1798" s="1">
        <v>0.60599999999999998</v>
      </c>
      <c r="V1798" s="6">
        <f t="shared" si="84"/>
        <v>55096.76</v>
      </c>
      <c r="W1798" s="6" t="str">
        <f t="shared" si="85"/>
        <v>Sufficient</v>
      </c>
      <c r="X1798" s="8" t="str">
        <f t="shared" si="86"/>
        <v>High</v>
      </c>
    </row>
    <row r="1799" spans="1:24">
      <c r="A1799" s="7" t="s">
        <v>1929</v>
      </c>
      <c r="B1799" s="1" t="s">
        <v>33</v>
      </c>
      <c r="C1799" s="1">
        <v>457</v>
      </c>
      <c r="D1799" s="1">
        <v>49</v>
      </c>
      <c r="E1799" s="1">
        <v>10</v>
      </c>
      <c r="F1799" s="1">
        <v>8</v>
      </c>
      <c r="G1799" s="1">
        <v>33.44</v>
      </c>
      <c r="H1799" s="1" t="s">
        <v>258</v>
      </c>
      <c r="I1799" s="1" t="s">
        <v>45</v>
      </c>
      <c r="J1799" s="1">
        <v>83</v>
      </c>
      <c r="K1799" s="1">
        <v>2.75</v>
      </c>
      <c r="L1799" s="4">
        <v>156.66</v>
      </c>
      <c r="M1799" s="1">
        <v>1.22</v>
      </c>
      <c r="N1799" s="1">
        <v>9</v>
      </c>
      <c r="O1799" s="1">
        <v>0.7</v>
      </c>
      <c r="P1799" s="1">
        <v>695</v>
      </c>
      <c r="Q1799" s="1">
        <v>6.41</v>
      </c>
      <c r="R1799" s="1">
        <v>0.6</v>
      </c>
      <c r="S1799" s="2">
        <v>45391</v>
      </c>
      <c r="T1799" s="1">
        <v>298.73</v>
      </c>
      <c r="U1799" s="1">
        <v>0.443</v>
      </c>
      <c r="V1799" s="6">
        <f t="shared" si="84"/>
        <v>71593.62</v>
      </c>
      <c r="W1799" s="6" t="str">
        <f t="shared" si="85"/>
        <v>Sufficient</v>
      </c>
      <c r="X1799" s="8" t="str">
        <f t="shared" si="86"/>
        <v>High</v>
      </c>
    </row>
    <row r="1800" spans="1:24">
      <c r="A1800" s="7" t="s">
        <v>1930</v>
      </c>
      <c r="B1800" s="1" t="s">
        <v>29</v>
      </c>
      <c r="C1800" s="1">
        <v>45</v>
      </c>
      <c r="D1800" s="1">
        <v>89</v>
      </c>
      <c r="E1800" s="1">
        <v>8</v>
      </c>
      <c r="F1800" s="1">
        <v>2</v>
      </c>
      <c r="G1800" s="1">
        <v>22.62</v>
      </c>
      <c r="H1800" s="1" t="s">
        <v>106</v>
      </c>
      <c r="I1800" s="1" t="s">
        <v>39</v>
      </c>
      <c r="J1800" s="1">
        <v>108</v>
      </c>
      <c r="K1800" s="1">
        <v>5</v>
      </c>
      <c r="L1800" s="4">
        <v>186.07</v>
      </c>
      <c r="M1800" s="1">
        <v>1</v>
      </c>
      <c r="N1800" s="1">
        <v>6</v>
      </c>
      <c r="O1800" s="1">
        <v>0.74</v>
      </c>
      <c r="P1800" s="1">
        <v>861</v>
      </c>
      <c r="Q1800" s="1">
        <v>1.1499999999999999</v>
      </c>
      <c r="R1800" s="1">
        <v>0.48</v>
      </c>
      <c r="S1800" s="2">
        <v>45548</v>
      </c>
      <c r="T1800" s="1">
        <v>275.67</v>
      </c>
      <c r="U1800" s="1">
        <v>0.439</v>
      </c>
      <c r="V1800" s="6">
        <f t="shared" si="84"/>
        <v>8373.15</v>
      </c>
      <c r="W1800" s="6" t="str">
        <f t="shared" si="85"/>
        <v>Reorder Required</v>
      </c>
      <c r="X1800" s="8" t="str">
        <f t="shared" si="86"/>
        <v>LOW</v>
      </c>
    </row>
    <row r="1801" spans="1:24">
      <c r="A1801" s="7" t="s">
        <v>1931</v>
      </c>
      <c r="B1801" s="1" t="s">
        <v>66</v>
      </c>
      <c r="C1801" s="1">
        <v>94</v>
      </c>
      <c r="D1801" s="1">
        <v>54</v>
      </c>
      <c r="E1801" s="1">
        <v>6</v>
      </c>
      <c r="F1801" s="1">
        <v>7</v>
      </c>
      <c r="G1801" s="1">
        <v>33.880000000000003</v>
      </c>
      <c r="H1801" s="1" t="s">
        <v>99</v>
      </c>
      <c r="I1801" s="1" t="s">
        <v>31</v>
      </c>
      <c r="J1801" s="1">
        <v>126</v>
      </c>
      <c r="K1801" s="1">
        <v>2.83</v>
      </c>
      <c r="L1801" s="4">
        <v>197.33</v>
      </c>
      <c r="M1801" s="1">
        <v>0.66</v>
      </c>
      <c r="N1801" s="1">
        <v>6</v>
      </c>
      <c r="O1801" s="1">
        <v>0.83</v>
      </c>
      <c r="P1801" s="1">
        <v>999</v>
      </c>
      <c r="Q1801" s="1">
        <v>14.86</v>
      </c>
      <c r="R1801" s="1">
        <v>0.74</v>
      </c>
      <c r="S1801" s="2">
        <v>45353</v>
      </c>
      <c r="T1801" s="1">
        <v>262</v>
      </c>
      <c r="U1801" s="1">
        <v>0.72599999999999998</v>
      </c>
      <c r="V1801" s="6">
        <f t="shared" si="84"/>
        <v>18549.02</v>
      </c>
      <c r="W1801" s="6" t="str">
        <f t="shared" si="85"/>
        <v>Sufficient</v>
      </c>
      <c r="X1801" s="8" t="str">
        <f t="shared" si="86"/>
        <v>LOW</v>
      </c>
    </row>
    <row r="1802" spans="1:24">
      <c r="A1802" s="7" t="s">
        <v>1932</v>
      </c>
      <c r="B1802" s="1" t="s">
        <v>66</v>
      </c>
      <c r="C1802" s="1">
        <v>475</v>
      </c>
      <c r="D1802" s="1">
        <v>44</v>
      </c>
      <c r="E1802" s="1">
        <v>13</v>
      </c>
      <c r="F1802" s="1">
        <v>3</v>
      </c>
      <c r="G1802" s="1">
        <v>2.59</v>
      </c>
      <c r="H1802" s="1" t="s">
        <v>256</v>
      </c>
      <c r="I1802" s="1" t="s">
        <v>31</v>
      </c>
      <c r="J1802" s="1">
        <v>146</v>
      </c>
      <c r="K1802" s="1">
        <v>4.84</v>
      </c>
      <c r="L1802" s="4">
        <v>151.54</v>
      </c>
      <c r="M1802" s="1">
        <v>1.74</v>
      </c>
      <c r="N1802" s="1">
        <v>5</v>
      </c>
      <c r="O1802" s="1">
        <v>0.7</v>
      </c>
      <c r="P1802" s="1">
        <v>248</v>
      </c>
      <c r="Q1802" s="1">
        <v>7.38</v>
      </c>
      <c r="R1802" s="1">
        <v>0.71</v>
      </c>
      <c r="S1802" s="2">
        <v>45640</v>
      </c>
      <c r="T1802" s="1">
        <v>20.88</v>
      </c>
      <c r="U1802" s="1">
        <v>0.50600000000000001</v>
      </c>
      <c r="V1802" s="6">
        <f t="shared" si="84"/>
        <v>71981.5</v>
      </c>
      <c r="W1802" s="6" t="str">
        <f t="shared" si="85"/>
        <v>Sufficient</v>
      </c>
      <c r="X1802" s="8" t="str">
        <f t="shared" si="86"/>
        <v>High</v>
      </c>
    </row>
    <row r="1803" spans="1:24">
      <c r="A1803" s="7" t="s">
        <v>1933</v>
      </c>
      <c r="B1803" s="1" t="s">
        <v>33</v>
      </c>
      <c r="C1803" s="1">
        <v>383</v>
      </c>
      <c r="D1803" s="1">
        <v>12</v>
      </c>
      <c r="E1803" s="1">
        <v>10</v>
      </c>
      <c r="F1803" s="1">
        <v>4</v>
      </c>
      <c r="G1803" s="1">
        <v>29.73</v>
      </c>
      <c r="H1803" s="1" t="s">
        <v>143</v>
      </c>
      <c r="I1803" s="1" t="s">
        <v>39</v>
      </c>
      <c r="J1803" s="1">
        <v>155</v>
      </c>
      <c r="K1803" s="1">
        <v>0.56999999999999995</v>
      </c>
      <c r="L1803" s="4">
        <v>174.91</v>
      </c>
      <c r="M1803" s="1">
        <v>0.87</v>
      </c>
      <c r="N1803" s="1">
        <v>8</v>
      </c>
      <c r="O1803" s="1">
        <v>0.84</v>
      </c>
      <c r="P1803" s="1">
        <v>341</v>
      </c>
      <c r="Q1803" s="1">
        <v>14.88</v>
      </c>
      <c r="R1803" s="1">
        <v>0.65</v>
      </c>
      <c r="S1803" s="2">
        <v>45487</v>
      </c>
      <c r="T1803" s="1">
        <v>91.27</v>
      </c>
      <c r="U1803" s="1">
        <v>0.64900000000000002</v>
      </c>
      <c r="V1803" s="6">
        <f t="shared" si="84"/>
        <v>66990.53</v>
      </c>
      <c r="W1803" s="6" t="str">
        <f t="shared" si="85"/>
        <v>Sufficient</v>
      </c>
      <c r="X1803" s="8" t="str">
        <f t="shared" si="86"/>
        <v>High</v>
      </c>
    </row>
    <row r="1804" spans="1:24">
      <c r="A1804" s="7" t="s">
        <v>1934</v>
      </c>
      <c r="B1804" s="1" t="s">
        <v>25</v>
      </c>
      <c r="C1804" s="1">
        <v>443</v>
      </c>
      <c r="D1804" s="1">
        <v>14</v>
      </c>
      <c r="E1804" s="1">
        <v>11</v>
      </c>
      <c r="F1804" s="1">
        <v>3</v>
      </c>
      <c r="G1804" s="1">
        <v>28.14</v>
      </c>
      <c r="H1804" s="1" t="s">
        <v>258</v>
      </c>
      <c r="I1804" s="1" t="s">
        <v>45</v>
      </c>
      <c r="J1804" s="1">
        <v>147</v>
      </c>
      <c r="K1804" s="1">
        <v>3.74</v>
      </c>
      <c r="L1804" s="4">
        <v>138.01</v>
      </c>
      <c r="M1804" s="1">
        <v>0.99</v>
      </c>
      <c r="N1804" s="1">
        <v>7</v>
      </c>
      <c r="O1804" s="1">
        <v>0.86</v>
      </c>
      <c r="P1804" s="1">
        <v>697</v>
      </c>
      <c r="Q1804" s="1">
        <v>11.08</v>
      </c>
      <c r="R1804" s="1">
        <v>0.42</v>
      </c>
      <c r="S1804" s="2">
        <v>45563</v>
      </c>
      <c r="T1804" s="1">
        <v>118.68</v>
      </c>
      <c r="U1804" s="1">
        <v>0.56499999999999995</v>
      </c>
      <c r="V1804" s="6">
        <f t="shared" si="84"/>
        <v>61138.429999999993</v>
      </c>
      <c r="W1804" s="6" t="str">
        <f t="shared" si="85"/>
        <v>Sufficient</v>
      </c>
      <c r="X1804" s="8" t="str">
        <f t="shared" si="86"/>
        <v>High</v>
      </c>
    </row>
    <row r="1805" spans="1:24">
      <c r="A1805" s="7" t="s">
        <v>1935</v>
      </c>
      <c r="B1805" s="1" t="s">
        <v>41</v>
      </c>
      <c r="C1805" s="1">
        <v>318</v>
      </c>
      <c r="D1805" s="1">
        <v>99</v>
      </c>
      <c r="E1805" s="1">
        <v>12</v>
      </c>
      <c r="F1805" s="1">
        <v>7</v>
      </c>
      <c r="G1805" s="1">
        <v>17.989999999999998</v>
      </c>
      <c r="H1805" s="1" t="s">
        <v>52</v>
      </c>
      <c r="I1805" s="1" t="s">
        <v>45</v>
      </c>
      <c r="J1805" s="1">
        <v>124</v>
      </c>
      <c r="K1805" s="1">
        <v>3.32</v>
      </c>
      <c r="L1805" s="4">
        <v>42.48</v>
      </c>
      <c r="M1805" s="1">
        <v>1.71</v>
      </c>
      <c r="N1805" s="1">
        <v>7</v>
      </c>
      <c r="O1805" s="1">
        <v>0.89</v>
      </c>
      <c r="P1805" s="1">
        <v>132</v>
      </c>
      <c r="Q1805" s="1">
        <v>1.72</v>
      </c>
      <c r="R1805" s="1">
        <v>0.33</v>
      </c>
      <c r="S1805" s="2">
        <v>45444</v>
      </c>
      <c r="T1805" s="1">
        <v>212.95</v>
      </c>
      <c r="U1805" s="1">
        <v>0.35599999999999998</v>
      </c>
      <c r="V1805" s="6">
        <f t="shared" si="84"/>
        <v>13508.64</v>
      </c>
      <c r="W1805" s="6" t="str">
        <f t="shared" si="85"/>
        <v>Sufficient</v>
      </c>
      <c r="X1805" s="8" t="str">
        <f t="shared" si="86"/>
        <v>High</v>
      </c>
    </row>
    <row r="1806" spans="1:24">
      <c r="A1806" s="7" t="s">
        <v>1936</v>
      </c>
      <c r="B1806" s="1" t="s">
        <v>25</v>
      </c>
      <c r="C1806" s="1">
        <v>169</v>
      </c>
      <c r="D1806" s="1">
        <v>20</v>
      </c>
      <c r="E1806" s="1">
        <v>4</v>
      </c>
      <c r="F1806" s="1">
        <v>6</v>
      </c>
      <c r="G1806" s="1">
        <v>10.87</v>
      </c>
      <c r="H1806" s="1" t="s">
        <v>135</v>
      </c>
      <c r="I1806" s="1" t="s">
        <v>39</v>
      </c>
      <c r="J1806" s="1">
        <v>63</v>
      </c>
      <c r="K1806" s="1">
        <v>3.58</v>
      </c>
      <c r="L1806" s="4">
        <v>44.52</v>
      </c>
      <c r="M1806" s="1">
        <v>0.27</v>
      </c>
      <c r="N1806" s="1">
        <v>1</v>
      </c>
      <c r="O1806" s="1">
        <v>0.73</v>
      </c>
      <c r="P1806" s="1">
        <v>315</v>
      </c>
      <c r="Q1806" s="1">
        <v>13.03</v>
      </c>
      <c r="R1806" s="1">
        <v>0.83</v>
      </c>
      <c r="S1806" s="2">
        <v>45503</v>
      </c>
      <c r="T1806" s="1">
        <v>198.11</v>
      </c>
      <c r="U1806" s="1">
        <v>0.83899999999999997</v>
      </c>
      <c r="V1806" s="6">
        <f t="shared" si="84"/>
        <v>7523.88</v>
      </c>
      <c r="W1806" s="6" t="str">
        <f t="shared" si="85"/>
        <v>Sufficient</v>
      </c>
      <c r="X1806" s="8" t="str">
        <f t="shared" si="86"/>
        <v>Medium</v>
      </c>
    </row>
    <row r="1807" spans="1:24">
      <c r="A1807" s="7" t="s">
        <v>1937</v>
      </c>
      <c r="B1807" s="1" t="s">
        <v>29</v>
      </c>
      <c r="C1807" s="1">
        <v>167</v>
      </c>
      <c r="D1807" s="1">
        <v>80</v>
      </c>
      <c r="E1807" s="1">
        <v>8</v>
      </c>
      <c r="F1807" s="1">
        <v>9</v>
      </c>
      <c r="G1807" s="1">
        <v>40.57</v>
      </c>
      <c r="H1807" s="1" t="s">
        <v>178</v>
      </c>
      <c r="I1807" s="1" t="s">
        <v>31</v>
      </c>
      <c r="J1807" s="1">
        <v>88</v>
      </c>
      <c r="K1807" s="1">
        <v>3.07</v>
      </c>
      <c r="L1807" s="4">
        <v>30.95</v>
      </c>
      <c r="M1807" s="1">
        <v>0.84</v>
      </c>
      <c r="N1807" s="1">
        <v>6</v>
      </c>
      <c r="O1807" s="1">
        <v>0.75</v>
      </c>
      <c r="P1807" s="1">
        <v>466</v>
      </c>
      <c r="Q1807" s="1">
        <v>8.43</v>
      </c>
      <c r="R1807" s="1">
        <v>0.99</v>
      </c>
      <c r="S1807" s="2">
        <v>45319</v>
      </c>
      <c r="T1807" s="1">
        <v>59.79</v>
      </c>
      <c r="U1807" s="1">
        <v>0.65600000000000003</v>
      </c>
      <c r="V1807" s="6">
        <f t="shared" si="84"/>
        <v>5168.6499999999996</v>
      </c>
      <c r="W1807" s="6" t="str">
        <f t="shared" si="85"/>
        <v>Sufficient</v>
      </c>
      <c r="X1807" s="8" t="str">
        <f t="shared" si="86"/>
        <v>Medium</v>
      </c>
    </row>
    <row r="1808" spans="1:24">
      <c r="A1808" s="7" t="s">
        <v>1938</v>
      </c>
      <c r="B1808" s="1" t="s">
        <v>41</v>
      </c>
      <c r="C1808" s="1">
        <v>27</v>
      </c>
      <c r="D1808" s="1">
        <v>65</v>
      </c>
      <c r="E1808" s="1">
        <v>7</v>
      </c>
      <c r="F1808" s="1">
        <v>7</v>
      </c>
      <c r="G1808" s="1">
        <v>3.64</v>
      </c>
      <c r="H1808" s="1" t="s">
        <v>370</v>
      </c>
      <c r="I1808" s="1" t="s">
        <v>39</v>
      </c>
      <c r="J1808" s="1">
        <v>24</v>
      </c>
      <c r="K1808" s="1">
        <v>0.7</v>
      </c>
      <c r="L1808" s="4">
        <v>189.17</v>
      </c>
      <c r="M1808" s="1">
        <v>0.87</v>
      </c>
      <c r="N1808" s="1">
        <v>0</v>
      </c>
      <c r="O1808" s="1">
        <v>0.88</v>
      </c>
      <c r="P1808" s="1">
        <v>919</v>
      </c>
      <c r="Q1808" s="1">
        <v>7.34</v>
      </c>
      <c r="R1808" s="1">
        <v>0.34</v>
      </c>
      <c r="S1808" s="2">
        <v>45369</v>
      </c>
      <c r="T1808" s="1">
        <v>223.68</v>
      </c>
      <c r="U1808" s="1">
        <v>0.65500000000000003</v>
      </c>
      <c r="V1808" s="6">
        <f t="shared" si="84"/>
        <v>5107.5899999999992</v>
      </c>
      <c r="W1808" s="6" t="str">
        <f t="shared" si="85"/>
        <v>Reorder Required</v>
      </c>
      <c r="X1808" s="8" t="str">
        <f t="shared" si="86"/>
        <v>LOW</v>
      </c>
    </row>
    <row r="1809" spans="1:24">
      <c r="A1809" s="7" t="s">
        <v>1939</v>
      </c>
      <c r="B1809" s="1" t="s">
        <v>33</v>
      </c>
      <c r="C1809" s="1">
        <v>48</v>
      </c>
      <c r="D1809" s="1">
        <v>19</v>
      </c>
      <c r="E1809" s="1">
        <v>7</v>
      </c>
      <c r="F1809" s="1">
        <v>4</v>
      </c>
      <c r="G1809" s="1">
        <v>4.41</v>
      </c>
      <c r="H1809" s="1" t="s">
        <v>156</v>
      </c>
      <c r="I1809" s="1" t="s">
        <v>27</v>
      </c>
      <c r="J1809" s="1">
        <v>148</v>
      </c>
      <c r="K1809" s="1">
        <v>1.17</v>
      </c>
      <c r="L1809" s="4">
        <v>137.82</v>
      </c>
      <c r="M1809" s="1">
        <v>1.04</v>
      </c>
      <c r="N1809" s="1">
        <v>9</v>
      </c>
      <c r="O1809" s="1">
        <v>0.9</v>
      </c>
      <c r="P1809" s="1">
        <v>780</v>
      </c>
      <c r="Q1809" s="1">
        <v>11.61</v>
      </c>
      <c r="R1809" s="1">
        <v>0.26</v>
      </c>
      <c r="S1809" s="2">
        <v>45362</v>
      </c>
      <c r="T1809" s="1">
        <v>55.13</v>
      </c>
      <c r="U1809" s="1">
        <v>0.503</v>
      </c>
      <c r="V1809" s="6">
        <f t="shared" si="84"/>
        <v>6615.36</v>
      </c>
      <c r="W1809" s="6" t="str">
        <f t="shared" si="85"/>
        <v>Sufficient</v>
      </c>
      <c r="X1809" s="8" t="str">
        <f t="shared" si="86"/>
        <v>LOW</v>
      </c>
    </row>
    <row r="1810" spans="1:24">
      <c r="A1810" s="7" t="s">
        <v>1940</v>
      </c>
      <c r="B1810" s="1" t="s">
        <v>33</v>
      </c>
      <c r="C1810" s="1">
        <v>315</v>
      </c>
      <c r="D1810" s="1">
        <v>43</v>
      </c>
      <c r="E1810" s="1">
        <v>12</v>
      </c>
      <c r="F1810" s="1">
        <v>2</v>
      </c>
      <c r="G1810" s="1">
        <v>22.59</v>
      </c>
      <c r="H1810" s="1" t="s">
        <v>61</v>
      </c>
      <c r="I1810" s="1" t="s">
        <v>27</v>
      </c>
      <c r="J1810" s="1">
        <v>177</v>
      </c>
      <c r="K1810" s="1">
        <v>4.6500000000000004</v>
      </c>
      <c r="L1810" s="4">
        <v>160.08000000000001</v>
      </c>
      <c r="M1810" s="1">
        <v>0.3</v>
      </c>
      <c r="N1810" s="1">
        <v>7</v>
      </c>
      <c r="O1810" s="1">
        <v>0.71</v>
      </c>
      <c r="P1810" s="1">
        <v>910</v>
      </c>
      <c r="Q1810" s="1">
        <v>11.85</v>
      </c>
      <c r="R1810" s="1">
        <v>0.8</v>
      </c>
      <c r="S1810" s="2">
        <v>45394</v>
      </c>
      <c r="T1810" s="1">
        <v>142.37</v>
      </c>
      <c r="U1810" s="1">
        <v>0.69</v>
      </c>
      <c r="V1810" s="6">
        <f t="shared" si="84"/>
        <v>50425.200000000004</v>
      </c>
      <c r="W1810" s="6" t="str">
        <f t="shared" si="85"/>
        <v>Sufficient</v>
      </c>
      <c r="X1810" s="8" t="str">
        <f t="shared" si="86"/>
        <v>High</v>
      </c>
    </row>
    <row r="1811" spans="1:24">
      <c r="A1811" s="7" t="s">
        <v>1941</v>
      </c>
      <c r="B1811" s="1" t="s">
        <v>41</v>
      </c>
      <c r="C1811" s="1">
        <v>493</v>
      </c>
      <c r="D1811" s="1">
        <v>76</v>
      </c>
      <c r="E1811" s="1">
        <v>13</v>
      </c>
      <c r="F1811" s="1">
        <v>4</v>
      </c>
      <c r="G1811" s="1">
        <v>13.38</v>
      </c>
      <c r="H1811" s="1" t="s">
        <v>325</v>
      </c>
      <c r="I1811" s="1" t="s">
        <v>45</v>
      </c>
      <c r="J1811" s="1">
        <v>127</v>
      </c>
      <c r="K1811" s="1">
        <v>1.55</v>
      </c>
      <c r="L1811" s="4">
        <v>72.92</v>
      </c>
      <c r="M1811" s="1">
        <v>0.3</v>
      </c>
      <c r="N1811" s="1">
        <v>2</v>
      </c>
      <c r="O1811" s="1">
        <v>0.86</v>
      </c>
      <c r="P1811" s="1">
        <v>68</v>
      </c>
      <c r="Q1811" s="1">
        <v>12.15</v>
      </c>
      <c r="R1811" s="1">
        <v>0.48</v>
      </c>
      <c r="S1811" s="2">
        <v>45467</v>
      </c>
      <c r="T1811" s="1">
        <v>177.83</v>
      </c>
      <c r="U1811" s="1">
        <v>0.76</v>
      </c>
      <c r="V1811" s="6">
        <f t="shared" si="84"/>
        <v>35949.56</v>
      </c>
      <c r="W1811" s="6" t="str">
        <f t="shared" si="85"/>
        <v>Sufficient</v>
      </c>
      <c r="X1811" s="8" t="str">
        <f t="shared" si="86"/>
        <v>High</v>
      </c>
    </row>
    <row r="1812" spans="1:24">
      <c r="A1812" s="7" t="s">
        <v>1942</v>
      </c>
      <c r="B1812" s="1" t="s">
        <v>66</v>
      </c>
      <c r="C1812" s="1">
        <v>433</v>
      </c>
      <c r="D1812" s="1">
        <v>81</v>
      </c>
      <c r="E1812" s="1">
        <v>5</v>
      </c>
      <c r="F1812" s="1">
        <v>6</v>
      </c>
      <c r="G1812" s="1">
        <v>37.53</v>
      </c>
      <c r="H1812" s="1" t="s">
        <v>74</v>
      </c>
      <c r="I1812" s="1" t="s">
        <v>31</v>
      </c>
      <c r="J1812" s="1">
        <v>121</v>
      </c>
      <c r="K1812" s="1">
        <v>4.97</v>
      </c>
      <c r="L1812" s="4">
        <v>97.48</v>
      </c>
      <c r="M1812" s="1">
        <v>0.89</v>
      </c>
      <c r="N1812" s="1">
        <v>8</v>
      </c>
      <c r="O1812" s="1">
        <v>0.94</v>
      </c>
      <c r="P1812" s="1">
        <v>579</v>
      </c>
      <c r="Q1812" s="1">
        <v>11.65</v>
      </c>
      <c r="R1812" s="1">
        <v>0.37</v>
      </c>
      <c r="S1812" s="2">
        <v>45501</v>
      </c>
      <c r="T1812" s="1">
        <v>262.5</v>
      </c>
      <c r="U1812" s="1">
        <v>0.56799999999999995</v>
      </c>
      <c r="V1812" s="6">
        <f t="shared" si="84"/>
        <v>42208.840000000004</v>
      </c>
      <c r="W1812" s="6" t="str">
        <f t="shared" si="85"/>
        <v>Sufficient</v>
      </c>
      <c r="X1812" s="8" t="str">
        <f t="shared" si="86"/>
        <v>High</v>
      </c>
    </row>
    <row r="1813" spans="1:24">
      <c r="A1813" s="7" t="s">
        <v>1943</v>
      </c>
      <c r="B1813" s="1" t="s">
        <v>41</v>
      </c>
      <c r="C1813" s="1">
        <v>228</v>
      </c>
      <c r="D1813" s="1">
        <v>40</v>
      </c>
      <c r="E1813" s="1">
        <v>14</v>
      </c>
      <c r="F1813" s="1">
        <v>6</v>
      </c>
      <c r="G1813" s="1">
        <v>32.08</v>
      </c>
      <c r="H1813" s="1" t="s">
        <v>370</v>
      </c>
      <c r="I1813" s="1" t="s">
        <v>27</v>
      </c>
      <c r="J1813" s="1">
        <v>115</v>
      </c>
      <c r="K1813" s="1">
        <v>3.56</v>
      </c>
      <c r="L1813" s="4">
        <v>17.559999999999999</v>
      </c>
      <c r="M1813" s="1">
        <v>0.16</v>
      </c>
      <c r="N1813" s="1">
        <v>4</v>
      </c>
      <c r="O1813" s="1">
        <v>0.72</v>
      </c>
      <c r="P1813" s="1">
        <v>420</v>
      </c>
      <c r="Q1813" s="1">
        <v>9.98</v>
      </c>
      <c r="R1813" s="1">
        <v>0.62</v>
      </c>
      <c r="S1813" s="2">
        <v>45583</v>
      </c>
      <c r="T1813" s="1">
        <v>193.08</v>
      </c>
      <c r="U1813" s="1">
        <v>0.70499999999999996</v>
      </c>
      <c r="V1813" s="6">
        <f t="shared" si="84"/>
        <v>4003.68</v>
      </c>
      <c r="W1813" s="6" t="str">
        <f t="shared" si="85"/>
        <v>Sufficient</v>
      </c>
      <c r="X1813" s="8" t="str">
        <f t="shared" si="86"/>
        <v>Medium</v>
      </c>
    </row>
    <row r="1814" spans="1:24">
      <c r="A1814" s="7" t="s">
        <v>1944</v>
      </c>
      <c r="B1814" s="1" t="s">
        <v>29</v>
      </c>
      <c r="C1814" s="1">
        <v>147</v>
      </c>
      <c r="D1814" s="1">
        <v>84</v>
      </c>
      <c r="E1814" s="1">
        <v>10</v>
      </c>
      <c r="F1814" s="1">
        <v>3</v>
      </c>
      <c r="G1814" s="1">
        <v>38.85</v>
      </c>
      <c r="H1814" s="1" t="s">
        <v>88</v>
      </c>
      <c r="I1814" s="1" t="s">
        <v>39</v>
      </c>
      <c r="J1814" s="1">
        <v>114</v>
      </c>
      <c r="K1814" s="1">
        <v>2.5</v>
      </c>
      <c r="L1814" s="4">
        <v>178.91</v>
      </c>
      <c r="M1814" s="1">
        <v>0.57999999999999996</v>
      </c>
      <c r="N1814" s="1">
        <v>6</v>
      </c>
      <c r="O1814" s="1">
        <v>0.82</v>
      </c>
      <c r="P1814" s="1">
        <v>740</v>
      </c>
      <c r="Q1814" s="1">
        <v>10.46</v>
      </c>
      <c r="R1814" s="1">
        <v>0.74</v>
      </c>
      <c r="S1814" s="2">
        <v>45526</v>
      </c>
      <c r="T1814" s="1">
        <v>286.89999999999998</v>
      </c>
      <c r="U1814" s="1">
        <v>0.67300000000000004</v>
      </c>
      <c r="V1814" s="6">
        <f t="shared" si="84"/>
        <v>26299.77</v>
      </c>
      <c r="W1814" s="6" t="str">
        <f t="shared" si="85"/>
        <v>Sufficient</v>
      </c>
      <c r="X1814" s="8" t="str">
        <f t="shared" si="86"/>
        <v>Medium</v>
      </c>
    </row>
    <row r="1815" spans="1:24">
      <c r="A1815" s="7" t="s">
        <v>1945</v>
      </c>
      <c r="B1815" s="1" t="s">
        <v>66</v>
      </c>
      <c r="C1815" s="1">
        <v>359</v>
      </c>
      <c r="D1815" s="1">
        <v>80</v>
      </c>
      <c r="E1815" s="1">
        <v>10</v>
      </c>
      <c r="F1815" s="1">
        <v>3</v>
      </c>
      <c r="G1815" s="1">
        <v>16.91</v>
      </c>
      <c r="H1815" s="1" t="s">
        <v>178</v>
      </c>
      <c r="I1815" s="1" t="s">
        <v>45</v>
      </c>
      <c r="J1815" s="1">
        <v>56</v>
      </c>
      <c r="K1815" s="1">
        <v>4.6399999999999997</v>
      </c>
      <c r="L1815" s="4">
        <v>172.07</v>
      </c>
      <c r="M1815" s="1">
        <v>0.48</v>
      </c>
      <c r="N1815" s="1">
        <v>6</v>
      </c>
      <c r="O1815" s="1">
        <v>0.8</v>
      </c>
      <c r="P1815" s="1">
        <v>72</v>
      </c>
      <c r="Q1815" s="1">
        <v>13.02</v>
      </c>
      <c r="R1815" s="1">
        <v>0.37</v>
      </c>
      <c r="S1815" s="2">
        <v>45365</v>
      </c>
      <c r="T1815" s="1">
        <v>298.39999999999998</v>
      </c>
      <c r="U1815" s="1">
        <v>0.64</v>
      </c>
      <c r="V1815" s="6">
        <f t="shared" si="84"/>
        <v>61773.13</v>
      </c>
      <c r="W1815" s="6" t="str">
        <f t="shared" si="85"/>
        <v>Sufficient</v>
      </c>
      <c r="X1815" s="8" t="str">
        <f t="shared" si="86"/>
        <v>High</v>
      </c>
    </row>
    <row r="1816" spans="1:24">
      <c r="A1816" s="7" t="s">
        <v>1946</v>
      </c>
      <c r="B1816" s="1" t="s">
        <v>33</v>
      </c>
      <c r="C1816" s="1">
        <v>135</v>
      </c>
      <c r="D1816" s="1">
        <v>75</v>
      </c>
      <c r="E1816" s="1">
        <v>14</v>
      </c>
      <c r="F1816" s="1">
        <v>7</v>
      </c>
      <c r="G1816" s="1">
        <v>37.29</v>
      </c>
      <c r="H1816" s="1" t="s">
        <v>68</v>
      </c>
      <c r="I1816" s="1" t="s">
        <v>45</v>
      </c>
      <c r="J1816" s="1">
        <v>127</v>
      </c>
      <c r="K1816" s="1">
        <v>4.08</v>
      </c>
      <c r="L1816" s="4">
        <v>159.11000000000001</v>
      </c>
      <c r="M1816" s="1">
        <v>1.03</v>
      </c>
      <c r="N1816" s="1">
        <v>8</v>
      </c>
      <c r="O1816" s="1">
        <v>0.97</v>
      </c>
      <c r="P1816" s="1">
        <v>434</v>
      </c>
      <c r="Q1816" s="1">
        <v>10.67</v>
      </c>
      <c r="R1816" s="1">
        <v>1</v>
      </c>
      <c r="S1816" s="2">
        <v>45453</v>
      </c>
      <c r="T1816" s="1">
        <v>157.56</v>
      </c>
      <c r="U1816" s="1">
        <v>0.67300000000000004</v>
      </c>
      <c r="V1816" s="6">
        <f t="shared" si="84"/>
        <v>21479.850000000002</v>
      </c>
      <c r="W1816" s="6" t="str">
        <f t="shared" si="85"/>
        <v>Sufficient</v>
      </c>
      <c r="X1816" s="8" t="str">
        <f t="shared" si="86"/>
        <v>Medium</v>
      </c>
    </row>
    <row r="1817" spans="1:24">
      <c r="A1817" s="7" t="s">
        <v>1947</v>
      </c>
      <c r="B1817" s="1" t="s">
        <v>41</v>
      </c>
      <c r="C1817" s="1">
        <v>458</v>
      </c>
      <c r="D1817" s="1">
        <v>79</v>
      </c>
      <c r="E1817" s="1">
        <v>7</v>
      </c>
      <c r="F1817" s="1">
        <v>5</v>
      </c>
      <c r="G1817" s="1">
        <v>43.25</v>
      </c>
      <c r="H1817" s="1" t="s">
        <v>256</v>
      </c>
      <c r="I1817" s="1" t="s">
        <v>31</v>
      </c>
      <c r="J1817" s="1">
        <v>135</v>
      </c>
      <c r="K1817" s="1">
        <v>2.4300000000000002</v>
      </c>
      <c r="L1817" s="4">
        <v>21.08</v>
      </c>
      <c r="M1817" s="1">
        <v>0.12</v>
      </c>
      <c r="N1817" s="1">
        <v>1</v>
      </c>
      <c r="O1817" s="1">
        <v>0.76</v>
      </c>
      <c r="P1817" s="1">
        <v>876</v>
      </c>
      <c r="Q1817" s="1">
        <v>2.42</v>
      </c>
      <c r="R1817" s="1">
        <v>0.46</v>
      </c>
      <c r="S1817" s="2">
        <v>45384</v>
      </c>
      <c r="T1817" s="1">
        <v>24.93</v>
      </c>
      <c r="U1817" s="1">
        <v>0.64400000000000002</v>
      </c>
      <c r="V1817" s="6">
        <f t="shared" si="84"/>
        <v>9654.64</v>
      </c>
      <c r="W1817" s="6" t="str">
        <f t="shared" si="85"/>
        <v>Sufficient</v>
      </c>
      <c r="X1817" s="8" t="str">
        <f t="shared" si="86"/>
        <v>High</v>
      </c>
    </row>
    <row r="1818" spans="1:24">
      <c r="A1818" s="7" t="s">
        <v>1948</v>
      </c>
      <c r="B1818" s="1" t="s">
        <v>25</v>
      </c>
      <c r="C1818" s="1">
        <v>163</v>
      </c>
      <c r="D1818" s="1">
        <v>50</v>
      </c>
      <c r="E1818" s="1">
        <v>10</v>
      </c>
      <c r="F1818" s="1">
        <v>9</v>
      </c>
      <c r="G1818" s="1">
        <v>17.920000000000002</v>
      </c>
      <c r="H1818" s="1" t="s">
        <v>252</v>
      </c>
      <c r="I1818" s="1" t="s">
        <v>27</v>
      </c>
      <c r="J1818" s="1">
        <v>157</v>
      </c>
      <c r="K1818" s="1">
        <v>0.81</v>
      </c>
      <c r="L1818" s="4">
        <v>43.11</v>
      </c>
      <c r="M1818" s="1">
        <v>1.38</v>
      </c>
      <c r="N1818" s="1">
        <v>3</v>
      </c>
      <c r="O1818" s="1">
        <v>0.8</v>
      </c>
      <c r="P1818" s="1">
        <v>805</v>
      </c>
      <c r="Q1818" s="1">
        <v>10.039999999999999</v>
      </c>
      <c r="R1818" s="1">
        <v>0.45</v>
      </c>
      <c r="S1818" s="2">
        <v>45333</v>
      </c>
      <c r="T1818" s="1">
        <v>18.21</v>
      </c>
      <c r="U1818" s="1">
        <v>0.58599999999999997</v>
      </c>
      <c r="V1818" s="6">
        <f t="shared" si="84"/>
        <v>7026.93</v>
      </c>
      <c r="W1818" s="6" t="str">
        <f t="shared" si="85"/>
        <v>Sufficient</v>
      </c>
      <c r="X1818" s="8" t="str">
        <f t="shared" si="86"/>
        <v>Medium</v>
      </c>
    </row>
    <row r="1819" spans="1:24">
      <c r="A1819" s="7" t="s">
        <v>1949</v>
      </c>
      <c r="B1819" s="1" t="s">
        <v>25</v>
      </c>
      <c r="C1819" s="1">
        <v>449</v>
      </c>
      <c r="D1819" s="1">
        <v>72</v>
      </c>
      <c r="E1819" s="1">
        <v>12</v>
      </c>
      <c r="F1819" s="1">
        <v>4</v>
      </c>
      <c r="G1819" s="1">
        <v>17.649999999999999</v>
      </c>
      <c r="H1819" s="1" t="s">
        <v>30</v>
      </c>
      <c r="I1819" s="1" t="s">
        <v>45</v>
      </c>
      <c r="J1819" s="1">
        <v>107</v>
      </c>
      <c r="K1819" s="1">
        <v>4.41</v>
      </c>
      <c r="L1819" s="4">
        <v>73.489999999999995</v>
      </c>
      <c r="M1819" s="1">
        <v>1.73</v>
      </c>
      <c r="N1819" s="1">
        <v>7</v>
      </c>
      <c r="O1819" s="1">
        <v>0.97</v>
      </c>
      <c r="P1819" s="1">
        <v>668</v>
      </c>
      <c r="Q1819" s="1">
        <v>3.38</v>
      </c>
      <c r="R1819" s="1">
        <v>0.54</v>
      </c>
      <c r="S1819" s="2">
        <v>45541</v>
      </c>
      <c r="T1819" s="1">
        <v>258.14</v>
      </c>
      <c r="U1819" s="1">
        <v>0.434</v>
      </c>
      <c r="V1819" s="6">
        <f t="shared" si="84"/>
        <v>32997.009999999995</v>
      </c>
      <c r="W1819" s="6" t="str">
        <f t="shared" si="85"/>
        <v>Sufficient</v>
      </c>
      <c r="X1819" s="8" t="str">
        <f t="shared" si="86"/>
        <v>High</v>
      </c>
    </row>
    <row r="1820" spans="1:24">
      <c r="A1820" s="7" t="s">
        <v>1950</v>
      </c>
      <c r="B1820" s="1" t="s">
        <v>29</v>
      </c>
      <c r="C1820" s="1">
        <v>337</v>
      </c>
      <c r="D1820" s="1">
        <v>41</v>
      </c>
      <c r="E1820" s="1">
        <v>10</v>
      </c>
      <c r="F1820" s="1">
        <v>7</v>
      </c>
      <c r="G1820" s="1">
        <v>45.1</v>
      </c>
      <c r="H1820" s="1" t="s">
        <v>119</v>
      </c>
      <c r="I1820" s="1" t="s">
        <v>39</v>
      </c>
      <c r="J1820" s="1">
        <v>159</v>
      </c>
      <c r="K1820" s="1">
        <v>3.94</v>
      </c>
      <c r="L1820" s="4">
        <v>59.98</v>
      </c>
      <c r="M1820" s="1">
        <v>1.44</v>
      </c>
      <c r="N1820" s="1">
        <v>4</v>
      </c>
      <c r="O1820" s="1">
        <v>0.8</v>
      </c>
      <c r="P1820" s="1">
        <v>692</v>
      </c>
      <c r="Q1820" s="1">
        <v>1.2</v>
      </c>
      <c r="R1820" s="1">
        <v>0.8</v>
      </c>
      <c r="S1820" s="2">
        <v>45462</v>
      </c>
      <c r="T1820" s="1">
        <v>154.96</v>
      </c>
      <c r="U1820" s="1">
        <v>0.51200000000000001</v>
      </c>
      <c r="V1820" s="6">
        <f t="shared" si="84"/>
        <v>20213.259999999998</v>
      </c>
      <c r="W1820" s="6" t="str">
        <f t="shared" si="85"/>
        <v>Sufficient</v>
      </c>
      <c r="X1820" s="8" t="str">
        <f t="shared" si="86"/>
        <v>High</v>
      </c>
    </row>
    <row r="1821" spans="1:24">
      <c r="A1821" s="7" t="s">
        <v>1951</v>
      </c>
      <c r="B1821" s="1" t="s">
        <v>25</v>
      </c>
      <c r="C1821" s="1">
        <v>254</v>
      </c>
      <c r="D1821" s="1">
        <v>29</v>
      </c>
      <c r="E1821" s="1">
        <v>5</v>
      </c>
      <c r="F1821" s="1">
        <v>5</v>
      </c>
      <c r="G1821" s="1">
        <v>3.44</v>
      </c>
      <c r="H1821" s="1" t="s">
        <v>294</v>
      </c>
      <c r="I1821" s="1" t="s">
        <v>27</v>
      </c>
      <c r="J1821" s="1">
        <v>57</v>
      </c>
      <c r="K1821" s="1">
        <v>4.0599999999999996</v>
      </c>
      <c r="L1821" s="4">
        <v>169.31</v>
      </c>
      <c r="M1821" s="1">
        <v>1.65</v>
      </c>
      <c r="N1821" s="1">
        <v>4</v>
      </c>
      <c r="O1821" s="1">
        <v>0.86</v>
      </c>
      <c r="P1821" s="1">
        <v>571</v>
      </c>
      <c r="Q1821" s="1">
        <v>4</v>
      </c>
      <c r="R1821" s="1">
        <v>0.9</v>
      </c>
      <c r="S1821" s="2">
        <v>45615</v>
      </c>
      <c r="T1821" s="1">
        <v>116.37</v>
      </c>
      <c r="U1821" s="1">
        <v>0.56000000000000005</v>
      </c>
      <c r="V1821" s="6">
        <f t="shared" si="84"/>
        <v>43004.74</v>
      </c>
      <c r="W1821" s="6" t="str">
        <f t="shared" si="85"/>
        <v>Sufficient</v>
      </c>
      <c r="X1821" s="8" t="str">
        <f t="shared" si="86"/>
        <v>High</v>
      </c>
    </row>
    <row r="1822" spans="1:24">
      <c r="A1822" s="7" t="s">
        <v>1952</v>
      </c>
      <c r="B1822" s="1" t="s">
        <v>41</v>
      </c>
      <c r="C1822" s="1">
        <v>26</v>
      </c>
      <c r="D1822" s="1">
        <v>66</v>
      </c>
      <c r="E1822" s="1">
        <v>4</v>
      </c>
      <c r="F1822" s="1">
        <v>7</v>
      </c>
      <c r="G1822" s="1">
        <v>18.16</v>
      </c>
      <c r="H1822" s="1" t="s">
        <v>30</v>
      </c>
      <c r="I1822" s="1" t="s">
        <v>45</v>
      </c>
      <c r="J1822" s="1">
        <v>91</v>
      </c>
      <c r="K1822" s="1">
        <v>3.85</v>
      </c>
      <c r="L1822" s="4">
        <v>47.02</v>
      </c>
      <c r="M1822" s="1">
        <v>1.32</v>
      </c>
      <c r="N1822" s="1">
        <v>2</v>
      </c>
      <c r="O1822" s="1">
        <v>0.71</v>
      </c>
      <c r="P1822" s="1">
        <v>428</v>
      </c>
      <c r="Q1822" s="1">
        <v>3.16</v>
      </c>
      <c r="R1822" s="1">
        <v>0.46</v>
      </c>
      <c r="S1822" s="2">
        <v>45382</v>
      </c>
      <c r="T1822" s="1">
        <v>92.49</v>
      </c>
      <c r="U1822" s="1">
        <v>0.504</v>
      </c>
      <c r="V1822" s="6">
        <f t="shared" si="84"/>
        <v>1222.52</v>
      </c>
      <c r="W1822" s="6" t="str">
        <f t="shared" si="85"/>
        <v>Reorder Required</v>
      </c>
      <c r="X1822" s="8" t="str">
        <f t="shared" si="86"/>
        <v>LOW</v>
      </c>
    </row>
    <row r="1823" spans="1:24">
      <c r="A1823" s="7" t="s">
        <v>1953</v>
      </c>
      <c r="B1823" s="1" t="s">
        <v>41</v>
      </c>
      <c r="C1823" s="1">
        <v>483</v>
      </c>
      <c r="D1823" s="1">
        <v>59</v>
      </c>
      <c r="E1823" s="1">
        <v>11</v>
      </c>
      <c r="F1823" s="1">
        <v>9</v>
      </c>
      <c r="G1823" s="1">
        <v>6.81</v>
      </c>
      <c r="H1823" s="1" t="s">
        <v>470</v>
      </c>
      <c r="I1823" s="1" t="s">
        <v>45</v>
      </c>
      <c r="J1823" s="1">
        <v>25</v>
      </c>
      <c r="K1823" s="1">
        <v>1.74</v>
      </c>
      <c r="L1823" s="4">
        <v>111.1</v>
      </c>
      <c r="M1823" s="1">
        <v>1.06</v>
      </c>
      <c r="N1823" s="1">
        <v>4</v>
      </c>
      <c r="O1823" s="1">
        <v>1</v>
      </c>
      <c r="P1823" s="1">
        <v>760</v>
      </c>
      <c r="Q1823" s="1">
        <v>2.4300000000000002</v>
      </c>
      <c r="R1823" s="1">
        <v>0.28999999999999998</v>
      </c>
      <c r="S1823" s="2">
        <v>45452</v>
      </c>
      <c r="T1823" s="1">
        <v>91.72</v>
      </c>
      <c r="U1823" s="1">
        <v>0.504</v>
      </c>
      <c r="V1823" s="6">
        <f t="shared" si="84"/>
        <v>53661.299999999996</v>
      </c>
      <c r="W1823" s="6" t="str">
        <f t="shared" si="85"/>
        <v>Sufficient</v>
      </c>
      <c r="X1823" s="8" t="str">
        <f t="shared" si="86"/>
        <v>High</v>
      </c>
    </row>
    <row r="1824" spans="1:24">
      <c r="A1824" s="7" t="s">
        <v>1954</v>
      </c>
      <c r="B1824" s="1" t="s">
        <v>25</v>
      </c>
      <c r="C1824" s="1">
        <v>64</v>
      </c>
      <c r="D1824" s="1">
        <v>89</v>
      </c>
      <c r="E1824" s="1">
        <v>4</v>
      </c>
      <c r="F1824" s="1">
        <v>9</v>
      </c>
      <c r="G1824" s="1">
        <v>2.42</v>
      </c>
      <c r="H1824" s="1" t="s">
        <v>52</v>
      </c>
      <c r="I1824" s="1" t="s">
        <v>27</v>
      </c>
      <c r="J1824" s="1">
        <v>142</v>
      </c>
      <c r="K1824" s="1">
        <v>4.3600000000000003</v>
      </c>
      <c r="L1824" s="4">
        <v>118.56</v>
      </c>
      <c r="M1824" s="1">
        <v>0.52</v>
      </c>
      <c r="N1824" s="1">
        <v>6</v>
      </c>
      <c r="O1824" s="1">
        <v>0.95</v>
      </c>
      <c r="P1824" s="1">
        <v>866</v>
      </c>
      <c r="Q1824" s="1">
        <v>4.01</v>
      </c>
      <c r="R1824" s="1">
        <v>0.4</v>
      </c>
      <c r="S1824" s="2">
        <v>45616</v>
      </c>
      <c r="T1824" s="1">
        <v>31.12</v>
      </c>
      <c r="U1824" s="1">
        <v>0.55100000000000005</v>
      </c>
      <c r="V1824" s="6">
        <f t="shared" si="84"/>
        <v>7587.84</v>
      </c>
      <c r="W1824" s="6" t="str">
        <f t="shared" si="85"/>
        <v>Reorder Required</v>
      </c>
      <c r="X1824" s="8" t="str">
        <f t="shared" si="86"/>
        <v>LOW</v>
      </c>
    </row>
    <row r="1825" spans="1:24">
      <c r="A1825" s="7" t="s">
        <v>1955</v>
      </c>
      <c r="B1825" s="1" t="s">
        <v>41</v>
      </c>
      <c r="C1825" s="1">
        <v>462</v>
      </c>
      <c r="D1825" s="1">
        <v>34</v>
      </c>
      <c r="E1825" s="1">
        <v>11</v>
      </c>
      <c r="F1825" s="1">
        <v>6</v>
      </c>
      <c r="G1825" s="1">
        <v>6.53</v>
      </c>
      <c r="H1825" s="1" t="s">
        <v>52</v>
      </c>
      <c r="I1825" s="1" t="s">
        <v>27</v>
      </c>
      <c r="J1825" s="1">
        <v>83</v>
      </c>
      <c r="K1825" s="1">
        <v>0.51</v>
      </c>
      <c r="L1825" s="4">
        <v>90.75</v>
      </c>
      <c r="M1825" s="1">
        <v>0.63</v>
      </c>
      <c r="N1825" s="1">
        <v>3</v>
      </c>
      <c r="O1825" s="1">
        <v>0.89</v>
      </c>
      <c r="P1825" s="1">
        <v>873</v>
      </c>
      <c r="Q1825" s="1">
        <v>8.89</v>
      </c>
      <c r="R1825" s="1">
        <v>0.27</v>
      </c>
      <c r="S1825" s="2">
        <v>45321</v>
      </c>
      <c r="T1825" s="1">
        <v>97.87</v>
      </c>
      <c r="U1825" s="1">
        <v>0.628</v>
      </c>
      <c r="V1825" s="6">
        <f t="shared" si="84"/>
        <v>41926.5</v>
      </c>
      <c r="W1825" s="6" t="str">
        <f t="shared" si="85"/>
        <v>Sufficient</v>
      </c>
      <c r="X1825" s="8" t="str">
        <f t="shared" si="86"/>
        <v>High</v>
      </c>
    </row>
    <row r="1826" spans="1:24">
      <c r="A1826" s="7" t="s">
        <v>1956</v>
      </c>
      <c r="B1826" s="1" t="s">
        <v>29</v>
      </c>
      <c r="C1826" s="1">
        <v>258</v>
      </c>
      <c r="D1826" s="1">
        <v>21</v>
      </c>
      <c r="E1826" s="1">
        <v>6</v>
      </c>
      <c r="F1826" s="1">
        <v>3</v>
      </c>
      <c r="G1826" s="1">
        <v>22.13</v>
      </c>
      <c r="H1826" s="1" t="s">
        <v>59</v>
      </c>
      <c r="I1826" s="1" t="s">
        <v>31</v>
      </c>
      <c r="J1826" s="1">
        <v>30</v>
      </c>
      <c r="K1826" s="1">
        <v>1.57</v>
      </c>
      <c r="L1826" s="4">
        <v>55.73</v>
      </c>
      <c r="M1826" s="1">
        <v>0.7</v>
      </c>
      <c r="N1826" s="1">
        <v>7</v>
      </c>
      <c r="O1826" s="1">
        <v>0.72</v>
      </c>
      <c r="P1826" s="1">
        <v>139</v>
      </c>
      <c r="Q1826" s="1">
        <v>3.12</v>
      </c>
      <c r="R1826" s="1">
        <v>0.7</v>
      </c>
      <c r="S1826" s="2">
        <v>45294</v>
      </c>
      <c r="T1826" s="1">
        <v>196.99</v>
      </c>
      <c r="U1826" s="1">
        <v>0.51600000000000001</v>
      </c>
      <c r="V1826" s="6">
        <f t="shared" si="84"/>
        <v>14378.339999999998</v>
      </c>
      <c r="W1826" s="6" t="str">
        <f t="shared" si="85"/>
        <v>Sufficient</v>
      </c>
      <c r="X1826" s="8" t="str">
        <f t="shared" si="86"/>
        <v>High</v>
      </c>
    </row>
    <row r="1827" spans="1:24">
      <c r="A1827" s="7" t="s">
        <v>1957</v>
      </c>
      <c r="B1827" s="1" t="s">
        <v>66</v>
      </c>
      <c r="C1827" s="1">
        <v>459</v>
      </c>
      <c r="D1827" s="1">
        <v>80</v>
      </c>
      <c r="E1827" s="1">
        <v>14</v>
      </c>
      <c r="F1827" s="1">
        <v>3</v>
      </c>
      <c r="G1827" s="1">
        <v>34.659999999999997</v>
      </c>
      <c r="H1827" s="1" t="s">
        <v>325</v>
      </c>
      <c r="I1827" s="1" t="s">
        <v>39</v>
      </c>
      <c r="J1827" s="1">
        <v>70</v>
      </c>
      <c r="K1827" s="1">
        <v>0.71</v>
      </c>
      <c r="L1827" s="4">
        <v>192.46</v>
      </c>
      <c r="M1827" s="1">
        <v>0.17</v>
      </c>
      <c r="N1827" s="1">
        <v>5</v>
      </c>
      <c r="O1827" s="1">
        <v>0.72</v>
      </c>
      <c r="P1827" s="1">
        <v>193</v>
      </c>
      <c r="Q1827" s="1">
        <v>4.91</v>
      </c>
      <c r="R1827" s="1">
        <v>0.79</v>
      </c>
      <c r="S1827" s="2">
        <v>45523</v>
      </c>
      <c r="T1827" s="1">
        <v>121.71</v>
      </c>
      <c r="U1827" s="1">
        <v>0.65</v>
      </c>
      <c r="V1827" s="6">
        <f t="shared" si="84"/>
        <v>88339.14</v>
      </c>
      <c r="W1827" s="6" t="str">
        <f t="shared" si="85"/>
        <v>Sufficient</v>
      </c>
      <c r="X1827" s="8" t="str">
        <f t="shared" si="86"/>
        <v>High</v>
      </c>
    </row>
    <row r="1828" spans="1:24">
      <c r="A1828" s="7" t="s">
        <v>1958</v>
      </c>
      <c r="B1828" s="1" t="s">
        <v>29</v>
      </c>
      <c r="C1828" s="1">
        <v>451</v>
      </c>
      <c r="D1828" s="1">
        <v>48</v>
      </c>
      <c r="E1828" s="1">
        <v>4</v>
      </c>
      <c r="F1828" s="1">
        <v>9</v>
      </c>
      <c r="G1828" s="1">
        <v>15.17</v>
      </c>
      <c r="H1828" s="1" t="s">
        <v>274</v>
      </c>
      <c r="I1828" s="1" t="s">
        <v>31</v>
      </c>
      <c r="J1828" s="1">
        <v>33</v>
      </c>
      <c r="K1828" s="1">
        <v>1</v>
      </c>
      <c r="L1828" s="4">
        <v>88.55</v>
      </c>
      <c r="M1828" s="1">
        <v>1.83</v>
      </c>
      <c r="N1828" s="1">
        <v>5</v>
      </c>
      <c r="O1828" s="1">
        <v>0.86</v>
      </c>
      <c r="P1828" s="1">
        <v>856</v>
      </c>
      <c r="Q1828" s="1">
        <v>12.89</v>
      </c>
      <c r="R1828" s="1">
        <v>0.54</v>
      </c>
      <c r="S1828" s="2">
        <v>45432</v>
      </c>
      <c r="T1828" s="1">
        <v>284.87</v>
      </c>
      <c r="U1828" s="1">
        <v>0.56899999999999995</v>
      </c>
      <c r="V1828" s="6">
        <f t="shared" si="84"/>
        <v>39936.049999999996</v>
      </c>
      <c r="W1828" s="6" t="str">
        <f t="shared" si="85"/>
        <v>Sufficient</v>
      </c>
      <c r="X1828" s="8" t="str">
        <f t="shared" si="86"/>
        <v>High</v>
      </c>
    </row>
    <row r="1829" spans="1:24">
      <c r="A1829" s="7" t="s">
        <v>1959</v>
      </c>
      <c r="B1829" s="1" t="s">
        <v>29</v>
      </c>
      <c r="C1829" s="1">
        <v>174</v>
      </c>
      <c r="D1829" s="1">
        <v>26</v>
      </c>
      <c r="E1829" s="1">
        <v>12</v>
      </c>
      <c r="F1829" s="1">
        <v>7</v>
      </c>
      <c r="G1829" s="1">
        <v>42.63</v>
      </c>
      <c r="H1829" s="1" t="s">
        <v>176</v>
      </c>
      <c r="I1829" s="1" t="s">
        <v>31</v>
      </c>
      <c r="J1829" s="1">
        <v>32</v>
      </c>
      <c r="K1829" s="1">
        <v>2.9</v>
      </c>
      <c r="L1829" s="4">
        <v>148.19</v>
      </c>
      <c r="M1829" s="1">
        <v>1.81</v>
      </c>
      <c r="N1829" s="1">
        <v>5</v>
      </c>
      <c r="O1829" s="1">
        <v>0.79</v>
      </c>
      <c r="P1829" s="1">
        <v>670</v>
      </c>
      <c r="Q1829" s="1">
        <v>13.43</v>
      </c>
      <c r="R1829" s="1">
        <v>0.96</v>
      </c>
      <c r="S1829" s="2">
        <v>45399</v>
      </c>
      <c r="T1829" s="1">
        <v>203.77</v>
      </c>
      <c r="U1829" s="1">
        <v>0.64800000000000002</v>
      </c>
      <c r="V1829" s="6">
        <f t="shared" si="84"/>
        <v>25785.06</v>
      </c>
      <c r="W1829" s="6" t="str">
        <f t="shared" si="85"/>
        <v>Sufficient</v>
      </c>
      <c r="X1829" s="8" t="str">
        <f t="shared" si="86"/>
        <v>Medium</v>
      </c>
    </row>
    <row r="1830" spans="1:24">
      <c r="A1830" s="7" t="s">
        <v>1960</v>
      </c>
      <c r="B1830" s="1" t="s">
        <v>41</v>
      </c>
      <c r="C1830" s="1">
        <v>200</v>
      </c>
      <c r="D1830" s="1">
        <v>54</v>
      </c>
      <c r="E1830" s="1">
        <v>3</v>
      </c>
      <c r="F1830" s="1">
        <v>9</v>
      </c>
      <c r="G1830" s="1">
        <v>22.44</v>
      </c>
      <c r="H1830" s="1" t="s">
        <v>331</v>
      </c>
      <c r="I1830" s="1" t="s">
        <v>39</v>
      </c>
      <c r="J1830" s="1">
        <v>96</v>
      </c>
      <c r="K1830" s="1">
        <v>0.67</v>
      </c>
      <c r="L1830" s="4">
        <v>44.97</v>
      </c>
      <c r="M1830" s="1">
        <v>0.3</v>
      </c>
      <c r="N1830" s="1">
        <v>3</v>
      </c>
      <c r="O1830" s="1">
        <v>0.89</v>
      </c>
      <c r="P1830" s="1">
        <v>913</v>
      </c>
      <c r="Q1830" s="1">
        <v>5.66</v>
      </c>
      <c r="R1830" s="1">
        <v>0.78</v>
      </c>
      <c r="S1830" s="2">
        <v>45378</v>
      </c>
      <c r="T1830" s="1">
        <v>260.55</v>
      </c>
      <c r="U1830" s="1">
        <v>0.71899999999999997</v>
      </c>
      <c r="V1830" s="6">
        <f t="shared" si="84"/>
        <v>8994</v>
      </c>
      <c r="W1830" s="6" t="str">
        <f t="shared" si="85"/>
        <v>Sufficient</v>
      </c>
      <c r="X1830" s="8" t="str">
        <f t="shared" si="86"/>
        <v>Medium</v>
      </c>
    </row>
    <row r="1831" spans="1:24">
      <c r="A1831" s="7" t="s">
        <v>1961</v>
      </c>
      <c r="B1831" s="1" t="s">
        <v>66</v>
      </c>
      <c r="C1831" s="1">
        <v>234</v>
      </c>
      <c r="D1831" s="1">
        <v>20</v>
      </c>
      <c r="E1831" s="1">
        <v>6</v>
      </c>
      <c r="F1831" s="1">
        <v>3</v>
      </c>
      <c r="G1831" s="1">
        <v>48.44</v>
      </c>
      <c r="H1831" s="1" t="s">
        <v>124</v>
      </c>
      <c r="I1831" s="1" t="s">
        <v>39</v>
      </c>
      <c r="J1831" s="1">
        <v>148</v>
      </c>
      <c r="K1831" s="1">
        <v>1.32</v>
      </c>
      <c r="L1831" s="4">
        <v>166.33</v>
      </c>
      <c r="M1831" s="1">
        <v>1.1599999999999999</v>
      </c>
      <c r="N1831" s="1">
        <v>2</v>
      </c>
      <c r="O1831" s="1">
        <v>0.88</v>
      </c>
      <c r="P1831" s="1">
        <v>253</v>
      </c>
      <c r="Q1831" s="1">
        <v>13.59</v>
      </c>
      <c r="R1831" s="1">
        <v>0.5</v>
      </c>
      <c r="S1831" s="2">
        <v>45587</v>
      </c>
      <c r="T1831" s="1">
        <v>43.11</v>
      </c>
      <c r="U1831" s="1">
        <v>0.70099999999999996</v>
      </c>
      <c r="V1831" s="6">
        <f t="shared" si="84"/>
        <v>38921.22</v>
      </c>
      <c r="W1831" s="6" t="str">
        <f t="shared" si="85"/>
        <v>Sufficient</v>
      </c>
      <c r="X1831" s="8" t="str">
        <f t="shared" si="86"/>
        <v>Medium</v>
      </c>
    </row>
    <row r="1832" spans="1:24">
      <c r="A1832" s="7" t="s">
        <v>1962</v>
      </c>
      <c r="B1832" s="1" t="s">
        <v>41</v>
      </c>
      <c r="C1832" s="1">
        <v>107</v>
      </c>
      <c r="D1832" s="1">
        <v>79</v>
      </c>
      <c r="E1832" s="1">
        <v>11</v>
      </c>
      <c r="F1832" s="1">
        <v>2</v>
      </c>
      <c r="G1832" s="1">
        <v>47.75</v>
      </c>
      <c r="H1832" s="1" t="s">
        <v>44</v>
      </c>
      <c r="I1832" s="1" t="s">
        <v>31</v>
      </c>
      <c r="J1832" s="1">
        <v>11</v>
      </c>
      <c r="K1832" s="1">
        <v>1.55</v>
      </c>
      <c r="L1832" s="4">
        <v>51.02</v>
      </c>
      <c r="M1832" s="1">
        <v>0.99</v>
      </c>
      <c r="N1832" s="1">
        <v>9</v>
      </c>
      <c r="O1832" s="1">
        <v>0.95</v>
      </c>
      <c r="P1832" s="1">
        <v>605</v>
      </c>
      <c r="Q1832" s="1">
        <v>9.1999999999999993</v>
      </c>
      <c r="R1832" s="1">
        <v>0.28000000000000003</v>
      </c>
      <c r="S1832" s="2">
        <v>45373</v>
      </c>
      <c r="T1832" s="1">
        <v>140.65</v>
      </c>
      <c r="U1832" s="1">
        <v>0.49</v>
      </c>
      <c r="V1832" s="6">
        <f t="shared" si="84"/>
        <v>5459.14</v>
      </c>
      <c r="W1832" s="6" t="str">
        <f t="shared" si="85"/>
        <v>Sufficient</v>
      </c>
      <c r="X1832" s="8" t="str">
        <f t="shared" si="86"/>
        <v>Medium</v>
      </c>
    </row>
    <row r="1833" spans="1:24">
      <c r="A1833" s="7" t="s">
        <v>1963</v>
      </c>
      <c r="B1833" s="1" t="s">
        <v>33</v>
      </c>
      <c r="C1833" s="1">
        <v>275</v>
      </c>
      <c r="D1833" s="1">
        <v>32</v>
      </c>
      <c r="E1833" s="1">
        <v>14</v>
      </c>
      <c r="F1833" s="1">
        <v>7</v>
      </c>
      <c r="G1833" s="1">
        <v>38.89</v>
      </c>
      <c r="H1833" s="1" t="s">
        <v>229</v>
      </c>
      <c r="I1833" s="1" t="s">
        <v>27</v>
      </c>
      <c r="J1833" s="1">
        <v>62</v>
      </c>
      <c r="K1833" s="1">
        <v>3.45</v>
      </c>
      <c r="L1833" s="4">
        <v>138.31</v>
      </c>
      <c r="M1833" s="1">
        <v>1.4</v>
      </c>
      <c r="N1833" s="1">
        <v>5</v>
      </c>
      <c r="O1833" s="1">
        <v>0.78</v>
      </c>
      <c r="P1833" s="1">
        <v>569</v>
      </c>
      <c r="Q1833" s="1">
        <v>4.17</v>
      </c>
      <c r="R1833" s="1">
        <v>0.59</v>
      </c>
      <c r="S1833" s="2">
        <v>45542</v>
      </c>
      <c r="T1833" s="1">
        <v>22.02</v>
      </c>
      <c r="U1833" s="1">
        <v>0.49</v>
      </c>
      <c r="V1833" s="6">
        <f t="shared" si="84"/>
        <v>38035.25</v>
      </c>
      <c r="W1833" s="6" t="str">
        <f t="shared" si="85"/>
        <v>Sufficient</v>
      </c>
      <c r="X1833" s="8" t="str">
        <f t="shared" si="86"/>
        <v>High</v>
      </c>
    </row>
    <row r="1834" spans="1:24">
      <c r="A1834" s="7" t="s">
        <v>1964</v>
      </c>
      <c r="B1834" s="1" t="s">
        <v>41</v>
      </c>
      <c r="C1834" s="1">
        <v>92</v>
      </c>
      <c r="D1834" s="1">
        <v>79</v>
      </c>
      <c r="E1834" s="1">
        <v>11</v>
      </c>
      <c r="F1834" s="1">
        <v>6</v>
      </c>
      <c r="G1834" s="1">
        <v>46.69</v>
      </c>
      <c r="H1834" s="1" t="s">
        <v>266</v>
      </c>
      <c r="I1834" s="1" t="s">
        <v>39</v>
      </c>
      <c r="J1834" s="1">
        <v>148</v>
      </c>
      <c r="K1834" s="1">
        <v>2.61</v>
      </c>
      <c r="L1834" s="4">
        <v>106.23</v>
      </c>
      <c r="M1834" s="1">
        <v>1.25</v>
      </c>
      <c r="N1834" s="1">
        <v>5</v>
      </c>
      <c r="O1834" s="1">
        <v>0.87</v>
      </c>
      <c r="P1834" s="1">
        <v>441</v>
      </c>
      <c r="Q1834" s="1">
        <v>11.56</v>
      </c>
      <c r="R1834" s="1">
        <v>0.6</v>
      </c>
      <c r="S1834" s="2">
        <v>45337</v>
      </c>
      <c r="T1834" s="1">
        <v>269.55</v>
      </c>
      <c r="U1834" s="1">
        <v>0.623</v>
      </c>
      <c r="V1834" s="6">
        <f t="shared" si="84"/>
        <v>9773.16</v>
      </c>
      <c r="W1834" s="6" t="str">
        <f t="shared" si="85"/>
        <v>Sufficient</v>
      </c>
      <c r="X1834" s="8" t="str">
        <f t="shared" si="86"/>
        <v>LOW</v>
      </c>
    </row>
    <row r="1835" spans="1:24">
      <c r="A1835" s="7" t="s">
        <v>1965</v>
      </c>
      <c r="B1835" s="1" t="s">
        <v>41</v>
      </c>
      <c r="C1835" s="1">
        <v>438</v>
      </c>
      <c r="D1835" s="1">
        <v>47</v>
      </c>
      <c r="E1835" s="1">
        <v>6</v>
      </c>
      <c r="F1835" s="1">
        <v>8</v>
      </c>
      <c r="G1835" s="1">
        <v>35.65</v>
      </c>
      <c r="H1835" s="1" t="s">
        <v>210</v>
      </c>
      <c r="I1835" s="1" t="s">
        <v>31</v>
      </c>
      <c r="J1835" s="1">
        <v>24</v>
      </c>
      <c r="K1835" s="1">
        <v>2.56</v>
      </c>
      <c r="L1835" s="4">
        <v>37.85</v>
      </c>
      <c r="M1835" s="1">
        <v>0.34</v>
      </c>
      <c r="N1835" s="1">
        <v>1</v>
      </c>
      <c r="O1835" s="1">
        <v>0.93</v>
      </c>
      <c r="P1835" s="1">
        <v>350</v>
      </c>
      <c r="Q1835" s="1">
        <v>13.91</v>
      </c>
      <c r="R1835" s="1">
        <v>0.64</v>
      </c>
      <c r="S1835" s="2">
        <v>45358</v>
      </c>
      <c r="T1835" s="1">
        <v>52.59</v>
      </c>
      <c r="U1835" s="1">
        <v>0.84499999999999997</v>
      </c>
      <c r="V1835" s="6">
        <f t="shared" si="84"/>
        <v>16578.3</v>
      </c>
      <c r="W1835" s="6" t="str">
        <f t="shared" si="85"/>
        <v>Sufficient</v>
      </c>
      <c r="X1835" s="8" t="str">
        <f t="shared" si="86"/>
        <v>High</v>
      </c>
    </row>
    <row r="1836" spans="1:24">
      <c r="A1836" s="7" t="s">
        <v>1966</v>
      </c>
      <c r="B1836" s="1" t="s">
        <v>41</v>
      </c>
      <c r="C1836" s="1">
        <v>198</v>
      </c>
      <c r="D1836" s="1">
        <v>11</v>
      </c>
      <c r="E1836" s="1">
        <v>11</v>
      </c>
      <c r="F1836" s="1">
        <v>7</v>
      </c>
      <c r="G1836" s="1">
        <v>44.88</v>
      </c>
      <c r="H1836" s="1" t="s">
        <v>95</v>
      </c>
      <c r="I1836" s="1" t="s">
        <v>27</v>
      </c>
      <c r="J1836" s="1">
        <v>149</v>
      </c>
      <c r="K1836" s="1">
        <v>3.96</v>
      </c>
      <c r="L1836" s="4">
        <v>14.74</v>
      </c>
      <c r="M1836" s="1">
        <v>1.35</v>
      </c>
      <c r="N1836" s="1">
        <v>9</v>
      </c>
      <c r="O1836" s="1">
        <v>0.85</v>
      </c>
      <c r="P1836" s="1">
        <v>956</v>
      </c>
      <c r="Q1836" s="1">
        <v>10.23</v>
      </c>
      <c r="R1836" s="1">
        <v>0.75</v>
      </c>
      <c r="S1836" s="2">
        <v>45606</v>
      </c>
      <c r="T1836" s="1">
        <v>243.57</v>
      </c>
      <c r="U1836" s="1">
        <v>0.54100000000000004</v>
      </c>
      <c r="V1836" s="6">
        <f t="shared" si="84"/>
        <v>2918.52</v>
      </c>
      <c r="W1836" s="6" t="str">
        <f t="shared" si="85"/>
        <v>Sufficient</v>
      </c>
      <c r="X1836" s="8" t="str">
        <f t="shared" si="86"/>
        <v>Medium</v>
      </c>
    </row>
    <row r="1837" spans="1:24">
      <c r="A1837" s="7" t="s">
        <v>1967</v>
      </c>
      <c r="B1837" s="1" t="s">
        <v>66</v>
      </c>
      <c r="C1837" s="1">
        <v>231</v>
      </c>
      <c r="D1837" s="1">
        <v>95</v>
      </c>
      <c r="E1837" s="1">
        <v>14</v>
      </c>
      <c r="F1837" s="1">
        <v>7</v>
      </c>
      <c r="G1837" s="1">
        <v>12.59</v>
      </c>
      <c r="H1837" s="1" t="s">
        <v>174</v>
      </c>
      <c r="I1837" s="1" t="s">
        <v>45</v>
      </c>
      <c r="J1837" s="1">
        <v>131</v>
      </c>
      <c r="K1837" s="1">
        <v>2.56</v>
      </c>
      <c r="L1837" s="4">
        <v>186.84</v>
      </c>
      <c r="M1837" s="1">
        <v>1.26</v>
      </c>
      <c r="N1837" s="1">
        <v>8</v>
      </c>
      <c r="O1837" s="1">
        <v>0.95</v>
      </c>
      <c r="P1837" s="1">
        <v>554</v>
      </c>
      <c r="Q1837" s="1">
        <v>3.82</v>
      </c>
      <c r="R1837" s="1">
        <v>0.41</v>
      </c>
      <c r="S1837" s="2">
        <v>45514</v>
      </c>
      <c r="T1837" s="1">
        <v>277.91000000000003</v>
      </c>
      <c r="U1837" s="1">
        <v>0.437</v>
      </c>
      <c r="V1837" s="6">
        <f t="shared" si="84"/>
        <v>43160.04</v>
      </c>
      <c r="W1837" s="6" t="str">
        <f t="shared" si="85"/>
        <v>Sufficient</v>
      </c>
      <c r="X1837" s="8" t="str">
        <f t="shared" si="86"/>
        <v>Medium</v>
      </c>
    </row>
    <row r="1838" spans="1:24">
      <c r="A1838" s="7" t="s">
        <v>1968</v>
      </c>
      <c r="B1838" s="1" t="s">
        <v>41</v>
      </c>
      <c r="C1838" s="1">
        <v>312</v>
      </c>
      <c r="D1838" s="1">
        <v>93</v>
      </c>
      <c r="E1838" s="1">
        <v>8</v>
      </c>
      <c r="F1838" s="1">
        <v>3</v>
      </c>
      <c r="G1838" s="1">
        <v>17.93</v>
      </c>
      <c r="H1838" s="1" t="s">
        <v>309</v>
      </c>
      <c r="I1838" s="1" t="s">
        <v>27</v>
      </c>
      <c r="J1838" s="1">
        <v>132</v>
      </c>
      <c r="K1838" s="1">
        <v>2.0699999999999998</v>
      </c>
      <c r="L1838" s="4">
        <v>33.880000000000003</v>
      </c>
      <c r="M1838" s="1">
        <v>1.1100000000000001</v>
      </c>
      <c r="N1838" s="1">
        <v>3</v>
      </c>
      <c r="O1838" s="1">
        <v>0.74</v>
      </c>
      <c r="P1838" s="1">
        <v>914</v>
      </c>
      <c r="Q1838" s="1">
        <v>2.2000000000000002</v>
      </c>
      <c r="R1838" s="1">
        <v>0.2</v>
      </c>
      <c r="S1838" s="2">
        <v>45616</v>
      </c>
      <c r="T1838" s="1">
        <v>138.15</v>
      </c>
      <c r="U1838" s="1">
        <v>0.44600000000000001</v>
      </c>
      <c r="V1838" s="6">
        <f t="shared" si="84"/>
        <v>10570.560000000001</v>
      </c>
      <c r="W1838" s="6" t="str">
        <f t="shared" si="85"/>
        <v>Sufficient</v>
      </c>
      <c r="X1838" s="8" t="str">
        <f t="shared" si="86"/>
        <v>High</v>
      </c>
    </row>
    <row r="1839" spans="1:24">
      <c r="A1839" s="7" t="s">
        <v>1969</v>
      </c>
      <c r="B1839" s="1" t="s">
        <v>66</v>
      </c>
      <c r="C1839" s="1">
        <v>253</v>
      </c>
      <c r="D1839" s="1">
        <v>98</v>
      </c>
      <c r="E1839" s="1">
        <v>3</v>
      </c>
      <c r="F1839" s="1">
        <v>6</v>
      </c>
      <c r="G1839" s="1">
        <v>37.89</v>
      </c>
      <c r="H1839" s="1" t="s">
        <v>68</v>
      </c>
      <c r="I1839" s="1" t="s">
        <v>31</v>
      </c>
      <c r="J1839" s="1">
        <v>173</v>
      </c>
      <c r="K1839" s="1">
        <v>4.83</v>
      </c>
      <c r="L1839" s="4">
        <v>143.94</v>
      </c>
      <c r="M1839" s="1">
        <v>0.86</v>
      </c>
      <c r="N1839" s="1">
        <v>3</v>
      </c>
      <c r="O1839" s="1">
        <v>0.92</v>
      </c>
      <c r="P1839" s="1">
        <v>202</v>
      </c>
      <c r="Q1839" s="1">
        <v>4.21</v>
      </c>
      <c r="R1839" s="1">
        <v>0.85</v>
      </c>
      <c r="S1839" s="2">
        <v>45511</v>
      </c>
      <c r="T1839" s="1">
        <v>122.91</v>
      </c>
      <c r="U1839" s="1">
        <v>0.66400000000000003</v>
      </c>
      <c r="V1839" s="6">
        <f t="shared" si="84"/>
        <v>36416.82</v>
      </c>
      <c r="W1839" s="6" t="str">
        <f t="shared" si="85"/>
        <v>Sufficient</v>
      </c>
      <c r="X1839" s="8" t="str">
        <f t="shared" si="86"/>
        <v>High</v>
      </c>
    </row>
    <row r="1840" spans="1:24">
      <c r="A1840" s="7" t="s">
        <v>1970</v>
      </c>
      <c r="B1840" s="1" t="s">
        <v>25</v>
      </c>
      <c r="C1840" s="1">
        <v>484</v>
      </c>
      <c r="D1840" s="1">
        <v>88</v>
      </c>
      <c r="E1840" s="1">
        <v>12</v>
      </c>
      <c r="F1840" s="1">
        <v>7</v>
      </c>
      <c r="G1840" s="1">
        <v>21.8</v>
      </c>
      <c r="H1840" s="1" t="s">
        <v>159</v>
      </c>
      <c r="I1840" s="1" t="s">
        <v>39</v>
      </c>
      <c r="J1840" s="1">
        <v>101</v>
      </c>
      <c r="K1840" s="1">
        <v>0.54</v>
      </c>
      <c r="L1840" s="4">
        <v>134.01</v>
      </c>
      <c r="M1840" s="1">
        <v>1.91</v>
      </c>
      <c r="N1840" s="1">
        <v>9</v>
      </c>
      <c r="O1840" s="1">
        <v>0.98</v>
      </c>
      <c r="P1840" s="1">
        <v>578</v>
      </c>
      <c r="Q1840" s="1">
        <v>5.74</v>
      </c>
      <c r="R1840" s="1">
        <v>0.86</v>
      </c>
      <c r="S1840" s="2">
        <v>45498</v>
      </c>
      <c r="T1840" s="1">
        <v>184.03</v>
      </c>
      <c r="U1840" s="1">
        <v>0.47399999999999998</v>
      </c>
      <c r="V1840" s="6">
        <f t="shared" si="84"/>
        <v>64860.84</v>
      </c>
      <c r="W1840" s="6" t="str">
        <f t="shared" si="85"/>
        <v>Sufficient</v>
      </c>
      <c r="X1840" s="8" t="str">
        <f t="shared" si="86"/>
        <v>High</v>
      </c>
    </row>
    <row r="1841" spans="1:24">
      <c r="A1841" s="7" t="s">
        <v>1971</v>
      </c>
      <c r="B1841" s="1" t="s">
        <v>33</v>
      </c>
      <c r="C1841" s="1">
        <v>258</v>
      </c>
      <c r="D1841" s="1">
        <v>81</v>
      </c>
      <c r="E1841" s="1">
        <v>8</v>
      </c>
      <c r="F1841" s="1">
        <v>3</v>
      </c>
      <c r="G1841" s="1">
        <v>42.03</v>
      </c>
      <c r="H1841" s="1" t="s">
        <v>47</v>
      </c>
      <c r="I1841" s="1" t="s">
        <v>27</v>
      </c>
      <c r="J1841" s="1">
        <v>32</v>
      </c>
      <c r="K1841" s="1">
        <v>1.87</v>
      </c>
      <c r="L1841" s="4">
        <v>74.930000000000007</v>
      </c>
      <c r="M1841" s="1">
        <v>1.71</v>
      </c>
      <c r="N1841" s="1">
        <v>7</v>
      </c>
      <c r="O1841" s="1">
        <v>0.8</v>
      </c>
      <c r="P1841" s="1">
        <v>388</v>
      </c>
      <c r="Q1841" s="1">
        <v>5.67</v>
      </c>
      <c r="R1841" s="1">
        <v>0.93</v>
      </c>
      <c r="S1841" s="2">
        <v>45511</v>
      </c>
      <c r="T1841" s="1">
        <v>224.7</v>
      </c>
      <c r="U1841" s="1">
        <v>0.51100000000000001</v>
      </c>
      <c r="V1841" s="6">
        <f t="shared" si="84"/>
        <v>19331.940000000002</v>
      </c>
      <c r="W1841" s="6" t="str">
        <f t="shared" si="85"/>
        <v>Sufficient</v>
      </c>
      <c r="X1841" s="8" t="str">
        <f t="shared" si="86"/>
        <v>High</v>
      </c>
    </row>
    <row r="1842" spans="1:24">
      <c r="A1842" s="7" t="s">
        <v>1972</v>
      </c>
      <c r="B1842" s="1" t="s">
        <v>66</v>
      </c>
      <c r="C1842" s="1">
        <v>242</v>
      </c>
      <c r="D1842" s="1">
        <v>46</v>
      </c>
      <c r="E1842" s="1">
        <v>11</v>
      </c>
      <c r="F1842" s="1">
        <v>9</v>
      </c>
      <c r="G1842" s="1">
        <v>44</v>
      </c>
      <c r="H1842" s="1" t="s">
        <v>97</v>
      </c>
      <c r="I1842" s="1" t="s">
        <v>27</v>
      </c>
      <c r="J1842" s="1">
        <v>164</v>
      </c>
      <c r="K1842" s="1">
        <v>3.24</v>
      </c>
      <c r="L1842" s="4">
        <v>45.22</v>
      </c>
      <c r="M1842" s="1">
        <v>1.21</v>
      </c>
      <c r="N1842" s="1">
        <v>2</v>
      </c>
      <c r="O1842" s="1">
        <v>0.81</v>
      </c>
      <c r="P1842" s="1">
        <v>798</v>
      </c>
      <c r="Q1842" s="1">
        <v>7.98</v>
      </c>
      <c r="R1842" s="1">
        <v>0.98</v>
      </c>
      <c r="S1842" s="2">
        <v>45536</v>
      </c>
      <c r="T1842" s="1">
        <v>197.23</v>
      </c>
      <c r="U1842" s="1">
        <v>0.70299999999999996</v>
      </c>
      <c r="V1842" s="6">
        <f t="shared" si="84"/>
        <v>10943.24</v>
      </c>
      <c r="W1842" s="6" t="str">
        <f t="shared" si="85"/>
        <v>Sufficient</v>
      </c>
      <c r="X1842" s="8" t="str">
        <f t="shared" si="86"/>
        <v>Medium</v>
      </c>
    </row>
    <row r="1843" spans="1:24">
      <c r="A1843" s="7" t="s">
        <v>1973</v>
      </c>
      <c r="B1843" s="1" t="s">
        <v>25</v>
      </c>
      <c r="C1843" s="1">
        <v>138</v>
      </c>
      <c r="D1843" s="1">
        <v>58</v>
      </c>
      <c r="E1843" s="1">
        <v>4</v>
      </c>
      <c r="F1843" s="1">
        <v>4</v>
      </c>
      <c r="G1843" s="1">
        <v>15.69</v>
      </c>
      <c r="H1843" s="1" t="s">
        <v>276</v>
      </c>
      <c r="I1843" s="1" t="s">
        <v>27</v>
      </c>
      <c r="J1843" s="1">
        <v>97</v>
      </c>
      <c r="K1843" s="1">
        <v>4.0199999999999996</v>
      </c>
      <c r="L1843" s="4">
        <v>43.88</v>
      </c>
      <c r="M1843" s="1">
        <v>0.11</v>
      </c>
      <c r="N1843" s="1">
        <v>9</v>
      </c>
      <c r="O1843" s="1">
        <v>0.73</v>
      </c>
      <c r="P1843" s="1">
        <v>561</v>
      </c>
      <c r="Q1843" s="1">
        <v>8.07</v>
      </c>
      <c r="R1843" s="1">
        <v>0.33</v>
      </c>
      <c r="S1843" s="2">
        <v>45488</v>
      </c>
      <c r="T1843" s="1">
        <v>10.33</v>
      </c>
      <c r="U1843" s="1">
        <v>0.52900000000000003</v>
      </c>
      <c r="V1843" s="6">
        <f t="shared" si="84"/>
        <v>6055.4400000000005</v>
      </c>
      <c r="W1843" s="6" t="str">
        <f t="shared" si="85"/>
        <v>Sufficient</v>
      </c>
      <c r="X1843" s="8" t="str">
        <f t="shared" si="86"/>
        <v>Medium</v>
      </c>
    </row>
    <row r="1844" spans="1:24">
      <c r="A1844" s="7" t="s">
        <v>1974</v>
      </c>
      <c r="B1844" s="1" t="s">
        <v>66</v>
      </c>
      <c r="C1844" s="1">
        <v>332</v>
      </c>
      <c r="D1844" s="1">
        <v>61</v>
      </c>
      <c r="E1844" s="1">
        <v>8</v>
      </c>
      <c r="F1844" s="1">
        <v>6</v>
      </c>
      <c r="G1844" s="1">
        <v>41.35</v>
      </c>
      <c r="H1844" s="1" t="s">
        <v>139</v>
      </c>
      <c r="I1844" s="1" t="s">
        <v>39</v>
      </c>
      <c r="J1844" s="1">
        <v>151</v>
      </c>
      <c r="K1844" s="1">
        <v>4.17</v>
      </c>
      <c r="L1844" s="4">
        <v>121.21</v>
      </c>
      <c r="M1844" s="1">
        <v>0.92</v>
      </c>
      <c r="N1844" s="1">
        <v>6</v>
      </c>
      <c r="O1844" s="1">
        <v>0.89</v>
      </c>
      <c r="P1844" s="1">
        <v>384</v>
      </c>
      <c r="Q1844" s="1">
        <v>7.6</v>
      </c>
      <c r="R1844" s="1">
        <v>0.48</v>
      </c>
      <c r="S1844" s="2">
        <v>45294</v>
      </c>
      <c r="T1844" s="1">
        <v>237.92</v>
      </c>
      <c r="U1844" s="1">
        <v>0.56299999999999994</v>
      </c>
      <c r="V1844" s="6">
        <f t="shared" si="84"/>
        <v>40241.72</v>
      </c>
      <c r="W1844" s="6" t="str">
        <f t="shared" si="85"/>
        <v>Sufficient</v>
      </c>
      <c r="X1844" s="8" t="str">
        <f t="shared" si="86"/>
        <v>High</v>
      </c>
    </row>
    <row r="1845" spans="1:24">
      <c r="A1845" s="7" t="s">
        <v>1975</v>
      </c>
      <c r="B1845" s="1" t="s">
        <v>66</v>
      </c>
      <c r="C1845" s="1">
        <v>283</v>
      </c>
      <c r="D1845" s="1">
        <v>42</v>
      </c>
      <c r="E1845" s="1">
        <v>4</v>
      </c>
      <c r="F1845" s="1">
        <v>5</v>
      </c>
      <c r="G1845" s="1">
        <v>8.56</v>
      </c>
      <c r="H1845" s="1" t="s">
        <v>205</v>
      </c>
      <c r="I1845" s="1" t="s">
        <v>39</v>
      </c>
      <c r="J1845" s="1">
        <v>108</v>
      </c>
      <c r="K1845" s="1">
        <v>0.71</v>
      </c>
      <c r="L1845" s="4">
        <v>113.92</v>
      </c>
      <c r="M1845" s="1">
        <v>1.43</v>
      </c>
      <c r="N1845" s="1">
        <v>6</v>
      </c>
      <c r="O1845" s="1">
        <v>0.87</v>
      </c>
      <c r="P1845" s="1">
        <v>558</v>
      </c>
      <c r="Q1845" s="1">
        <v>5.81</v>
      </c>
      <c r="R1845" s="1">
        <v>0.88</v>
      </c>
      <c r="S1845" s="2">
        <v>45311</v>
      </c>
      <c r="T1845" s="1">
        <v>52.74</v>
      </c>
      <c r="U1845" s="1">
        <v>0.56399999999999995</v>
      </c>
      <c r="V1845" s="6">
        <f t="shared" si="84"/>
        <v>32239.360000000001</v>
      </c>
      <c r="W1845" s="6" t="str">
        <f t="shared" si="85"/>
        <v>Sufficient</v>
      </c>
      <c r="X1845" s="8" t="str">
        <f t="shared" si="86"/>
        <v>High</v>
      </c>
    </row>
    <row r="1846" spans="1:24">
      <c r="A1846" s="7" t="s">
        <v>1976</v>
      </c>
      <c r="B1846" s="1" t="s">
        <v>33</v>
      </c>
      <c r="C1846" s="1">
        <v>226</v>
      </c>
      <c r="D1846" s="1">
        <v>31</v>
      </c>
      <c r="E1846" s="1">
        <v>6</v>
      </c>
      <c r="F1846" s="1">
        <v>2</v>
      </c>
      <c r="G1846" s="1">
        <v>17.38</v>
      </c>
      <c r="H1846" s="1" t="s">
        <v>132</v>
      </c>
      <c r="I1846" s="1" t="s">
        <v>27</v>
      </c>
      <c r="J1846" s="1">
        <v>36</v>
      </c>
      <c r="K1846" s="1">
        <v>3.69</v>
      </c>
      <c r="L1846" s="4">
        <v>176.43</v>
      </c>
      <c r="M1846" s="1">
        <v>0.32</v>
      </c>
      <c r="N1846" s="1">
        <v>1</v>
      </c>
      <c r="O1846" s="1">
        <v>0.71</v>
      </c>
      <c r="P1846" s="1">
        <v>105</v>
      </c>
      <c r="Q1846" s="1">
        <v>2.5</v>
      </c>
      <c r="R1846" s="1">
        <v>0.95</v>
      </c>
      <c r="S1846" s="2">
        <v>45565</v>
      </c>
      <c r="T1846" s="1">
        <v>140.41</v>
      </c>
      <c r="U1846" s="1">
        <v>0.71299999999999997</v>
      </c>
      <c r="V1846" s="6">
        <f t="shared" si="84"/>
        <v>39873.18</v>
      </c>
      <c r="W1846" s="6" t="str">
        <f t="shared" si="85"/>
        <v>Sufficient</v>
      </c>
      <c r="X1846" s="8" t="str">
        <f t="shared" si="86"/>
        <v>Medium</v>
      </c>
    </row>
    <row r="1847" spans="1:24">
      <c r="A1847" s="7" t="s">
        <v>1977</v>
      </c>
      <c r="B1847" s="1" t="s">
        <v>29</v>
      </c>
      <c r="C1847" s="1">
        <v>114</v>
      </c>
      <c r="D1847" s="1">
        <v>14</v>
      </c>
      <c r="E1847" s="1">
        <v>10</v>
      </c>
      <c r="F1847" s="1">
        <v>5</v>
      </c>
      <c r="G1847" s="1">
        <v>26.38</v>
      </c>
      <c r="H1847" s="1" t="s">
        <v>95</v>
      </c>
      <c r="I1847" s="1" t="s">
        <v>27</v>
      </c>
      <c r="J1847" s="1">
        <v>30</v>
      </c>
      <c r="K1847" s="1">
        <v>3.74</v>
      </c>
      <c r="L1847" s="4">
        <v>131.6</v>
      </c>
      <c r="M1847" s="1">
        <v>0.87</v>
      </c>
      <c r="N1847" s="1">
        <v>2</v>
      </c>
      <c r="O1847" s="1">
        <v>0.93</v>
      </c>
      <c r="P1847" s="1">
        <v>605</v>
      </c>
      <c r="Q1847" s="1">
        <v>6.86</v>
      </c>
      <c r="R1847" s="1">
        <v>0.21</v>
      </c>
      <c r="S1847" s="2">
        <v>45394</v>
      </c>
      <c r="T1847" s="1">
        <v>91.88</v>
      </c>
      <c r="U1847" s="1">
        <v>0.59199999999999997</v>
      </c>
      <c r="V1847" s="6">
        <f t="shared" si="84"/>
        <v>15002.4</v>
      </c>
      <c r="W1847" s="6" t="str">
        <f t="shared" si="85"/>
        <v>Sufficient</v>
      </c>
      <c r="X1847" s="8" t="str">
        <f t="shared" si="86"/>
        <v>Medium</v>
      </c>
    </row>
    <row r="1848" spans="1:24">
      <c r="A1848" s="7" t="s">
        <v>1978</v>
      </c>
      <c r="B1848" s="1" t="s">
        <v>29</v>
      </c>
      <c r="C1848" s="1">
        <v>392</v>
      </c>
      <c r="D1848" s="1">
        <v>27</v>
      </c>
      <c r="E1848" s="1">
        <v>9</v>
      </c>
      <c r="F1848" s="1">
        <v>8</v>
      </c>
      <c r="G1848" s="1">
        <v>12.1</v>
      </c>
      <c r="H1848" s="1" t="s">
        <v>227</v>
      </c>
      <c r="I1848" s="1" t="s">
        <v>31</v>
      </c>
      <c r="J1848" s="1">
        <v>58</v>
      </c>
      <c r="K1848" s="1">
        <v>1.46</v>
      </c>
      <c r="L1848" s="4">
        <v>165.66</v>
      </c>
      <c r="M1848" s="1">
        <v>0.46</v>
      </c>
      <c r="N1848" s="1">
        <v>3</v>
      </c>
      <c r="O1848" s="1">
        <v>0.95</v>
      </c>
      <c r="P1848" s="1">
        <v>870</v>
      </c>
      <c r="Q1848" s="1">
        <v>14.8</v>
      </c>
      <c r="R1848" s="1">
        <v>0.51</v>
      </c>
      <c r="S1848" s="2">
        <v>45483</v>
      </c>
      <c r="T1848" s="1">
        <v>279.08999999999997</v>
      </c>
      <c r="U1848" s="1">
        <v>0.78300000000000003</v>
      </c>
      <c r="V1848" s="6">
        <f t="shared" si="84"/>
        <v>64938.720000000001</v>
      </c>
      <c r="W1848" s="6" t="str">
        <f t="shared" si="85"/>
        <v>Sufficient</v>
      </c>
      <c r="X1848" s="8" t="str">
        <f t="shared" si="86"/>
        <v>High</v>
      </c>
    </row>
    <row r="1849" spans="1:24">
      <c r="A1849" s="7" t="s">
        <v>1979</v>
      </c>
      <c r="B1849" s="1" t="s">
        <v>66</v>
      </c>
      <c r="C1849" s="1">
        <v>241</v>
      </c>
      <c r="D1849" s="1">
        <v>47</v>
      </c>
      <c r="E1849" s="1">
        <v>13</v>
      </c>
      <c r="F1849" s="1">
        <v>9</v>
      </c>
      <c r="G1849" s="1">
        <v>29.38</v>
      </c>
      <c r="H1849" s="1" t="s">
        <v>238</v>
      </c>
      <c r="I1849" s="1" t="s">
        <v>39</v>
      </c>
      <c r="J1849" s="1">
        <v>53</v>
      </c>
      <c r="K1849" s="1">
        <v>1.01</v>
      </c>
      <c r="L1849" s="4">
        <v>16.16</v>
      </c>
      <c r="M1849" s="1">
        <v>0.74</v>
      </c>
      <c r="N1849" s="1">
        <v>1</v>
      </c>
      <c r="O1849" s="1">
        <v>0.97</v>
      </c>
      <c r="P1849" s="1">
        <v>802</v>
      </c>
      <c r="Q1849" s="1">
        <v>10.15</v>
      </c>
      <c r="R1849" s="1">
        <v>0.28999999999999998</v>
      </c>
      <c r="S1849" s="2">
        <v>45299</v>
      </c>
      <c r="T1849" s="1">
        <v>155.61000000000001</v>
      </c>
      <c r="U1849" s="1">
        <v>0.69299999999999995</v>
      </c>
      <c r="V1849" s="6">
        <f t="shared" si="84"/>
        <v>3894.56</v>
      </c>
      <c r="W1849" s="6" t="str">
        <f t="shared" si="85"/>
        <v>Sufficient</v>
      </c>
      <c r="X1849" s="8" t="str">
        <f t="shared" si="86"/>
        <v>Medium</v>
      </c>
    </row>
    <row r="1850" spans="1:24">
      <c r="A1850" s="7" t="s">
        <v>1980</v>
      </c>
      <c r="B1850" s="1" t="s">
        <v>41</v>
      </c>
      <c r="C1850" s="1">
        <v>385</v>
      </c>
      <c r="D1850" s="1">
        <v>46</v>
      </c>
      <c r="E1850" s="1">
        <v>14</v>
      </c>
      <c r="F1850" s="1">
        <v>6</v>
      </c>
      <c r="G1850" s="1">
        <v>29.36</v>
      </c>
      <c r="H1850" s="1" t="s">
        <v>294</v>
      </c>
      <c r="I1850" s="1" t="s">
        <v>27</v>
      </c>
      <c r="J1850" s="1">
        <v>53</v>
      </c>
      <c r="K1850" s="1">
        <v>3.87</v>
      </c>
      <c r="L1850" s="4">
        <v>137.49</v>
      </c>
      <c r="M1850" s="1">
        <v>0.15</v>
      </c>
      <c r="N1850" s="1">
        <v>8</v>
      </c>
      <c r="O1850" s="1">
        <v>0.86</v>
      </c>
      <c r="P1850" s="1">
        <v>980</v>
      </c>
      <c r="Q1850" s="1">
        <v>7.16</v>
      </c>
      <c r="R1850" s="1">
        <v>0.83</v>
      </c>
      <c r="S1850" s="2">
        <v>45456</v>
      </c>
      <c r="T1850" s="1">
        <v>161.43</v>
      </c>
      <c r="U1850" s="1">
        <v>0.65800000000000003</v>
      </c>
      <c r="V1850" s="6">
        <f t="shared" si="84"/>
        <v>52933.65</v>
      </c>
      <c r="W1850" s="6" t="str">
        <f t="shared" si="85"/>
        <v>Sufficient</v>
      </c>
      <c r="X1850" s="8" t="str">
        <f t="shared" si="86"/>
        <v>High</v>
      </c>
    </row>
    <row r="1851" spans="1:24">
      <c r="A1851" s="7" t="s">
        <v>1981</v>
      </c>
      <c r="B1851" s="1" t="s">
        <v>25</v>
      </c>
      <c r="C1851" s="1">
        <v>295</v>
      </c>
      <c r="D1851" s="1">
        <v>73</v>
      </c>
      <c r="E1851" s="1">
        <v>11</v>
      </c>
      <c r="F1851" s="1">
        <v>7</v>
      </c>
      <c r="G1851" s="1">
        <v>11.14</v>
      </c>
      <c r="H1851" s="1" t="s">
        <v>304</v>
      </c>
      <c r="I1851" s="1" t="s">
        <v>39</v>
      </c>
      <c r="J1851" s="1">
        <v>137</v>
      </c>
      <c r="K1851" s="1">
        <v>1.62</v>
      </c>
      <c r="L1851" s="4">
        <v>54.4</v>
      </c>
      <c r="M1851" s="1">
        <v>0.34</v>
      </c>
      <c r="N1851" s="1">
        <v>9</v>
      </c>
      <c r="O1851" s="1">
        <v>0.84</v>
      </c>
      <c r="P1851" s="1">
        <v>600</v>
      </c>
      <c r="Q1851" s="1">
        <v>2.17</v>
      </c>
      <c r="R1851" s="1">
        <v>0.8</v>
      </c>
      <c r="S1851" s="2">
        <v>45563</v>
      </c>
      <c r="T1851" s="1">
        <v>32.08</v>
      </c>
      <c r="U1851" s="1">
        <v>0.54300000000000004</v>
      </c>
      <c r="V1851" s="6">
        <f t="shared" si="84"/>
        <v>16048</v>
      </c>
      <c r="W1851" s="6" t="str">
        <f t="shared" si="85"/>
        <v>Sufficient</v>
      </c>
      <c r="X1851" s="8" t="str">
        <f t="shared" si="86"/>
        <v>High</v>
      </c>
    </row>
    <row r="1852" spans="1:24">
      <c r="A1852" s="7" t="s">
        <v>1982</v>
      </c>
      <c r="B1852" s="1" t="s">
        <v>41</v>
      </c>
      <c r="C1852" s="1">
        <v>399</v>
      </c>
      <c r="D1852" s="1">
        <v>19</v>
      </c>
      <c r="E1852" s="1">
        <v>9</v>
      </c>
      <c r="F1852" s="1">
        <v>3</v>
      </c>
      <c r="G1852" s="1">
        <v>39.99</v>
      </c>
      <c r="H1852" s="1" t="s">
        <v>346</v>
      </c>
      <c r="I1852" s="1" t="s">
        <v>39</v>
      </c>
      <c r="J1852" s="1">
        <v>179</v>
      </c>
      <c r="K1852" s="1">
        <v>0.51</v>
      </c>
      <c r="L1852" s="4">
        <v>58.04</v>
      </c>
      <c r="M1852" s="1">
        <v>0.96</v>
      </c>
      <c r="N1852" s="1">
        <v>5</v>
      </c>
      <c r="O1852" s="1">
        <v>0.96</v>
      </c>
      <c r="P1852" s="1">
        <v>179</v>
      </c>
      <c r="Q1852" s="1">
        <v>3.99</v>
      </c>
      <c r="R1852" s="1">
        <v>0.8</v>
      </c>
      <c r="S1852" s="2">
        <v>45389</v>
      </c>
      <c r="T1852" s="1">
        <v>270.23</v>
      </c>
      <c r="U1852" s="1">
        <v>0.60899999999999999</v>
      </c>
      <c r="V1852" s="6">
        <f t="shared" si="84"/>
        <v>23157.96</v>
      </c>
      <c r="W1852" s="6" t="str">
        <f t="shared" si="85"/>
        <v>Sufficient</v>
      </c>
      <c r="X1852" s="8" t="str">
        <f t="shared" si="86"/>
        <v>High</v>
      </c>
    </row>
    <row r="1853" spans="1:24">
      <c r="A1853" s="7" t="s">
        <v>1983</v>
      </c>
      <c r="B1853" s="1" t="s">
        <v>41</v>
      </c>
      <c r="C1853" s="1">
        <v>250</v>
      </c>
      <c r="D1853" s="1">
        <v>88</v>
      </c>
      <c r="E1853" s="1">
        <v>3</v>
      </c>
      <c r="F1853" s="1">
        <v>8</v>
      </c>
      <c r="G1853" s="1">
        <v>31.95</v>
      </c>
      <c r="H1853" s="1" t="s">
        <v>113</v>
      </c>
      <c r="I1853" s="1" t="s">
        <v>39</v>
      </c>
      <c r="J1853" s="1">
        <v>32</v>
      </c>
      <c r="K1853" s="1">
        <v>1.51</v>
      </c>
      <c r="L1853" s="4">
        <v>146.91</v>
      </c>
      <c r="M1853" s="1">
        <v>1.81</v>
      </c>
      <c r="N1853" s="1">
        <v>0</v>
      </c>
      <c r="O1853" s="1">
        <v>0.82</v>
      </c>
      <c r="P1853" s="1">
        <v>147</v>
      </c>
      <c r="Q1853" s="1">
        <v>9.0500000000000007</v>
      </c>
      <c r="R1853" s="1">
        <v>0.51</v>
      </c>
      <c r="S1853" s="2">
        <v>45301</v>
      </c>
      <c r="T1853" s="1">
        <v>79.319999999999993</v>
      </c>
      <c r="U1853" s="1">
        <v>0.60599999999999998</v>
      </c>
      <c r="V1853" s="6">
        <f t="shared" si="84"/>
        <v>36727.5</v>
      </c>
      <c r="W1853" s="6" t="str">
        <f t="shared" si="85"/>
        <v>Sufficient</v>
      </c>
      <c r="X1853" s="8" t="str">
        <f t="shared" si="86"/>
        <v>High</v>
      </c>
    </row>
    <row r="1854" spans="1:24">
      <c r="A1854" s="7" t="s">
        <v>1984</v>
      </c>
      <c r="B1854" s="1" t="s">
        <v>66</v>
      </c>
      <c r="C1854" s="1">
        <v>328</v>
      </c>
      <c r="D1854" s="1">
        <v>51</v>
      </c>
      <c r="E1854" s="1">
        <v>4</v>
      </c>
      <c r="F1854" s="1">
        <v>6</v>
      </c>
      <c r="G1854" s="1">
        <v>16.57</v>
      </c>
      <c r="H1854" s="1" t="s">
        <v>130</v>
      </c>
      <c r="I1854" s="1" t="s">
        <v>31</v>
      </c>
      <c r="J1854" s="1">
        <v>138</v>
      </c>
      <c r="K1854" s="1">
        <v>0.64</v>
      </c>
      <c r="L1854" s="4">
        <v>160.75</v>
      </c>
      <c r="M1854" s="1">
        <v>1.03</v>
      </c>
      <c r="N1854" s="1">
        <v>0</v>
      </c>
      <c r="O1854" s="1">
        <v>0.9</v>
      </c>
      <c r="P1854" s="1">
        <v>842</v>
      </c>
      <c r="Q1854" s="1">
        <v>7.97</v>
      </c>
      <c r="R1854" s="1">
        <v>0.52</v>
      </c>
      <c r="S1854" s="2">
        <v>45638</v>
      </c>
      <c r="T1854" s="1">
        <v>130.05000000000001</v>
      </c>
      <c r="U1854" s="1">
        <v>0.68700000000000006</v>
      </c>
      <c r="V1854" s="6">
        <f t="shared" si="84"/>
        <v>52726</v>
      </c>
      <c r="W1854" s="6" t="str">
        <f t="shared" si="85"/>
        <v>Sufficient</v>
      </c>
      <c r="X1854" s="8" t="str">
        <f t="shared" si="86"/>
        <v>High</v>
      </c>
    </row>
    <row r="1855" spans="1:24">
      <c r="A1855" s="7" t="s">
        <v>1985</v>
      </c>
      <c r="B1855" s="1" t="s">
        <v>66</v>
      </c>
      <c r="C1855" s="1">
        <v>138</v>
      </c>
      <c r="D1855" s="1">
        <v>57</v>
      </c>
      <c r="E1855" s="1">
        <v>8</v>
      </c>
      <c r="F1855" s="1">
        <v>2</v>
      </c>
      <c r="G1855" s="1">
        <v>12.38</v>
      </c>
      <c r="H1855" s="1" t="s">
        <v>151</v>
      </c>
      <c r="I1855" s="1" t="s">
        <v>45</v>
      </c>
      <c r="J1855" s="1">
        <v>134</v>
      </c>
      <c r="K1855" s="1">
        <v>1.62</v>
      </c>
      <c r="L1855" s="4">
        <v>80.63</v>
      </c>
      <c r="M1855" s="1">
        <v>0.96</v>
      </c>
      <c r="N1855" s="1">
        <v>7</v>
      </c>
      <c r="O1855" s="1">
        <v>0.88</v>
      </c>
      <c r="P1855" s="1">
        <v>471</v>
      </c>
      <c r="Q1855" s="1">
        <v>1.27</v>
      </c>
      <c r="R1855" s="1">
        <v>0.41</v>
      </c>
      <c r="S1855" s="2">
        <v>45294</v>
      </c>
      <c r="T1855" s="1">
        <v>295.74</v>
      </c>
      <c r="U1855" s="1">
        <v>0.439</v>
      </c>
      <c r="V1855" s="6">
        <f t="shared" si="84"/>
        <v>11126.939999999999</v>
      </c>
      <c r="W1855" s="6" t="str">
        <f t="shared" si="85"/>
        <v>Sufficient</v>
      </c>
      <c r="X1855" s="8" t="str">
        <f t="shared" si="86"/>
        <v>Medium</v>
      </c>
    </row>
    <row r="1856" spans="1:24">
      <c r="A1856" s="7" t="s">
        <v>1986</v>
      </c>
      <c r="B1856" s="1" t="s">
        <v>66</v>
      </c>
      <c r="C1856" s="1">
        <v>287</v>
      </c>
      <c r="D1856" s="1">
        <v>53</v>
      </c>
      <c r="E1856" s="1">
        <v>9</v>
      </c>
      <c r="F1856" s="1">
        <v>6</v>
      </c>
      <c r="G1856" s="1">
        <v>44.06</v>
      </c>
      <c r="H1856" s="1" t="s">
        <v>70</v>
      </c>
      <c r="I1856" s="1" t="s">
        <v>39</v>
      </c>
      <c r="J1856" s="1">
        <v>45</v>
      </c>
      <c r="K1856" s="1">
        <v>2.0099999999999998</v>
      </c>
      <c r="L1856" s="4">
        <v>160.11000000000001</v>
      </c>
      <c r="M1856" s="1">
        <v>1.6</v>
      </c>
      <c r="N1856" s="1">
        <v>5</v>
      </c>
      <c r="O1856" s="1">
        <v>0.81</v>
      </c>
      <c r="P1856" s="1">
        <v>129</v>
      </c>
      <c r="Q1856" s="1">
        <v>2.21</v>
      </c>
      <c r="R1856" s="1">
        <v>0.49</v>
      </c>
      <c r="S1856" s="2">
        <v>45612</v>
      </c>
      <c r="T1856" s="1">
        <v>43.03</v>
      </c>
      <c r="U1856" s="1">
        <v>0.42899999999999999</v>
      </c>
      <c r="V1856" s="6">
        <f t="shared" si="84"/>
        <v>45951.570000000007</v>
      </c>
      <c r="W1856" s="6" t="str">
        <f t="shared" si="85"/>
        <v>Sufficient</v>
      </c>
      <c r="X1856" s="8" t="str">
        <f t="shared" si="86"/>
        <v>High</v>
      </c>
    </row>
    <row r="1857" spans="1:24">
      <c r="A1857" s="7" t="s">
        <v>1987</v>
      </c>
      <c r="B1857" s="1" t="s">
        <v>66</v>
      </c>
      <c r="C1857" s="1">
        <v>452</v>
      </c>
      <c r="D1857" s="1">
        <v>91</v>
      </c>
      <c r="E1857" s="1">
        <v>5</v>
      </c>
      <c r="F1857" s="1">
        <v>8</v>
      </c>
      <c r="G1857" s="1">
        <v>41.95</v>
      </c>
      <c r="H1857" s="1" t="s">
        <v>72</v>
      </c>
      <c r="I1857" s="1" t="s">
        <v>39</v>
      </c>
      <c r="J1857" s="1">
        <v>64</v>
      </c>
      <c r="K1857" s="1">
        <v>1.72</v>
      </c>
      <c r="L1857" s="4">
        <v>94.31</v>
      </c>
      <c r="M1857" s="1">
        <v>0.61</v>
      </c>
      <c r="N1857" s="1">
        <v>9</v>
      </c>
      <c r="O1857" s="1">
        <v>0.73</v>
      </c>
      <c r="P1857" s="1">
        <v>337</v>
      </c>
      <c r="Q1857" s="1">
        <v>5.98</v>
      </c>
      <c r="R1857" s="1">
        <v>0.99</v>
      </c>
      <c r="S1857" s="2">
        <v>45419</v>
      </c>
      <c r="T1857" s="1">
        <v>218.37</v>
      </c>
      <c r="U1857" s="1">
        <v>0.58299999999999996</v>
      </c>
      <c r="V1857" s="6">
        <f t="shared" si="84"/>
        <v>42628.12</v>
      </c>
      <c r="W1857" s="6" t="str">
        <f t="shared" si="85"/>
        <v>Sufficient</v>
      </c>
      <c r="X1857" s="8" t="str">
        <f t="shared" si="86"/>
        <v>High</v>
      </c>
    </row>
    <row r="1858" spans="1:24">
      <c r="A1858" s="7" t="s">
        <v>1988</v>
      </c>
      <c r="B1858" s="1" t="s">
        <v>29</v>
      </c>
      <c r="C1858" s="1">
        <v>292</v>
      </c>
      <c r="D1858" s="1">
        <v>96</v>
      </c>
      <c r="E1858" s="1">
        <v>11</v>
      </c>
      <c r="F1858" s="1">
        <v>3</v>
      </c>
      <c r="G1858" s="1">
        <v>12.26</v>
      </c>
      <c r="H1858" s="1" t="s">
        <v>77</v>
      </c>
      <c r="I1858" s="1" t="s">
        <v>27</v>
      </c>
      <c r="J1858" s="1">
        <v>119</v>
      </c>
      <c r="K1858" s="1">
        <v>4.6399999999999997</v>
      </c>
      <c r="L1858" s="4">
        <v>172.95</v>
      </c>
      <c r="M1858" s="1">
        <v>0.28000000000000003</v>
      </c>
      <c r="N1858" s="1">
        <v>6</v>
      </c>
      <c r="O1858" s="1">
        <v>0.71</v>
      </c>
      <c r="P1858" s="1">
        <v>896</v>
      </c>
      <c r="Q1858" s="1">
        <v>2.97</v>
      </c>
      <c r="R1858" s="1">
        <v>0.24</v>
      </c>
      <c r="S1858" s="2">
        <v>45407</v>
      </c>
      <c r="T1858" s="1">
        <v>85.44</v>
      </c>
      <c r="U1858" s="1">
        <v>0.48199999999999998</v>
      </c>
      <c r="V1858" s="6">
        <f t="shared" si="84"/>
        <v>50501.399999999994</v>
      </c>
      <c r="W1858" s="6" t="str">
        <f t="shared" si="85"/>
        <v>Sufficient</v>
      </c>
      <c r="X1858" s="8" t="str">
        <f t="shared" si="86"/>
        <v>High</v>
      </c>
    </row>
    <row r="1859" spans="1:24">
      <c r="A1859" s="7" t="s">
        <v>1989</v>
      </c>
      <c r="B1859" s="1" t="s">
        <v>66</v>
      </c>
      <c r="C1859" s="1">
        <v>83</v>
      </c>
      <c r="D1859" s="1">
        <v>25</v>
      </c>
      <c r="E1859" s="1">
        <v>9</v>
      </c>
      <c r="F1859" s="1">
        <v>5</v>
      </c>
      <c r="G1859" s="1">
        <v>2.74</v>
      </c>
      <c r="H1859" s="1" t="s">
        <v>176</v>
      </c>
      <c r="I1859" s="1" t="s">
        <v>39</v>
      </c>
      <c r="J1859" s="1">
        <v>25</v>
      </c>
      <c r="K1859" s="1">
        <v>1.55</v>
      </c>
      <c r="L1859" s="4">
        <v>14.73</v>
      </c>
      <c r="M1859" s="1">
        <v>0.5</v>
      </c>
      <c r="N1859" s="1">
        <v>5</v>
      </c>
      <c r="O1859" s="1">
        <v>0.83</v>
      </c>
      <c r="P1859" s="1">
        <v>795</v>
      </c>
      <c r="Q1859" s="1">
        <v>14.41</v>
      </c>
      <c r="R1859" s="1">
        <v>0.46</v>
      </c>
      <c r="S1859" s="2">
        <v>45647</v>
      </c>
      <c r="T1859" s="1">
        <v>131.74</v>
      </c>
      <c r="U1859" s="1">
        <v>0.7</v>
      </c>
      <c r="V1859" s="6">
        <f t="shared" si="84"/>
        <v>1222.5900000000001</v>
      </c>
      <c r="W1859" s="6" t="str">
        <f t="shared" si="85"/>
        <v>Sufficient</v>
      </c>
      <c r="X1859" s="8" t="str">
        <f t="shared" si="86"/>
        <v>LOW</v>
      </c>
    </row>
    <row r="1860" spans="1:24">
      <c r="A1860" s="7" t="s">
        <v>1990</v>
      </c>
      <c r="B1860" s="1" t="s">
        <v>29</v>
      </c>
      <c r="C1860" s="1">
        <v>317</v>
      </c>
      <c r="D1860" s="1">
        <v>63</v>
      </c>
      <c r="E1860" s="1">
        <v>8</v>
      </c>
      <c r="F1860" s="1">
        <v>4</v>
      </c>
      <c r="G1860" s="1">
        <v>40.42</v>
      </c>
      <c r="H1860" s="1" t="s">
        <v>117</v>
      </c>
      <c r="I1860" s="1" t="s">
        <v>45</v>
      </c>
      <c r="J1860" s="1">
        <v>98</v>
      </c>
      <c r="K1860" s="1">
        <v>2.6</v>
      </c>
      <c r="L1860" s="4">
        <v>25.86</v>
      </c>
      <c r="M1860" s="1">
        <v>1.6</v>
      </c>
      <c r="N1860" s="1">
        <v>1</v>
      </c>
      <c r="O1860" s="1">
        <v>0.84</v>
      </c>
      <c r="P1860" s="1">
        <v>895</v>
      </c>
      <c r="Q1860" s="1">
        <v>1.48</v>
      </c>
      <c r="R1860" s="1">
        <v>0.83</v>
      </c>
      <c r="S1860" s="2">
        <v>45468</v>
      </c>
      <c r="T1860" s="1">
        <v>131.28</v>
      </c>
      <c r="U1860" s="1">
        <v>0.57399999999999995</v>
      </c>
      <c r="V1860" s="6">
        <f t="shared" ref="V1860:V1923" si="87">C1860*L1860</f>
        <v>8197.619999999999</v>
      </c>
      <c r="W1860" s="6" t="str">
        <f t="shared" ref="W1860:W1923" si="88">IF(C1860&lt;=D1860,"Reorder Required","Sufficient")</f>
        <v>Sufficient</v>
      </c>
      <c r="X1860" s="8" t="str">
        <f t="shared" ref="X1860:X1923" si="89">IF(C1860&lt;100,"LOW",IF(C1860&lt;250,"Medium","High"))</f>
        <v>High</v>
      </c>
    </row>
    <row r="1861" spans="1:24">
      <c r="A1861" s="7" t="s">
        <v>1991</v>
      </c>
      <c r="B1861" s="1" t="s">
        <v>29</v>
      </c>
      <c r="C1861" s="1">
        <v>369</v>
      </c>
      <c r="D1861" s="1">
        <v>44</v>
      </c>
      <c r="E1861" s="1">
        <v>8</v>
      </c>
      <c r="F1861" s="1">
        <v>5</v>
      </c>
      <c r="G1861" s="1">
        <v>31.16</v>
      </c>
      <c r="H1861" s="1" t="s">
        <v>185</v>
      </c>
      <c r="I1861" s="1" t="s">
        <v>39</v>
      </c>
      <c r="J1861" s="1">
        <v>27</v>
      </c>
      <c r="K1861" s="1">
        <v>4.8099999999999996</v>
      </c>
      <c r="L1861" s="4">
        <v>157.51</v>
      </c>
      <c r="M1861" s="1">
        <v>1.39</v>
      </c>
      <c r="N1861" s="1">
        <v>2</v>
      </c>
      <c r="O1861" s="1">
        <v>0.95</v>
      </c>
      <c r="P1861" s="1">
        <v>218</v>
      </c>
      <c r="Q1861" s="1">
        <v>14.64</v>
      </c>
      <c r="R1861" s="1">
        <v>0.51</v>
      </c>
      <c r="S1861" s="2">
        <v>45451</v>
      </c>
      <c r="T1861" s="1">
        <v>280.35000000000002</v>
      </c>
      <c r="U1861" s="1">
        <v>0.70799999999999996</v>
      </c>
      <c r="V1861" s="6">
        <f t="shared" si="87"/>
        <v>58121.189999999995</v>
      </c>
      <c r="W1861" s="6" t="str">
        <f t="shared" si="88"/>
        <v>Sufficient</v>
      </c>
      <c r="X1861" s="8" t="str">
        <f t="shared" si="89"/>
        <v>High</v>
      </c>
    </row>
    <row r="1862" spans="1:24">
      <c r="A1862" s="7" t="s">
        <v>1992</v>
      </c>
      <c r="B1862" s="1" t="s">
        <v>66</v>
      </c>
      <c r="C1862" s="1">
        <v>432</v>
      </c>
      <c r="D1862" s="1">
        <v>37</v>
      </c>
      <c r="E1862" s="1">
        <v>3</v>
      </c>
      <c r="F1862" s="1">
        <v>3</v>
      </c>
      <c r="G1862" s="1">
        <v>5.94</v>
      </c>
      <c r="H1862" s="1" t="s">
        <v>229</v>
      </c>
      <c r="I1862" s="1" t="s">
        <v>31</v>
      </c>
      <c r="J1862" s="1">
        <v>47</v>
      </c>
      <c r="K1862" s="1">
        <v>4.46</v>
      </c>
      <c r="L1862" s="4">
        <v>128.58000000000001</v>
      </c>
      <c r="M1862" s="1">
        <v>0.27</v>
      </c>
      <c r="N1862" s="1">
        <v>7</v>
      </c>
      <c r="O1862" s="1">
        <v>0.82</v>
      </c>
      <c r="P1862" s="1">
        <v>128</v>
      </c>
      <c r="Q1862" s="1">
        <v>10.19</v>
      </c>
      <c r="R1862" s="1">
        <v>0.96</v>
      </c>
      <c r="S1862" s="2">
        <v>45358</v>
      </c>
      <c r="T1862" s="1">
        <v>13.01</v>
      </c>
      <c r="U1862" s="1">
        <v>0.72499999999999998</v>
      </c>
      <c r="V1862" s="6">
        <f t="shared" si="87"/>
        <v>55546.560000000005</v>
      </c>
      <c r="W1862" s="6" t="str">
        <f t="shared" si="88"/>
        <v>Sufficient</v>
      </c>
      <c r="X1862" s="8" t="str">
        <f t="shared" si="89"/>
        <v>High</v>
      </c>
    </row>
    <row r="1863" spans="1:24">
      <c r="A1863" s="7" t="s">
        <v>1993</v>
      </c>
      <c r="B1863" s="1" t="s">
        <v>33</v>
      </c>
      <c r="C1863" s="1">
        <v>422</v>
      </c>
      <c r="D1863" s="1">
        <v>11</v>
      </c>
      <c r="E1863" s="1">
        <v>7</v>
      </c>
      <c r="F1863" s="1">
        <v>8</v>
      </c>
      <c r="G1863" s="1">
        <v>29.78</v>
      </c>
      <c r="H1863" s="1" t="s">
        <v>36</v>
      </c>
      <c r="I1863" s="1" t="s">
        <v>27</v>
      </c>
      <c r="J1863" s="1">
        <v>29</v>
      </c>
      <c r="K1863" s="1">
        <v>1.89</v>
      </c>
      <c r="L1863" s="4">
        <v>116.21</v>
      </c>
      <c r="M1863" s="1">
        <v>1.37</v>
      </c>
      <c r="N1863" s="1">
        <v>3</v>
      </c>
      <c r="O1863" s="1">
        <v>0.78</v>
      </c>
      <c r="P1863" s="1">
        <v>120</v>
      </c>
      <c r="Q1863" s="1">
        <v>6.7</v>
      </c>
      <c r="R1863" s="1">
        <v>0.47</v>
      </c>
      <c r="S1863" s="2">
        <v>45344</v>
      </c>
      <c r="T1863" s="1">
        <v>116.49</v>
      </c>
      <c r="U1863" s="1">
        <v>0.54200000000000004</v>
      </c>
      <c r="V1863" s="6">
        <f t="shared" si="87"/>
        <v>49040.619999999995</v>
      </c>
      <c r="W1863" s="6" t="str">
        <f t="shared" si="88"/>
        <v>Sufficient</v>
      </c>
      <c r="X1863" s="8" t="str">
        <f t="shared" si="89"/>
        <v>High</v>
      </c>
    </row>
    <row r="1864" spans="1:24">
      <c r="A1864" s="7" t="s">
        <v>1994</v>
      </c>
      <c r="B1864" s="1" t="s">
        <v>25</v>
      </c>
      <c r="C1864" s="1">
        <v>30</v>
      </c>
      <c r="D1864" s="1">
        <v>22</v>
      </c>
      <c r="E1864" s="1">
        <v>12</v>
      </c>
      <c r="F1864" s="1">
        <v>3</v>
      </c>
      <c r="G1864" s="1">
        <v>23.16</v>
      </c>
      <c r="H1864" s="1" t="s">
        <v>124</v>
      </c>
      <c r="I1864" s="1" t="s">
        <v>45</v>
      </c>
      <c r="J1864" s="1">
        <v>28</v>
      </c>
      <c r="K1864" s="1">
        <v>1.97</v>
      </c>
      <c r="L1864" s="4">
        <v>126.66</v>
      </c>
      <c r="M1864" s="1">
        <v>1.87</v>
      </c>
      <c r="N1864" s="1">
        <v>7</v>
      </c>
      <c r="O1864" s="1">
        <v>0.84</v>
      </c>
      <c r="P1864" s="1">
        <v>312</v>
      </c>
      <c r="Q1864" s="1">
        <v>8.5500000000000007</v>
      </c>
      <c r="R1864" s="1">
        <v>0.88</v>
      </c>
      <c r="S1864" s="2">
        <v>45488</v>
      </c>
      <c r="T1864" s="1">
        <v>257.2</v>
      </c>
      <c r="U1864" s="1">
        <v>0.53100000000000003</v>
      </c>
      <c r="V1864" s="6">
        <f t="shared" si="87"/>
        <v>3799.7999999999997</v>
      </c>
      <c r="W1864" s="6" t="str">
        <f t="shared" si="88"/>
        <v>Sufficient</v>
      </c>
      <c r="X1864" s="8" t="str">
        <f t="shared" si="89"/>
        <v>LOW</v>
      </c>
    </row>
    <row r="1865" spans="1:24">
      <c r="A1865" s="7" t="s">
        <v>1995</v>
      </c>
      <c r="B1865" s="1" t="s">
        <v>41</v>
      </c>
      <c r="C1865" s="1">
        <v>117</v>
      </c>
      <c r="D1865" s="1">
        <v>50</v>
      </c>
      <c r="E1865" s="1">
        <v>5</v>
      </c>
      <c r="F1865" s="1">
        <v>9</v>
      </c>
      <c r="G1865" s="1">
        <v>38.950000000000003</v>
      </c>
      <c r="H1865" s="1" t="s">
        <v>294</v>
      </c>
      <c r="I1865" s="1" t="s">
        <v>31</v>
      </c>
      <c r="J1865" s="1">
        <v>22</v>
      </c>
      <c r="K1865" s="1">
        <v>3.17</v>
      </c>
      <c r="L1865" s="4">
        <v>186.74</v>
      </c>
      <c r="M1865" s="1">
        <v>0.19</v>
      </c>
      <c r="N1865" s="1">
        <v>2</v>
      </c>
      <c r="O1865" s="1">
        <v>0.77</v>
      </c>
      <c r="P1865" s="1">
        <v>761</v>
      </c>
      <c r="Q1865" s="1">
        <v>6.74</v>
      </c>
      <c r="R1865" s="1">
        <v>0.85</v>
      </c>
      <c r="S1865" s="2">
        <v>45549</v>
      </c>
      <c r="T1865" s="1">
        <v>274.05</v>
      </c>
      <c r="U1865" s="1">
        <v>0.755</v>
      </c>
      <c r="V1865" s="6">
        <f t="shared" si="87"/>
        <v>21848.58</v>
      </c>
      <c r="W1865" s="6" t="str">
        <f t="shared" si="88"/>
        <v>Sufficient</v>
      </c>
      <c r="X1865" s="8" t="str">
        <f t="shared" si="89"/>
        <v>Medium</v>
      </c>
    </row>
    <row r="1866" spans="1:24">
      <c r="A1866" s="7" t="s">
        <v>1996</v>
      </c>
      <c r="B1866" s="1" t="s">
        <v>29</v>
      </c>
      <c r="C1866" s="1">
        <v>453</v>
      </c>
      <c r="D1866" s="1">
        <v>89</v>
      </c>
      <c r="E1866" s="1">
        <v>9</v>
      </c>
      <c r="F1866" s="1">
        <v>2</v>
      </c>
      <c r="G1866" s="1">
        <v>11.25</v>
      </c>
      <c r="H1866" s="1" t="s">
        <v>327</v>
      </c>
      <c r="I1866" s="1" t="s">
        <v>45</v>
      </c>
      <c r="J1866" s="1">
        <v>26</v>
      </c>
      <c r="K1866" s="1">
        <v>4.63</v>
      </c>
      <c r="L1866" s="4">
        <v>134.55000000000001</v>
      </c>
      <c r="M1866" s="1">
        <v>1.27</v>
      </c>
      <c r="N1866" s="1">
        <v>1</v>
      </c>
      <c r="O1866" s="1">
        <v>0.73</v>
      </c>
      <c r="P1866" s="1">
        <v>772</v>
      </c>
      <c r="Q1866" s="1">
        <v>9.02</v>
      </c>
      <c r="R1866" s="1">
        <v>0.21</v>
      </c>
      <c r="S1866" s="2">
        <v>45593</v>
      </c>
      <c r="T1866" s="1">
        <v>100.28</v>
      </c>
      <c r="U1866" s="1">
        <v>0.56100000000000005</v>
      </c>
      <c r="V1866" s="6">
        <f t="shared" si="87"/>
        <v>60951.150000000009</v>
      </c>
      <c r="W1866" s="6" t="str">
        <f t="shared" si="88"/>
        <v>Sufficient</v>
      </c>
      <c r="X1866" s="8" t="str">
        <f t="shared" si="89"/>
        <v>High</v>
      </c>
    </row>
    <row r="1867" spans="1:24">
      <c r="A1867" s="7" t="s">
        <v>1997</v>
      </c>
      <c r="B1867" s="1" t="s">
        <v>25</v>
      </c>
      <c r="C1867" s="1">
        <v>90</v>
      </c>
      <c r="D1867" s="1">
        <v>68</v>
      </c>
      <c r="E1867" s="1">
        <v>12</v>
      </c>
      <c r="F1867" s="1">
        <v>6</v>
      </c>
      <c r="G1867" s="1">
        <v>23.2</v>
      </c>
      <c r="H1867" s="1" t="s">
        <v>128</v>
      </c>
      <c r="I1867" s="1" t="s">
        <v>27</v>
      </c>
      <c r="J1867" s="1">
        <v>39</v>
      </c>
      <c r="K1867" s="1">
        <v>0.54</v>
      </c>
      <c r="L1867" s="4">
        <v>133.02000000000001</v>
      </c>
      <c r="M1867" s="1">
        <v>0.82</v>
      </c>
      <c r="N1867" s="1">
        <v>6</v>
      </c>
      <c r="O1867" s="1">
        <v>0.73</v>
      </c>
      <c r="P1867" s="1">
        <v>579</v>
      </c>
      <c r="Q1867" s="1">
        <v>3.13</v>
      </c>
      <c r="R1867" s="1">
        <v>0.52</v>
      </c>
      <c r="S1867" s="2">
        <v>45448</v>
      </c>
      <c r="T1867" s="1">
        <v>80.17</v>
      </c>
      <c r="U1867" s="1">
        <v>0.49</v>
      </c>
      <c r="V1867" s="6">
        <f t="shared" si="87"/>
        <v>11971.800000000001</v>
      </c>
      <c r="W1867" s="6" t="str">
        <f t="shared" si="88"/>
        <v>Sufficient</v>
      </c>
      <c r="X1867" s="8" t="str">
        <f t="shared" si="89"/>
        <v>LOW</v>
      </c>
    </row>
    <row r="1868" spans="1:24">
      <c r="A1868" s="7" t="s">
        <v>1998</v>
      </c>
      <c r="B1868" s="1" t="s">
        <v>33</v>
      </c>
      <c r="C1868" s="1">
        <v>383</v>
      </c>
      <c r="D1868" s="1">
        <v>78</v>
      </c>
      <c r="E1868" s="1">
        <v>5</v>
      </c>
      <c r="F1868" s="1">
        <v>9</v>
      </c>
      <c r="G1868" s="1">
        <v>8.66</v>
      </c>
      <c r="H1868" s="1" t="s">
        <v>185</v>
      </c>
      <c r="I1868" s="1" t="s">
        <v>39</v>
      </c>
      <c r="J1868" s="1">
        <v>52</v>
      </c>
      <c r="K1868" s="1">
        <v>2.27</v>
      </c>
      <c r="L1868" s="4">
        <v>154.30000000000001</v>
      </c>
      <c r="M1868" s="1">
        <v>1.05</v>
      </c>
      <c r="N1868" s="1">
        <v>0</v>
      </c>
      <c r="O1868" s="1">
        <v>0.8</v>
      </c>
      <c r="P1868" s="1">
        <v>834</v>
      </c>
      <c r="Q1868" s="1">
        <v>2.68</v>
      </c>
      <c r="R1868" s="1">
        <v>0.42</v>
      </c>
      <c r="S1868" s="2">
        <v>45377</v>
      </c>
      <c r="T1868" s="1">
        <v>143.77000000000001</v>
      </c>
      <c r="U1868" s="1">
        <v>0.57499999999999996</v>
      </c>
      <c r="V1868" s="6">
        <f t="shared" si="87"/>
        <v>59096.9</v>
      </c>
      <c r="W1868" s="6" t="str">
        <f t="shared" si="88"/>
        <v>Sufficient</v>
      </c>
      <c r="X1868" s="8" t="str">
        <f t="shared" si="89"/>
        <v>High</v>
      </c>
    </row>
    <row r="1869" spans="1:24">
      <c r="A1869" s="7" t="s">
        <v>1999</v>
      </c>
      <c r="B1869" s="1" t="s">
        <v>41</v>
      </c>
      <c r="C1869" s="1">
        <v>77</v>
      </c>
      <c r="D1869" s="1">
        <v>62</v>
      </c>
      <c r="E1869" s="1">
        <v>7</v>
      </c>
      <c r="F1869" s="1">
        <v>6</v>
      </c>
      <c r="G1869" s="1">
        <v>47.92</v>
      </c>
      <c r="H1869" s="1" t="s">
        <v>214</v>
      </c>
      <c r="I1869" s="1" t="s">
        <v>27</v>
      </c>
      <c r="J1869" s="1">
        <v>57</v>
      </c>
      <c r="K1869" s="1">
        <v>4.32</v>
      </c>
      <c r="L1869" s="4">
        <v>174.66</v>
      </c>
      <c r="M1869" s="1">
        <v>1.1000000000000001</v>
      </c>
      <c r="N1869" s="1">
        <v>2</v>
      </c>
      <c r="O1869" s="1">
        <v>0.7</v>
      </c>
      <c r="P1869" s="1">
        <v>259</v>
      </c>
      <c r="Q1869" s="1">
        <v>8.4</v>
      </c>
      <c r="R1869" s="1">
        <v>0.57999999999999996</v>
      </c>
      <c r="S1869" s="2">
        <v>45325</v>
      </c>
      <c r="T1869" s="1">
        <v>226.29</v>
      </c>
      <c r="U1869" s="1">
        <v>0.61799999999999999</v>
      </c>
      <c r="V1869" s="6">
        <f t="shared" si="87"/>
        <v>13448.82</v>
      </c>
      <c r="W1869" s="6" t="str">
        <f t="shared" si="88"/>
        <v>Sufficient</v>
      </c>
      <c r="X1869" s="8" t="str">
        <f t="shared" si="89"/>
        <v>LOW</v>
      </c>
    </row>
    <row r="1870" spans="1:24">
      <c r="A1870" s="7" t="s">
        <v>2000</v>
      </c>
      <c r="B1870" s="1" t="s">
        <v>41</v>
      </c>
      <c r="C1870" s="1">
        <v>309</v>
      </c>
      <c r="D1870" s="1">
        <v>54</v>
      </c>
      <c r="E1870" s="1">
        <v>9</v>
      </c>
      <c r="F1870" s="1">
        <v>5</v>
      </c>
      <c r="G1870" s="1">
        <v>39.159999999999997</v>
      </c>
      <c r="H1870" s="1" t="s">
        <v>147</v>
      </c>
      <c r="I1870" s="1" t="s">
        <v>27</v>
      </c>
      <c r="J1870" s="1">
        <v>52</v>
      </c>
      <c r="K1870" s="1">
        <v>2.35</v>
      </c>
      <c r="L1870" s="4">
        <v>59.76</v>
      </c>
      <c r="M1870" s="1">
        <v>1.56</v>
      </c>
      <c r="N1870" s="1">
        <v>1</v>
      </c>
      <c r="O1870" s="1">
        <v>0.77</v>
      </c>
      <c r="P1870" s="1">
        <v>166</v>
      </c>
      <c r="Q1870" s="1">
        <v>2</v>
      </c>
      <c r="R1870" s="1">
        <v>0.56999999999999995</v>
      </c>
      <c r="S1870" s="2">
        <v>45315</v>
      </c>
      <c r="T1870" s="1">
        <v>54.67</v>
      </c>
      <c r="U1870" s="1">
        <v>0.51900000000000002</v>
      </c>
      <c r="V1870" s="6">
        <f t="shared" si="87"/>
        <v>18465.84</v>
      </c>
      <c r="W1870" s="6" t="str">
        <f t="shared" si="88"/>
        <v>Sufficient</v>
      </c>
      <c r="X1870" s="8" t="str">
        <f t="shared" si="89"/>
        <v>High</v>
      </c>
    </row>
    <row r="1871" spans="1:24">
      <c r="A1871" s="7" t="s">
        <v>2001</v>
      </c>
      <c r="B1871" s="1" t="s">
        <v>29</v>
      </c>
      <c r="C1871" s="1">
        <v>270</v>
      </c>
      <c r="D1871" s="1">
        <v>29</v>
      </c>
      <c r="E1871" s="1">
        <v>5</v>
      </c>
      <c r="F1871" s="1">
        <v>8</v>
      </c>
      <c r="G1871" s="1">
        <v>37.1</v>
      </c>
      <c r="H1871" s="1" t="s">
        <v>61</v>
      </c>
      <c r="I1871" s="1" t="s">
        <v>39</v>
      </c>
      <c r="J1871" s="1">
        <v>102</v>
      </c>
      <c r="K1871" s="1">
        <v>3.74</v>
      </c>
      <c r="L1871" s="4">
        <v>127.18</v>
      </c>
      <c r="M1871" s="1">
        <v>1.1599999999999999</v>
      </c>
      <c r="N1871" s="1">
        <v>4</v>
      </c>
      <c r="O1871" s="1">
        <v>0.94</v>
      </c>
      <c r="P1871" s="1">
        <v>665</v>
      </c>
      <c r="Q1871" s="1">
        <v>5.09</v>
      </c>
      <c r="R1871" s="1">
        <v>0.92</v>
      </c>
      <c r="S1871" s="2">
        <v>45444</v>
      </c>
      <c r="T1871" s="1">
        <v>237.5</v>
      </c>
      <c r="U1871" s="1">
        <v>0.64400000000000002</v>
      </c>
      <c r="V1871" s="6">
        <f t="shared" si="87"/>
        <v>34338.6</v>
      </c>
      <c r="W1871" s="6" t="str">
        <f t="shared" si="88"/>
        <v>Sufficient</v>
      </c>
      <c r="X1871" s="8" t="str">
        <f t="shared" si="89"/>
        <v>High</v>
      </c>
    </row>
    <row r="1872" spans="1:24">
      <c r="A1872" s="7" t="s">
        <v>2002</v>
      </c>
      <c r="B1872" s="1" t="s">
        <v>66</v>
      </c>
      <c r="C1872" s="1">
        <v>295</v>
      </c>
      <c r="D1872" s="1">
        <v>33</v>
      </c>
      <c r="E1872" s="1">
        <v>12</v>
      </c>
      <c r="F1872" s="1">
        <v>4</v>
      </c>
      <c r="G1872" s="1">
        <v>34.82</v>
      </c>
      <c r="H1872" s="1" t="s">
        <v>147</v>
      </c>
      <c r="I1872" s="1" t="s">
        <v>31</v>
      </c>
      <c r="J1872" s="1">
        <v>123</v>
      </c>
      <c r="K1872" s="1">
        <v>3.61</v>
      </c>
      <c r="L1872" s="4">
        <v>120.96</v>
      </c>
      <c r="M1872" s="1">
        <v>1.23</v>
      </c>
      <c r="N1872" s="1">
        <v>1</v>
      </c>
      <c r="O1872" s="1">
        <v>0.77</v>
      </c>
      <c r="P1872" s="1">
        <v>126</v>
      </c>
      <c r="Q1872" s="1">
        <v>13.98</v>
      </c>
      <c r="R1872" s="1">
        <v>0.35</v>
      </c>
      <c r="S1872" s="2">
        <v>45440</v>
      </c>
      <c r="T1872" s="1">
        <v>158.68</v>
      </c>
      <c r="U1872" s="1">
        <v>0.66700000000000004</v>
      </c>
      <c r="V1872" s="6">
        <f t="shared" si="87"/>
        <v>35683.199999999997</v>
      </c>
      <c r="W1872" s="6" t="str">
        <f t="shared" si="88"/>
        <v>Sufficient</v>
      </c>
      <c r="X1872" s="8" t="str">
        <f t="shared" si="89"/>
        <v>High</v>
      </c>
    </row>
    <row r="1873" spans="1:24">
      <c r="A1873" s="7" t="s">
        <v>2003</v>
      </c>
      <c r="B1873" s="1" t="s">
        <v>33</v>
      </c>
      <c r="C1873" s="1">
        <v>69</v>
      </c>
      <c r="D1873" s="1">
        <v>70</v>
      </c>
      <c r="E1873" s="1">
        <v>4</v>
      </c>
      <c r="F1873" s="1">
        <v>4</v>
      </c>
      <c r="G1873" s="1">
        <v>21.74</v>
      </c>
      <c r="H1873" s="1" t="s">
        <v>216</v>
      </c>
      <c r="I1873" s="1" t="s">
        <v>45</v>
      </c>
      <c r="J1873" s="1">
        <v>75</v>
      </c>
      <c r="K1873" s="1">
        <v>1.42</v>
      </c>
      <c r="L1873" s="4">
        <v>35.619999999999997</v>
      </c>
      <c r="M1873" s="1">
        <v>0.73</v>
      </c>
      <c r="N1873" s="1">
        <v>9</v>
      </c>
      <c r="O1873" s="1">
        <v>0.73</v>
      </c>
      <c r="P1873" s="1">
        <v>364</v>
      </c>
      <c r="Q1873" s="1">
        <v>13.27</v>
      </c>
      <c r="R1873" s="1">
        <v>0.35</v>
      </c>
      <c r="S1873" s="2">
        <v>45525</v>
      </c>
      <c r="T1873" s="1">
        <v>50.83</v>
      </c>
      <c r="U1873" s="1">
        <v>0.54</v>
      </c>
      <c r="V1873" s="6">
        <f t="shared" si="87"/>
        <v>2457.7799999999997</v>
      </c>
      <c r="W1873" s="6" t="str">
        <f t="shared" si="88"/>
        <v>Reorder Required</v>
      </c>
      <c r="X1873" s="8" t="str">
        <f t="shared" si="89"/>
        <v>LOW</v>
      </c>
    </row>
    <row r="1874" spans="1:24">
      <c r="A1874" s="7" t="s">
        <v>2004</v>
      </c>
      <c r="B1874" s="1" t="s">
        <v>29</v>
      </c>
      <c r="C1874" s="1">
        <v>377</v>
      </c>
      <c r="D1874" s="1">
        <v>67</v>
      </c>
      <c r="E1874" s="1">
        <v>8</v>
      </c>
      <c r="F1874" s="1">
        <v>2</v>
      </c>
      <c r="G1874" s="1">
        <v>46.24</v>
      </c>
      <c r="H1874" s="1" t="s">
        <v>151</v>
      </c>
      <c r="I1874" s="1" t="s">
        <v>31</v>
      </c>
      <c r="J1874" s="1">
        <v>128</v>
      </c>
      <c r="K1874" s="1">
        <v>2.52</v>
      </c>
      <c r="L1874" s="4">
        <v>108.86</v>
      </c>
      <c r="M1874" s="1">
        <v>0.34</v>
      </c>
      <c r="N1874" s="1">
        <v>4</v>
      </c>
      <c r="O1874" s="1">
        <v>0.98</v>
      </c>
      <c r="P1874" s="1">
        <v>60</v>
      </c>
      <c r="Q1874" s="1">
        <v>12.64</v>
      </c>
      <c r="R1874" s="1">
        <v>0.28999999999999998</v>
      </c>
      <c r="S1874" s="2">
        <v>45558</v>
      </c>
      <c r="T1874" s="1">
        <v>204.81</v>
      </c>
      <c r="U1874" s="1">
        <v>0.70899999999999996</v>
      </c>
      <c r="V1874" s="6">
        <f t="shared" si="87"/>
        <v>41040.22</v>
      </c>
      <c r="W1874" s="6" t="str">
        <f t="shared" si="88"/>
        <v>Sufficient</v>
      </c>
      <c r="X1874" s="8" t="str">
        <f t="shared" si="89"/>
        <v>High</v>
      </c>
    </row>
    <row r="1875" spans="1:24">
      <c r="A1875" s="7" t="s">
        <v>2005</v>
      </c>
      <c r="B1875" s="1" t="s">
        <v>33</v>
      </c>
      <c r="C1875" s="1">
        <v>235</v>
      </c>
      <c r="D1875" s="1">
        <v>36</v>
      </c>
      <c r="E1875" s="1">
        <v>10</v>
      </c>
      <c r="F1875" s="1">
        <v>3</v>
      </c>
      <c r="G1875" s="1">
        <v>4.57</v>
      </c>
      <c r="H1875" s="1" t="s">
        <v>26</v>
      </c>
      <c r="I1875" s="1" t="s">
        <v>39</v>
      </c>
      <c r="J1875" s="1">
        <v>62</v>
      </c>
      <c r="K1875" s="1">
        <v>3.05</v>
      </c>
      <c r="L1875" s="4">
        <v>23.21</v>
      </c>
      <c r="M1875" s="1">
        <v>1.4</v>
      </c>
      <c r="N1875" s="1">
        <v>2</v>
      </c>
      <c r="O1875" s="1">
        <v>0.89</v>
      </c>
      <c r="P1875" s="1">
        <v>942</v>
      </c>
      <c r="Q1875" s="1">
        <v>8.1</v>
      </c>
      <c r="R1875" s="1">
        <v>0.79</v>
      </c>
      <c r="S1875" s="2">
        <v>45597</v>
      </c>
      <c r="T1875" s="1">
        <v>192.18</v>
      </c>
      <c r="U1875" s="1">
        <v>0.66400000000000003</v>
      </c>
      <c r="V1875" s="6">
        <f t="shared" si="87"/>
        <v>5454.35</v>
      </c>
      <c r="W1875" s="6" t="str">
        <f t="shared" si="88"/>
        <v>Sufficient</v>
      </c>
      <c r="X1875" s="8" t="str">
        <f t="shared" si="89"/>
        <v>Medium</v>
      </c>
    </row>
    <row r="1876" spans="1:24">
      <c r="A1876" s="7" t="s">
        <v>2006</v>
      </c>
      <c r="B1876" s="1" t="s">
        <v>66</v>
      </c>
      <c r="C1876" s="1">
        <v>413</v>
      </c>
      <c r="D1876" s="1">
        <v>35</v>
      </c>
      <c r="E1876" s="1">
        <v>6</v>
      </c>
      <c r="F1876" s="1">
        <v>2</v>
      </c>
      <c r="G1876" s="1">
        <v>40.36</v>
      </c>
      <c r="H1876" s="1" t="s">
        <v>88</v>
      </c>
      <c r="I1876" s="1" t="s">
        <v>45</v>
      </c>
      <c r="J1876" s="1">
        <v>81</v>
      </c>
      <c r="K1876" s="1">
        <v>3.72</v>
      </c>
      <c r="L1876" s="4">
        <v>45.14</v>
      </c>
      <c r="M1876" s="1">
        <v>0.1</v>
      </c>
      <c r="N1876" s="1">
        <v>8</v>
      </c>
      <c r="O1876" s="1">
        <v>0.72</v>
      </c>
      <c r="P1876" s="1">
        <v>100</v>
      </c>
      <c r="Q1876" s="1">
        <v>1.39</v>
      </c>
      <c r="R1876" s="1">
        <v>0.93</v>
      </c>
      <c r="S1876" s="2">
        <v>45560</v>
      </c>
      <c r="T1876" s="1">
        <v>190.49</v>
      </c>
      <c r="U1876" s="1">
        <v>0.57899999999999996</v>
      </c>
      <c r="V1876" s="6">
        <f t="shared" si="87"/>
        <v>18642.82</v>
      </c>
      <c r="W1876" s="6" t="str">
        <f t="shared" si="88"/>
        <v>Sufficient</v>
      </c>
      <c r="X1876" s="8" t="str">
        <f t="shared" si="89"/>
        <v>High</v>
      </c>
    </row>
    <row r="1877" spans="1:24">
      <c r="A1877" s="7" t="s">
        <v>2007</v>
      </c>
      <c r="B1877" s="1" t="s">
        <v>66</v>
      </c>
      <c r="C1877" s="1">
        <v>435</v>
      </c>
      <c r="D1877" s="1">
        <v>16</v>
      </c>
      <c r="E1877" s="1">
        <v>11</v>
      </c>
      <c r="F1877" s="1">
        <v>6</v>
      </c>
      <c r="G1877" s="1">
        <v>11.55</v>
      </c>
      <c r="H1877" s="1" t="s">
        <v>139</v>
      </c>
      <c r="I1877" s="1" t="s">
        <v>39</v>
      </c>
      <c r="J1877" s="1">
        <v>87</v>
      </c>
      <c r="K1877" s="1">
        <v>4.2</v>
      </c>
      <c r="L1877" s="4">
        <v>183.46</v>
      </c>
      <c r="M1877" s="1">
        <v>0.72</v>
      </c>
      <c r="N1877" s="1">
        <v>9</v>
      </c>
      <c r="O1877" s="1">
        <v>0.72</v>
      </c>
      <c r="P1877" s="1">
        <v>56</v>
      </c>
      <c r="Q1877" s="1">
        <v>2.7</v>
      </c>
      <c r="R1877" s="1">
        <v>0.49</v>
      </c>
      <c r="S1877" s="2">
        <v>45464</v>
      </c>
      <c r="T1877" s="1">
        <v>228.89</v>
      </c>
      <c r="U1877" s="1">
        <v>0.42599999999999999</v>
      </c>
      <c r="V1877" s="6">
        <f t="shared" si="87"/>
        <v>79805.100000000006</v>
      </c>
      <c r="W1877" s="6" t="str">
        <f t="shared" si="88"/>
        <v>Sufficient</v>
      </c>
      <c r="X1877" s="8" t="str">
        <f t="shared" si="89"/>
        <v>High</v>
      </c>
    </row>
    <row r="1878" spans="1:24">
      <c r="A1878" s="7" t="s">
        <v>2008</v>
      </c>
      <c r="B1878" s="1" t="s">
        <v>29</v>
      </c>
      <c r="C1878" s="1">
        <v>71</v>
      </c>
      <c r="D1878" s="1">
        <v>51</v>
      </c>
      <c r="E1878" s="1">
        <v>14</v>
      </c>
      <c r="F1878" s="1">
        <v>7</v>
      </c>
      <c r="G1878" s="1">
        <v>16.88</v>
      </c>
      <c r="H1878" s="1" t="s">
        <v>30</v>
      </c>
      <c r="I1878" s="1" t="s">
        <v>31</v>
      </c>
      <c r="J1878" s="1">
        <v>171</v>
      </c>
      <c r="K1878" s="1">
        <v>3.92</v>
      </c>
      <c r="L1878" s="4">
        <v>32.659999999999997</v>
      </c>
      <c r="M1878" s="1">
        <v>0.51</v>
      </c>
      <c r="N1878" s="1">
        <v>8</v>
      </c>
      <c r="O1878" s="1">
        <v>0.88</v>
      </c>
      <c r="P1878" s="1">
        <v>972</v>
      </c>
      <c r="Q1878" s="1">
        <v>13.87</v>
      </c>
      <c r="R1878" s="1">
        <v>0.25</v>
      </c>
      <c r="S1878" s="2">
        <v>45514</v>
      </c>
      <c r="T1878" s="1">
        <v>62.55</v>
      </c>
      <c r="U1878" s="1">
        <v>0.6</v>
      </c>
      <c r="V1878" s="6">
        <f t="shared" si="87"/>
        <v>2318.8599999999997</v>
      </c>
      <c r="W1878" s="6" t="str">
        <f t="shared" si="88"/>
        <v>Sufficient</v>
      </c>
      <c r="X1878" s="8" t="str">
        <f t="shared" si="89"/>
        <v>LOW</v>
      </c>
    </row>
    <row r="1879" spans="1:24">
      <c r="A1879" s="7" t="s">
        <v>2009</v>
      </c>
      <c r="B1879" s="1" t="s">
        <v>66</v>
      </c>
      <c r="C1879" s="1">
        <v>290</v>
      </c>
      <c r="D1879" s="1">
        <v>56</v>
      </c>
      <c r="E1879" s="1">
        <v>14</v>
      </c>
      <c r="F1879" s="1">
        <v>7</v>
      </c>
      <c r="G1879" s="1">
        <v>26.45</v>
      </c>
      <c r="H1879" s="1" t="s">
        <v>216</v>
      </c>
      <c r="I1879" s="1" t="s">
        <v>27</v>
      </c>
      <c r="J1879" s="1">
        <v>83</v>
      </c>
      <c r="K1879" s="1">
        <v>0.63</v>
      </c>
      <c r="L1879" s="4">
        <v>119.99</v>
      </c>
      <c r="M1879" s="1">
        <v>0.84</v>
      </c>
      <c r="N1879" s="1">
        <v>7</v>
      </c>
      <c r="O1879" s="1">
        <v>0.86</v>
      </c>
      <c r="P1879" s="1">
        <v>598</v>
      </c>
      <c r="Q1879" s="1">
        <v>12.71</v>
      </c>
      <c r="R1879" s="1">
        <v>0.32</v>
      </c>
      <c r="S1879" s="2">
        <v>45643</v>
      </c>
      <c r="T1879" s="1">
        <v>212.27</v>
      </c>
      <c r="U1879" s="1">
        <v>0.58099999999999996</v>
      </c>
      <c r="V1879" s="6">
        <f t="shared" si="87"/>
        <v>34797.1</v>
      </c>
      <c r="W1879" s="6" t="str">
        <f t="shared" si="88"/>
        <v>Sufficient</v>
      </c>
      <c r="X1879" s="8" t="str">
        <f t="shared" si="89"/>
        <v>High</v>
      </c>
    </row>
    <row r="1880" spans="1:24">
      <c r="A1880" s="7" t="s">
        <v>2010</v>
      </c>
      <c r="B1880" s="1" t="s">
        <v>25</v>
      </c>
      <c r="C1880" s="1">
        <v>103</v>
      </c>
      <c r="D1880" s="1">
        <v>62</v>
      </c>
      <c r="E1880" s="1">
        <v>10</v>
      </c>
      <c r="F1880" s="1">
        <v>7</v>
      </c>
      <c r="G1880" s="1">
        <v>39.35</v>
      </c>
      <c r="H1880" s="1" t="s">
        <v>327</v>
      </c>
      <c r="I1880" s="1" t="s">
        <v>45</v>
      </c>
      <c r="J1880" s="1">
        <v>81</v>
      </c>
      <c r="K1880" s="1">
        <v>3.52</v>
      </c>
      <c r="L1880" s="4">
        <v>71.459999999999994</v>
      </c>
      <c r="M1880" s="1">
        <v>0.69</v>
      </c>
      <c r="N1880" s="1">
        <v>4</v>
      </c>
      <c r="O1880" s="1">
        <v>0.72</v>
      </c>
      <c r="P1880" s="1">
        <v>310</v>
      </c>
      <c r="Q1880" s="1">
        <v>6.27</v>
      </c>
      <c r="R1880" s="1">
        <v>0.28000000000000003</v>
      </c>
      <c r="S1880" s="2">
        <v>45360</v>
      </c>
      <c r="T1880" s="1">
        <v>267.32</v>
      </c>
      <c r="U1880" s="1">
        <v>0.53500000000000003</v>
      </c>
      <c r="V1880" s="6">
        <f t="shared" si="87"/>
        <v>7360.3799999999992</v>
      </c>
      <c r="W1880" s="6" t="str">
        <f t="shared" si="88"/>
        <v>Sufficient</v>
      </c>
      <c r="X1880" s="8" t="str">
        <f t="shared" si="89"/>
        <v>Medium</v>
      </c>
    </row>
    <row r="1881" spans="1:24">
      <c r="A1881" s="7" t="s">
        <v>2011</v>
      </c>
      <c r="B1881" s="1" t="s">
        <v>41</v>
      </c>
      <c r="C1881" s="1">
        <v>406</v>
      </c>
      <c r="D1881" s="1">
        <v>68</v>
      </c>
      <c r="E1881" s="1">
        <v>9</v>
      </c>
      <c r="F1881" s="1">
        <v>3</v>
      </c>
      <c r="G1881" s="1">
        <v>42.09</v>
      </c>
      <c r="H1881" s="1" t="s">
        <v>205</v>
      </c>
      <c r="I1881" s="1" t="s">
        <v>39</v>
      </c>
      <c r="J1881" s="1">
        <v>22</v>
      </c>
      <c r="K1881" s="1">
        <v>2.74</v>
      </c>
      <c r="L1881" s="4">
        <v>115.51</v>
      </c>
      <c r="M1881" s="1">
        <v>1.44</v>
      </c>
      <c r="N1881" s="1">
        <v>9</v>
      </c>
      <c r="O1881" s="1">
        <v>0.77</v>
      </c>
      <c r="P1881" s="1">
        <v>623</v>
      </c>
      <c r="Q1881" s="1">
        <v>11.21</v>
      </c>
      <c r="R1881" s="1">
        <v>0.67</v>
      </c>
      <c r="S1881" s="2">
        <v>45467</v>
      </c>
      <c r="T1881" s="1">
        <v>163.79</v>
      </c>
      <c r="U1881" s="1">
        <v>0.51300000000000001</v>
      </c>
      <c r="V1881" s="6">
        <f t="shared" si="87"/>
        <v>46897.060000000005</v>
      </c>
      <c r="W1881" s="6" t="str">
        <f t="shared" si="88"/>
        <v>Sufficient</v>
      </c>
      <c r="X1881" s="8" t="str">
        <f t="shared" si="89"/>
        <v>High</v>
      </c>
    </row>
    <row r="1882" spans="1:24">
      <c r="A1882" s="7" t="s">
        <v>2012</v>
      </c>
      <c r="B1882" s="1" t="s">
        <v>29</v>
      </c>
      <c r="C1882" s="1">
        <v>312</v>
      </c>
      <c r="D1882" s="1">
        <v>47</v>
      </c>
      <c r="E1882" s="1">
        <v>9</v>
      </c>
      <c r="F1882" s="1">
        <v>2</v>
      </c>
      <c r="G1882" s="1">
        <v>29.6</v>
      </c>
      <c r="H1882" s="1" t="s">
        <v>189</v>
      </c>
      <c r="I1882" s="1" t="s">
        <v>45</v>
      </c>
      <c r="J1882" s="1">
        <v>68</v>
      </c>
      <c r="K1882" s="1">
        <v>3.08</v>
      </c>
      <c r="L1882" s="4">
        <v>54.64</v>
      </c>
      <c r="M1882" s="1">
        <v>0.59</v>
      </c>
      <c r="N1882" s="1">
        <v>6</v>
      </c>
      <c r="O1882" s="1">
        <v>0.98</v>
      </c>
      <c r="P1882" s="1">
        <v>561</v>
      </c>
      <c r="Q1882" s="1">
        <v>12.96</v>
      </c>
      <c r="R1882" s="1">
        <v>0.43</v>
      </c>
      <c r="S1882" s="2">
        <v>45542</v>
      </c>
      <c r="T1882" s="1">
        <v>150.94999999999999</v>
      </c>
      <c r="U1882" s="1">
        <v>0.67600000000000005</v>
      </c>
      <c r="V1882" s="6">
        <f t="shared" si="87"/>
        <v>17047.68</v>
      </c>
      <c r="W1882" s="6" t="str">
        <f t="shared" si="88"/>
        <v>Sufficient</v>
      </c>
      <c r="X1882" s="8" t="str">
        <f t="shared" si="89"/>
        <v>High</v>
      </c>
    </row>
    <row r="1883" spans="1:24">
      <c r="A1883" s="7" t="s">
        <v>2013</v>
      </c>
      <c r="B1883" s="1" t="s">
        <v>33</v>
      </c>
      <c r="C1883" s="1">
        <v>145</v>
      </c>
      <c r="D1883" s="1">
        <v>78</v>
      </c>
      <c r="E1883" s="1">
        <v>5</v>
      </c>
      <c r="F1883" s="1">
        <v>9</v>
      </c>
      <c r="G1883" s="1">
        <v>20.75</v>
      </c>
      <c r="H1883" s="1" t="s">
        <v>143</v>
      </c>
      <c r="I1883" s="1" t="s">
        <v>45</v>
      </c>
      <c r="J1883" s="1">
        <v>41</v>
      </c>
      <c r="K1883" s="1">
        <v>2.1800000000000002</v>
      </c>
      <c r="L1883" s="4">
        <v>94.43</v>
      </c>
      <c r="M1883" s="1">
        <v>1.17</v>
      </c>
      <c r="N1883" s="1">
        <v>1</v>
      </c>
      <c r="O1883" s="1">
        <v>0.87</v>
      </c>
      <c r="P1883" s="1">
        <v>249</v>
      </c>
      <c r="Q1883" s="1">
        <v>9.68</v>
      </c>
      <c r="R1883" s="1">
        <v>0.92</v>
      </c>
      <c r="S1883" s="2">
        <v>45475</v>
      </c>
      <c r="T1883" s="1">
        <v>241.36</v>
      </c>
      <c r="U1883" s="1">
        <v>0.75</v>
      </c>
      <c r="V1883" s="6">
        <f t="shared" si="87"/>
        <v>13692.35</v>
      </c>
      <c r="W1883" s="6" t="str">
        <f t="shared" si="88"/>
        <v>Sufficient</v>
      </c>
      <c r="X1883" s="8" t="str">
        <f t="shared" si="89"/>
        <v>Medium</v>
      </c>
    </row>
    <row r="1884" spans="1:24">
      <c r="A1884" s="7" t="s">
        <v>2014</v>
      </c>
      <c r="B1884" s="1" t="s">
        <v>25</v>
      </c>
      <c r="C1884" s="1">
        <v>315</v>
      </c>
      <c r="D1884" s="1">
        <v>96</v>
      </c>
      <c r="E1884" s="1">
        <v>8</v>
      </c>
      <c r="F1884" s="1">
        <v>8</v>
      </c>
      <c r="G1884" s="1">
        <v>47.38</v>
      </c>
      <c r="H1884" s="1" t="s">
        <v>128</v>
      </c>
      <c r="I1884" s="1" t="s">
        <v>31</v>
      </c>
      <c r="J1884" s="1">
        <v>92</v>
      </c>
      <c r="K1884" s="1">
        <v>3.71</v>
      </c>
      <c r="L1884" s="4">
        <v>174.79</v>
      </c>
      <c r="M1884" s="1">
        <v>0.97</v>
      </c>
      <c r="N1884" s="1">
        <v>2</v>
      </c>
      <c r="O1884" s="1">
        <v>0.83</v>
      </c>
      <c r="P1884" s="1">
        <v>379</v>
      </c>
      <c r="Q1884" s="1">
        <v>12.95</v>
      </c>
      <c r="R1884" s="1">
        <v>0.33</v>
      </c>
      <c r="S1884" s="2">
        <v>45388</v>
      </c>
      <c r="T1884" s="1">
        <v>52.41</v>
      </c>
      <c r="U1884" s="1">
        <v>0.66800000000000004</v>
      </c>
      <c r="V1884" s="6">
        <f t="shared" si="87"/>
        <v>55058.85</v>
      </c>
      <c r="W1884" s="6" t="str">
        <f t="shared" si="88"/>
        <v>Sufficient</v>
      </c>
      <c r="X1884" s="8" t="str">
        <f t="shared" si="89"/>
        <v>High</v>
      </c>
    </row>
    <row r="1885" spans="1:24">
      <c r="A1885" s="7" t="s">
        <v>2015</v>
      </c>
      <c r="B1885" s="1" t="s">
        <v>29</v>
      </c>
      <c r="C1885" s="1">
        <v>91</v>
      </c>
      <c r="D1885" s="1">
        <v>62</v>
      </c>
      <c r="E1885" s="1">
        <v>7</v>
      </c>
      <c r="F1885" s="1">
        <v>5</v>
      </c>
      <c r="G1885" s="1">
        <v>13.08</v>
      </c>
      <c r="H1885" s="1" t="s">
        <v>200</v>
      </c>
      <c r="I1885" s="1" t="s">
        <v>27</v>
      </c>
      <c r="J1885" s="1">
        <v>129</v>
      </c>
      <c r="K1885" s="1">
        <v>3.53</v>
      </c>
      <c r="L1885" s="4">
        <v>81.48</v>
      </c>
      <c r="M1885" s="1">
        <v>1.62</v>
      </c>
      <c r="N1885" s="1">
        <v>1</v>
      </c>
      <c r="O1885" s="1">
        <v>0.78</v>
      </c>
      <c r="P1885" s="1">
        <v>139</v>
      </c>
      <c r="Q1885" s="1">
        <v>4.43</v>
      </c>
      <c r="R1885" s="1">
        <v>0.94</v>
      </c>
      <c r="S1885" s="2">
        <v>45376</v>
      </c>
      <c r="T1885" s="1">
        <v>108.85</v>
      </c>
      <c r="U1885" s="1">
        <v>0.621</v>
      </c>
      <c r="V1885" s="6">
        <f t="shared" si="87"/>
        <v>7414.68</v>
      </c>
      <c r="W1885" s="6" t="str">
        <f t="shared" si="88"/>
        <v>Sufficient</v>
      </c>
      <c r="X1885" s="8" t="str">
        <f t="shared" si="89"/>
        <v>LOW</v>
      </c>
    </row>
    <row r="1886" spans="1:24">
      <c r="A1886" s="7" t="s">
        <v>2016</v>
      </c>
      <c r="B1886" s="1" t="s">
        <v>66</v>
      </c>
      <c r="C1886" s="1">
        <v>315</v>
      </c>
      <c r="D1886" s="1">
        <v>24</v>
      </c>
      <c r="E1886" s="1">
        <v>3</v>
      </c>
      <c r="F1886" s="1">
        <v>6</v>
      </c>
      <c r="G1886" s="1">
        <v>40.35</v>
      </c>
      <c r="H1886" s="1" t="s">
        <v>145</v>
      </c>
      <c r="I1886" s="1" t="s">
        <v>45</v>
      </c>
      <c r="J1886" s="1">
        <v>63</v>
      </c>
      <c r="K1886" s="1">
        <v>3.11</v>
      </c>
      <c r="L1886" s="4">
        <v>77.08</v>
      </c>
      <c r="M1886" s="1">
        <v>0.91</v>
      </c>
      <c r="N1886" s="1">
        <v>9</v>
      </c>
      <c r="O1886" s="1">
        <v>0.74</v>
      </c>
      <c r="P1886" s="1">
        <v>640</v>
      </c>
      <c r="Q1886" s="1">
        <v>7.47</v>
      </c>
      <c r="R1886" s="1">
        <v>0.47</v>
      </c>
      <c r="S1886" s="2">
        <v>45498</v>
      </c>
      <c r="T1886" s="1">
        <v>257.60000000000002</v>
      </c>
      <c r="U1886" s="1">
        <v>0.47099999999999997</v>
      </c>
      <c r="V1886" s="6">
        <f t="shared" si="87"/>
        <v>24280.2</v>
      </c>
      <c r="W1886" s="6" t="str">
        <f t="shared" si="88"/>
        <v>Sufficient</v>
      </c>
      <c r="X1886" s="8" t="str">
        <f t="shared" si="89"/>
        <v>High</v>
      </c>
    </row>
    <row r="1887" spans="1:24">
      <c r="A1887" s="7" t="s">
        <v>2017</v>
      </c>
      <c r="B1887" s="1" t="s">
        <v>66</v>
      </c>
      <c r="C1887" s="1">
        <v>255</v>
      </c>
      <c r="D1887" s="1">
        <v>35</v>
      </c>
      <c r="E1887" s="1">
        <v>13</v>
      </c>
      <c r="F1887" s="1">
        <v>7</v>
      </c>
      <c r="G1887" s="1">
        <v>30.99</v>
      </c>
      <c r="H1887" s="1" t="s">
        <v>57</v>
      </c>
      <c r="I1887" s="1" t="s">
        <v>31</v>
      </c>
      <c r="J1887" s="1">
        <v>11</v>
      </c>
      <c r="K1887" s="1">
        <v>4.38</v>
      </c>
      <c r="L1887" s="4">
        <v>94.76</v>
      </c>
      <c r="M1887" s="1">
        <v>1.74</v>
      </c>
      <c r="N1887" s="1">
        <v>0</v>
      </c>
      <c r="O1887" s="1">
        <v>0.82</v>
      </c>
      <c r="P1887" s="1">
        <v>104</v>
      </c>
      <c r="Q1887" s="1">
        <v>9.11</v>
      </c>
      <c r="R1887" s="1">
        <v>0.89</v>
      </c>
      <c r="S1887" s="2">
        <v>45301</v>
      </c>
      <c r="T1887" s="1">
        <v>154.93</v>
      </c>
      <c r="U1887" s="1">
        <v>0.68899999999999995</v>
      </c>
      <c r="V1887" s="6">
        <f t="shared" si="87"/>
        <v>24163.800000000003</v>
      </c>
      <c r="W1887" s="6" t="str">
        <f t="shared" si="88"/>
        <v>Sufficient</v>
      </c>
      <c r="X1887" s="8" t="str">
        <f t="shared" si="89"/>
        <v>High</v>
      </c>
    </row>
    <row r="1888" spans="1:24">
      <c r="A1888" s="7" t="s">
        <v>2018</v>
      </c>
      <c r="B1888" s="1" t="s">
        <v>66</v>
      </c>
      <c r="C1888" s="1">
        <v>75</v>
      </c>
      <c r="D1888" s="1">
        <v>57</v>
      </c>
      <c r="E1888" s="1">
        <v>5</v>
      </c>
      <c r="F1888" s="1">
        <v>8</v>
      </c>
      <c r="G1888" s="1">
        <v>19.47</v>
      </c>
      <c r="H1888" s="1" t="s">
        <v>294</v>
      </c>
      <c r="I1888" s="1" t="s">
        <v>45</v>
      </c>
      <c r="J1888" s="1">
        <v>127</v>
      </c>
      <c r="K1888" s="1">
        <v>0.96</v>
      </c>
      <c r="L1888" s="4">
        <v>29.09</v>
      </c>
      <c r="M1888" s="1">
        <v>0.1</v>
      </c>
      <c r="N1888" s="1">
        <v>2</v>
      </c>
      <c r="O1888" s="1">
        <v>0.98</v>
      </c>
      <c r="P1888" s="1">
        <v>961</v>
      </c>
      <c r="Q1888" s="1">
        <v>9.84</v>
      </c>
      <c r="R1888" s="1">
        <v>0.96</v>
      </c>
      <c r="S1888" s="2">
        <v>45408</v>
      </c>
      <c r="T1888" s="1">
        <v>253.73</v>
      </c>
      <c r="U1888" s="1">
        <v>0.86899999999999999</v>
      </c>
      <c r="V1888" s="6">
        <f t="shared" si="87"/>
        <v>2181.75</v>
      </c>
      <c r="W1888" s="6" t="str">
        <f t="shared" si="88"/>
        <v>Sufficient</v>
      </c>
      <c r="X1888" s="8" t="str">
        <f t="shared" si="89"/>
        <v>LOW</v>
      </c>
    </row>
    <row r="1889" spans="1:24">
      <c r="A1889" s="7" t="s">
        <v>2019</v>
      </c>
      <c r="B1889" s="1" t="s">
        <v>66</v>
      </c>
      <c r="C1889" s="1">
        <v>426</v>
      </c>
      <c r="D1889" s="1">
        <v>28</v>
      </c>
      <c r="E1889" s="1">
        <v>14</v>
      </c>
      <c r="F1889" s="1">
        <v>4</v>
      </c>
      <c r="G1889" s="1">
        <v>1.07</v>
      </c>
      <c r="H1889" s="1" t="s">
        <v>50</v>
      </c>
      <c r="I1889" s="1" t="s">
        <v>27</v>
      </c>
      <c r="J1889" s="1">
        <v>46</v>
      </c>
      <c r="K1889" s="1">
        <v>1.85</v>
      </c>
      <c r="L1889" s="4">
        <v>83.6</v>
      </c>
      <c r="M1889" s="1">
        <v>1.25</v>
      </c>
      <c r="N1889" s="1">
        <v>3</v>
      </c>
      <c r="O1889" s="1">
        <v>0.71</v>
      </c>
      <c r="P1889" s="1">
        <v>270</v>
      </c>
      <c r="Q1889" s="1">
        <v>14.82</v>
      </c>
      <c r="R1889" s="1">
        <v>0.99</v>
      </c>
      <c r="S1889" s="2">
        <v>45406</v>
      </c>
      <c r="T1889" s="1">
        <v>83.04</v>
      </c>
      <c r="U1889" s="1">
        <v>0.753</v>
      </c>
      <c r="V1889" s="6">
        <f t="shared" si="87"/>
        <v>35613.599999999999</v>
      </c>
      <c r="W1889" s="6" t="str">
        <f t="shared" si="88"/>
        <v>Sufficient</v>
      </c>
      <c r="X1889" s="8" t="str">
        <f t="shared" si="89"/>
        <v>High</v>
      </c>
    </row>
    <row r="1890" spans="1:24">
      <c r="A1890" s="7" t="s">
        <v>2020</v>
      </c>
      <c r="B1890" s="1" t="s">
        <v>33</v>
      </c>
      <c r="C1890" s="1">
        <v>379</v>
      </c>
      <c r="D1890" s="1">
        <v>18</v>
      </c>
      <c r="E1890" s="1">
        <v>3</v>
      </c>
      <c r="F1890" s="1">
        <v>9</v>
      </c>
      <c r="G1890" s="1">
        <v>22.88</v>
      </c>
      <c r="H1890" s="1" t="s">
        <v>42</v>
      </c>
      <c r="I1890" s="1" t="s">
        <v>45</v>
      </c>
      <c r="J1890" s="1">
        <v>106</v>
      </c>
      <c r="K1890" s="1">
        <v>2.73</v>
      </c>
      <c r="L1890" s="4">
        <v>11.31</v>
      </c>
      <c r="M1890" s="1">
        <v>0.12</v>
      </c>
      <c r="N1890" s="1">
        <v>8</v>
      </c>
      <c r="O1890" s="1">
        <v>1</v>
      </c>
      <c r="P1890" s="1">
        <v>141</v>
      </c>
      <c r="Q1890" s="1">
        <v>12.84</v>
      </c>
      <c r="R1890" s="1">
        <v>0.84</v>
      </c>
      <c r="S1890" s="2">
        <v>45359</v>
      </c>
      <c r="T1890" s="1">
        <v>122.98</v>
      </c>
      <c r="U1890" s="1">
        <v>0.76700000000000002</v>
      </c>
      <c r="V1890" s="6">
        <f t="shared" si="87"/>
        <v>4286.49</v>
      </c>
      <c r="W1890" s="6" t="str">
        <f t="shared" si="88"/>
        <v>Sufficient</v>
      </c>
      <c r="X1890" s="8" t="str">
        <f t="shared" si="89"/>
        <v>High</v>
      </c>
    </row>
    <row r="1891" spans="1:24">
      <c r="A1891" s="7" t="s">
        <v>2021</v>
      </c>
      <c r="B1891" s="1" t="s">
        <v>25</v>
      </c>
      <c r="C1891" s="1">
        <v>414</v>
      </c>
      <c r="D1891" s="1">
        <v>73</v>
      </c>
      <c r="E1891" s="1">
        <v>6</v>
      </c>
      <c r="F1891" s="1">
        <v>2</v>
      </c>
      <c r="G1891" s="1">
        <v>14.56</v>
      </c>
      <c r="H1891" s="1" t="s">
        <v>294</v>
      </c>
      <c r="I1891" s="1" t="s">
        <v>27</v>
      </c>
      <c r="J1891" s="1">
        <v>112</v>
      </c>
      <c r="K1891" s="1">
        <v>4.8099999999999996</v>
      </c>
      <c r="L1891" s="4">
        <v>105.65</v>
      </c>
      <c r="M1891" s="1">
        <v>1.46</v>
      </c>
      <c r="N1891" s="1">
        <v>1</v>
      </c>
      <c r="O1891" s="1">
        <v>0.76</v>
      </c>
      <c r="P1891" s="1">
        <v>635</v>
      </c>
      <c r="Q1891" s="1">
        <v>1.77</v>
      </c>
      <c r="R1891" s="1">
        <v>0.28000000000000003</v>
      </c>
      <c r="S1891" s="2">
        <v>45400</v>
      </c>
      <c r="T1891" s="1">
        <v>248.85</v>
      </c>
      <c r="U1891" s="1">
        <v>0.46600000000000003</v>
      </c>
      <c r="V1891" s="6">
        <f t="shared" si="87"/>
        <v>43739.100000000006</v>
      </c>
      <c r="W1891" s="6" t="str">
        <f t="shared" si="88"/>
        <v>Sufficient</v>
      </c>
      <c r="X1891" s="8" t="str">
        <f t="shared" si="89"/>
        <v>High</v>
      </c>
    </row>
    <row r="1892" spans="1:24">
      <c r="A1892" s="7" t="s">
        <v>2022</v>
      </c>
      <c r="B1892" s="1" t="s">
        <v>41</v>
      </c>
      <c r="C1892" s="1">
        <v>129</v>
      </c>
      <c r="D1892" s="1">
        <v>63</v>
      </c>
      <c r="E1892" s="1">
        <v>12</v>
      </c>
      <c r="F1892" s="1">
        <v>6</v>
      </c>
      <c r="G1892" s="1">
        <v>6.11</v>
      </c>
      <c r="H1892" s="1" t="s">
        <v>59</v>
      </c>
      <c r="I1892" s="1" t="s">
        <v>31</v>
      </c>
      <c r="J1892" s="1">
        <v>123</v>
      </c>
      <c r="K1892" s="1">
        <v>0.82</v>
      </c>
      <c r="L1892" s="4">
        <v>171.11</v>
      </c>
      <c r="M1892" s="1">
        <v>0.55000000000000004</v>
      </c>
      <c r="N1892" s="1">
        <v>8</v>
      </c>
      <c r="O1892" s="1">
        <v>0.82</v>
      </c>
      <c r="P1892" s="1">
        <v>105</v>
      </c>
      <c r="Q1892" s="1">
        <v>3.37</v>
      </c>
      <c r="R1892" s="1">
        <v>0.24</v>
      </c>
      <c r="S1892" s="2">
        <v>45303</v>
      </c>
      <c r="T1892" s="1">
        <v>57.41</v>
      </c>
      <c r="U1892" s="1">
        <v>0.442</v>
      </c>
      <c r="V1892" s="6">
        <f t="shared" si="87"/>
        <v>22073.190000000002</v>
      </c>
      <c r="W1892" s="6" t="str">
        <f t="shared" si="88"/>
        <v>Sufficient</v>
      </c>
      <c r="X1892" s="8" t="str">
        <f t="shared" si="89"/>
        <v>Medium</v>
      </c>
    </row>
    <row r="1893" spans="1:24">
      <c r="A1893" s="7" t="s">
        <v>2023</v>
      </c>
      <c r="B1893" s="1" t="s">
        <v>33</v>
      </c>
      <c r="C1893" s="1">
        <v>211</v>
      </c>
      <c r="D1893" s="1">
        <v>60</v>
      </c>
      <c r="E1893" s="1">
        <v>5</v>
      </c>
      <c r="F1893" s="1">
        <v>6</v>
      </c>
      <c r="G1893" s="1">
        <v>4.68</v>
      </c>
      <c r="H1893" s="1" t="s">
        <v>216</v>
      </c>
      <c r="I1893" s="1" t="s">
        <v>31</v>
      </c>
      <c r="J1893" s="1">
        <v>170</v>
      </c>
      <c r="K1893" s="1">
        <v>2.02</v>
      </c>
      <c r="L1893" s="4">
        <v>114.89</v>
      </c>
      <c r="M1893" s="1">
        <v>0.82</v>
      </c>
      <c r="N1893" s="1">
        <v>0</v>
      </c>
      <c r="O1893" s="1">
        <v>0.71</v>
      </c>
      <c r="P1893" s="1">
        <v>793</v>
      </c>
      <c r="Q1893" s="1">
        <v>10.199999999999999</v>
      </c>
      <c r="R1893" s="1">
        <v>0.79</v>
      </c>
      <c r="S1893" s="2">
        <v>45593</v>
      </c>
      <c r="T1893" s="1">
        <v>269.49</v>
      </c>
      <c r="U1893" s="1">
        <v>0.754</v>
      </c>
      <c r="V1893" s="6">
        <f t="shared" si="87"/>
        <v>24241.79</v>
      </c>
      <c r="W1893" s="6" t="str">
        <f t="shared" si="88"/>
        <v>Sufficient</v>
      </c>
      <c r="X1893" s="8" t="str">
        <f t="shared" si="89"/>
        <v>Medium</v>
      </c>
    </row>
    <row r="1894" spans="1:24">
      <c r="A1894" s="7" t="s">
        <v>2024</v>
      </c>
      <c r="B1894" s="1" t="s">
        <v>33</v>
      </c>
      <c r="C1894" s="1">
        <v>411</v>
      </c>
      <c r="D1894" s="1">
        <v>48</v>
      </c>
      <c r="E1894" s="1">
        <v>13</v>
      </c>
      <c r="F1894" s="1">
        <v>4</v>
      </c>
      <c r="G1894" s="1">
        <v>18.03</v>
      </c>
      <c r="H1894" s="1" t="s">
        <v>274</v>
      </c>
      <c r="I1894" s="1" t="s">
        <v>27</v>
      </c>
      <c r="J1894" s="1">
        <v>10</v>
      </c>
      <c r="K1894" s="1">
        <v>4.67</v>
      </c>
      <c r="L1894" s="4">
        <v>125.47</v>
      </c>
      <c r="M1894" s="1">
        <v>0.82</v>
      </c>
      <c r="N1894" s="1">
        <v>8</v>
      </c>
      <c r="O1894" s="1">
        <v>0.88</v>
      </c>
      <c r="P1894" s="1">
        <v>228</v>
      </c>
      <c r="Q1894" s="1">
        <v>4.37</v>
      </c>
      <c r="R1894" s="1">
        <v>0.92</v>
      </c>
      <c r="S1894" s="2">
        <v>45550</v>
      </c>
      <c r="T1894" s="1">
        <v>99.86</v>
      </c>
      <c r="U1894" s="1">
        <v>0.57599999999999996</v>
      </c>
      <c r="V1894" s="6">
        <f t="shared" si="87"/>
        <v>51568.17</v>
      </c>
      <c r="W1894" s="6" t="str">
        <f t="shared" si="88"/>
        <v>Sufficient</v>
      </c>
      <c r="X1894" s="8" t="str">
        <f t="shared" si="89"/>
        <v>High</v>
      </c>
    </row>
    <row r="1895" spans="1:24">
      <c r="A1895" s="7" t="s">
        <v>2025</v>
      </c>
      <c r="B1895" s="1" t="s">
        <v>41</v>
      </c>
      <c r="C1895" s="1">
        <v>112</v>
      </c>
      <c r="D1895" s="1">
        <v>13</v>
      </c>
      <c r="E1895" s="1">
        <v>6</v>
      </c>
      <c r="F1895" s="1">
        <v>9</v>
      </c>
      <c r="G1895" s="1">
        <v>31.12</v>
      </c>
      <c r="H1895" s="1" t="s">
        <v>135</v>
      </c>
      <c r="I1895" s="1" t="s">
        <v>27</v>
      </c>
      <c r="J1895" s="1">
        <v>137</v>
      </c>
      <c r="K1895" s="1">
        <v>4.54</v>
      </c>
      <c r="L1895" s="4">
        <v>15.81</v>
      </c>
      <c r="M1895" s="1">
        <v>1.71</v>
      </c>
      <c r="N1895" s="1">
        <v>5</v>
      </c>
      <c r="O1895" s="1">
        <v>0.85</v>
      </c>
      <c r="P1895" s="1">
        <v>991</v>
      </c>
      <c r="Q1895" s="1">
        <v>3.23</v>
      </c>
      <c r="R1895" s="1">
        <v>0.33</v>
      </c>
      <c r="S1895" s="2">
        <v>45378</v>
      </c>
      <c r="T1895" s="1">
        <v>292.08</v>
      </c>
      <c r="U1895" s="1">
        <v>0.40799999999999997</v>
      </c>
      <c r="V1895" s="6">
        <f t="shared" si="87"/>
        <v>1770.72</v>
      </c>
      <c r="W1895" s="6" t="str">
        <f t="shared" si="88"/>
        <v>Sufficient</v>
      </c>
      <c r="X1895" s="8" t="str">
        <f t="shared" si="89"/>
        <v>Medium</v>
      </c>
    </row>
    <row r="1896" spans="1:24">
      <c r="A1896" s="7" t="s">
        <v>2026</v>
      </c>
      <c r="B1896" s="1" t="s">
        <v>41</v>
      </c>
      <c r="C1896" s="1">
        <v>369</v>
      </c>
      <c r="D1896" s="1">
        <v>12</v>
      </c>
      <c r="E1896" s="1">
        <v>11</v>
      </c>
      <c r="F1896" s="1">
        <v>4</v>
      </c>
      <c r="G1896" s="1">
        <v>42.04</v>
      </c>
      <c r="H1896" s="1" t="s">
        <v>229</v>
      </c>
      <c r="I1896" s="1" t="s">
        <v>31</v>
      </c>
      <c r="J1896" s="1">
        <v>112</v>
      </c>
      <c r="K1896" s="1">
        <v>4.3899999999999997</v>
      </c>
      <c r="L1896" s="4">
        <v>173.31</v>
      </c>
      <c r="M1896" s="1">
        <v>0.28999999999999998</v>
      </c>
      <c r="N1896" s="1">
        <v>7</v>
      </c>
      <c r="O1896" s="1">
        <v>0.9</v>
      </c>
      <c r="P1896" s="1">
        <v>110</v>
      </c>
      <c r="Q1896" s="1">
        <v>10.33</v>
      </c>
      <c r="R1896" s="1">
        <v>0.95</v>
      </c>
      <c r="S1896" s="2">
        <v>45355</v>
      </c>
      <c r="T1896" s="1">
        <v>250.04</v>
      </c>
      <c r="U1896" s="1">
        <v>0.73899999999999999</v>
      </c>
      <c r="V1896" s="6">
        <f t="shared" si="87"/>
        <v>63951.39</v>
      </c>
      <c r="W1896" s="6" t="str">
        <f t="shared" si="88"/>
        <v>Sufficient</v>
      </c>
      <c r="X1896" s="8" t="str">
        <f t="shared" si="89"/>
        <v>High</v>
      </c>
    </row>
    <row r="1897" spans="1:24">
      <c r="A1897" s="7" t="s">
        <v>2027</v>
      </c>
      <c r="B1897" s="1" t="s">
        <v>66</v>
      </c>
      <c r="C1897" s="1">
        <v>75</v>
      </c>
      <c r="D1897" s="1">
        <v>73</v>
      </c>
      <c r="E1897" s="1">
        <v>5</v>
      </c>
      <c r="F1897" s="1">
        <v>4</v>
      </c>
      <c r="G1897" s="1">
        <v>9.99</v>
      </c>
      <c r="H1897" s="1" t="s">
        <v>331</v>
      </c>
      <c r="I1897" s="1" t="s">
        <v>27</v>
      </c>
      <c r="J1897" s="1">
        <v>165</v>
      </c>
      <c r="K1897" s="1">
        <v>1.89</v>
      </c>
      <c r="L1897" s="4">
        <v>83.15</v>
      </c>
      <c r="M1897" s="1">
        <v>1.37</v>
      </c>
      <c r="N1897" s="1">
        <v>2</v>
      </c>
      <c r="O1897" s="1">
        <v>0.86</v>
      </c>
      <c r="P1897" s="1">
        <v>921</v>
      </c>
      <c r="Q1897" s="1">
        <v>8.51</v>
      </c>
      <c r="R1897" s="1">
        <v>0.69</v>
      </c>
      <c r="S1897" s="2">
        <v>45479</v>
      </c>
      <c r="T1897" s="1">
        <v>142.12</v>
      </c>
      <c r="U1897" s="1">
        <v>0.64600000000000002</v>
      </c>
      <c r="V1897" s="6">
        <f t="shared" si="87"/>
        <v>6236.25</v>
      </c>
      <c r="W1897" s="6" t="str">
        <f t="shared" si="88"/>
        <v>Sufficient</v>
      </c>
      <c r="X1897" s="8" t="str">
        <f t="shared" si="89"/>
        <v>LOW</v>
      </c>
    </row>
    <row r="1898" spans="1:24">
      <c r="A1898" s="7" t="s">
        <v>2028</v>
      </c>
      <c r="B1898" s="1" t="s">
        <v>33</v>
      </c>
      <c r="C1898" s="1">
        <v>79</v>
      </c>
      <c r="D1898" s="1">
        <v>38</v>
      </c>
      <c r="E1898" s="1">
        <v>14</v>
      </c>
      <c r="F1898" s="1">
        <v>7</v>
      </c>
      <c r="G1898" s="1">
        <v>21.81</v>
      </c>
      <c r="H1898" s="1" t="s">
        <v>238</v>
      </c>
      <c r="I1898" s="1" t="s">
        <v>27</v>
      </c>
      <c r="J1898" s="1">
        <v>154</v>
      </c>
      <c r="K1898" s="1">
        <v>4.3099999999999996</v>
      </c>
      <c r="L1898" s="4">
        <v>195.22</v>
      </c>
      <c r="M1898" s="1">
        <v>1.96</v>
      </c>
      <c r="N1898" s="1">
        <v>7</v>
      </c>
      <c r="O1898" s="1">
        <v>0.82</v>
      </c>
      <c r="P1898" s="1">
        <v>166</v>
      </c>
      <c r="Q1898" s="1">
        <v>12.27</v>
      </c>
      <c r="R1898" s="1">
        <v>0.3</v>
      </c>
      <c r="S1898" s="2">
        <v>45656</v>
      </c>
      <c r="T1898" s="1">
        <v>225.25</v>
      </c>
      <c r="U1898" s="1">
        <v>0.45200000000000001</v>
      </c>
      <c r="V1898" s="6">
        <f t="shared" si="87"/>
        <v>15422.38</v>
      </c>
      <c r="W1898" s="6" t="str">
        <f t="shared" si="88"/>
        <v>Sufficient</v>
      </c>
      <c r="X1898" s="8" t="str">
        <f t="shared" si="89"/>
        <v>LOW</v>
      </c>
    </row>
    <row r="1899" spans="1:24">
      <c r="A1899" s="7" t="s">
        <v>2029</v>
      </c>
      <c r="B1899" s="1" t="s">
        <v>29</v>
      </c>
      <c r="C1899" s="1">
        <v>157</v>
      </c>
      <c r="D1899" s="1">
        <v>20</v>
      </c>
      <c r="E1899" s="1">
        <v>8</v>
      </c>
      <c r="F1899" s="1">
        <v>9</v>
      </c>
      <c r="G1899" s="1">
        <v>20.21</v>
      </c>
      <c r="H1899" s="1" t="s">
        <v>103</v>
      </c>
      <c r="I1899" s="1" t="s">
        <v>39</v>
      </c>
      <c r="J1899" s="1">
        <v>66</v>
      </c>
      <c r="K1899" s="1">
        <v>2.77</v>
      </c>
      <c r="L1899" s="4">
        <v>32.89</v>
      </c>
      <c r="M1899" s="1">
        <v>0.14000000000000001</v>
      </c>
      <c r="N1899" s="1">
        <v>8</v>
      </c>
      <c r="O1899" s="1">
        <v>0.92</v>
      </c>
      <c r="P1899" s="1">
        <v>639</v>
      </c>
      <c r="Q1899" s="1">
        <v>5.47</v>
      </c>
      <c r="R1899" s="1">
        <v>0.33</v>
      </c>
      <c r="S1899" s="2">
        <v>45625</v>
      </c>
      <c r="T1899" s="1">
        <v>171.03</v>
      </c>
      <c r="U1899" s="1">
        <v>0.54900000000000004</v>
      </c>
      <c r="V1899" s="6">
        <f t="shared" si="87"/>
        <v>5163.7300000000005</v>
      </c>
      <c r="W1899" s="6" t="str">
        <f t="shared" si="88"/>
        <v>Sufficient</v>
      </c>
      <c r="X1899" s="8" t="str">
        <f t="shared" si="89"/>
        <v>Medium</v>
      </c>
    </row>
    <row r="1900" spans="1:24">
      <c r="A1900" s="7" t="s">
        <v>2030</v>
      </c>
      <c r="B1900" s="1" t="s">
        <v>41</v>
      </c>
      <c r="C1900" s="1">
        <v>58</v>
      </c>
      <c r="D1900" s="1">
        <v>67</v>
      </c>
      <c r="E1900" s="1">
        <v>8</v>
      </c>
      <c r="F1900" s="1">
        <v>7</v>
      </c>
      <c r="G1900" s="1">
        <v>26.16</v>
      </c>
      <c r="H1900" s="1" t="s">
        <v>44</v>
      </c>
      <c r="I1900" s="1" t="s">
        <v>45</v>
      </c>
      <c r="J1900" s="1">
        <v>79</v>
      </c>
      <c r="K1900" s="1">
        <v>3.29</v>
      </c>
      <c r="L1900" s="4">
        <v>189.49</v>
      </c>
      <c r="M1900" s="1">
        <v>1.94</v>
      </c>
      <c r="N1900" s="1">
        <v>6</v>
      </c>
      <c r="O1900" s="1">
        <v>0.71</v>
      </c>
      <c r="P1900" s="1">
        <v>285</v>
      </c>
      <c r="Q1900" s="1">
        <v>5.62</v>
      </c>
      <c r="R1900" s="1">
        <v>0.25</v>
      </c>
      <c r="S1900" s="2">
        <v>45311</v>
      </c>
      <c r="T1900" s="1">
        <v>257.44</v>
      </c>
      <c r="U1900" s="1">
        <v>0.35299999999999998</v>
      </c>
      <c r="V1900" s="6">
        <f t="shared" si="87"/>
        <v>10990.42</v>
      </c>
      <c r="W1900" s="6" t="str">
        <f t="shared" si="88"/>
        <v>Reorder Required</v>
      </c>
      <c r="X1900" s="8" t="str">
        <f t="shared" si="89"/>
        <v>LOW</v>
      </c>
    </row>
    <row r="1901" spans="1:24">
      <c r="A1901" s="7" t="s">
        <v>2031</v>
      </c>
      <c r="B1901" s="1" t="s">
        <v>41</v>
      </c>
      <c r="C1901" s="1">
        <v>47</v>
      </c>
      <c r="D1901" s="1">
        <v>84</v>
      </c>
      <c r="E1901" s="1">
        <v>9</v>
      </c>
      <c r="F1901" s="1">
        <v>2</v>
      </c>
      <c r="G1901" s="1">
        <v>40.67</v>
      </c>
      <c r="H1901" s="1" t="s">
        <v>394</v>
      </c>
      <c r="I1901" s="1" t="s">
        <v>31</v>
      </c>
      <c r="J1901" s="1">
        <v>53</v>
      </c>
      <c r="K1901" s="1">
        <v>1.57</v>
      </c>
      <c r="L1901" s="4">
        <v>130.52000000000001</v>
      </c>
      <c r="M1901" s="1">
        <v>0.13</v>
      </c>
      <c r="N1901" s="1">
        <v>3</v>
      </c>
      <c r="O1901" s="1">
        <v>0.86</v>
      </c>
      <c r="P1901" s="1">
        <v>82</v>
      </c>
      <c r="Q1901" s="1">
        <v>3.11</v>
      </c>
      <c r="R1901" s="1">
        <v>0.31</v>
      </c>
      <c r="S1901" s="2">
        <v>45484</v>
      </c>
      <c r="T1901" s="1">
        <v>160.25</v>
      </c>
      <c r="U1901" s="1">
        <v>0.60199999999999998</v>
      </c>
      <c r="V1901" s="6">
        <f t="shared" si="87"/>
        <v>6134.4400000000005</v>
      </c>
      <c r="W1901" s="6" t="str">
        <f t="shared" si="88"/>
        <v>Reorder Required</v>
      </c>
      <c r="X1901" s="8" t="str">
        <f t="shared" si="89"/>
        <v>LOW</v>
      </c>
    </row>
    <row r="1902" spans="1:24">
      <c r="A1902" s="7" t="s">
        <v>2032</v>
      </c>
      <c r="B1902" s="1" t="s">
        <v>25</v>
      </c>
      <c r="C1902" s="1">
        <v>68</v>
      </c>
      <c r="D1902" s="1">
        <v>36</v>
      </c>
      <c r="E1902" s="1">
        <v>11</v>
      </c>
      <c r="F1902" s="1">
        <v>4</v>
      </c>
      <c r="G1902" s="1">
        <v>28.13</v>
      </c>
      <c r="H1902" s="1" t="s">
        <v>208</v>
      </c>
      <c r="I1902" s="1" t="s">
        <v>31</v>
      </c>
      <c r="J1902" s="1">
        <v>150</v>
      </c>
      <c r="K1902" s="1">
        <v>3.68</v>
      </c>
      <c r="L1902" s="4">
        <v>19.940000000000001</v>
      </c>
      <c r="M1902" s="1">
        <v>1.7</v>
      </c>
      <c r="N1902" s="1">
        <v>5</v>
      </c>
      <c r="O1902" s="1">
        <v>0.73</v>
      </c>
      <c r="P1902" s="1">
        <v>616</v>
      </c>
      <c r="Q1902" s="1">
        <v>10.130000000000001</v>
      </c>
      <c r="R1902" s="1">
        <v>0.79</v>
      </c>
      <c r="S1902" s="2">
        <v>45619</v>
      </c>
      <c r="T1902" s="1">
        <v>296.52</v>
      </c>
      <c r="U1902" s="1">
        <v>0.56899999999999995</v>
      </c>
      <c r="V1902" s="6">
        <f t="shared" si="87"/>
        <v>1355.92</v>
      </c>
      <c r="W1902" s="6" t="str">
        <f t="shared" si="88"/>
        <v>Sufficient</v>
      </c>
      <c r="X1902" s="8" t="str">
        <f t="shared" si="89"/>
        <v>LOW</v>
      </c>
    </row>
    <row r="1903" spans="1:24">
      <c r="A1903" s="7" t="s">
        <v>2033</v>
      </c>
      <c r="B1903" s="1" t="s">
        <v>29</v>
      </c>
      <c r="C1903" s="1">
        <v>439</v>
      </c>
      <c r="D1903" s="1">
        <v>30</v>
      </c>
      <c r="E1903" s="1">
        <v>14</v>
      </c>
      <c r="F1903" s="1">
        <v>5</v>
      </c>
      <c r="G1903" s="1">
        <v>42.49</v>
      </c>
      <c r="H1903" s="1" t="s">
        <v>189</v>
      </c>
      <c r="I1903" s="1" t="s">
        <v>39</v>
      </c>
      <c r="J1903" s="1">
        <v>85</v>
      </c>
      <c r="K1903" s="1">
        <v>1.97</v>
      </c>
      <c r="L1903" s="4">
        <v>194.62</v>
      </c>
      <c r="M1903" s="1">
        <v>1.93</v>
      </c>
      <c r="N1903" s="1">
        <v>5</v>
      </c>
      <c r="O1903" s="1">
        <v>0.83</v>
      </c>
      <c r="P1903" s="1">
        <v>292</v>
      </c>
      <c r="Q1903" s="1">
        <v>10.92</v>
      </c>
      <c r="R1903" s="1">
        <v>0.38</v>
      </c>
      <c r="S1903" s="2">
        <v>45422</v>
      </c>
      <c r="T1903" s="1">
        <v>48.72</v>
      </c>
      <c r="U1903" s="1">
        <v>0.495</v>
      </c>
      <c r="V1903" s="6">
        <f t="shared" si="87"/>
        <v>85438.180000000008</v>
      </c>
      <c r="W1903" s="6" t="str">
        <f t="shared" si="88"/>
        <v>Sufficient</v>
      </c>
      <c r="X1903" s="8" t="str">
        <f t="shared" si="89"/>
        <v>High</v>
      </c>
    </row>
    <row r="1904" spans="1:24">
      <c r="A1904" s="7" t="s">
        <v>2034</v>
      </c>
      <c r="B1904" s="1" t="s">
        <v>29</v>
      </c>
      <c r="C1904" s="1">
        <v>144</v>
      </c>
      <c r="D1904" s="1">
        <v>48</v>
      </c>
      <c r="E1904" s="1">
        <v>9</v>
      </c>
      <c r="F1904" s="1">
        <v>6</v>
      </c>
      <c r="G1904" s="1">
        <v>26.41</v>
      </c>
      <c r="H1904" s="1" t="s">
        <v>185</v>
      </c>
      <c r="I1904" s="1" t="s">
        <v>27</v>
      </c>
      <c r="J1904" s="1">
        <v>167</v>
      </c>
      <c r="K1904" s="1">
        <v>2.0499999999999998</v>
      </c>
      <c r="L1904" s="4">
        <v>12.64</v>
      </c>
      <c r="M1904" s="1">
        <v>1.99</v>
      </c>
      <c r="N1904" s="1">
        <v>1</v>
      </c>
      <c r="O1904" s="1">
        <v>0.94</v>
      </c>
      <c r="P1904" s="1">
        <v>835</v>
      </c>
      <c r="Q1904" s="1">
        <v>2.94</v>
      </c>
      <c r="R1904" s="1">
        <v>0.65</v>
      </c>
      <c r="S1904" s="2">
        <v>45565</v>
      </c>
      <c r="T1904" s="1">
        <v>206.18</v>
      </c>
      <c r="U1904" s="1">
        <v>0.53800000000000003</v>
      </c>
      <c r="V1904" s="6">
        <f t="shared" si="87"/>
        <v>1820.16</v>
      </c>
      <c r="W1904" s="6" t="str">
        <f t="shared" si="88"/>
        <v>Sufficient</v>
      </c>
      <c r="X1904" s="8" t="str">
        <f t="shared" si="89"/>
        <v>Medium</v>
      </c>
    </row>
    <row r="1905" spans="1:24">
      <c r="A1905" s="7" t="s">
        <v>2035</v>
      </c>
      <c r="B1905" s="1" t="s">
        <v>41</v>
      </c>
      <c r="C1905" s="1">
        <v>32</v>
      </c>
      <c r="D1905" s="1">
        <v>55</v>
      </c>
      <c r="E1905" s="1">
        <v>3</v>
      </c>
      <c r="F1905" s="1">
        <v>9</v>
      </c>
      <c r="G1905" s="1">
        <v>30.59</v>
      </c>
      <c r="H1905" s="1" t="s">
        <v>252</v>
      </c>
      <c r="I1905" s="1" t="s">
        <v>27</v>
      </c>
      <c r="J1905" s="1">
        <v>94</v>
      </c>
      <c r="K1905" s="1">
        <v>3.37</v>
      </c>
      <c r="L1905" s="4">
        <v>148.83000000000001</v>
      </c>
      <c r="M1905" s="1">
        <v>0.97</v>
      </c>
      <c r="N1905" s="1">
        <v>1</v>
      </c>
      <c r="O1905" s="1">
        <v>0.74</v>
      </c>
      <c r="P1905" s="1">
        <v>957</v>
      </c>
      <c r="Q1905" s="1">
        <v>4.5599999999999996</v>
      </c>
      <c r="R1905" s="1">
        <v>0.78</v>
      </c>
      <c r="S1905" s="2">
        <v>45611</v>
      </c>
      <c r="T1905" s="1">
        <v>81.239999999999995</v>
      </c>
      <c r="U1905" s="1">
        <v>0.64800000000000002</v>
      </c>
      <c r="V1905" s="6">
        <f t="shared" si="87"/>
        <v>4762.5600000000004</v>
      </c>
      <c r="W1905" s="6" t="str">
        <f t="shared" si="88"/>
        <v>Reorder Required</v>
      </c>
      <c r="X1905" s="8" t="str">
        <f t="shared" si="89"/>
        <v>LOW</v>
      </c>
    </row>
    <row r="1906" spans="1:24">
      <c r="A1906" s="7" t="s">
        <v>2036</v>
      </c>
      <c r="B1906" s="1" t="s">
        <v>66</v>
      </c>
      <c r="C1906" s="1">
        <v>499</v>
      </c>
      <c r="D1906" s="1">
        <v>75</v>
      </c>
      <c r="E1906" s="1">
        <v>10</v>
      </c>
      <c r="F1906" s="1">
        <v>4</v>
      </c>
      <c r="G1906" s="1">
        <v>22.43</v>
      </c>
      <c r="H1906" s="1" t="s">
        <v>26</v>
      </c>
      <c r="I1906" s="1" t="s">
        <v>27</v>
      </c>
      <c r="J1906" s="1">
        <v>75</v>
      </c>
      <c r="K1906" s="1">
        <v>1.58</v>
      </c>
      <c r="L1906" s="4">
        <v>179.01</v>
      </c>
      <c r="M1906" s="1">
        <v>1.75</v>
      </c>
      <c r="N1906" s="1">
        <v>4</v>
      </c>
      <c r="O1906" s="1">
        <v>0.98</v>
      </c>
      <c r="P1906" s="1">
        <v>123</v>
      </c>
      <c r="Q1906" s="1">
        <v>3.16</v>
      </c>
      <c r="R1906" s="1">
        <v>0.92</v>
      </c>
      <c r="S1906" s="2">
        <v>45316</v>
      </c>
      <c r="T1906" s="1">
        <v>65.459999999999994</v>
      </c>
      <c r="U1906" s="1">
        <v>0.56699999999999995</v>
      </c>
      <c r="V1906" s="6">
        <f t="shared" si="87"/>
        <v>89325.989999999991</v>
      </c>
      <c r="W1906" s="6" t="str">
        <f t="shared" si="88"/>
        <v>Sufficient</v>
      </c>
      <c r="X1906" s="8" t="str">
        <f t="shared" si="89"/>
        <v>High</v>
      </c>
    </row>
    <row r="1907" spans="1:24">
      <c r="A1907" s="7" t="s">
        <v>2037</v>
      </c>
      <c r="B1907" s="1" t="s">
        <v>25</v>
      </c>
      <c r="C1907" s="1">
        <v>55</v>
      </c>
      <c r="D1907" s="1">
        <v>45</v>
      </c>
      <c r="E1907" s="1">
        <v>7</v>
      </c>
      <c r="F1907" s="1">
        <v>9</v>
      </c>
      <c r="G1907" s="1">
        <v>41.33</v>
      </c>
      <c r="H1907" s="1" t="s">
        <v>30</v>
      </c>
      <c r="I1907" s="1" t="s">
        <v>31</v>
      </c>
      <c r="J1907" s="1">
        <v>62</v>
      </c>
      <c r="K1907" s="1">
        <v>1.51</v>
      </c>
      <c r="L1907" s="4">
        <v>43.4</v>
      </c>
      <c r="M1907" s="1">
        <v>0.33</v>
      </c>
      <c r="N1907" s="1">
        <v>0</v>
      </c>
      <c r="O1907" s="1">
        <v>0.97</v>
      </c>
      <c r="P1907" s="1">
        <v>70</v>
      </c>
      <c r="Q1907" s="1">
        <v>11.47</v>
      </c>
      <c r="R1907" s="1">
        <v>0.67</v>
      </c>
      <c r="S1907" s="2">
        <v>45596</v>
      </c>
      <c r="T1907" s="1">
        <v>128.38999999999999</v>
      </c>
      <c r="U1907" s="1">
        <v>0.84799999999999998</v>
      </c>
      <c r="V1907" s="6">
        <f t="shared" si="87"/>
        <v>2387</v>
      </c>
      <c r="W1907" s="6" t="str">
        <f t="shared" si="88"/>
        <v>Sufficient</v>
      </c>
      <c r="X1907" s="8" t="str">
        <f t="shared" si="89"/>
        <v>LOW</v>
      </c>
    </row>
    <row r="1908" spans="1:24">
      <c r="A1908" s="7" t="s">
        <v>2038</v>
      </c>
      <c r="B1908" s="1" t="s">
        <v>29</v>
      </c>
      <c r="C1908" s="1">
        <v>120</v>
      </c>
      <c r="D1908" s="1">
        <v>84</v>
      </c>
      <c r="E1908" s="1">
        <v>11</v>
      </c>
      <c r="F1908" s="1">
        <v>6</v>
      </c>
      <c r="G1908" s="1">
        <v>46.27</v>
      </c>
      <c r="H1908" s="1" t="s">
        <v>274</v>
      </c>
      <c r="I1908" s="1" t="s">
        <v>39</v>
      </c>
      <c r="J1908" s="1">
        <v>27</v>
      </c>
      <c r="K1908" s="1">
        <v>2.16</v>
      </c>
      <c r="L1908" s="4">
        <v>75.239999999999995</v>
      </c>
      <c r="M1908" s="1">
        <v>0.91</v>
      </c>
      <c r="N1908" s="1">
        <v>4</v>
      </c>
      <c r="O1908" s="1">
        <v>0.82</v>
      </c>
      <c r="P1908" s="1">
        <v>914</v>
      </c>
      <c r="Q1908" s="1">
        <v>3.93</v>
      </c>
      <c r="R1908" s="1">
        <v>0.66</v>
      </c>
      <c r="S1908" s="2">
        <v>45316</v>
      </c>
      <c r="T1908" s="1">
        <v>116.56</v>
      </c>
      <c r="U1908" s="1">
        <v>0.57699999999999996</v>
      </c>
      <c r="V1908" s="6">
        <f t="shared" si="87"/>
        <v>9028.7999999999993</v>
      </c>
      <c r="W1908" s="6" t="str">
        <f t="shared" si="88"/>
        <v>Sufficient</v>
      </c>
      <c r="X1908" s="8" t="str">
        <f t="shared" si="89"/>
        <v>Medium</v>
      </c>
    </row>
    <row r="1909" spans="1:24">
      <c r="A1909" s="7" t="s">
        <v>2039</v>
      </c>
      <c r="B1909" s="1" t="s">
        <v>41</v>
      </c>
      <c r="C1909" s="1">
        <v>301</v>
      </c>
      <c r="D1909" s="1">
        <v>91</v>
      </c>
      <c r="E1909" s="1">
        <v>12</v>
      </c>
      <c r="F1909" s="1">
        <v>3</v>
      </c>
      <c r="G1909" s="1">
        <v>32.32</v>
      </c>
      <c r="H1909" s="1" t="s">
        <v>252</v>
      </c>
      <c r="I1909" s="1" t="s">
        <v>45</v>
      </c>
      <c r="J1909" s="1">
        <v>37</v>
      </c>
      <c r="K1909" s="1">
        <v>4</v>
      </c>
      <c r="L1909" s="4">
        <v>116.63</v>
      </c>
      <c r="M1909" s="1">
        <v>0.69</v>
      </c>
      <c r="N1909" s="1">
        <v>9</v>
      </c>
      <c r="O1909" s="1">
        <v>0.7</v>
      </c>
      <c r="P1909" s="1">
        <v>762</v>
      </c>
      <c r="Q1909" s="1">
        <v>3.13</v>
      </c>
      <c r="R1909" s="1">
        <v>0.93</v>
      </c>
      <c r="S1909" s="2">
        <v>45630</v>
      </c>
      <c r="T1909" s="1">
        <v>23.44</v>
      </c>
      <c r="U1909" s="1">
        <v>0.51900000000000002</v>
      </c>
      <c r="V1909" s="6">
        <f t="shared" si="87"/>
        <v>35105.629999999997</v>
      </c>
      <c r="W1909" s="6" t="str">
        <f t="shared" si="88"/>
        <v>Sufficient</v>
      </c>
      <c r="X1909" s="8" t="str">
        <f t="shared" si="89"/>
        <v>High</v>
      </c>
    </row>
    <row r="1910" spans="1:24">
      <c r="A1910" s="7" t="s">
        <v>2040</v>
      </c>
      <c r="B1910" s="1" t="s">
        <v>29</v>
      </c>
      <c r="C1910" s="1">
        <v>105</v>
      </c>
      <c r="D1910" s="1">
        <v>74</v>
      </c>
      <c r="E1910" s="1">
        <v>14</v>
      </c>
      <c r="F1910" s="1">
        <v>8</v>
      </c>
      <c r="G1910" s="1">
        <v>41.22</v>
      </c>
      <c r="H1910" s="1" t="s">
        <v>149</v>
      </c>
      <c r="I1910" s="1" t="s">
        <v>39</v>
      </c>
      <c r="J1910" s="1">
        <v>141</v>
      </c>
      <c r="K1910" s="1">
        <v>1.51</v>
      </c>
      <c r="L1910" s="4">
        <v>139.16</v>
      </c>
      <c r="M1910" s="1">
        <v>0.85</v>
      </c>
      <c r="N1910" s="1">
        <v>2</v>
      </c>
      <c r="O1910" s="1">
        <v>0.94</v>
      </c>
      <c r="P1910" s="1">
        <v>203</v>
      </c>
      <c r="Q1910" s="1">
        <v>1.98</v>
      </c>
      <c r="R1910" s="1">
        <v>0.44</v>
      </c>
      <c r="S1910" s="2">
        <v>45347</v>
      </c>
      <c r="T1910" s="1">
        <v>134.04</v>
      </c>
      <c r="U1910" s="1">
        <v>0.57699999999999996</v>
      </c>
      <c r="V1910" s="6">
        <f t="shared" si="87"/>
        <v>14611.8</v>
      </c>
      <c r="W1910" s="6" t="str">
        <f t="shared" si="88"/>
        <v>Sufficient</v>
      </c>
      <c r="X1910" s="8" t="str">
        <f t="shared" si="89"/>
        <v>Medium</v>
      </c>
    </row>
    <row r="1911" spans="1:24">
      <c r="A1911" s="7" t="s">
        <v>2041</v>
      </c>
      <c r="B1911" s="1" t="s">
        <v>25</v>
      </c>
      <c r="C1911" s="1">
        <v>23</v>
      </c>
      <c r="D1911" s="1">
        <v>72</v>
      </c>
      <c r="E1911" s="1">
        <v>7</v>
      </c>
      <c r="F1911" s="1">
        <v>3</v>
      </c>
      <c r="G1911" s="1">
        <v>3.89</v>
      </c>
      <c r="H1911" s="1" t="s">
        <v>208</v>
      </c>
      <c r="I1911" s="1" t="s">
        <v>31</v>
      </c>
      <c r="J1911" s="1">
        <v>51</v>
      </c>
      <c r="K1911" s="1">
        <v>4.04</v>
      </c>
      <c r="L1911" s="4">
        <v>175.66</v>
      </c>
      <c r="M1911" s="1">
        <v>1.43</v>
      </c>
      <c r="N1911" s="1">
        <v>2</v>
      </c>
      <c r="O1911" s="1">
        <v>0.96</v>
      </c>
      <c r="P1911" s="1">
        <v>303</v>
      </c>
      <c r="Q1911" s="1">
        <v>12.64</v>
      </c>
      <c r="R1911" s="1">
        <v>0.36</v>
      </c>
      <c r="S1911" s="2">
        <v>45626</v>
      </c>
      <c r="T1911" s="1">
        <v>286.06</v>
      </c>
      <c r="U1911" s="1">
        <v>0.65</v>
      </c>
      <c r="V1911" s="6">
        <f t="shared" si="87"/>
        <v>4040.18</v>
      </c>
      <c r="W1911" s="6" t="str">
        <f t="shared" si="88"/>
        <v>Reorder Required</v>
      </c>
      <c r="X1911" s="8" t="str">
        <f t="shared" si="89"/>
        <v>LOW</v>
      </c>
    </row>
    <row r="1912" spans="1:24">
      <c r="A1912" s="7" t="s">
        <v>2042</v>
      </c>
      <c r="B1912" s="1" t="s">
        <v>25</v>
      </c>
      <c r="C1912" s="1">
        <v>242</v>
      </c>
      <c r="D1912" s="1">
        <v>44</v>
      </c>
      <c r="E1912" s="1">
        <v>7</v>
      </c>
      <c r="F1912" s="1">
        <v>4</v>
      </c>
      <c r="G1912" s="1">
        <v>45.4</v>
      </c>
      <c r="H1912" s="1" t="s">
        <v>119</v>
      </c>
      <c r="I1912" s="1" t="s">
        <v>45</v>
      </c>
      <c r="J1912" s="1">
        <v>135</v>
      </c>
      <c r="K1912" s="1">
        <v>3.63</v>
      </c>
      <c r="L1912" s="4">
        <v>154.6</v>
      </c>
      <c r="M1912" s="1">
        <v>0.27</v>
      </c>
      <c r="N1912" s="1">
        <v>7</v>
      </c>
      <c r="O1912" s="1">
        <v>0.75</v>
      </c>
      <c r="P1912" s="1">
        <v>256</v>
      </c>
      <c r="Q1912" s="1">
        <v>2.74</v>
      </c>
      <c r="R1912" s="1">
        <v>0.9</v>
      </c>
      <c r="S1912" s="2">
        <v>45302</v>
      </c>
      <c r="T1912" s="1">
        <v>145.38999999999999</v>
      </c>
      <c r="U1912" s="1">
        <v>0.6</v>
      </c>
      <c r="V1912" s="6">
        <f t="shared" si="87"/>
        <v>37413.199999999997</v>
      </c>
      <c r="W1912" s="6" t="str">
        <f t="shared" si="88"/>
        <v>Sufficient</v>
      </c>
      <c r="X1912" s="8" t="str">
        <f t="shared" si="89"/>
        <v>Medium</v>
      </c>
    </row>
    <row r="1913" spans="1:24">
      <c r="A1913" s="7" t="s">
        <v>2043</v>
      </c>
      <c r="B1913" s="1" t="s">
        <v>33</v>
      </c>
      <c r="C1913" s="1">
        <v>357</v>
      </c>
      <c r="D1913" s="1">
        <v>40</v>
      </c>
      <c r="E1913" s="1">
        <v>14</v>
      </c>
      <c r="F1913" s="1">
        <v>6</v>
      </c>
      <c r="G1913" s="1">
        <v>10.26</v>
      </c>
      <c r="H1913" s="1" t="s">
        <v>119</v>
      </c>
      <c r="I1913" s="1" t="s">
        <v>27</v>
      </c>
      <c r="J1913" s="1">
        <v>126</v>
      </c>
      <c r="K1913" s="1">
        <v>3.56</v>
      </c>
      <c r="L1913" s="4">
        <v>79.03</v>
      </c>
      <c r="M1913" s="1">
        <v>2</v>
      </c>
      <c r="N1913" s="1">
        <v>2</v>
      </c>
      <c r="O1913" s="1">
        <v>0.97</v>
      </c>
      <c r="P1913" s="1">
        <v>198</v>
      </c>
      <c r="Q1913" s="1">
        <v>1.42</v>
      </c>
      <c r="R1913" s="1">
        <v>0.26</v>
      </c>
      <c r="S1913" s="2">
        <v>45316</v>
      </c>
      <c r="T1913" s="1">
        <v>97.53</v>
      </c>
      <c r="U1913" s="1">
        <v>0.42499999999999999</v>
      </c>
      <c r="V1913" s="6">
        <f t="shared" si="87"/>
        <v>28213.71</v>
      </c>
      <c r="W1913" s="6" t="str">
        <f t="shared" si="88"/>
        <v>Sufficient</v>
      </c>
      <c r="X1913" s="8" t="str">
        <f t="shared" si="89"/>
        <v>High</v>
      </c>
    </row>
    <row r="1914" spans="1:24">
      <c r="A1914" s="7" t="s">
        <v>2044</v>
      </c>
      <c r="B1914" s="1" t="s">
        <v>41</v>
      </c>
      <c r="C1914" s="1">
        <v>467</v>
      </c>
      <c r="D1914" s="1">
        <v>37</v>
      </c>
      <c r="E1914" s="1">
        <v>14</v>
      </c>
      <c r="F1914" s="1">
        <v>8</v>
      </c>
      <c r="G1914" s="1">
        <v>13.57</v>
      </c>
      <c r="H1914" s="1" t="s">
        <v>126</v>
      </c>
      <c r="I1914" s="1" t="s">
        <v>39</v>
      </c>
      <c r="J1914" s="1">
        <v>143</v>
      </c>
      <c r="K1914" s="1">
        <v>2.64</v>
      </c>
      <c r="L1914" s="4">
        <v>166.13</v>
      </c>
      <c r="M1914" s="1">
        <v>1.31</v>
      </c>
      <c r="N1914" s="1">
        <v>2</v>
      </c>
      <c r="O1914" s="1">
        <v>0.97</v>
      </c>
      <c r="P1914" s="1">
        <v>967</v>
      </c>
      <c r="Q1914" s="1">
        <v>1.9</v>
      </c>
      <c r="R1914" s="1">
        <v>0.35</v>
      </c>
      <c r="S1914" s="2">
        <v>45645</v>
      </c>
      <c r="T1914" s="1">
        <v>285.23</v>
      </c>
      <c r="U1914" s="1">
        <v>0.51800000000000002</v>
      </c>
      <c r="V1914" s="6">
        <f t="shared" si="87"/>
        <v>77582.709999999992</v>
      </c>
      <c r="W1914" s="6" t="str">
        <f t="shared" si="88"/>
        <v>Sufficient</v>
      </c>
      <c r="X1914" s="8" t="str">
        <f t="shared" si="89"/>
        <v>High</v>
      </c>
    </row>
    <row r="1915" spans="1:24">
      <c r="A1915" s="7" t="s">
        <v>2045</v>
      </c>
      <c r="B1915" s="1" t="s">
        <v>25</v>
      </c>
      <c r="C1915" s="1">
        <v>185</v>
      </c>
      <c r="D1915" s="1">
        <v>10</v>
      </c>
      <c r="E1915" s="1">
        <v>4</v>
      </c>
      <c r="F1915" s="1">
        <v>3</v>
      </c>
      <c r="G1915" s="1">
        <v>3.61</v>
      </c>
      <c r="H1915" s="1" t="s">
        <v>183</v>
      </c>
      <c r="I1915" s="1" t="s">
        <v>39</v>
      </c>
      <c r="J1915" s="1">
        <v>111</v>
      </c>
      <c r="K1915" s="1">
        <v>3.86</v>
      </c>
      <c r="L1915" s="4">
        <v>193.55</v>
      </c>
      <c r="M1915" s="1">
        <v>1.76</v>
      </c>
      <c r="N1915" s="1">
        <v>0</v>
      </c>
      <c r="O1915" s="1">
        <v>0.84</v>
      </c>
      <c r="P1915" s="1">
        <v>744</v>
      </c>
      <c r="Q1915" s="1">
        <v>6.14</v>
      </c>
      <c r="R1915" s="1">
        <v>0.53</v>
      </c>
      <c r="S1915" s="2">
        <v>45351</v>
      </c>
      <c r="T1915" s="1">
        <v>156.66</v>
      </c>
      <c r="U1915" s="1">
        <v>0.57999999999999996</v>
      </c>
      <c r="V1915" s="6">
        <f t="shared" si="87"/>
        <v>35806.75</v>
      </c>
      <c r="W1915" s="6" t="str">
        <f t="shared" si="88"/>
        <v>Sufficient</v>
      </c>
      <c r="X1915" s="8" t="str">
        <f t="shared" si="89"/>
        <v>Medium</v>
      </c>
    </row>
    <row r="1916" spans="1:24">
      <c r="A1916" s="7" t="s">
        <v>2046</v>
      </c>
      <c r="B1916" s="1" t="s">
        <v>33</v>
      </c>
      <c r="C1916" s="1">
        <v>402</v>
      </c>
      <c r="D1916" s="1">
        <v>34</v>
      </c>
      <c r="E1916" s="1">
        <v>14</v>
      </c>
      <c r="F1916" s="1">
        <v>4</v>
      </c>
      <c r="G1916" s="1">
        <v>48.3</v>
      </c>
      <c r="H1916" s="1" t="s">
        <v>233</v>
      </c>
      <c r="I1916" s="1" t="s">
        <v>31</v>
      </c>
      <c r="J1916" s="1">
        <v>146</v>
      </c>
      <c r="K1916" s="1">
        <v>0.56000000000000005</v>
      </c>
      <c r="L1916" s="4">
        <v>53.13</v>
      </c>
      <c r="M1916" s="1">
        <v>1.68</v>
      </c>
      <c r="N1916" s="1">
        <v>7</v>
      </c>
      <c r="O1916" s="1">
        <v>0.94</v>
      </c>
      <c r="P1916" s="1">
        <v>351</v>
      </c>
      <c r="Q1916" s="1">
        <v>9.35</v>
      </c>
      <c r="R1916" s="1">
        <v>0.49</v>
      </c>
      <c r="S1916" s="2">
        <v>45505</v>
      </c>
      <c r="T1916" s="1">
        <v>93.26</v>
      </c>
      <c r="U1916" s="1">
        <v>0.503</v>
      </c>
      <c r="V1916" s="6">
        <f t="shared" si="87"/>
        <v>21358.260000000002</v>
      </c>
      <c r="W1916" s="6" t="str">
        <f t="shared" si="88"/>
        <v>Sufficient</v>
      </c>
      <c r="X1916" s="8" t="str">
        <f t="shared" si="89"/>
        <v>High</v>
      </c>
    </row>
    <row r="1917" spans="1:24">
      <c r="A1917" s="7" t="s">
        <v>2047</v>
      </c>
      <c r="B1917" s="1" t="s">
        <v>33</v>
      </c>
      <c r="C1917" s="1">
        <v>363</v>
      </c>
      <c r="D1917" s="1">
        <v>52</v>
      </c>
      <c r="E1917" s="1">
        <v>13</v>
      </c>
      <c r="F1917" s="1">
        <v>6</v>
      </c>
      <c r="G1917" s="1">
        <v>42.75</v>
      </c>
      <c r="H1917" s="1" t="s">
        <v>333</v>
      </c>
      <c r="I1917" s="1" t="s">
        <v>39</v>
      </c>
      <c r="J1917" s="1">
        <v>157</v>
      </c>
      <c r="K1917" s="1">
        <v>1.88</v>
      </c>
      <c r="L1917" s="4">
        <v>24.08</v>
      </c>
      <c r="M1917" s="1">
        <v>1.56</v>
      </c>
      <c r="N1917" s="1">
        <v>9</v>
      </c>
      <c r="O1917" s="1">
        <v>0.83</v>
      </c>
      <c r="P1917" s="1">
        <v>346</v>
      </c>
      <c r="Q1917" s="1">
        <v>6.57</v>
      </c>
      <c r="R1917" s="1">
        <v>0.76</v>
      </c>
      <c r="S1917" s="2">
        <v>45519</v>
      </c>
      <c r="T1917" s="1">
        <v>237.07</v>
      </c>
      <c r="U1917" s="1">
        <v>0.47</v>
      </c>
      <c r="V1917" s="6">
        <f t="shared" si="87"/>
        <v>8741.0399999999991</v>
      </c>
      <c r="W1917" s="6" t="str">
        <f t="shared" si="88"/>
        <v>Sufficient</v>
      </c>
      <c r="X1917" s="8" t="str">
        <f t="shared" si="89"/>
        <v>High</v>
      </c>
    </row>
    <row r="1918" spans="1:24">
      <c r="A1918" s="7" t="s">
        <v>2048</v>
      </c>
      <c r="B1918" s="1" t="s">
        <v>29</v>
      </c>
      <c r="C1918" s="1">
        <v>402</v>
      </c>
      <c r="D1918" s="1">
        <v>93</v>
      </c>
      <c r="E1918" s="1">
        <v>5</v>
      </c>
      <c r="F1918" s="1">
        <v>4</v>
      </c>
      <c r="G1918" s="1">
        <v>45.75</v>
      </c>
      <c r="H1918" s="1" t="s">
        <v>50</v>
      </c>
      <c r="I1918" s="1" t="s">
        <v>45</v>
      </c>
      <c r="J1918" s="1">
        <v>47</v>
      </c>
      <c r="K1918" s="1">
        <v>3.56</v>
      </c>
      <c r="L1918" s="4">
        <v>91.06</v>
      </c>
      <c r="M1918" s="1">
        <v>0.17</v>
      </c>
      <c r="N1918" s="1">
        <v>9</v>
      </c>
      <c r="O1918" s="1">
        <v>0.87</v>
      </c>
      <c r="P1918" s="1">
        <v>540</v>
      </c>
      <c r="Q1918" s="1">
        <v>7.38</v>
      </c>
      <c r="R1918" s="1">
        <v>0.27</v>
      </c>
      <c r="S1918" s="2">
        <v>45486</v>
      </c>
      <c r="T1918" s="1">
        <v>74.849999999999994</v>
      </c>
      <c r="U1918" s="1">
        <v>0.52900000000000003</v>
      </c>
      <c r="V1918" s="6">
        <f t="shared" si="87"/>
        <v>36606.120000000003</v>
      </c>
      <c r="W1918" s="6" t="str">
        <f t="shared" si="88"/>
        <v>Sufficient</v>
      </c>
      <c r="X1918" s="8" t="str">
        <f t="shared" si="89"/>
        <v>High</v>
      </c>
    </row>
    <row r="1919" spans="1:24">
      <c r="A1919" s="7" t="s">
        <v>2049</v>
      </c>
      <c r="B1919" s="1" t="s">
        <v>29</v>
      </c>
      <c r="C1919" s="1">
        <v>395</v>
      </c>
      <c r="D1919" s="1">
        <v>76</v>
      </c>
      <c r="E1919" s="1">
        <v>12</v>
      </c>
      <c r="F1919" s="1">
        <v>7</v>
      </c>
      <c r="G1919" s="1">
        <v>42.51</v>
      </c>
      <c r="H1919" s="1" t="s">
        <v>233</v>
      </c>
      <c r="I1919" s="1" t="s">
        <v>39</v>
      </c>
      <c r="J1919" s="1">
        <v>59</v>
      </c>
      <c r="K1919" s="1">
        <v>4.9400000000000004</v>
      </c>
      <c r="L1919" s="4">
        <v>177.47</v>
      </c>
      <c r="M1919" s="1">
        <v>1.08</v>
      </c>
      <c r="N1919" s="1">
        <v>5</v>
      </c>
      <c r="O1919" s="1">
        <v>0.8</v>
      </c>
      <c r="P1919" s="1">
        <v>822</v>
      </c>
      <c r="Q1919" s="1">
        <v>13.87</v>
      </c>
      <c r="R1919" s="1">
        <v>0.57999999999999996</v>
      </c>
      <c r="S1919" s="2">
        <v>45355</v>
      </c>
      <c r="T1919" s="1">
        <v>81.849999999999994</v>
      </c>
      <c r="U1919" s="1">
        <v>0.65300000000000002</v>
      </c>
      <c r="V1919" s="6">
        <f t="shared" si="87"/>
        <v>70100.649999999994</v>
      </c>
      <c r="W1919" s="6" t="str">
        <f t="shared" si="88"/>
        <v>Sufficient</v>
      </c>
      <c r="X1919" s="8" t="str">
        <f t="shared" si="89"/>
        <v>High</v>
      </c>
    </row>
    <row r="1920" spans="1:24">
      <c r="A1920" s="7" t="s">
        <v>2050</v>
      </c>
      <c r="B1920" s="1" t="s">
        <v>33</v>
      </c>
      <c r="C1920" s="1">
        <v>490</v>
      </c>
      <c r="D1920" s="1">
        <v>72</v>
      </c>
      <c r="E1920" s="1">
        <v>11</v>
      </c>
      <c r="F1920" s="1">
        <v>6</v>
      </c>
      <c r="G1920" s="1">
        <v>24.5</v>
      </c>
      <c r="H1920" s="1" t="s">
        <v>276</v>
      </c>
      <c r="I1920" s="1" t="s">
        <v>31</v>
      </c>
      <c r="J1920" s="1">
        <v>69</v>
      </c>
      <c r="K1920" s="1">
        <v>0.51</v>
      </c>
      <c r="L1920" s="4">
        <v>38.56</v>
      </c>
      <c r="M1920" s="1">
        <v>0.72</v>
      </c>
      <c r="N1920" s="1">
        <v>7</v>
      </c>
      <c r="O1920" s="1">
        <v>0.75</v>
      </c>
      <c r="P1920" s="1">
        <v>93</v>
      </c>
      <c r="Q1920" s="1">
        <v>11.62</v>
      </c>
      <c r="R1920" s="1">
        <v>0.85</v>
      </c>
      <c r="S1920" s="2">
        <v>45572</v>
      </c>
      <c r="T1920" s="1">
        <v>104.06</v>
      </c>
      <c r="U1920" s="1">
        <v>0.66300000000000003</v>
      </c>
      <c r="V1920" s="6">
        <f t="shared" si="87"/>
        <v>18894.400000000001</v>
      </c>
      <c r="W1920" s="6" t="str">
        <f t="shared" si="88"/>
        <v>Sufficient</v>
      </c>
      <c r="X1920" s="8" t="str">
        <f t="shared" si="89"/>
        <v>High</v>
      </c>
    </row>
    <row r="1921" spans="1:24">
      <c r="A1921" s="7" t="s">
        <v>2051</v>
      </c>
      <c r="B1921" s="1" t="s">
        <v>29</v>
      </c>
      <c r="C1921" s="1">
        <v>297</v>
      </c>
      <c r="D1921" s="1">
        <v>60</v>
      </c>
      <c r="E1921" s="1">
        <v>9</v>
      </c>
      <c r="F1921" s="1">
        <v>3</v>
      </c>
      <c r="G1921" s="1">
        <v>46.28</v>
      </c>
      <c r="H1921" s="1" t="s">
        <v>79</v>
      </c>
      <c r="I1921" s="1" t="s">
        <v>39</v>
      </c>
      <c r="J1921" s="1">
        <v>150</v>
      </c>
      <c r="K1921" s="1">
        <v>2.79</v>
      </c>
      <c r="L1921" s="4">
        <v>178.3</v>
      </c>
      <c r="M1921" s="1">
        <v>0.31</v>
      </c>
      <c r="N1921" s="1">
        <v>2</v>
      </c>
      <c r="O1921" s="1">
        <v>0.92</v>
      </c>
      <c r="P1921" s="1">
        <v>193</v>
      </c>
      <c r="Q1921" s="1">
        <v>5.77</v>
      </c>
      <c r="R1921" s="1">
        <v>0.75</v>
      </c>
      <c r="S1921" s="2">
        <v>45421</v>
      </c>
      <c r="T1921" s="1">
        <v>124.48</v>
      </c>
      <c r="U1921" s="1">
        <v>0.74</v>
      </c>
      <c r="V1921" s="6">
        <f t="shared" si="87"/>
        <v>52955.100000000006</v>
      </c>
      <c r="W1921" s="6" t="str">
        <f t="shared" si="88"/>
        <v>Sufficient</v>
      </c>
      <c r="X1921" s="8" t="str">
        <f t="shared" si="89"/>
        <v>High</v>
      </c>
    </row>
    <row r="1922" spans="1:24">
      <c r="A1922" s="7" t="s">
        <v>2052</v>
      </c>
      <c r="B1922" s="1" t="s">
        <v>25</v>
      </c>
      <c r="C1922" s="1">
        <v>149</v>
      </c>
      <c r="D1922" s="1">
        <v>11</v>
      </c>
      <c r="E1922" s="1">
        <v>3</v>
      </c>
      <c r="F1922" s="1">
        <v>4</v>
      </c>
      <c r="G1922" s="1">
        <v>48.5</v>
      </c>
      <c r="H1922" s="1" t="s">
        <v>304</v>
      </c>
      <c r="I1922" s="1" t="s">
        <v>45</v>
      </c>
      <c r="J1922" s="1">
        <v>128</v>
      </c>
      <c r="K1922" s="1">
        <v>4.66</v>
      </c>
      <c r="L1922" s="4">
        <v>198.52</v>
      </c>
      <c r="M1922" s="1">
        <v>0.75</v>
      </c>
      <c r="N1922" s="1">
        <v>5</v>
      </c>
      <c r="O1922" s="1">
        <v>0.7</v>
      </c>
      <c r="P1922" s="1">
        <v>293</v>
      </c>
      <c r="Q1922" s="1">
        <v>3.16</v>
      </c>
      <c r="R1922" s="1">
        <v>0.71</v>
      </c>
      <c r="S1922" s="2">
        <v>45534</v>
      </c>
      <c r="T1922" s="1">
        <v>179.03</v>
      </c>
      <c r="U1922" s="1">
        <v>0.54900000000000004</v>
      </c>
      <c r="V1922" s="6">
        <f t="shared" si="87"/>
        <v>29579.480000000003</v>
      </c>
      <c r="W1922" s="6" t="str">
        <f t="shared" si="88"/>
        <v>Sufficient</v>
      </c>
      <c r="X1922" s="8" t="str">
        <f t="shared" si="89"/>
        <v>Medium</v>
      </c>
    </row>
    <row r="1923" spans="1:24">
      <c r="A1923" s="7" t="s">
        <v>2053</v>
      </c>
      <c r="B1923" s="1" t="s">
        <v>66</v>
      </c>
      <c r="C1923" s="1">
        <v>50</v>
      </c>
      <c r="D1923" s="1">
        <v>91</v>
      </c>
      <c r="E1923" s="1">
        <v>5</v>
      </c>
      <c r="F1923" s="1">
        <v>9</v>
      </c>
      <c r="G1923" s="1">
        <v>25.63</v>
      </c>
      <c r="H1923" s="1" t="s">
        <v>74</v>
      </c>
      <c r="I1923" s="1" t="s">
        <v>45</v>
      </c>
      <c r="J1923" s="1">
        <v>108</v>
      </c>
      <c r="K1923" s="1">
        <v>4.3899999999999997</v>
      </c>
      <c r="L1923" s="4">
        <v>20.260000000000002</v>
      </c>
      <c r="M1923" s="1">
        <v>1.33</v>
      </c>
      <c r="N1923" s="1">
        <v>1</v>
      </c>
      <c r="O1923" s="1">
        <v>0.87</v>
      </c>
      <c r="P1923" s="1">
        <v>468</v>
      </c>
      <c r="Q1923" s="1">
        <v>11.49</v>
      </c>
      <c r="R1923" s="1">
        <v>0.39</v>
      </c>
      <c r="S1923" s="2">
        <v>45651</v>
      </c>
      <c r="T1923" s="1">
        <v>159.43</v>
      </c>
      <c r="U1923" s="1">
        <v>0.65200000000000002</v>
      </c>
      <c r="V1923" s="6">
        <f t="shared" si="87"/>
        <v>1013.0000000000001</v>
      </c>
      <c r="W1923" s="6" t="str">
        <f t="shared" si="88"/>
        <v>Reorder Required</v>
      </c>
      <c r="X1923" s="8" t="str">
        <f t="shared" si="89"/>
        <v>LOW</v>
      </c>
    </row>
    <row r="1924" spans="1:24">
      <c r="A1924" s="7" t="s">
        <v>2054</v>
      </c>
      <c r="B1924" s="1" t="s">
        <v>25</v>
      </c>
      <c r="C1924" s="1">
        <v>394</v>
      </c>
      <c r="D1924" s="1">
        <v>73</v>
      </c>
      <c r="E1924" s="1">
        <v>14</v>
      </c>
      <c r="F1924" s="1">
        <v>3</v>
      </c>
      <c r="G1924" s="1">
        <v>9.61</v>
      </c>
      <c r="H1924" s="1" t="s">
        <v>106</v>
      </c>
      <c r="I1924" s="1" t="s">
        <v>31</v>
      </c>
      <c r="J1924" s="1">
        <v>103</v>
      </c>
      <c r="K1924" s="1">
        <v>0.6</v>
      </c>
      <c r="L1924" s="4">
        <v>104.1</v>
      </c>
      <c r="M1924" s="1">
        <v>0.54</v>
      </c>
      <c r="N1924" s="1">
        <v>2</v>
      </c>
      <c r="O1924" s="1">
        <v>0.96</v>
      </c>
      <c r="P1924" s="1">
        <v>566</v>
      </c>
      <c r="Q1924" s="1">
        <v>9.0299999999999994</v>
      </c>
      <c r="R1924" s="1">
        <v>0.51</v>
      </c>
      <c r="S1924" s="2">
        <v>45370</v>
      </c>
      <c r="T1924" s="1">
        <v>225.68</v>
      </c>
      <c r="U1924" s="1">
        <v>0.72</v>
      </c>
      <c r="V1924" s="6">
        <f t="shared" ref="V1924:V1987" si="90">C1924*L1924</f>
        <v>41015.399999999994</v>
      </c>
      <c r="W1924" s="6" t="str">
        <f t="shared" ref="W1924:W1987" si="91">IF(C1924&lt;=D1924,"Reorder Required","Sufficient")</f>
        <v>Sufficient</v>
      </c>
      <c r="X1924" s="8" t="str">
        <f t="shared" ref="X1924:X1987" si="92">IF(C1924&lt;100,"LOW",IF(C1924&lt;250,"Medium","High"))</f>
        <v>High</v>
      </c>
    </row>
    <row r="1925" spans="1:24">
      <c r="A1925" s="7" t="s">
        <v>2055</v>
      </c>
      <c r="B1925" s="1" t="s">
        <v>33</v>
      </c>
      <c r="C1925" s="1">
        <v>30</v>
      </c>
      <c r="D1925" s="1">
        <v>83</v>
      </c>
      <c r="E1925" s="1">
        <v>4</v>
      </c>
      <c r="F1925" s="1">
        <v>4</v>
      </c>
      <c r="G1925" s="1">
        <v>33.270000000000003</v>
      </c>
      <c r="H1925" s="1" t="s">
        <v>97</v>
      </c>
      <c r="I1925" s="1" t="s">
        <v>27</v>
      </c>
      <c r="J1925" s="1">
        <v>179</v>
      </c>
      <c r="K1925" s="1">
        <v>2.88</v>
      </c>
      <c r="L1925" s="4">
        <v>72.489999999999995</v>
      </c>
      <c r="M1925" s="1">
        <v>0.94</v>
      </c>
      <c r="N1925" s="1">
        <v>3</v>
      </c>
      <c r="O1925" s="1">
        <v>0.77</v>
      </c>
      <c r="P1925" s="1">
        <v>111</v>
      </c>
      <c r="Q1925" s="1">
        <v>14.47</v>
      </c>
      <c r="R1925" s="1">
        <v>0.34</v>
      </c>
      <c r="S1925" s="2">
        <v>45397</v>
      </c>
      <c r="T1925" s="1">
        <v>217.98</v>
      </c>
      <c r="U1925" s="1">
        <v>0.66100000000000003</v>
      </c>
      <c r="V1925" s="6">
        <f t="shared" si="90"/>
        <v>2174.6999999999998</v>
      </c>
      <c r="W1925" s="6" t="str">
        <f t="shared" si="91"/>
        <v>Reorder Required</v>
      </c>
      <c r="X1925" s="8" t="str">
        <f t="shared" si="92"/>
        <v>LOW</v>
      </c>
    </row>
    <row r="1926" spans="1:24">
      <c r="A1926" s="7" t="s">
        <v>2056</v>
      </c>
      <c r="B1926" s="1" t="s">
        <v>33</v>
      </c>
      <c r="C1926" s="1">
        <v>495</v>
      </c>
      <c r="D1926" s="1">
        <v>78</v>
      </c>
      <c r="E1926" s="1">
        <v>3</v>
      </c>
      <c r="F1926" s="1">
        <v>9</v>
      </c>
      <c r="G1926" s="1">
        <v>48.8</v>
      </c>
      <c r="H1926" s="1" t="s">
        <v>97</v>
      </c>
      <c r="I1926" s="1" t="s">
        <v>31</v>
      </c>
      <c r="J1926" s="1">
        <v>77</v>
      </c>
      <c r="K1926" s="1">
        <v>0.52</v>
      </c>
      <c r="L1926" s="4">
        <v>84.8</v>
      </c>
      <c r="M1926" s="1">
        <v>0.87</v>
      </c>
      <c r="N1926" s="1">
        <v>8</v>
      </c>
      <c r="O1926" s="1">
        <v>0.8</v>
      </c>
      <c r="P1926" s="1">
        <v>907</v>
      </c>
      <c r="Q1926" s="1">
        <v>13.72</v>
      </c>
      <c r="R1926" s="1">
        <v>0.61</v>
      </c>
      <c r="S1926" s="2">
        <v>45647</v>
      </c>
      <c r="T1926" s="1">
        <v>23.21</v>
      </c>
      <c r="U1926" s="1">
        <v>0.61799999999999999</v>
      </c>
      <c r="V1926" s="6">
        <f t="shared" si="90"/>
        <v>41976</v>
      </c>
      <c r="W1926" s="6" t="str">
        <f t="shared" si="91"/>
        <v>Sufficient</v>
      </c>
      <c r="X1926" s="8" t="str">
        <f t="shared" si="92"/>
        <v>High</v>
      </c>
    </row>
    <row r="1927" spans="1:24">
      <c r="A1927" s="7" t="s">
        <v>2057</v>
      </c>
      <c r="B1927" s="1" t="s">
        <v>25</v>
      </c>
      <c r="C1927" s="1">
        <v>321</v>
      </c>
      <c r="D1927" s="1">
        <v>18</v>
      </c>
      <c r="E1927" s="1">
        <v>11</v>
      </c>
      <c r="F1927" s="1">
        <v>9</v>
      </c>
      <c r="G1927" s="1">
        <v>43.74</v>
      </c>
      <c r="H1927" s="1" t="s">
        <v>83</v>
      </c>
      <c r="I1927" s="1" t="s">
        <v>27</v>
      </c>
      <c r="J1927" s="1">
        <v>162</v>
      </c>
      <c r="K1927" s="1">
        <v>4.05</v>
      </c>
      <c r="L1927" s="4">
        <v>95.81</v>
      </c>
      <c r="M1927" s="1">
        <v>0.2</v>
      </c>
      <c r="N1927" s="1">
        <v>3</v>
      </c>
      <c r="O1927" s="1">
        <v>0.88</v>
      </c>
      <c r="P1927" s="1">
        <v>587</v>
      </c>
      <c r="Q1927" s="1">
        <v>8.89</v>
      </c>
      <c r="R1927" s="1">
        <v>0.67</v>
      </c>
      <c r="S1927" s="2">
        <v>45643</v>
      </c>
      <c r="T1927" s="1">
        <v>48.83</v>
      </c>
      <c r="U1927" s="1">
        <v>0.749</v>
      </c>
      <c r="V1927" s="6">
        <f t="shared" si="90"/>
        <v>30755.010000000002</v>
      </c>
      <c r="W1927" s="6" t="str">
        <f t="shared" si="91"/>
        <v>Sufficient</v>
      </c>
      <c r="X1927" s="8" t="str">
        <f t="shared" si="92"/>
        <v>High</v>
      </c>
    </row>
    <row r="1928" spans="1:24">
      <c r="A1928" s="7" t="s">
        <v>2058</v>
      </c>
      <c r="B1928" s="1" t="s">
        <v>29</v>
      </c>
      <c r="C1928" s="1">
        <v>115</v>
      </c>
      <c r="D1928" s="1">
        <v>11</v>
      </c>
      <c r="E1928" s="1">
        <v>10</v>
      </c>
      <c r="F1928" s="1">
        <v>2</v>
      </c>
      <c r="G1928" s="1">
        <v>43.23</v>
      </c>
      <c r="H1928" s="1" t="s">
        <v>185</v>
      </c>
      <c r="I1928" s="1" t="s">
        <v>45</v>
      </c>
      <c r="J1928" s="1">
        <v>168</v>
      </c>
      <c r="K1928" s="1">
        <v>1.89</v>
      </c>
      <c r="L1928" s="4">
        <v>150.54</v>
      </c>
      <c r="M1928" s="1">
        <v>1.29</v>
      </c>
      <c r="N1928" s="1">
        <v>6</v>
      </c>
      <c r="O1928" s="1">
        <v>0.77</v>
      </c>
      <c r="P1928" s="1">
        <v>366</v>
      </c>
      <c r="Q1928" s="1">
        <v>1.98</v>
      </c>
      <c r="R1928" s="1">
        <v>0.7</v>
      </c>
      <c r="S1928" s="2">
        <v>45614</v>
      </c>
      <c r="T1928" s="1">
        <v>72.41</v>
      </c>
      <c r="U1928" s="1">
        <v>0.47099999999999997</v>
      </c>
      <c r="V1928" s="6">
        <f t="shared" si="90"/>
        <v>17312.099999999999</v>
      </c>
      <c r="W1928" s="6" t="str">
        <f t="shared" si="91"/>
        <v>Sufficient</v>
      </c>
      <c r="X1928" s="8" t="str">
        <f t="shared" si="92"/>
        <v>Medium</v>
      </c>
    </row>
    <row r="1929" spans="1:24">
      <c r="A1929" s="7" t="s">
        <v>2059</v>
      </c>
      <c r="B1929" s="1" t="s">
        <v>29</v>
      </c>
      <c r="C1929" s="1">
        <v>209</v>
      </c>
      <c r="D1929" s="1">
        <v>43</v>
      </c>
      <c r="E1929" s="1">
        <v>7</v>
      </c>
      <c r="F1929" s="1">
        <v>9</v>
      </c>
      <c r="G1929" s="1">
        <v>46.76</v>
      </c>
      <c r="H1929" s="1" t="s">
        <v>304</v>
      </c>
      <c r="I1929" s="1" t="s">
        <v>39</v>
      </c>
      <c r="J1929" s="1">
        <v>149</v>
      </c>
      <c r="K1929" s="1">
        <v>3.95</v>
      </c>
      <c r="L1929" s="4">
        <v>122.35</v>
      </c>
      <c r="M1929" s="1">
        <v>1.28</v>
      </c>
      <c r="N1929" s="1">
        <v>7</v>
      </c>
      <c r="O1929" s="1">
        <v>0.95</v>
      </c>
      <c r="P1929" s="1">
        <v>484</v>
      </c>
      <c r="Q1929" s="1">
        <v>1.43</v>
      </c>
      <c r="R1929" s="1">
        <v>0.9</v>
      </c>
      <c r="S1929" s="2">
        <v>45296</v>
      </c>
      <c r="T1929" s="1">
        <v>183.32</v>
      </c>
      <c r="U1929" s="1">
        <v>0.52100000000000002</v>
      </c>
      <c r="V1929" s="6">
        <f t="shared" si="90"/>
        <v>25571.149999999998</v>
      </c>
      <c r="W1929" s="6" t="str">
        <f t="shared" si="91"/>
        <v>Sufficient</v>
      </c>
      <c r="X1929" s="8" t="str">
        <f t="shared" si="92"/>
        <v>Medium</v>
      </c>
    </row>
    <row r="1930" spans="1:24">
      <c r="A1930" s="7" t="s">
        <v>2060</v>
      </c>
      <c r="B1930" s="1" t="s">
        <v>33</v>
      </c>
      <c r="C1930" s="1">
        <v>472</v>
      </c>
      <c r="D1930" s="1">
        <v>69</v>
      </c>
      <c r="E1930" s="1">
        <v>13</v>
      </c>
      <c r="F1930" s="1">
        <v>3</v>
      </c>
      <c r="G1930" s="1">
        <v>44.8</v>
      </c>
      <c r="H1930" s="1" t="s">
        <v>159</v>
      </c>
      <c r="I1930" s="1" t="s">
        <v>39</v>
      </c>
      <c r="J1930" s="1">
        <v>73</v>
      </c>
      <c r="K1930" s="1">
        <v>4.75</v>
      </c>
      <c r="L1930" s="4">
        <v>192.63</v>
      </c>
      <c r="M1930" s="1">
        <v>1.94</v>
      </c>
      <c r="N1930" s="1">
        <v>4</v>
      </c>
      <c r="O1930" s="1">
        <v>0.81</v>
      </c>
      <c r="P1930" s="1">
        <v>886</v>
      </c>
      <c r="Q1930" s="1">
        <v>12.73</v>
      </c>
      <c r="R1930" s="1">
        <v>0.25</v>
      </c>
      <c r="S1930" s="2">
        <v>45446</v>
      </c>
      <c r="T1930" s="1">
        <v>269.63</v>
      </c>
      <c r="U1930" s="1">
        <v>0.50800000000000001</v>
      </c>
      <c r="V1930" s="6">
        <f t="shared" si="90"/>
        <v>90921.36</v>
      </c>
      <c r="W1930" s="6" t="str">
        <f t="shared" si="91"/>
        <v>Sufficient</v>
      </c>
      <c r="X1930" s="8" t="str">
        <f t="shared" si="92"/>
        <v>High</v>
      </c>
    </row>
    <row r="1931" spans="1:24">
      <c r="A1931" s="7" t="s">
        <v>2061</v>
      </c>
      <c r="B1931" s="1" t="s">
        <v>41</v>
      </c>
      <c r="C1931" s="1">
        <v>211</v>
      </c>
      <c r="D1931" s="1">
        <v>70</v>
      </c>
      <c r="E1931" s="1">
        <v>14</v>
      </c>
      <c r="F1931" s="1">
        <v>3</v>
      </c>
      <c r="G1931" s="1">
        <v>39.04</v>
      </c>
      <c r="H1931" s="1" t="s">
        <v>141</v>
      </c>
      <c r="I1931" s="1" t="s">
        <v>45</v>
      </c>
      <c r="J1931" s="1">
        <v>88</v>
      </c>
      <c r="K1931" s="1">
        <v>4.8899999999999997</v>
      </c>
      <c r="L1931" s="4">
        <v>73.23</v>
      </c>
      <c r="M1931" s="1">
        <v>0.67</v>
      </c>
      <c r="N1931" s="1">
        <v>1</v>
      </c>
      <c r="O1931" s="1">
        <v>0.87</v>
      </c>
      <c r="P1931" s="1">
        <v>745</v>
      </c>
      <c r="Q1931" s="1">
        <v>10.77</v>
      </c>
      <c r="R1931" s="1">
        <v>0.51</v>
      </c>
      <c r="S1931" s="2">
        <v>45507</v>
      </c>
      <c r="T1931" s="1">
        <v>104.22</v>
      </c>
      <c r="U1931" s="1">
        <v>0.73299999999999998</v>
      </c>
      <c r="V1931" s="6">
        <f t="shared" si="90"/>
        <v>15451.53</v>
      </c>
      <c r="W1931" s="6" t="str">
        <f t="shared" si="91"/>
        <v>Sufficient</v>
      </c>
      <c r="X1931" s="8" t="str">
        <f t="shared" si="92"/>
        <v>Medium</v>
      </c>
    </row>
    <row r="1932" spans="1:24">
      <c r="A1932" s="7" t="s">
        <v>2062</v>
      </c>
      <c r="B1932" s="1" t="s">
        <v>29</v>
      </c>
      <c r="C1932" s="1">
        <v>285</v>
      </c>
      <c r="D1932" s="1">
        <v>40</v>
      </c>
      <c r="E1932" s="1">
        <v>4</v>
      </c>
      <c r="F1932" s="1">
        <v>5</v>
      </c>
      <c r="G1932" s="1">
        <v>36.200000000000003</v>
      </c>
      <c r="H1932" s="1" t="s">
        <v>227</v>
      </c>
      <c r="I1932" s="1" t="s">
        <v>31</v>
      </c>
      <c r="J1932" s="1">
        <v>62</v>
      </c>
      <c r="K1932" s="1">
        <v>4.5199999999999996</v>
      </c>
      <c r="L1932" s="4">
        <v>112.89</v>
      </c>
      <c r="M1932" s="1">
        <v>0.9</v>
      </c>
      <c r="N1932" s="1">
        <v>7</v>
      </c>
      <c r="O1932" s="1">
        <v>0.77</v>
      </c>
      <c r="P1932" s="1">
        <v>867</v>
      </c>
      <c r="Q1932" s="1">
        <v>8.84</v>
      </c>
      <c r="R1932" s="1">
        <v>0.67</v>
      </c>
      <c r="S1932" s="2">
        <v>45630</v>
      </c>
      <c r="T1932" s="1">
        <v>289.49</v>
      </c>
      <c r="U1932" s="1">
        <v>0.57599999999999996</v>
      </c>
      <c r="V1932" s="6">
        <f t="shared" si="90"/>
        <v>32173.65</v>
      </c>
      <c r="W1932" s="6" t="str">
        <f t="shared" si="91"/>
        <v>Sufficient</v>
      </c>
      <c r="X1932" s="8" t="str">
        <f t="shared" si="92"/>
        <v>High</v>
      </c>
    </row>
    <row r="1933" spans="1:24">
      <c r="A1933" s="7" t="s">
        <v>2063</v>
      </c>
      <c r="B1933" s="1" t="s">
        <v>25</v>
      </c>
      <c r="C1933" s="1">
        <v>443</v>
      </c>
      <c r="D1933" s="1">
        <v>19</v>
      </c>
      <c r="E1933" s="1">
        <v>3</v>
      </c>
      <c r="F1933" s="1">
        <v>8</v>
      </c>
      <c r="G1933" s="1">
        <v>13.97</v>
      </c>
      <c r="H1933" s="1" t="s">
        <v>195</v>
      </c>
      <c r="I1933" s="1" t="s">
        <v>39</v>
      </c>
      <c r="J1933" s="1">
        <v>35</v>
      </c>
      <c r="K1933" s="1">
        <v>1.42</v>
      </c>
      <c r="L1933" s="4">
        <v>164.53</v>
      </c>
      <c r="M1933" s="1">
        <v>0.87</v>
      </c>
      <c r="N1933" s="1">
        <v>4</v>
      </c>
      <c r="O1933" s="1">
        <v>0.71</v>
      </c>
      <c r="P1933" s="1">
        <v>430</v>
      </c>
      <c r="Q1933" s="1">
        <v>10.64</v>
      </c>
      <c r="R1933" s="1">
        <v>0.66</v>
      </c>
      <c r="S1933" s="2">
        <v>45343</v>
      </c>
      <c r="T1933" s="1">
        <v>60.13</v>
      </c>
      <c r="U1933" s="1">
        <v>0.64900000000000002</v>
      </c>
      <c r="V1933" s="6">
        <f t="shared" si="90"/>
        <v>72886.789999999994</v>
      </c>
      <c r="W1933" s="6" t="str">
        <f t="shared" si="91"/>
        <v>Sufficient</v>
      </c>
      <c r="X1933" s="8" t="str">
        <f t="shared" si="92"/>
        <v>High</v>
      </c>
    </row>
    <row r="1934" spans="1:24">
      <c r="A1934" s="7" t="s">
        <v>2064</v>
      </c>
      <c r="B1934" s="1" t="s">
        <v>29</v>
      </c>
      <c r="C1934" s="1">
        <v>147</v>
      </c>
      <c r="D1934" s="1">
        <v>85</v>
      </c>
      <c r="E1934" s="1">
        <v>9</v>
      </c>
      <c r="F1934" s="1">
        <v>7</v>
      </c>
      <c r="G1934" s="1">
        <v>31.45</v>
      </c>
      <c r="H1934" s="1" t="s">
        <v>256</v>
      </c>
      <c r="I1934" s="1" t="s">
        <v>31</v>
      </c>
      <c r="J1934" s="1">
        <v>147</v>
      </c>
      <c r="K1934" s="1">
        <v>1.38</v>
      </c>
      <c r="L1934" s="4">
        <v>80.88</v>
      </c>
      <c r="M1934" s="1">
        <v>1.85</v>
      </c>
      <c r="N1934" s="1">
        <v>4</v>
      </c>
      <c r="O1934" s="1">
        <v>0.75</v>
      </c>
      <c r="P1934" s="1">
        <v>85</v>
      </c>
      <c r="Q1934" s="1">
        <v>8.56</v>
      </c>
      <c r="R1934" s="1">
        <v>0.22</v>
      </c>
      <c r="S1934" s="2">
        <v>45631</v>
      </c>
      <c r="T1934" s="1">
        <v>278.17</v>
      </c>
      <c r="U1934" s="1">
        <v>0.443</v>
      </c>
      <c r="V1934" s="6">
        <f t="shared" si="90"/>
        <v>11889.359999999999</v>
      </c>
      <c r="W1934" s="6" t="str">
        <f t="shared" si="91"/>
        <v>Sufficient</v>
      </c>
      <c r="X1934" s="8" t="str">
        <f t="shared" si="92"/>
        <v>Medium</v>
      </c>
    </row>
    <row r="1935" spans="1:24">
      <c r="A1935" s="7" t="s">
        <v>2065</v>
      </c>
      <c r="B1935" s="1" t="s">
        <v>25</v>
      </c>
      <c r="C1935" s="1">
        <v>257</v>
      </c>
      <c r="D1935" s="1">
        <v>45</v>
      </c>
      <c r="E1935" s="1">
        <v>13</v>
      </c>
      <c r="F1935" s="1">
        <v>3</v>
      </c>
      <c r="G1935" s="1">
        <v>26.55</v>
      </c>
      <c r="H1935" s="1" t="s">
        <v>221</v>
      </c>
      <c r="I1935" s="1" t="s">
        <v>39</v>
      </c>
      <c r="J1935" s="1">
        <v>149</v>
      </c>
      <c r="K1935" s="1">
        <v>3.32</v>
      </c>
      <c r="L1935" s="4">
        <v>98.41</v>
      </c>
      <c r="M1935" s="1">
        <v>0.88</v>
      </c>
      <c r="N1935" s="1">
        <v>6</v>
      </c>
      <c r="O1935" s="1">
        <v>0.71</v>
      </c>
      <c r="P1935" s="1">
        <v>969</v>
      </c>
      <c r="Q1935" s="1">
        <v>9.1</v>
      </c>
      <c r="R1935" s="1">
        <v>0.35</v>
      </c>
      <c r="S1935" s="2">
        <v>45558</v>
      </c>
      <c r="T1935" s="1">
        <v>242.29</v>
      </c>
      <c r="U1935" s="1">
        <v>0.52500000000000002</v>
      </c>
      <c r="V1935" s="6">
        <f t="shared" si="90"/>
        <v>25291.37</v>
      </c>
      <c r="W1935" s="6" t="str">
        <f t="shared" si="91"/>
        <v>Sufficient</v>
      </c>
      <c r="X1935" s="8" t="str">
        <f t="shared" si="92"/>
        <v>High</v>
      </c>
    </row>
    <row r="1936" spans="1:24">
      <c r="A1936" s="7" t="s">
        <v>2066</v>
      </c>
      <c r="B1936" s="1" t="s">
        <v>33</v>
      </c>
      <c r="C1936" s="1">
        <v>427</v>
      </c>
      <c r="D1936" s="1">
        <v>94</v>
      </c>
      <c r="E1936" s="1">
        <v>13</v>
      </c>
      <c r="F1936" s="1">
        <v>6</v>
      </c>
      <c r="G1936" s="1">
        <v>43.24</v>
      </c>
      <c r="H1936" s="1" t="s">
        <v>97</v>
      </c>
      <c r="I1936" s="1" t="s">
        <v>27</v>
      </c>
      <c r="J1936" s="1">
        <v>159</v>
      </c>
      <c r="K1936" s="1">
        <v>2.95</v>
      </c>
      <c r="L1936" s="4">
        <v>140.15</v>
      </c>
      <c r="M1936" s="1">
        <v>0.94</v>
      </c>
      <c r="N1936" s="1">
        <v>5</v>
      </c>
      <c r="O1936" s="1">
        <v>0.84</v>
      </c>
      <c r="P1936" s="1">
        <v>591</v>
      </c>
      <c r="Q1936" s="1">
        <v>4.16</v>
      </c>
      <c r="R1936" s="1">
        <v>0.88</v>
      </c>
      <c r="S1936" s="2">
        <v>45430</v>
      </c>
      <c r="T1936" s="1">
        <v>122.82</v>
      </c>
      <c r="U1936" s="1">
        <v>0.60499999999999998</v>
      </c>
      <c r="V1936" s="6">
        <f t="shared" si="90"/>
        <v>59844.05</v>
      </c>
      <c r="W1936" s="6" t="str">
        <f t="shared" si="91"/>
        <v>Sufficient</v>
      </c>
      <c r="X1936" s="8" t="str">
        <f t="shared" si="92"/>
        <v>High</v>
      </c>
    </row>
    <row r="1937" spans="1:24">
      <c r="A1937" s="7" t="s">
        <v>2067</v>
      </c>
      <c r="B1937" s="1" t="s">
        <v>29</v>
      </c>
      <c r="C1937" s="1">
        <v>374</v>
      </c>
      <c r="D1937" s="1">
        <v>58</v>
      </c>
      <c r="E1937" s="1">
        <v>4</v>
      </c>
      <c r="F1937" s="1">
        <v>8</v>
      </c>
      <c r="G1937" s="1">
        <v>25.09</v>
      </c>
      <c r="H1937" s="1" t="s">
        <v>244</v>
      </c>
      <c r="I1937" s="1" t="s">
        <v>39</v>
      </c>
      <c r="J1937" s="1">
        <v>30</v>
      </c>
      <c r="K1937" s="1">
        <v>0.54</v>
      </c>
      <c r="L1937" s="4">
        <v>173.54</v>
      </c>
      <c r="M1937" s="1">
        <v>0.57999999999999996</v>
      </c>
      <c r="N1937" s="1">
        <v>2</v>
      </c>
      <c r="O1937" s="1">
        <v>0.88</v>
      </c>
      <c r="P1937" s="1">
        <v>630</v>
      </c>
      <c r="Q1937" s="1">
        <v>7.38</v>
      </c>
      <c r="R1937" s="1">
        <v>0.61</v>
      </c>
      <c r="S1937" s="2">
        <v>45610</v>
      </c>
      <c r="T1937" s="1">
        <v>69.83</v>
      </c>
      <c r="U1937" s="1">
        <v>0.69799999999999995</v>
      </c>
      <c r="V1937" s="6">
        <f t="shared" si="90"/>
        <v>64903.96</v>
      </c>
      <c r="W1937" s="6" t="str">
        <f t="shared" si="91"/>
        <v>Sufficient</v>
      </c>
      <c r="X1937" s="8" t="str">
        <f t="shared" si="92"/>
        <v>High</v>
      </c>
    </row>
    <row r="1938" spans="1:24">
      <c r="A1938" s="7" t="s">
        <v>2068</v>
      </c>
      <c r="B1938" s="1" t="s">
        <v>25</v>
      </c>
      <c r="C1938" s="1">
        <v>447</v>
      </c>
      <c r="D1938" s="1">
        <v>79</v>
      </c>
      <c r="E1938" s="1">
        <v>3</v>
      </c>
      <c r="F1938" s="1">
        <v>9</v>
      </c>
      <c r="G1938" s="1">
        <v>7.26</v>
      </c>
      <c r="H1938" s="1" t="s">
        <v>91</v>
      </c>
      <c r="I1938" s="1" t="s">
        <v>27</v>
      </c>
      <c r="J1938" s="1">
        <v>172</v>
      </c>
      <c r="K1938" s="1">
        <v>2.2599999999999998</v>
      </c>
      <c r="L1938" s="4">
        <v>88.98</v>
      </c>
      <c r="M1938" s="1">
        <v>0.1</v>
      </c>
      <c r="N1938" s="1">
        <v>6</v>
      </c>
      <c r="O1938" s="1">
        <v>0.71</v>
      </c>
      <c r="P1938" s="1">
        <v>281</v>
      </c>
      <c r="Q1938" s="1">
        <v>1.1599999999999999</v>
      </c>
      <c r="R1938" s="1">
        <v>0.53</v>
      </c>
      <c r="S1938" s="2">
        <v>45602</v>
      </c>
      <c r="T1938" s="1">
        <v>123.47</v>
      </c>
      <c r="U1938" s="1">
        <v>0.53300000000000003</v>
      </c>
      <c r="V1938" s="6">
        <f t="shared" si="90"/>
        <v>39774.060000000005</v>
      </c>
      <c r="W1938" s="6" t="str">
        <f t="shared" si="91"/>
        <v>Sufficient</v>
      </c>
      <c r="X1938" s="8" t="str">
        <f t="shared" si="92"/>
        <v>High</v>
      </c>
    </row>
    <row r="1939" spans="1:24">
      <c r="A1939" s="7" t="s">
        <v>2069</v>
      </c>
      <c r="B1939" s="1" t="s">
        <v>33</v>
      </c>
      <c r="C1939" s="1">
        <v>131</v>
      </c>
      <c r="D1939" s="1">
        <v>58</v>
      </c>
      <c r="E1939" s="1">
        <v>4</v>
      </c>
      <c r="F1939" s="1">
        <v>4</v>
      </c>
      <c r="G1939" s="1">
        <v>1.24</v>
      </c>
      <c r="H1939" s="1" t="s">
        <v>181</v>
      </c>
      <c r="I1939" s="1" t="s">
        <v>39</v>
      </c>
      <c r="J1939" s="1">
        <v>80</v>
      </c>
      <c r="K1939" s="1">
        <v>4.58</v>
      </c>
      <c r="L1939" s="4">
        <v>111.07</v>
      </c>
      <c r="M1939" s="1">
        <v>0.31</v>
      </c>
      <c r="N1939" s="1">
        <v>0</v>
      </c>
      <c r="O1939" s="1">
        <v>0.73</v>
      </c>
      <c r="P1939" s="1">
        <v>737</v>
      </c>
      <c r="Q1939" s="1">
        <v>10.36</v>
      </c>
      <c r="R1939" s="1">
        <v>0.92</v>
      </c>
      <c r="S1939" s="2">
        <v>45650</v>
      </c>
      <c r="T1939" s="1">
        <v>71.98</v>
      </c>
      <c r="U1939" s="1">
        <v>0.83699999999999997</v>
      </c>
      <c r="V1939" s="6">
        <f t="shared" si="90"/>
        <v>14550.169999999998</v>
      </c>
      <c r="W1939" s="6" t="str">
        <f t="shared" si="91"/>
        <v>Sufficient</v>
      </c>
      <c r="X1939" s="8" t="str">
        <f t="shared" si="92"/>
        <v>Medium</v>
      </c>
    </row>
    <row r="1940" spans="1:24">
      <c r="A1940" s="7" t="s">
        <v>2070</v>
      </c>
      <c r="B1940" s="1" t="s">
        <v>41</v>
      </c>
      <c r="C1940" s="1">
        <v>335</v>
      </c>
      <c r="D1940" s="1">
        <v>12</v>
      </c>
      <c r="E1940" s="1">
        <v>9</v>
      </c>
      <c r="F1940" s="1">
        <v>2</v>
      </c>
      <c r="G1940" s="1">
        <v>34.22</v>
      </c>
      <c r="H1940" s="1" t="s">
        <v>221</v>
      </c>
      <c r="I1940" s="1" t="s">
        <v>39</v>
      </c>
      <c r="J1940" s="1">
        <v>91</v>
      </c>
      <c r="K1940" s="1">
        <v>4.54</v>
      </c>
      <c r="L1940" s="4">
        <v>195.27</v>
      </c>
      <c r="M1940" s="1">
        <v>1.44</v>
      </c>
      <c r="N1940" s="1">
        <v>3</v>
      </c>
      <c r="O1940" s="1">
        <v>0.85</v>
      </c>
      <c r="P1940" s="1">
        <v>839</v>
      </c>
      <c r="Q1940" s="1">
        <v>5.65</v>
      </c>
      <c r="R1940" s="1">
        <v>0.26</v>
      </c>
      <c r="S1940" s="2">
        <v>45362</v>
      </c>
      <c r="T1940" s="1">
        <v>172.73</v>
      </c>
      <c r="U1940" s="1">
        <v>0.49299999999999999</v>
      </c>
      <c r="V1940" s="6">
        <f t="shared" si="90"/>
        <v>65415.450000000004</v>
      </c>
      <c r="W1940" s="6" t="str">
        <f t="shared" si="91"/>
        <v>Sufficient</v>
      </c>
      <c r="X1940" s="8" t="str">
        <f t="shared" si="92"/>
        <v>High</v>
      </c>
    </row>
    <row r="1941" spans="1:24">
      <c r="A1941" s="7" t="s">
        <v>2071</v>
      </c>
      <c r="B1941" s="1" t="s">
        <v>25</v>
      </c>
      <c r="C1941" s="1">
        <v>465</v>
      </c>
      <c r="D1941" s="1">
        <v>83</v>
      </c>
      <c r="E1941" s="1">
        <v>9</v>
      </c>
      <c r="F1941" s="1">
        <v>6</v>
      </c>
      <c r="G1941" s="1">
        <v>27.95</v>
      </c>
      <c r="H1941" s="1" t="s">
        <v>183</v>
      </c>
      <c r="I1941" s="1" t="s">
        <v>39</v>
      </c>
      <c r="J1941" s="1">
        <v>164</v>
      </c>
      <c r="K1941" s="1">
        <v>1.42</v>
      </c>
      <c r="L1941" s="4">
        <v>18.07</v>
      </c>
      <c r="M1941" s="1">
        <v>1.4</v>
      </c>
      <c r="N1941" s="1">
        <v>3</v>
      </c>
      <c r="O1941" s="1">
        <v>0.94</v>
      </c>
      <c r="P1941" s="1">
        <v>82</v>
      </c>
      <c r="Q1941" s="1">
        <v>10.19</v>
      </c>
      <c r="R1941" s="1">
        <v>0.94</v>
      </c>
      <c r="S1941" s="2">
        <v>45506</v>
      </c>
      <c r="T1941" s="1">
        <v>176.7</v>
      </c>
      <c r="U1941" s="1">
        <v>0.71199999999999997</v>
      </c>
      <c r="V1941" s="6">
        <f t="shared" si="90"/>
        <v>8402.5499999999993</v>
      </c>
      <c r="W1941" s="6" t="str">
        <f t="shared" si="91"/>
        <v>Sufficient</v>
      </c>
      <c r="X1941" s="8" t="str">
        <f t="shared" si="92"/>
        <v>High</v>
      </c>
    </row>
    <row r="1942" spans="1:24">
      <c r="A1942" s="7" t="s">
        <v>2072</v>
      </c>
      <c r="B1942" s="1" t="s">
        <v>41</v>
      </c>
      <c r="C1942" s="1">
        <v>362</v>
      </c>
      <c r="D1942" s="1">
        <v>14</v>
      </c>
      <c r="E1942" s="1">
        <v>12</v>
      </c>
      <c r="F1942" s="1">
        <v>8</v>
      </c>
      <c r="G1942" s="1">
        <v>17.22</v>
      </c>
      <c r="H1942" s="1" t="s">
        <v>26</v>
      </c>
      <c r="I1942" s="1" t="s">
        <v>39</v>
      </c>
      <c r="J1942" s="1">
        <v>69</v>
      </c>
      <c r="K1942" s="1">
        <v>2.2200000000000002</v>
      </c>
      <c r="L1942" s="4">
        <v>95.16</v>
      </c>
      <c r="M1942" s="1">
        <v>0.71</v>
      </c>
      <c r="N1942" s="1">
        <v>5</v>
      </c>
      <c r="O1942" s="1">
        <v>0.89</v>
      </c>
      <c r="P1942" s="1">
        <v>630</v>
      </c>
      <c r="Q1942" s="1">
        <v>13.97</v>
      </c>
      <c r="R1942" s="1">
        <v>0.22</v>
      </c>
      <c r="S1942" s="2">
        <v>45345</v>
      </c>
      <c r="T1942" s="1">
        <v>232.77</v>
      </c>
      <c r="U1942" s="1">
        <v>0.63700000000000001</v>
      </c>
      <c r="V1942" s="6">
        <f t="shared" si="90"/>
        <v>34447.919999999998</v>
      </c>
      <c r="W1942" s="6" t="str">
        <f t="shared" si="91"/>
        <v>Sufficient</v>
      </c>
      <c r="X1942" s="8" t="str">
        <f t="shared" si="92"/>
        <v>High</v>
      </c>
    </row>
    <row r="1943" spans="1:24">
      <c r="A1943" s="7" t="s">
        <v>2073</v>
      </c>
      <c r="B1943" s="1" t="s">
        <v>41</v>
      </c>
      <c r="C1943" s="1">
        <v>164</v>
      </c>
      <c r="D1943" s="1">
        <v>99</v>
      </c>
      <c r="E1943" s="1">
        <v>8</v>
      </c>
      <c r="F1943" s="1">
        <v>6</v>
      </c>
      <c r="G1943" s="1">
        <v>9.2799999999999994</v>
      </c>
      <c r="H1943" s="1" t="s">
        <v>143</v>
      </c>
      <c r="I1943" s="1" t="s">
        <v>39</v>
      </c>
      <c r="J1943" s="1">
        <v>108</v>
      </c>
      <c r="K1943" s="1">
        <v>3.02</v>
      </c>
      <c r="L1943" s="4">
        <v>130.84</v>
      </c>
      <c r="M1943" s="1">
        <v>1</v>
      </c>
      <c r="N1943" s="1">
        <v>5</v>
      </c>
      <c r="O1943" s="1">
        <v>0.73</v>
      </c>
      <c r="P1943" s="1">
        <v>401</v>
      </c>
      <c r="Q1943" s="1">
        <v>9.2799999999999994</v>
      </c>
      <c r="R1943" s="1">
        <v>0.65</v>
      </c>
      <c r="S1943" s="2">
        <v>45553</v>
      </c>
      <c r="T1943" s="1">
        <v>163.08000000000001</v>
      </c>
      <c r="U1943" s="1">
        <v>0.6</v>
      </c>
      <c r="V1943" s="6">
        <f t="shared" si="90"/>
        <v>21457.760000000002</v>
      </c>
      <c r="W1943" s="6" t="str">
        <f t="shared" si="91"/>
        <v>Sufficient</v>
      </c>
      <c r="X1943" s="8" t="str">
        <f t="shared" si="92"/>
        <v>Medium</v>
      </c>
    </row>
    <row r="1944" spans="1:24">
      <c r="A1944" s="7" t="s">
        <v>2074</v>
      </c>
      <c r="B1944" s="1" t="s">
        <v>66</v>
      </c>
      <c r="C1944" s="1">
        <v>84</v>
      </c>
      <c r="D1944" s="1">
        <v>70</v>
      </c>
      <c r="E1944" s="1">
        <v>7</v>
      </c>
      <c r="F1944" s="1">
        <v>6</v>
      </c>
      <c r="G1944" s="1">
        <v>23.87</v>
      </c>
      <c r="H1944" s="1" t="s">
        <v>205</v>
      </c>
      <c r="I1944" s="1" t="s">
        <v>31</v>
      </c>
      <c r="J1944" s="1">
        <v>56</v>
      </c>
      <c r="K1944" s="1">
        <v>4.34</v>
      </c>
      <c r="L1944" s="4">
        <v>11.6</v>
      </c>
      <c r="M1944" s="1">
        <v>0.67</v>
      </c>
      <c r="N1944" s="1">
        <v>9</v>
      </c>
      <c r="O1944" s="1">
        <v>0.97</v>
      </c>
      <c r="P1944" s="1">
        <v>304</v>
      </c>
      <c r="Q1944" s="1">
        <v>5.59</v>
      </c>
      <c r="R1944" s="1">
        <v>0.64</v>
      </c>
      <c r="S1944" s="2">
        <v>45608</v>
      </c>
      <c r="T1944" s="1">
        <v>110.09</v>
      </c>
      <c r="U1944" s="1">
        <v>0.55000000000000004</v>
      </c>
      <c r="V1944" s="6">
        <f t="shared" si="90"/>
        <v>974.4</v>
      </c>
      <c r="W1944" s="6" t="str">
        <f t="shared" si="91"/>
        <v>Sufficient</v>
      </c>
      <c r="X1944" s="8" t="str">
        <f t="shared" si="92"/>
        <v>LOW</v>
      </c>
    </row>
    <row r="1945" spans="1:24">
      <c r="A1945" s="7" t="s">
        <v>2075</v>
      </c>
      <c r="B1945" s="1" t="s">
        <v>29</v>
      </c>
      <c r="C1945" s="1">
        <v>266</v>
      </c>
      <c r="D1945" s="1">
        <v>94</v>
      </c>
      <c r="E1945" s="1">
        <v>5</v>
      </c>
      <c r="F1945" s="1">
        <v>6</v>
      </c>
      <c r="G1945" s="1">
        <v>5.91</v>
      </c>
      <c r="H1945" s="1" t="s">
        <v>141</v>
      </c>
      <c r="I1945" s="1" t="s">
        <v>27</v>
      </c>
      <c r="J1945" s="1">
        <v>152</v>
      </c>
      <c r="K1945" s="1">
        <v>2.89</v>
      </c>
      <c r="L1945" s="4">
        <v>123.39</v>
      </c>
      <c r="M1945" s="1">
        <v>1.49</v>
      </c>
      <c r="N1945" s="1">
        <v>7</v>
      </c>
      <c r="O1945" s="1">
        <v>0.98</v>
      </c>
      <c r="P1945" s="1">
        <v>99</v>
      </c>
      <c r="Q1945" s="1">
        <v>3.9</v>
      </c>
      <c r="R1945" s="1">
        <v>0.71</v>
      </c>
      <c r="S1945" s="2">
        <v>45352</v>
      </c>
      <c r="T1945" s="1">
        <v>274.36</v>
      </c>
      <c r="U1945" s="1">
        <v>0.501</v>
      </c>
      <c r="V1945" s="6">
        <f t="shared" si="90"/>
        <v>32821.74</v>
      </c>
      <c r="W1945" s="6" t="str">
        <f t="shared" si="91"/>
        <v>Sufficient</v>
      </c>
      <c r="X1945" s="8" t="str">
        <f t="shared" si="92"/>
        <v>High</v>
      </c>
    </row>
    <row r="1946" spans="1:24">
      <c r="A1946" s="7" t="s">
        <v>2076</v>
      </c>
      <c r="B1946" s="1" t="s">
        <v>25</v>
      </c>
      <c r="C1946" s="1">
        <v>242</v>
      </c>
      <c r="D1946" s="1">
        <v>99</v>
      </c>
      <c r="E1946" s="1">
        <v>14</v>
      </c>
      <c r="F1946" s="1">
        <v>8</v>
      </c>
      <c r="G1946" s="1">
        <v>17.47</v>
      </c>
      <c r="H1946" s="1" t="s">
        <v>214</v>
      </c>
      <c r="I1946" s="1" t="s">
        <v>27</v>
      </c>
      <c r="J1946" s="1">
        <v>33</v>
      </c>
      <c r="K1946" s="1">
        <v>4.8600000000000003</v>
      </c>
      <c r="L1946" s="4">
        <v>20.68</v>
      </c>
      <c r="M1946" s="1">
        <v>1.7</v>
      </c>
      <c r="N1946" s="1">
        <v>0</v>
      </c>
      <c r="O1946" s="1">
        <v>0.8</v>
      </c>
      <c r="P1946" s="1">
        <v>72</v>
      </c>
      <c r="Q1946" s="1">
        <v>4.5199999999999996</v>
      </c>
      <c r="R1946" s="1">
        <v>0.22</v>
      </c>
      <c r="S1946" s="2">
        <v>45436</v>
      </c>
      <c r="T1946" s="1">
        <v>32.619999999999997</v>
      </c>
      <c r="U1946" s="1">
        <v>0.49399999999999999</v>
      </c>
      <c r="V1946" s="6">
        <f t="shared" si="90"/>
        <v>5004.5599999999995</v>
      </c>
      <c r="W1946" s="6" t="str">
        <f t="shared" si="91"/>
        <v>Sufficient</v>
      </c>
      <c r="X1946" s="8" t="str">
        <f t="shared" si="92"/>
        <v>Medium</v>
      </c>
    </row>
    <row r="1947" spans="1:24">
      <c r="A1947" s="7" t="s">
        <v>2077</v>
      </c>
      <c r="B1947" s="1" t="s">
        <v>41</v>
      </c>
      <c r="C1947" s="1">
        <v>498</v>
      </c>
      <c r="D1947" s="1">
        <v>35</v>
      </c>
      <c r="E1947" s="1">
        <v>5</v>
      </c>
      <c r="F1947" s="1">
        <v>2</v>
      </c>
      <c r="G1947" s="1">
        <v>19.579999999999998</v>
      </c>
      <c r="H1947" s="1" t="s">
        <v>106</v>
      </c>
      <c r="I1947" s="1" t="s">
        <v>39</v>
      </c>
      <c r="J1947" s="1">
        <v>19</v>
      </c>
      <c r="K1947" s="1">
        <v>4.0999999999999996</v>
      </c>
      <c r="L1947" s="4">
        <v>172.94</v>
      </c>
      <c r="M1947" s="1">
        <v>1.81</v>
      </c>
      <c r="N1947" s="1">
        <v>6</v>
      </c>
      <c r="O1947" s="1">
        <v>0.88</v>
      </c>
      <c r="P1947" s="1">
        <v>303</v>
      </c>
      <c r="Q1947" s="1">
        <v>14.82</v>
      </c>
      <c r="R1947" s="1">
        <v>0.62</v>
      </c>
      <c r="S1947" s="2">
        <v>45350</v>
      </c>
      <c r="T1947" s="1">
        <v>244.55</v>
      </c>
      <c r="U1947" s="1">
        <v>0.59699999999999998</v>
      </c>
      <c r="V1947" s="6">
        <f t="shared" si="90"/>
        <v>86124.12</v>
      </c>
      <c r="W1947" s="6" t="str">
        <f t="shared" si="91"/>
        <v>Sufficient</v>
      </c>
      <c r="X1947" s="8" t="str">
        <f t="shared" si="92"/>
        <v>High</v>
      </c>
    </row>
    <row r="1948" spans="1:24">
      <c r="A1948" s="7" t="s">
        <v>2078</v>
      </c>
      <c r="B1948" s="1" t="s">
        <v>66</v>
      </c>
      <c r="C1948" s="1">
        <v>332</v>
      </c>
      <c r="D1948" s="1">
        <v>81</v>
      </c>
      <c r="E1948" s="1">
        <v>13</v>
      </c>
      <c r="F1948" s="1">
        <v>9</v>
      </c>
      <c r="G1948" s="1">
        <v>23.82</v>
      </c>
      <c r="H1948" s="1" t="s">
        <v>370</v>
      </c>
      <c r="I1948" s="1" t="s">
        <v>31</v>
      </c>
      <c r="J1948" s="1">
        <v>129</v>
      </c>
      <c r="K1948" s="1">
        <v>4.79</v>
      </c>
      <c r="L1948" s="4">
        <v>163.35</v>
      </c>
      <c r="M1948" s="1">
        <v>0.43</v>
      </c>
      <c r="N1948" s="1">
        <v>3</v>
      </c>
      <c r="O1948" s="1">
        <v>0.85</v>
      </c>
      <c r="P1948" s="1">
        <v>443</v>
      </c>
      <c r="Q1948" s="1">
        <v>9.6199999999999992</v>
      </c>
      <c r="R1948" s="1">
        <v>0.28999999999999998</v>
      </c>
      <c r="S1948" s="2">
        <v>45346</v>
      </c>
      <c r="T1948" s="1">
        <v>128.78</v>
      </c>
      <c r="U1948" s="1">
        <v>0.65300000000000002</v>
      </c>
      <c r="V1948" s="6">
        <f t="shared" si="90"/>
        <v>54232.2</v>
      </c>
      <c r="W1948" s="6" t="str">
        <f t="shared" si="91"/>
        <v>Sufficient</v>
      </c>
      <c r="X1948" s="8" t="str">
        <f t="shared" si="92"/>
        <v>High</v>
      </c>
    </row>
    <row r="1949" spans="1:24">
      <c r="A1949" s="7" t="s">
        <v>2079</v>
      </c>
      <c r="B1949" s="1" t="s">
        <v>33</v>
      </c>
      <c r="C1949" s="1">
        <v>458</v>
      </c>
      <c r="D1949" s="1">
        <v>14</v>
      </c>
      <c r="E1949" s="1">
        <v>14</v>
      </c>
      <c r="F1949" s="1">
        <v>5</v>
      </c>
      <c r="G1949" s="1">
        <v>23.86</v>
      </c>
      <c r="H1949" s="1" t="s">
        <v>153</v>
      </c>
      <c r="I1949" s="1" t="s">
        <v>31</v>
      </c>
      <c r="J1949" s="1">
        <v>161</v>
      </c>
      <c r="K1949" s="1">
        <v>3.79</v>
      </c>
      <c r="L1949" s="4">
        <v>16.13</v>
      </c>
      <c r="M1949" s="1">
        <v>1.42</v>
      </c>
      <c r="N1949" s="1">
        <v>5</v>
      </c>
      <c r="O1949" s="1">
        <v>0.98</v>
      </c>
      <c r="P1949" s="1">
        <v>725</v>
      </c>
      <c r="Q1949" s="1">
        <v>7.17</v>
      </c>
      <c r="R1949" s="1">
        <v>0.32</v>
      </c>
      <c r="S1949" s="2">
        <v>45546</v>
      </c>
      <c r="T1949" s="1">
        <v>62.52</v>
      </c>
      <c r="U1949" s="1">
        <v>0.51400000000000001</v>
      </c>
      <c r="V1949" s="6">
        <f t="shared" si="90"/>
        <v>7387.54</v>
      </c>
      <c r="W1949" s="6" t="str">
        <f t="shared" si="91"/>
        <v>Sufficient</v>
      </c>
      <c r="X1949" s="8" t="str">
        <f t="shared" si="92"/>
        <v>High</v>
      </c>
    </row>
    <row r="1950" spans="1:24">
      <c r="A1950" s="7" t="s">
        <v>2080</v>
      </c>
      <c r="B1950" s="1" t="s">
        <v>25</v>
      </c>
      <c r="C1950" s="1">
        <v>125</v>
      </c>
      <c r="D1950" s="1">
        <v>24</v>
      </c>
      <c r="E1950" s="1">
        <v>11</v>
      </c>
      <c r="F1950" s="1">
        <v>7</v>
      </c>
      <c r="G1950" s="1">
        <v>13.59</v>
      </c>
      <c r="H1950" s="1" t="s">
        <v>350</v>
      </c>
      <c r="I1950" s="1" t="s">
        <v>45</v>
      </c>
      <c r="J1950" s="1">
        <v>97</v>
      </c>
      <c r="K1950" s="1">
        <v>4.45</v>
      </c>
      <c r="L1950" s="4">
        <v>19.27</v>
      </c>
      <c r="M1950" s="1">
        <v>1.93</v>
      </c>
      <c r="N1950" s="1">
        <v>9</v>
      </c>
      <c r="O1950" s="1">
        <v>0.85</v>
      </c>
      <c r="P1950" s="1">
        <v>931</v>
      </c>
      <c r="Q1950" s="1">
        <v>4.2300000000000004</v>
      </c>
      <c r="R1950" s="1">
        <v>0.37</v>
      </c>
      <c r="S1950" s="2">
        <v>45393</v>
      </c>
      <c r="T1950" s="1">
        <v>44.9</v>
      </c>
      <c r="U1950" s="1">
        <v>0.32700000000000001</v>
      </c>
      <c r="V1950" s="6">
        <f t="shared" si="90"/>
        <v>2408.75</v>
      </c>
      <c r="W1950" s="6" t="str">
        <f t="shared" si="91"/>
        <v>Sufficient</v>
      </c>
      <c r="X1950" s="8" t="str">
        <f t="shared" si="92"/>
        <v>Medium</v>
      </c>
    </row>
    <row r="1951" spans="1:24">
      <c r="A1951" s="7" t="s">
        <v>2081</v>
      </c>
      <c r="B1951" s="1" t="s">
        <v>41</v>
      </c>
      <c r="C1951" s="1">
        <v>200</v>
      </c>
      <c r="D1951" s="1">
        <v>25</v>
      </c>
      <c r="E1951" s="1">
        <v>6</v>
      </c>
      <c r="F1951" s="1">
        <v>9</v>
      </c>
      <c r="G1951" s="1">
        <v>42.66</v>
      </c>
      <c r="H1951" s="1" t="s">
        <v>370</v>
      </c>
      <c r="I1951" s="1" t="s">
        <v>45</v>
      </c>
      <c r="J1951" s="1">
        <v>113</v>
      </c>
      <c r="K1951" s="1">
        <v>4.24</v>
      </c>
      <c r="L1951" s="4">
        <v>153.19</v>
      </c>
      <c r="M1951" s="1">
        <v>1.34</v>
      </c>
      <c r="N1951" s="1">
        <v>8</v>
      </c>
      <c r="O1951" s="1">
        <v>0.99</v>
      </c>
      <c r="P1951" s="1">
        <v>322</v>
      </c>
      <c r="Q1951" s="1">
        <v>11.82</v>
      </c>
      <c r="R1951" s="1">
        <v>0.69</v>
      </c>
      <c r="S1951" s="2">
        <v>45603</v>
      </c>
      <c r="T1951" s="1">
        <v>74.02</v>
      </c>
      <c r="U1951" s="1">
        <v>0.6</v>
      </c>
      <c r="V1951" s="6">
        <f t="shared" si="90"/>
        <v>30638</v>
      </c>
      <c r="W1951" s="6" t="str">
        <f t="shared" si="91"/>
        <v>Sufficient</v>
      </c>
      <c r="X1951" s="8" t="str">
        <f t="shared" si="92"/>
        <v>Medium</v>
      </c>
    </row>
    <row r="1952" spans="1:24">
      <c r="A1952" s="7" t="s">
        <v>2082</v>
      </c>
      <c r="B1952" s="1" t="s">
        <v>29</v>
      </c>
      <c r="C1952" s="1">
        <v>203</v>
      </c>
      <c r="D1952" s="1">
        <v>10</v>
      </c>
      <c r="E1952" s="1">
        <v>11</v>
      </c>
      <c r="F1952" s="1">
        <v>3</v>
      </c>
      <c r="G1952" s="1">
        <v>18.420000000000002</v>
      </c>
      <c r="H1952" s="1" t="s">
        <v>141</v>
      </c>
      <c r="I1952" s="1" t="s">
        <v>31</v>
      </c>
      <c r="J1952" s="1">
        <v>133</v>
      </c>
      <c r="K1952" s="1">
        <v>1.64</v>
      </c>
      <c r="L1952" s="4">
        <v>80.209999999999994</v>
      </c>
      <c r="M1952" s="1">
        <v>0.77</v>
      </c>
      <c r="N1952" s="1">
        <v>2</v>
      </c>
      <c r="O1952" s="1">
        <v>0.76</v>
      </c>
      <c r="P1952" s="1">
        <v>742</v>
      </c>
      <c r="Q1952" s="1">
        <v>6.42</v>
      </c>
      <c r="R1952" s="1">
        <v>0.51</v>
      </c>
      <c r="S1952" s="2">
        <v>45394</v>
      </c>
      <c r="T1952" s="1">
        <v>45.37</v>
      </c>
      <c r="U1952" s="1">
        <v>0.623</v>
      </c>
      <c r="V1952" s="6">
        <f t="shared" si="90"/>
        <v>16282.63</v>
      </c>
      <c r="W1952" s="6" t="str">
        <f t="shared" si="91"/>
        <v>Sufficient</v>
      </c>
      <c r="X1952" s="8" t="str">
        <f t="shared" si="92"/>
        <v>Medium</v>
      </c>
    </row>
    <row r="1953" spans="1:24">
      <c r="A1953" s="7" t="s">
        <v>2083</v>
      </c>
      <c r="B1953" s="1" t="s">
        <v>66</v>
      </c>
      <c r="C1953" s="1">
        <v>245</v>
      </c>
      <c r="D1953" s="1">
        <v>25</v>
      </c>
      <c r="E1953" s="1">
        <v>6</v>
      </c>
      <c r="F1953" s="1">
        <v>8</v>
      </c>
      <c r="G1953" s="1">
        <v>12.25</v>
      </c>
      <c r="H1953" s="1" t="s">
        <v>309</v>
      </c>
      <c r="I1953" s="1" t="s">
        <v>45</v>
      </c>
      <c r="J1953" s="1">
        <v>43</v>
      </c>
      <c r="K1953" s="1">
        <v>1.53</v>
      </c>
      <c r="L1953" s="4">
        <v>119.25</v>
      </c>
      <c r="M1953" s="1">
        <v>1.31</v>
      </c>
      <c r="N1953" s="1">
        <v>7</v>
      </c>
      <c r="O1953" s="1">
        <v>0.8</v>
      </c>
      <c r="P1953" s="1">
        <v>908</v>
      </c>
      <c r="Q1953" s="1">
        <v>5.22</v>
      </c>
      <c r="R1953" s="1">
        <v>0.27</v>
      </c>
      <c r="S1953" s="2">
        <v>45426</v>
      </c>
      <c r="T1953" s="1">
        <v>143.09</v>
      </c>
      <c r="U1953" s="1">
        <v>0.41299999999999998</v>
      </c>
      <c r="V1953" s="6">
        <f t="shared" si="90"/>
        <v>29216.25</v>
      </c>
      <c r="W1953" s="6" t="str">
        <f t="shared" si="91"/>
        <v>Sufficient</v>
      </c>
      <c r="X1953" s="8" t="str">
        <f t="shared" si="92"/>
        <v>Medium</v>
      </c>
    </row>
    <row r="1954" spans="1:24">
      <c r="A1954" s="7" t="s">
        <v>2084</v>
      </c>
      <c r="B1954" s="1" t="s">
        <v>41</v>
      </c>
      <c r="C1954" s="1">
        <v>284</v>
      </c>
      <c r="D1954" s="1">
        <v>46</v>
      </c>
      <c r="E1954" s="1">
        <v>4</v>
      </c>
      <c r="F1954" s="1">
        <v>6</v>
      </c>
      <c r="G1954" s="1">
        <v>9.61</v>
      </c>
      <c r="H1954" s="1" t="s">
        <v>38</v>
      </c>
      <c r="I1954" s="1" t="s">
        <v>27</v>
      </c>
      <c r="J1954" s="1">
        <v>50</v>
      </c>
      <c r="K1954" s="1">
        <v>4.3899999999999997</v>
      </c>
      <c r="L1954" s="4">
        <v>61.36</v>
      </c>
      <c r="M1954" s="1">
        <v>1.41</v>
      </c>
      <c r="N1954" s="1">
        <v>2</v>
      </c>
      <c r="O1954" s="1">
        <v>0.93</v>
      </c>
      <c r="P1954" s="1">
        <v>299</v>
      </c>
      <c r="Q1954" s="1">
        <v>4.1100000000000003</v>
      </c>
      <c r="R1954" s="1">
        <v>0.43</v>
      </c>
      <c r="S1954" s="2">
        <v>45559</v>
      </c>
      <c r="T1954" s="1">
        <v>111.41</v>
      </c>
      <c r="U1954" s="1">
        <v>0.54600000000000004</v>
      </c>
      <c r="V1954" s="6">
        <f t="shared" si="90"/>
        <v>17426.240000000002</v>
      </c>
      <c r="W1954" s="6" t="str">
        <f t="shared" si="91"/>
        <v>Sufficient</v>
      </c>
      <c r="X1954" s="8" t="str">
        <f t="shared" si="92"/>
        <v>High</v>
      </c>
    </row>
    <row r="1955" spans="1:24">
      <c r="A1955" s="7" t="s">
        <v>2085</v>
      </c>
      <c r="B1955" s="1" t="s">
        <v>29</v>
      </c>
      <c r="C1955" s="1">
        <v>297</v>
      </c>
      <c r="D1955" s="1">
        <v>12</v>
      </c>
      <c r="E1955" s="1">
        <v>6</v>
      </c>
      <c r="F1955" s="1">
        <v>9</v>
      </c>
      <c r="G1955" s="1">
        <v>16.809999999999999</v>
      </c>
      <c r="H1955" s="1" t="s">
        <v>59</v>
      </c>
      <c r="I1955" s="1" t="s">
        <v>31</v>
      </c>
      <c r="J1955" s="1">
        <v>177</v>
      </c>
      <c r="K1955" s="1">
        <v>0.88</v>
      </c>
      <c r="L1955" s="4">
        <v>42.86</v>
      </c>
      <c r="M1955" s="1">
        <v>0.85</v>
      </c>
      <c r="N1955" s="1">
        <v>5</v>
      </c>
      <c r="O1955" s="1">
        <v>0.94</v>
      </c>
      <c r="P1955" s="1">
        <v>286</v>
      </c>
      <c r="Q1955" s="1">
        <v>3.6</v>
      </c>
      <c r="R1955" s="1">
        <v>0.26</v>
      </c>
      <c r="S1955" s="2">
        <v>45395</v>
      </c>
      <c r="T1955" s="1">
        <v>113.41</v>
      </c>
      <c r="U1955" s="1">
        <v>0.503</v>
      </c>
      <c r="V1955" s="6">
        <f t="shared" si="90"/>
        <v>12729.42</v>
      </c>
      <c r="W1955" s="6" t="str">
        <f t="shared" si="91"/>
        <v>Sufficient</v>
      </c>
      <c r="X1955" s="8" t="str">
        <f t="shared" si="92"/>
        <v>High</v>
      </c>
    </row>
    <row r="1956" spans="1:24">
      <c r="A1956" s="7" t="s">
        <v>2086</v>
      </c>
      <c r="B1956" s="1" t="s">
        <v>41</v>
      </c>
      <c r="C1956" s="1">
        <v>416</v>
      </c>
      <c r="D1956" s="1">
        <v>61</v>
      </c>
      <c r="E1956" s="1">
        <v>8</v>
      </c>
      <c r="F1956" s="1">
        <v>3</v>
      </c>
      <c r="G1956" s="1">
        <v>4.3099999999999996</v>
      </c>
      <c r="H1956" s="1" t="s">
        <v>210</v>
      </c>
      <c r="I1956" s="1" t="s">
        <v>45</v>
      </c>
      <c r="J1956" s="1">
        <v>20</v>
      </c>
      <c r="K1956" s="1">
        <v>2.34</v>
      </c>
      <c r="L1956" s="4">
        <v>66.25</v>
      </c>
      <c r="M1956" s="1">
        <v>0.3</v>
      </c>
      <c r="N1956" s="1">
        <v>1</v>
      </c>
      <c r="O1956" s="1">
        <v>0.92</v>
      </c>
      <c r="P1956" s="1">
        <v>953</v>
      </c>
      <c r="Q1956" s="1">
        <v>4.83</v>
      </c>
      <c r="R1956" s="1">
        <v>0.73</v>
      </c>
      <c r="S1956" s="2">
        <v>45475</v>
      </c>
      <c r="T1956" s="1">
        <v>55.49</v>
      </c>
      <c r="U1956" s="1">
        <v>0.74399999999999999</v>
      </c>
      <c r="V1956" s="6">
        <f t="shared" si="90"/>
        <v>27560</v>
      </c>
      <c r="W1956" s="6" t="str">
        <f t="shared" si="91"/>
        <v>Sufficient</v>
      </c>
      <c r="X1956" s="8" t="str">
        <f t="shared" si="92"/>
        <v>High</v>
      </c>
    </row>
    <row r="1957" spans="1:24">
      <c r="A1957" s="7" t="s">
        <v>2087</v>
      </c>
      <c r="B1957" s="1" t="s">
        <v>25</v>
      </c>
      <c r="C1957" s="1">
        <v>108</v>
      </c>
      <c r="D1957" s="1">
        <v>56</v>
      </c>
      <c r="E1957" s="1">
        <v>8</v>
      </c>
      <c r="F1957" s="1">
        <v>8</v>
      </c>
      <c r="G1957" s="1">
        <v>2.61</v>
      </c>
      <c r="H1957" s="1" t="s">
        <v>117</v>
      </c>
      <c r="I1957" s="1" t="s">
        <v>31</v>
      </c>
      <c r="J1957" s="1">
        <v>10</v>
      </c>
      <c r="K1957" s="1">
        <v>4.1900000000000004</v>
      </c>
      <c r="L1957" s="4">
        <v>56.88</v>
      </c>
      <c r="M1957" s="1">
        <v>1.25</v>
      </c>
      <c r="N1957" s="1">
        <v>8</v>
      </c>
      <c r="O1957" s="1">
        <v>0.96</v>
      </c>
      <c r="P1957" s="1">
        <v>281</v>
      </c>
      <c r="Q1957" s="1">
        <v>9.7799999999999994</v>
      </c>
      <c r="R1957" s="1">
        <v>0.65</v>
      </c>
      <c r="S1957" s="2">
        <v>45652</v>
      </c>
      <c r="T1957" s="1">
        <v>201.33</v>
      </c>
      <c r="U1957" s="1">
        <v>0.56699999999999995</v>
      </c>
      <c r="V1957" s="6">
        <f t="shared" si="90"/>
        <v>6143.04</v>
      </c>
      <c r="W1957" s="6" t="str">
        <f t="shared" si="91"/>
        <v>Sufficient</v>
      </c>
      <c r="X1957" s="8" t="str">
        <f t="shared" si="92"/>
        <v>Medium</v>
      </c>
    </row>
    <row r="1958" spans="1:24">
      <c r="A1958" s="7" t="s">
        <v>2088</v>
      </c>
      <c r="B1958" s="1" t="s">
        <v>25</v>
      </c>
      <c r="C1958" s="1">
        <v>195</v>
      </c>
      <c r="D1958" s="1">
        <v>22</v>
      </c>
      <c r="E1958" s="1">
        <v>7</v>
      </c>
      <c r="F1958" s="1">
        <v>3</v>
      </c>
      <c r="G1958" s="1">
        <v>30.65</v>
      </c>
      <c r="H1958" s="1" t="s">
        <v>72</v>
      </c>
      <c r="I1958" s="1" t="s">
        <v>45</v>
      </c>
      <c r="J1958" s="1">
        <v>167</v>
      </c>
      <c r="K1958" s="1">
        <v>4.16</v>
      </c>
      <c r="L1958" s="4">
        <v>95.18</v>
      </c>
      <c r="M1958" s="1">
        <v>1.62</v>
      </c>
      <c r="N1958" s="1">
        <v>1</v>
      </c>
      <c r="O1958" s="1">
        <v>0.91</v>
      </c>
      <c r="P1958" s="1">
        <v>477</v>
      </c>
      <c r="Q1958" s="1">
        <v>4.3600000000000003</v>
      </c>
      <c r="R1958" s="1">
        <v>0.53</v>
      </c>
      <c r="S1958" s="2">
        <v>45501</v>
      </c>
      <c r="T1958" s="1">
        <v>186.26</v>
      </c>
      <c r="U1958" s="1">
        <v>0.56399999999999995</v>
      </c>
      <c r="V1958" s="6">
        <f t="shared" si="90"/>
        <v>18560.100000000002</v>
      </c>
      <c r="W1958" s="6" t="str">
        <f t="shared" si="91"/>
        <v>Sufficient</v>
      </c>
      <c r="X1958" s="8" t="str">
        <f t="shared" si="92"/>
        <v>Medium</v>
      </c>
    </row>
    <row r="1959" spans="1:24">
      <c r="A1959" s="7" t="s">
        <v>2089</v>
      </c>
      <c r="B1959" s="1" t="s">
        <v>25</v>
      </c>
      <c r="C1959" s="1">
        <v>37</v>
      </c>
      <c r="D1959" s="1">
        <v>89</v>
      </c>
      <c r="E1959" s="1">
        <v>3</v>
      </c>
      <c r="F1959" s="1">
        <v>6</v>
      </c>
      <c r="G1959" s="1">
        <v>31.34</v>
      </c>
      <c r="H1959" s="1" t="s">
        <v>185</v>
      </c>
      <c r="I1959" s="1" t="s">
        <v>31</v>
      </c>
      <c r="J1959" s="1">
        <v>91</v>
      </c>
      <c r="K1959" s="1">
        <v>1.1200000000000001</v>
      </c>
      <c r="L1959" s="4">
        <v>151.87</v>
      </c>
      <c r="M1959" s="1">
        <v>2</v>
      </c>
      <c r="N1959" s="1">
        <v>4</v>
      </c>
      <c r="O1959" s="1">
        <v>0.89</v>
      </c>
      <c r="P1959" s="1">
        <v>683</v>
      </c>
      <c r="Q1959" s="1">
        <v>1.85</v>
      </c>
      <c r="R1959" s="1">
        <v>0.94</v>
      </c>
      <c r="S1959" s="2">
        <v>45443</v>
      </c>
      <c r="T1959" s="1">
        <v>294.86</v>
      </c>
      <c r="U1959" s="1">
        <v>0.51100000000000001</v>
      </c>
      <c r="V1959" s="6">
        <f t="shared" si="90"/>
        <v>5619.1900000000005</v>
      </c>
      <c r="W1959" s="6" t="str">
        <f t="shared" si="91"/>
        <v>Reorder Required</v>
      </c>
      <c r="X1959" s="8" t="str">
        <f t="shared" si="92"/>
        <v>LOW</v>
      </c>
    </row>
    <row r="1960" spans="1:24">
      <c r="A1960" s="7" t="s">
        <v>2090</v>
      </c>
      <c r="B1960" s="1" t="s">
        <v>66</v>
      </c>
      <c r="C1960" s="1">
        <v>390</v>
      </c>
      <c r="D1960" s="1">
        <v>64</v>
      </c>
      <c r="E1960" s="1">
        <v>5</v>
      </c>
      <c r="F1960" s="1">
        <v>5</v>
      </c>
      <c r="G1960" s="1">
        <v>26.95</v>
      </c>
      <c r="H1960" s="1" t="s">
        <v>331</v>
      </c>
      <c r="I1960" s="1" t="s">
        <v>39</v>
      </c>
      <c r="J1960" s="1">
        <v>35</v>
      </c>
      <c r="K1960" s="1">
        <v>2.69</v>
      </c>
      <c r="L1960" s="4">
        <v>115.28</v>
      </c>
      <c r="M1960" s="1">
        <v>0.52</v>
      </c>
      <c r="N1960" s="1">
        <v>5</v>
      </c>
      <c r="O1960" s="1">
        <v>0.84</v>
      </c>
      <c r="P1960" s="1">
        <v>291</v>
      </c>
      <c r="Q1960" s="1">
        <v>6.03</v>
      </c>
      <c r="R1960" s="1">
        <v>0.61</v>
      </c>
      <c r="S1960" s="2">
        <v>45374</v>
      </c>
      <c r="T1960" s="1">
        <v>58.62</v>
      </c>
      <c r="U1960" s="1">
        <v>0.61799999999999999</v>
      </c>
      <c r="V1960" s="6">
        <f t="shared" si="90"/>
        <v>44959.199999999997</v>
      </c>
      <c r="W1960" s="6" t="str">
        <f t="shared" si="91"/>
        <v>Sufficient</v>
      </c>
      <c r="X1960" s="8" t="str">
        <f t="shared" si="92"/>
        <v>High</v>
      </c>
    </row>
    <row r="1961" spans="1:24">
      <c r="A1961" s="7" t="s">
        <v>2091</v>
      </c>
      <c r="B1961" s="1" t="s">
        <v>25</v>
      </c>
      <c r="C1961" s="1">
        <v>479</v>
      </c>
      <c r="D1961" s="1">
        <v>30</v>
      </c>
      <c r="E1961" s="1">
        <v>7</v>
      </c>
      <c r="F1961" s="1">
        <v>8</v>
      </c>
      <c r="G1961" s="1">
        <v>38.35</v>
      </c>
      <c r="H1961" s="1" t="s">
        <v>195</v>
      </c>
      <c r="I1961" s="1" t="s">
        <v>27</v>
      </c>
      <c r="J1961" s="1">
        <v>62</v>
      </c>
      <c r="K1961" s="1">
        <v>2.66</v>
      </c>
      <c r="L1961" s="4">
        <v>125.74</v>
      </c>
      <c r="M1961" s="1">
        <v>1.43</v>
      </c>
      <c r="N1961" s="1">
        <v>3</v>
      </c>
      <c r="O1961" s="1">
        <v>0.84</v>
      </c>
      <c r="P1961" s="1">
        <v>183</v>
      </c>
      <c r="Q1961" s="1">
        <v>9.19</v>
      </c>
      <c r="R1961" s="1">
        <v>0.91</v>
      </c>
      <c r="S1961" s="2">
        <v>45312</v>
      </c>
      <c r="T1961" s="1">
        <v>251.86</v>
      </c>
      <c r="U1961" s="1">
        <v>0.67</v>
      </c>
      <c r="V1961" s="6">
        <f t="shared" si="90"/>
        <v>60229.46</v>
      </c>
      <c r="W1961" s="6" t="str">
        <f t="shared" si="91"/>
        <v>Sufficient</v>
      </c>
      <c r="X1961" s="8" t="str">
        <f t="shared" si="92"/>
        <v>High</v>
      </c>
    </row>
    <row r="1962" spans="1:24">
      <c r="A1962" s="7" t="s">
        <v>2092</v>
      </c>
      <c r="B1962" s="1" t="s">
        <v>29</v>
      </c>
      <c r="C1962" s="1">
        <v>443</v>
      </c>
      <c r="D1962" s="1">
        <v>75</v>
      </c>
      <c r="E1962" s="1">
        <v>8</v>
      </c>
      <c r="F1962" s="1">
        <v>3</v>
      </c>
      <c r="G1962" s="1">
        <v>2.92</v>
      </c>
      <c r="H1962" s="1" t="s">
        <v>91</v>
      </c>
      <c r="I1962" s="1" t="s">
        <v>45</v>
      </c>
      <c r="J1962" s="1">
        <v>134</v>
      </c>
      <c r="K1962" s="1">
        <v>1.96</v>
      </c>
      <c r="L1962" s="4">
        <v>99.31</v>
      </c>
      <c r="M1962" s="1">
        <v>0.15</v>
      </c>
      <c r="N1962" s="1">
        <v>6</v>
      </c>
      <c r="O1962" s="1">
        <v>0.82</v>
      </c>
      <c r="P1962" s="1">
        <v>120</v>
      </c>
      <c r="Q1962" s="1">
        <v>1.84</v>
      </c>
      <c r="R1962" s="1">
        <v>0.66</v>
      </c>
      <c r="S1962" s="2">
        <v>45572</v>
      </c>
      <c r="T1962" s="1">
        <v>19.82</v>
      </c>
      <c r="U1962" s="1">
        <v>0.58599999999999997</v>
      </c>
      <c r="V1962" s="6">
        <f t="shared" si="90"/>
        <v>43994.33</v>
      </c>
      <c r="W1962" s="6" t="str">
        <f t="shared" si="91"/>
        <v>Sufficient</v>
      </c>
      <c r="X1962" s="8" t="str">
        <f t="shared" si="92"/>
        <v>High</v>
      </c>
    </row>
    <row r="1963" spans="1:24">
      <c r="A1963" s="7" t="s">
        <v>2093</v>
      </c>
      <c r="B1963" s="1" t="s">
        <v>41</v>
      </c>
      <c r="C1963" s="1">
        <v>420</v>
      </c>
      <c r="D1963" s="1">
        <v>63</v>
      </c>
      <c r="E1963" s="1">
        <v>3</v>
      </c>
      <c r="F1963" s="1">
        <v>4</v>
      </c>
      <c r="G1963" s="1">
        <v>46.86</v>
      </c>
      <c r="H1963" s="1" t="s">
        <v>63</v>
      </c>
      <c r="I1963" s="1" t="s">
        <v>39</v>
      </c>
      <c r="J1963" s="1">
        <v>18</v>
      </c>
      <c r="K1963" s="1">
        <v>4.63</v>
      </c>
      <c r="L1963" s="4">
        <v>71.7</v>
      </c>
      <c r="M1963" s="1">
        <v>1.94</v>
      </c>
      <c r="N1963" s="1">
        <v>6</v>
      </c>
      <c r="O1963" s="1">
        <v>0.89</v>
      </c>
      <c r="P1963" s="1">
        <v>907</v>
      </c>
      <c r="Q1963" s="1">
        <v>7.34</v>
      </c>
      <c r="R1963" s="1">
        <v>0.5</v>
      </c>
      <c r="S1963" s="2">
        <v>45546</v>
      </c>
      <c r="T1963" s="1">
        <v>31.26</v>
      </c>
      <c r="U1963" s="1">
        <v>0.46200000000000002</v>
      </c>
      <c r="V1963" s="6">
        <f t="shared" si="90"/>
        <v>30114</v>
      </c>
      <c r="W1963" s="6" t="str">
        <f t="shared" si="91"/>
        <v>Sufficient</v>
      </c>
      <c r="X1963" s="8" t="str">
        <f t="shared" si="92"/>
        <v>High</v>
      </c>
    </row>
    <row r="1964" spans="1:24">
      <c r="A1964" s="7" t="s">
        <v>2094</v>
      </c>
      <c r="B1964" s="1" t="s">
        <v>33</v>
      </c>
      <c r="C1964" s="1">
        <v>418</v>
      </c>
      <c r="D1964" s="1">
        <v>36</v>
      </c>
      <c r="E1964" s="1">
        <v>11</v>
      </c>
      <c r="F1964" s="1">
        <v>3</v>
      </c>
      <c r="G1964" s="1">
        <v>5.66</v>
      </c>
      <c r="H1964" s="1" t="s">
        <v>210</v>
      </c>
      <c r="I1964" s="1" t="s">
        <v>31</v>
      </c>
      <c r="J1964" s="1">
        <v>18</v>
      </c>
      <c r="K1964" s="1">
        <v>3.44</v>
      </c>
      <c r="L1964" s="4">
        <v>37.270000000000003</v>
      </c>
      <c r="M1964" s="1">
        <v>0.12</v>
      </c>
      <c r="N1964" s="1">
        <v>6</v>
      </c>
      <c r="O1964" s="1">
        <v>0.82</v>
      </c>
      <c r="P1964" s="1">
        <v>514</v>
      </c>
      <c r="Q1964" s="1">
        <v>1.73</v>
      </c>
      <c r="R1964" s="1">
        <v>0.63</v>
      </c>
      <c r="S1964" s="2">
        <v>45398</v>
      </c>
      <c r="T1964" s="1">
        <v>197.93</v>
      </c>
      <c r="U1964" s="1">
        <v>0.58099999999999996</v>
      </c>
      <c r="V1964" s="6">
        <f t="shared" si="90"/>
        <v>15578.86</v>
      </c>
      <c r="W1964" s="6" t="str">
        <f t="shared" si="91"/>
        <v>Sufficient</v>
      </c>
      <c r="X1964" s="8" t="str">
        <f t="shared" si="92"/>
        <v>High</v>
      </c>
    </row>
    <row r="1965" spans="1:24">
      <c r="A1965" s="7" t="s">
        <v>2095</v>
      </c>
      <c r="B1965" s="1" t="s">
        <v>29</v>
      </c>
      <c r="C1965" s="1">
        <v>125</v>
      </c>
      <c r="D1965" s="1">
        <v>47</v>
      </c>
      <c r="E1965" s="1">
        <v>5</v>
      </c>
      <c r="F1965" s="1">
        <v>7</v>
      </c>
      <c r="G1965" s="1">
        <v>34.03</v>
      </c>
      <c r="H1965" s="1" t="s">
        <v>171</v>
      </c>
      <c r="I1965" s="1" t="s">
        <v>39</v>
      </c>
      <c r="J1965" s="1">
        <v>138</v>
      </c>
      <c r="K1965" s="1">
        <v>4.91</v>
      </c>
      <c r="L1965" s="4">
        <v>77.37</v>
      </c>
      <c r="M1965" s="1">
        <v>0.78</v>
      </c>
      <c r="N1965" s="1">
        <v>6</v>
      </c>
      <c r="O1965" s="1">
        <v>0.74</v>
      </c>
      <c r="P1965" s="1">
        <v>470</v>
      </c>
      <c r="Q1965" s="1">
        <v>11.75</v>
      </c>
      <c r="R1965" s="1">
        <v>0.32</v>
      </c>
      <c r="S1965" s="2">
        <v>45644</v>
      </c>
      <c r="T1965" s="1">
        <v>127.88</v>
      </c>
      <c r="U1965" s="1">
        <v>0.57099999999999995</v>
      </c>
      <c r="V1965" s="6">
        <f t="shared" si="90"/>
        <v>9671.25</v>
      </c>
      <c r="W1965" s="6" t="str">
        <f t="shared" si="91"/>
        <v>Sufficient</v>
      </c>
      <c r="X1965" s="8" t="str">
        <f t="shared" si="92"/>
        <v>Medium</v>
      </c>
    </row>
    <row r="1966" spans="1:24">
      <c r="A1966" s="7" t="s">
        <v>2096</v>
      </c>
      <c r="B1966" s="1" t="s">
        <v>29</v>
      </c>
      <c r="C1966" s="1">
        <v>290</v>
      </c>
      <c r="D1966" s="1">
        <v>99</v>
      </c>
      <c r="E1966" s="1">
        <v>12</v>
      </c>
      <c r="F1966" s="1">
        <v>6</v>
      </c>
      <c r="G1966" s="1">
        <v>7.54</v>
      </c>
      <c r="H1966" s="1" t="s">
        <v>470</v>
      </c>
      <c r="I1966" s="1" t="s">
        <v>27</v>
      </c>
      <c r="J1966" s="1">
        <v>68</v>
      </c>
      <c r="K1966" s="1">
        <v>0.8</v>
      </c>
      <c r="L1966" s="4">
        <v>136.38999999999999</v>
      </c>
      <c r="M1966" s="1">
        <v>0.25</v>
      </c>
      <c r="N1966" s="1">
        <v>9</v>
      </c>
      <c r="O1966" s="1">
        <v>0.73</v>
      </c>
      <c r="P1966" s="1">
        <v>359</v>
      </c>
      <c r="Q1966" s="1">
        <v>13.21</v>
      </c>
      <c r="R1966" s="1">
        <v>0.74</v>
      </c>
      <c r="S1966" s="2">
        <v>45538</v>
      </c>
      <c r="T1966" s="1">
        <v>76.849999999999994</v>
      </c>
      <c r="U1966" s="1">
        <v>0.66500000000000004</v>
      </c>
      <c r="V1966" s="6">
        <f t="shared" si="90"/>
        <v>39553.1</v>
      </c>
      <c r="W1966" s="6" t="str">
        <f t="shared" si="91"/>
        <v>Sufficient</v>
      </c>
      <c r="X1966" s="8" t="str">
        <f t="shared" si="92"/>
        <v>High</v>
      </c>
    </row>
    <row r="1967" spans="1:24">
      <c r="A1967" s="7" t="s">
        <v>2097</v>
      </c>
      <c r="B1967" s="1" t="s">
        <v>25</v>
      </c>
      <c r="C1967" s="1">
        <v>482</v>
      </c>
      <c r="D1967" s="1">
        <v>67</v>
      </c>
      <c r="E1967" s="1">
        <v>5</v>
      </c>
      <c r="F1967" s="1">
        <v>2</v>
      </c>
      <c r="G1967" s="1">
        <v>44.12</v>
      </c>
      <c r="H1967" s="1" t="s">
        <v>185</v>
      </c>
      <c r="I1967" s="1" t="s">
        <v>45</v>
      </c>
      <c r="J1967" s="1">
        <v>115</v>
      </c>
      <c r="K1967" s="1">
        <v>2.27</v>
      </c>
      <c r="L1967" s="4">
        <v>149.41999999999999</v>
      </c>
      <c r="M1967" s="1">
        <v>1.28</v>
      </c>
      <c r="N1967" s="1">
        <v>9</v>
      </c>
      <c r="O1967" s="1">
        <v>0.98</v>
      </c>
      <c r="P1967" s="1">
        <v>328</v>
      </c>
      <c r="Q1967" s="1">
        <v>14.49</v>
      </c>
      <c r="R1967" s="1">
        <v>0.99</v>
      </c>
      <c r="S1967" s="2">
        <v>45461</v>
      </c>
      <c r="T1967" s="1">
        <v>10.8</v>
      </c>
      <c r="U1967" s="1">
        <v>0.67900000000000005</v>
      </c>
      <c r="V1967" s="6">
        <f t="shared" si="90"/>
        <v>72020.439999999988</v>
      </c>
      <c r="W1967" s="6" t="str">
        <f t="shared" si="91"/>
        <v>Sufficient</v>
      </c>
      <c r="X1967" s="8" t="str">
        <f t="shared" si="92"/>
        <v>High</v>
      </c>
    </row>
    <row r="1968" spans="1:24">
      <c r="A1968" s="7" t="s">
        <v>2098</v>
      </c>
      <c r="B1968" s="1" t="s">
        <v>66</v>
      </c>
      <c r="C1968" s="1">
        <v>338</v>
      </c>
      <c r="D1968" s="1">
        <v>71</v>
      </c>
      <c r="E1968" s="1">
        <v>13</v>
      </c>
      <c r="F1968" s="1">
        <v>3</v>
      </c>
      <c r="G1968" s="1">
        <v>26.02</v>
      </c>
      <c r="H1968" s="1" t="s">
        <v>183</v>
      </c>
      <c r="I1968" s="1" t="s">
        <v>45</v>
      </c>
      <c r="J1968" s="1">
        <v>134</v>
      </c>
      <c r="K1968" s="1">
        <v>4.26</v>
      </c>
      <c r="L1968" s="4">
        <v>99.14</v>
      </c>
      <c r="M1968" s="1">
        <v>0.75</v>
      </c>
      <c r="N1968" s="1">
        <v>8</v>
      </c>
      <c r="O1968" s="1">
        <v>0.71</v>
      </c>
      <c r="P1968" s="1">
        <v>268</v>
      </c>
      <c r="Q1968" s="1">
        <v>10.68</v>
      </c>
      <c r="R1968" s="1">
        <v>0.4</v>
      </c>
      <c r="S1968" s="2">
        <v>45412</v>
      </c>
      <c r="T1968" s="1">
        <v>202.31</v>
      </c>
      <c r="U1968" s="1">
        <v>0.52900000000000003</v>
      </c>
      <c r="V1968" s="6">
        <f t="shared" si="90"/>
        <v>33509.32</v>
      </c>
      <c r="W1968" s="6" t="str">
        <f t="shared" si="91"/>
        <v>Sufficient</v>
      </c>
      <c r="X1968" s="8" t="str">
        <f t="shared" si="92"/>
        <v>High</v>
      </c>
    </row>
    <row r="1969" spans="1:24">
      <c r="A1969" s="7" t="s">
        <v>2099</v>
      </c>
      <c r="B1969" s="1" t="s">
        <v>41</v>
      </c>
      <c r="C1969" s="1">
        <v>186</v>
      </c>
      <c r="D1969" s="1">
        <v>55</v>
      </c>
      <c r="E1969" s="1">
        <v>4</v>
      </c>
      <c r="F1969" s="1">
        <v>5</v>
      </c>
      <c r="G1969" s="1">
        <v>5.03</v>
      </c>
      <c r="H1969" s="1" t="s">
        <v>57</v>
      </c>
      <c r="I1969" s="1" t="s">
        <v>31</v>
      </c>
      <c r="J1969" s="1">
        <v>25</v>
      </c>
      <c r="K1969" s="1">
        <v>2.4</v>
      </c>
      <c r="L1969" s="4">
        <v>132.55000000000001</v>
      </c>
      <c r="M1969" s="1">
        <v>1.49</v>
      </c>
      <c r="N1969" s="1">
        <v>1</v>
      </c>
      <c r="O1969" s="1">
        <v>0.73</v>
      </c>
      <c r="P1969" s="1">
        <v>746</v>
      </c>
      <c r="Q1969" s="1">
        <v>9.85</v>
      </c>
      <c r="R1969" s="1">
        <v>0.46</v>
      </c>
      <c r="S1969" s="2">
        <v>45293</v>
      </c>
      <c r="T1969" s="1">
        <v>137.85</v>
      </c>
      <c r="U1969" s="1">
        <v>0.6</v>
      </c>
      <c r="V1969" s="6">
        <f t="shared" si="90"/>
        <v>24654.300000000003</v>
      </c>
      <c r="W1969" s="6" t="str">
        <f t="shared" si="91"/>
        <v>Sufficient</v>
      </c>
      <c r="X1969" s="8" t="str">
        <f t="shared" si="92"/>
        <v>Medium</v>
      </c>
    </row>
    <row r="1970" spans="1:24">
      <c r="A1970" s="7" t="s">
        <v>2100</v>
      </c>
      <c r="B1970" s="1" t="s">
        <v>66</v>
      </c>
      <c r="C1970" s="1">
        <v>32</v>
      </c>
      <c r="D1970" s="1">
        <v>98</v>
      </c>
      <c r="E1970" s="1">
        <v>10</v>
      </c>
      <c r="F1970" s="1">
        <v>4</v>
      </c>
      <c r="G1970" s="1">
        <v>31.22</v>
      </c>
      <c r="H1970" s="1" t="s">
        <v>558</v>
      </c>
      <c r="I1970" s="1" t="s">
        <v>27</v>
      </c>
      <c r="J1970" s="1">
        <v>47</v>
      </c>
      <c r="K1970" s="1">
        <v>1.68</v>
      </c>
      <c r="L1970" s="4">
        <v>50</v>
      </c>
      <c r="M1970" s="1">
        <v>1.02</v>
      </c>
      <c r="N1970" s="1">
        <v>4</v>
      </c>
      <c r="O1970" s="1">
        <v>0.83</v>
      </c>
      <c r="P1970" s="1">
        <v>356</v>
      </c>
      <c r="Q1970" s="1">
        <v>10.72</v>
      </c>
      <c r="R1970" s="1">
        <v>0.52</v>
      </c>
      <c r="S1970" s="2">
        <v>45298</v>
      </c>
      <c r="T1970" s="1">
        <v>59.53</v>
      </c>
      <c r="U1970" s="1">
        <v>0.63100000000000001</v>
      </c>
      <c r="V1970" s="6">
        <f t="shared" si="90"/>
        <v>1600</v>
      </c>
      <c r="W1970" s="6" t="str">
        <f t="shared" si="91"/>
        <v>Reorder Required</v>
      </c>
      <c r="X1970" s="8" t="str">
        <f t="shared" si="92"/>
        <v>LOW</v>
      </c>
    </row>
    <row r="1971" spans="1:24">
      <c r="A1971" s="7" t="s">
        <v>2101</v>
      </c>
      <c r="B1971" s="1" t="s">
        <v>41</v>
      </c>
      <c r="C1971" s="1">
        <v>356</v>
      </c>
      <c r="D1971" s="1">
        <v>20</v>
      </c>
      <c r="E1971" s="1">
        <v>5</v>
      </c>
      <c r="F1971" s="1">
        <v>4</v>
      </c>
      <c r="G1971" s="1">
        <v>1.45</v>
      </c>
      <c r="H1971" s="1" t="s">
        <v>266</v>
      </c>
      <c r="I1971" s="1" t="s">
        <v>39</v>
      </c>
      <c r="J1971" s="1">
        <v>148</v>
      </c>
      <c r="K1971" s="1">
        <v>4.99</v>
      </c>
      <c r="L1971" s="4">
        <v>173.41</v>
      </c>
      <c r="M1971" s="1">
        <v>0.9</v>
      </c>
      <c r="N1971" s="1">
        <v>9</v>
      </c>
      <c r="O1971" s="1">
        <v>0.78</v>
      </c>
      <c r="P1971" s="1">
        <v>363</v>
      </c>
      <c r="Q1971" s="1">
        <v>12.97</v>
      </c>
      <c r="R1971" s="1">
        <v>0.59</v>
      </c>
      <c r="S1971" s="2">
        <v>45635</v>
      </c>
      <c r="T1971" s="1">
        <v>291.94</v>
      </c>
      <c r="U1971" s="1">
        <v>0.57699999999999996</v>
      </c>
      <c r="V1971" s="6">
        <f t="shared" si="90"/>
        <v>61733.96</v>
      </c>
      <c r="W1971" s="6" t="str">
        <f t="shared" si="91"/>
        <v>Sufficient</v>
      </c>
      <c r="X1971" s="8" t="str">
        <f t="shared" si="92"/>
        <v>High</v>
      </c>
    </row>
    <row r="1972" spans="1:24">
      <c r="A1972" s="7" t="s">
        <v>2102</v>
      </c>
      <c r="B1972" s="1" t="s">
        <v>41</v>
      </c>
      <c r="C1972" s="1">
        <v>51</v>
      </c>
      <c r="D1972" s="1">
        <v>81</v>
      </c>
      <c r="E1972" s="1">
        <v>8</v>
      </c>
      <c r="F1972" s="1">
        <v>2</v>
      </c>
      <c r="G1972" s="1">
        <v>39.03</v>
      </c>
      <c r="H1972" s="1" t="s">
        <v>72</v>
      </c>
      <c r="I1972" s="1" t="s">
        <v>31</v>
      </c>
      <c r="J1972" s="1">
        <v>162</v>
      </c>
      <c r="K1972" s="1">
        <v>4.43</v>
      </c>
      <c r="L1972" s="4">
        <v>174.53</v>
      </c>
      <c r="M1972" s="1">
        <v>0.76</v>
      </c>
      <c r="N1972" s="1">
        <v>8</v>
      </c>
      <c r="O1972" s="1">
        <v>0.82</v>
      </c>
      <c r="P1972" s="1">
        <v>452</v>
      </c>
      <c r="Q1972" s="1">
        <v>12.3</v>
      </c>
      <c r="R1972" s="1">
        <v>0.78</v>
      </c>
      <c r="S1972" s="2">
        <v>45337</v>
      </c>
      <c r="T1972" s="1">
        <v>111.74</v>
      </c>
      <c r="U1972" s="1">
        <v>0.64800000000000002</v>
      </c>
      <c r="V1972" s="6">
        <f t="shared" si="90"/>
        <v>8901.0300000000007</v>
      </c>
      <c r="W1972" s="6" t="str">
        <f t="shared" si="91"/>
        <v>Reorder Required</v>
      </c>
      <c r="X1972" s="8" t="str">
        <f t="shared" si="92"/>
        <v>LOW</v>
      </c>
    </row>
    <row r="1973" spans="1:24">
      <c r="A1973" s="7" t="s">
        <v>2103</v>
      </c>
      <c r="B1973" s="1" t="s">
        <v>66</v>
      </c>
      <c r="C1973" s="1">
        <v>412</v>
      </c>
      <c r="D1973" s="1">
        <v>17</v>
      </c>
      <c r="E1973" s="1">
        <v>4</v>
      </c>
      <c r="F1973" s="1">
        <v>9</v>
      </c>
      <c r="G1973" s="1">
        <v>32.880000000000003</v>
      </c>
      <c r="H1973" s="1" t="s">
        <v>269</v>
      </c>
      <c r="I1973" s="1" t="s">
        <v>45</v>
      </c>
      <c r="J1973" s="1">
        <v>68</v>
      </c>
      <c r="K1973" s="1">
        <v>2.96</v>
      </c>
      <c r="L1973" s="4">
        <v>70.86</v>
      </c>
      <c r="M1973" s="1">
        <v>0.26</v>
      </c>
      <c r="N1973" s="1">
        <v>1</v>
      </c>
      <c r="O1973" s="1">
        <v>0.74</v>
      </c>
      <c r="P1973" s="1">
        <v>972</v>
      </c>
      <c r="Q1973" s="1">
        <v>7.14</v>
      </c>
      <c r="R1973" s="1">
        <v>0.31</v>
      </c>
      <c r="S1973" s="2">
        <v>45348</v>
      </c>
      <c r="T1973" s="1">
        <v>97.89</v>
      </c>
      <c r="U1973" s="1">
        <v>0.65900000000000003</v>
      </c>
      <c r="V1973" s="6">
        <f t="shared" si="90"/>
        <v>29194.32</v>
      </c>
      <c r="W1973" s="6" t="str">
        <f t="shared" si="91"/>
        <v>Sufficient</v>
      </c>
      <c r="X1973" s="8" t="str">
        <f t="shared" si="92"/>
        <v>High</v>
      </c>
    </row>
    <row r="1974" spans="1:24">
      <c r="A1974" s="7" t="s">
        <v>2104</v>
      </c>
      <c r="B1974" s="1" t="s">
        <v>29</v>
      </c>
      <c r="C1974" s="1">
        <v>59</v>
      </c>
      <c r="D1974" s="1">
        <v>80</v>
      </c>
      <c r="E1974" s="1">
        <v>9</v>
      </c>
      <c r="F1974" s="1">
        <v>7</v>
      </c>
      <c r="G1974" s="1">
        <v>11.42</v>
      </c>
      <c r="H1974" s="1" t="s">
        <v>195</v>
      </c>
      <c r="I1974" s="1" t="s">
        <v>39</v>
      </c>
      <c r="J1974" s="1">
        <v>38</v>
      </c>
      <c r="K1974" s="1">
        <v>3.03</v>
      </c>
      <c r="L1974" s="4">
        <v>114.07</v>
      </c>
      <c r="M1974" s="1">
        <v>0.49</v>
      </c>
      <c r="N1974" s="1">
        <v>2</v>
      </c>
      <c r="O1974" s="1">
        <v>0.74</v>
      </c>
      <c r="P1974" s="1">
        <v>778</v>
      </c>
      <c r="Q1974" s="1">
        <v>10.119999999999999</v>
      </c>
      <c r="R1974" s="1">
        <v>0.44</v>
      </c>
      <c r="S1974" s="2">
        <v>45585</v>
      </c>
      <c r="T1974" s="1">
        <v>157.99</v>
      </c>
      <c r="U1974" s="1">
        <v>0.68200000000000005</v>
      </c>
      <c r="V1974" s="6">
        <f t="shared" si="90"/>
        <v>6730.1299999999992</v>
      </c>
      <c r="W1974" s="6" t="str">
        <f t="shared" si="91"/>
        <v>Reorder Required</v>
      </c>
      <c r="X1974" s="8" t="str">
        <f t="shared" si="92"/>
        <v>LOW</v>
      </c>
    </row>
    <row r="1975" spans="1:24">
      <c r="A1975" s="7" t="s">
        <v>2105</v>
      </c>
      <c r="B1975" s="1" t="s">
        <v>41</v>
      </c>
      <c r="C1975" s="1">
        <v>167</v>
      </c>
      <c r="D1975" s="1">
        <v>73</v>
      </c>
      <c r="E1975" s="1">
        <v>6</v>
      </c>
      <c r="F1975" s="1">
        <v>2</v>
      </c>
      <c r="G1975" s="1">
        <v>19.36</v>
      </c>
      <c r="H1975" s="1" t="s">
        <v>244</v>
      </c>
      <c r="I1975" s="1" t="s">
        <v>31</v>
      </c>
      <c r="J1975" s="1">
        <v>177</v>
      </c>
      <c r="K1975" s="1">
        <v>0.53</v>
      </c>
      <c r="L1975" s="4">
        <v>125.27</v>
      </c>
      <c r="M1975" s="1">
        <v>1.31</v>
      </c>
      <c r="N1975" s="1">
        <v>6</v>
      </c>
      <c r="O1975" s="1">
        <v>0.94</v>
      </c>
      <c r="P1975" s="1">
        <v>537</v>
      </c>
      <c r="Q1975" s="1">
        <v>3.27</v>
      </c>
      <c r="R1975" s="1">
        <v>0.63</v>
      </c>
      <c r="S1975" s="2">
        <v>45634</v>
      </c>
      <c r="T1975" s="1">
        <v>90.39</v>
      </c>
      <c r="U1975" s="1">
        <v>0.50700000000000001</v>
      </c>
      <c r="V1975" s="6">
        <f t="shared" si="90"/>
        <v>20920.09</v>
      </c>
      <c r="W1975" s="6" t="str">
        <f t="shared" si="91"/>
        <v>Sufficient</v>
      </c>
      <c r="X1975" s="8" t="str">
        <f t="shared" si="92"/>
        <v>Medium</v>
      </c>
    </row>
    <row r="1976" spans="1:24">
      <c r="A1976" s="7" t="s">
        <v>2106</v>
      </c>
      <c r="B1976" s="1" t="s">
        <v>66</v>
      </c>
      <c r="C1976" s="1">
        <v>237</v>
      </c>
      <c r="D1976" s="1">
        <v>30</v>
      </c>
      <c r="E1976" s="1">
        <v>11</v>
      </c>
      <c r="F1976" s="1">
        <v>7</v>
      </c>
      <c r="G1976" s="1">
        <v>1.38</v>
      </c>
      <c r="H1976" s="1" t="s">
        <v>137</v>
      </c>
      <c r="I1976" s="1" t="s">
        <v>39</v>
      </c>
      <c r="J1976" s="1">
        <v>17</v>
      </c>
      <c r="K1976" s="1">
        <v>4.91</v>
      </c>
      <c r="L1976" s="4">
        <v>99.76</v>
      </c>
      <c r="M1976" s="1">
        <v>1.04</v>
      </c>
      <c r="N1976" s="1">
        <v>8</v>
      </c>
      <c r="O1976" s="1">
        <v>0.93</v>
      </c>
      <c r="P1976" s="1">
        <v>842</v>
      </c>
      <c r="Q1976" s="1">
        <v>10.73</v>
      </c>
      <c r="R1976" s="1">
        <v>0.67</v>
      </c>
      <c r="S1976" s="2">
        <v>45544</v>
      </c>
      <c r="T1976" s="1">
        <v>89.1</v>
      </c>
      <c r="U1976" s="1">
        <v>0.59899999999999998</v>
      </c>
      <c r="V1976" s="6">
        <f t="shared" si="90"/>
        <v>23643.120000000003</v>
      </c>
      <c r="W1976" s="6" t="str">
        <f t="shared" si="91"/>
        <v>Sufficient</v>
      </c>
      <c r="X1976" s="8" t="str">
        <f t="shared" si="92"/>
        <v>Medium</v>
      </c>
    </row>
    <row r="1977" spans="1:24">
      <c r="A1977" s="7" t="s">
        <v>2107</v>
      </c>
      <c r="B1977" s="1" t="s">
        <v>41</v>
      </c>
      <c r="C1977" s="1">
        <v>238</v>
      </c>
      <c r="D1977" s="1">
        <v>81</v>
      </c>
      <c r="E1977" s="1">
        <v>12</v>
      </c>
      <c r="F1977" s="1">
        <v>3</v>
      </c>
      <c r="G1977" s="1">
        <v>34.99</v>
      </c>
      <c r="H1977" s="1" t="s">
        <v>36</v>
      </c>
      <c r="I1977" s="1" t="s">
        <v>39</v>
      </c>
      <c r="J1977" s="1">
        <v>107</v>
      </c>
      <c r="K1977" s="1">
        <v>4.13</v>
      </c>
      <c r="L1977" s="4">
        <v>183.12</v>
      </c>
      <c r="M1977" s="1">
        <v>0.23</v>
      </c>
      <c r="N1977" s="1">
        <v>2</v>
      </c>
      <c r="O1977" s="1">
        <v>0.73</v>
      </c>
      <c r="P1977" s="1">
        <v>454</v>
      </c>
      <c r="Q1977" s="1">
        <v>11.23</v>
      </c>
      <c r="R1977" s="1">
        <v>0.63</v>
      </c>
      <c r="S1977" s="2">
        <v>45368</v>
      </c>
      <c r="T1977" s="1">
        <v>290.22000000000003</v>
      </c>
      <c r="U1977" s="1">
        <v>0.75900000000000001</v>
      </c>
      <c r="V1977" s="6">
        <f t="shared" si="90"/>
        <v>43582.559999999998</v>
      </c>
      <c r="W1977" s="6" t="str">
        <f t="shared" si="91"/>
        <v>Sufficient</v>
      </c>
      <c r="X1977" s="8" t="str">
        <f t="shared" si="92"/>
        <v>Medium</v>
      </c>
    </row>
    <row r="1978" spans="1:24">
      <c r="A1978" s="7" t="s">
        <v>2108</v>
      </c>
      <c r="B1978" s="1" t="s">
        <v>33</v>
      </c>
      <c r="C1978" s="1">
        <v>488</v>
      </c>
      <c r="D1978" s="1">
        <v>72</v>
      </c>
      <c r="E1978" s="1">
        <v>11</v>
      </c>
      <c r="F1978" s="1">
        <v>6</v>
      </c>
      <c r="G1978" s="1">
        <v>16.809999999999999</v>
      </c>
      <c r="H1978" s="1" t="s">
        <v>124</v>
      </c>
      <c r="I1978" s="1" t="s">
        <v>31</v>
      </c>
      <c r="J1978" s="1">
        <v>143</v>
      </c>
      <c r="K1978" s="1">
        <v>0.67</v>
      </c>
      <c r="L1978" s="4">
        <v>150.55000000000001</v>
      </c>
      <c r="M1978" s="1">
        <v>1.1299999999999999</v>
      </c>
      <c r="N1978" s="1">
        <v>9</v>
      </c>
      <c r="O1978" s="1">
        <v>0.9</v>
      </c>
      <c r="P1978" s="1">
        <v>428</v>
      </c>
      <c r="Q1978" s="1">
        <v>12.22</v>
      </c>
      <c r="R1978" s="1">
        <v>0.55000000000000004</v>
      </c>
      <c r="S1978" s="2">
        <v>45338</v>
      </c>
      <c r="T1978" s="1">
        <v>85.73</v>
      </c>
      <c r="U1978" s="1">
        <v>0.56000000000000005</v>
      </c>
      <c r="V1978" s="6">
        <f t="shared" si="90"/>
        <v>73468.400000000009</v>
      </c>
      <c r="W1978" s="6" t="str">
        <f t="shared" si="91"/>
        <v>Sufficient</v>
      </c>
      <c r="X1978" s="8" t="str">
        <f t="shared" si="92"/>
        <v>High</v>
      </c>
    </row>
    <row r="1979" spans="1:24">
      <c r="A1979" s="7" t="s">
        <v>2109</v>
      </c>
      <c r="B1979" s="1" t="s">
        <v>29</v>
      </c>
      <c r="C1979" s="1">
        <v>101</v>
      </c>
      <c r="D1979" s="1">
        <v>94</v>
      </c>
      <c r="E1979" s="1">
        <v>9</v>
      </c>
      <c r="F1979" s="1">
        <v>5</v>
      </c>
      <c r="G1979" s="1">
        <v>29.01</v>
      </c>
      <c r="H1979" s="1" t="s">
        <v>91</v>
      </c>
      <c r="I1979" s="1" t="s">
        <v>39</v>
      </c>
      <c r="J1979" s="1">
        <v>118</v>
      </c>
      <c r="K1979" s="1">
        <v>1.29</v>
      </c>
      <c r="L1979" s="4">
        <v>137.78</v>
      </c>
      <c r="M1979" s="1">
        <v>0.2</v>
      </c>
      <c r="N1979" s="1">
        <v>7</v>
      </c>
      <c r="O1979" s="1">
        <v>0.88</v>
      </c>
      <c r="P1979" s="1">
        <v>330</v>
      </c>
      <c r="Q1979" s="1">
        <v>12.45</v>
      </c>
      <c r="R1979" s="1">
        <v>0.77</v>
      </c>
      <c r="S1979" s="2">
        <v>45553</v>
      </c>
      <c r="T1979" s="1">
        <v>185.59</v>
      </c>
      <c r="U1979" s="1">
        <v>0.73599999999999999</v>
      </c>
      <c r="V1979" s="6">
        <f t="shared" si="90"/>
        <v>13915.78</v>
      </c>
      <c r="W1979" s="6" t="str">
        <f t="shared" si="91"/>
        <v>Sufficient</v>
      </c>
      <c r="X1979" s="8" t="str">
        <f t="shared" si="92"/>
        <v>Medium</v>
      </c>
    </row>
    <row r="1980" spans="1:24">
      <c r="A1980" s="7" t="s">
        <v>2110</v>
      </c>
      <c r="B1980" s="1" t="s">
        <v>25</v>
      </c>
      <c r="C1980" s="1">
        <v>352</v>
      </c>
      <c r="D1980" s="1">
        <v>73</v>
      </c>
      <c r="E1980" s="1">
        <v>14</v>
      </c>
      <c r="F1980" s="1">
        <v>4</v>
      </c>
      <c r="G1980" s="1">
        <v>47.88</v>
      </c>
      <c r="H1980" s="1" t="s">
        <v>147</v>
      </c>
      <c r="I1980" s="1" t="s">
        <v>39</v>
      </c>
      <c r="J1980" s="1">
        <v>117</v>
      </c>
      <c r="K1980" s="1">
        <v>4.1900000000000004</v>
      </c>
      <c r="L1980" s="4">
        <v>108.82</v>
      </c>
      <c r="M1980" s="1">
        <v>1.07</v>
      </c>
      <c r="N1980" s="1">
        <v>7</v>
      </c>
      <c r="O1980" s="1">
        <v>0.91</v>
      </c>
      <c r="P1980" s="1">
        <v>686</v>
      </c>
      <c r="Q1980" s="1">
        <v>7.16</v>
      </c>
      <c r="R1980" s="1">
        <v>0.36</v>
      </c>
      <c r="S1980" s="2">
        <v>45330</v>
      </c>
      <c r="T1980" s="1">
        <v>20.86</v>
      </c>
      <c r="U1980" s="1">
        <v>0.502</v>
      </c>
      <c r="V1980" s="6">
        <f t="shared" si="90"/>
        <v>38304.639999999999</v>
      </c>
      <c r="W1980" s="6" t="str">
        <f t="shared" si="91"/>
        <v>Sufficient</v>
      </c>
      <c r="X1980" s="8" t="str">
        <f t="shared" si="92"/>
        <v>High</v>
      </c>
    </row>
    <row r="1981" spans="1:24">
      <c r="A1981" s="7" t="s">
        <v>2111</v>
      </c>
      <c r="B1981" s="1" t="s">
        <v>41</v>
      </c>
      <c r="C1981" s="1">
        <v>227</v>
      </c>
      <c r="D1981" s="1">
        <v>29</v>
      </c>
      <c r="E1981" s="1">
        <v>10</v>
      </c>
      <c r="F1981" s="1">
        <v>2</v>
      </c>
      <c r="G1981" s="1">
        <v>15.67</v>
      </c>
      <c r="H1981" s="1" t="s">
        <v>83</v>
      </c>
      <c r="I1981" s="1" t="s">
        <v>27</v>
      </c>
      <c r="J1981" s="1">
        <v>158</v>
      </c>
      <c r="K1981" s="1">
        <v>0.89</v>
      </c>
      <c r="L1981" s="4">
        <v>26.12</v>
      </c>
      <c r="M1981" s="1">
        <v>1.93</v>
      </c>
      <c r="N1981" s="1">
        <v>3</v>
      </c>
      <c r="O1981" s="1">
        <v>0.84</v>
      </c>
      <c r="P1981" s="1">
        <v>740</v>
      </c>
      <c r="Q1981" s="1">
        <v>13.65</v>
      </c>
      <c r="R1981" s="1">
        <v>0.43</v>
      </c>
      <c r="S1981" s="2">
        <v>45343</v>
      </c>
      <c r="T1981" s="1">
        <v>54.76</v>
      </c>
      <c r="U1981" s="1">
        <v>0.58299999999999996</v>
      </c>
      <c r="V1981" s="6">
        <f t="shared" si="90"/>
        <v>5929.24</v>
      </c>
      <c r="W1981" s="6" t="str">
        <f t="shared" si="91"/>
        <v>Sufficient</v>
      </c>
      <c r="X1981" s="8" t="str">
        <f t="shared" si="92"/>
        <v>Medium</v>
      </c>
    </row>
    <row r="1982" spans="1:24">
      <c r="A1982" s="7" t="s">
        <v>2112</v>
      </c>
      <c r="B1982" s="1" t="s">
        <v>33</v>
      </c>
      <c r="C1982" s="1">
        <v>220</v>
      </c>
      <c r="D1982" s="1">
        <v>17</v>
      </c>
      <c r="E1982" s="1">
        <v>5</v>
      </c>
      <c r="F1982" s="1">
        <v>5</v>
      </c>
      <c r="G1982" s="1">
        <v>49.52</v>
      </c>
      <c r="H1982" s="1" t="s">
        <v>149</v>
      </c>
      <c r="I1982" s="1" t="s">
        <v>27</v>
      </c>
      <c r="J1982" s="1">
        <v>66</v>
      </c>
      <c r="K1982" s="1">
        <v>4.74</v>
      </c>
      <c r="L1982" s="4">
        <v>30.49</v>
      </c>
      <c r="M1982" s="1">
        <v>0.68</v>
      </c>
      <c r="N1982" s="1">
        <v>5</v>
      </c>
      <c r="O1982" s="1">
        <v>0.78</v>
      </c>
      <c r="P1982" s="1">
        <v>376</v>
      </c>
      <c r="Q1982" s="1">
        <v>14.73</v>
      </c>
      <c r="R1982" s="1">
        <v>0.56000000000000005</v>
      </c>
      <c r="S1982" s="2">
        <v>45423</v>
      </c>
      <c r="T1982" s="1">
        <v>16.399999999999999</v>
      </c>
      <c r="U1982" s="1">
        <v>0.69599999999999995</v>
      </c>
      <c r="V1982" s="6">
        <f t="shared" si="90"/>
        <v>6707.7999999999993</v>
      </c>
      <c r="W1982" s="6" t="str">
        <f t="shared" si="91"/>
        <v>Sufficient</v>
      </c>
      <c r="X1982" s="8" t="str">
        <f t="shared" si="92"/>
        <v>Medium</v>
      </c>
    </row>
    <row r="1983" spans="1:24">
      <c r="A1983" s="7" t="s">
        <v>2113</v>
      </c>
      <c r="B1983" s="1" t="s">
        <v>25</v>
      </c>
      <c r="C1983" s="1">
        <v>466</v>
      </c>
      <c r="D1983" s="1">
        <v>67</v>
      </c>
      <c r="E1983" s="1">
        <v>13</v>
      </c>
      <c r="F1983" s="1">
        <v>7</v>
      </c>
      <c r="G1983" s="1">
        <v>32</v>
      </c>
      <c r="H1983" s="1" t="s">
        <v>205</v>
      </c>
      <c r="I1983" s="1" t="s">
        <v>45</v>
      </c>
      <c r="J1983" s="1">
        <v>85</v>
      </c>
      <c r="K1983" s="1">
        <v>5</v>
      </c>
      <c r="L1983" s="4">
        <v>66.81</v>
      </c>
      <c r="M1983" s="1">
        <v>1.47</v>
      </c>
      <c r="N1983" s="1">
        <v>7</v>
      </c>
      <c r="O1983" s="1">
        <v>0.9</v>
      </c>
      <c r="P1983" s="1">
        <v>84</v>
      </c>
      <c r="Q1983" s="1">
        <v>14.69</v>
      </c>
      <c r="R1983" s="1">
        <v>0.76</v>
      </c>
      <c r="S1983" s="2">
        <v>45621</v>
      </c>
      <c r="T1983" s="1">
        <v>165</v>
      </c>
      <c r="U1983" s="1">
        <v>0.64100000000000001</v>
      </c>
      <c r="V1983" s="6">
        <f t="shared" si="90"/>
        <v>31133.460000000003</v>
      </c>
      <c r="W1983" s="6" t="str">
        <f t="shared" si="91"/>
        <v>Sufficient</v>
      </c>
      <c r="X1983" s="8" t="str">
        <f t="shared" si="92"/>
        <v>High</v>
      </c>
    </row>
    <row r="1984" spans="1:24">
      <c r="A1984" s="7" t="s">
        <v>2114</v>
      </c>
      <c r="B1984" s="1" t="s">
        <v>25</v>
      </c>
      <c r="C1984" s="1">
        <v>351</v>
      </c>
      <c r="D1984" s="1">
        <v>55</v>
      </c>
      <c r="E1984" s="1">
        <v>7</v>
      </c>
      <c r="F1984" s="1">
        <v>6</v>
      </c>
      <c r="G1984" s="1">
        <v>12.86</v>
      </c>
      <c r="H1984" s="1" t="s">
        <v>74</v>
      </c>
      <c r="I1984" s="1" t="s">
        <v>27</v>
      </c>
      <c r="J1984" s="1">
        <v>122</v>
      </c>
      <c r="K1984" s="1">
        <v>4.49</v>
      </c>
      <c r="L1984" s="4">
        <v>50.19</v>
      </c>
      <c r="M1984" s="1">
        <v>1.52</v>
      </c>
      <c r="N1984" s="1">
        <v>8</v>
      </c>
      <c r="O1984" s="1">
        <v>0.81</v>
      </c>
      <c r="P1984" s="1">
        <v>119</v>
      </c>
      <c r="Q1984" s="1">
        <v>9.1999999999999993</v>
      </c>
      <c r="R1984" s="1">
        <v>0.27</v>
      </c>
      <c r="S1984" s="2">
        <v>45410</v>
      </c>
      <c r="T1984" s="1">
        <v>152.57</v>
      </c>
      <c r="U1984" s="1">
        <v>0.42699999999999999</v>
      </c>
      <c r="V1984" s="6">
        <f t="shared" si="90"/>
        <v>17616.689999999999</v>
      </c>
      <c r="W1984" s="6" t="str">
        <f t="shared" si="91"/>
        <v>Sufficient</v>
      </c>
      <c r="X1984" s="8" t="str">
        <f t="shared" si="92"/>
        <v>High</v>
      </c>
    </row>
    <row r="1985" spans="1:24">
      <c r="A1985" s="7" t="s">
        <v>2115</v>
      </c>
      <c r="B1985" s="1" t="s">
        <v>41</v>
      </c>
      <c r="C1985" s="1">
        <v>447</v>
      </c>
      <c r="D1985" s="1">
        <v>40</v>
      </c>
      <c r="E1985" s="1">
        <v>4</v>
      </c>
      <c r="F1985" s="1">
        <v>4</v>
      </c>
      <c r="G1985" s="1">
        <v>22.4</v>
      </c>
      <c r="H1985" s="1" t="s">
        <v>350</v>
      </c>
      <c r="I1985" s="1" t="s">
        <v>31</v>
      </c>
      <c r="J1985" s="1">
        <v>15</v>
      </c>
      <c r="K1985" s="1">
        <v>3.83</v>
      </c>
      <c r="L1985" s="4">
        <v>190.98</v>
      </c>
      <c r="M1985" s="1">
        <v>0.87</v>
      </c>
      <c r="N1985" s="1">
        <v>1</v>
      </c>
      <c r="O1985" s="1">
        <v>0.77</v>
      </c>
      <c r="P1985" s="1">
        <v>409</v>
      </c>
      <c r="Q1985" s="1">
        <v>8.83</v>
      </c>
      <c r="R1985" s="1">
        <v>0.28999999999999998</v>
      </c>
      <c r="S1985" s="2">
        <v>45525</v>
      </c>
      <c r="T1985" s="1">
        <v>105.97</v>
      </c>
      <c r="U1985" s="1">
        <v>0.623</v>
      </c>
      <c r="V1985" s="6">
        <f t="shared" si="90"/>
        <v>85368.06</v>
      </c>
      <c r="W1985" s="6" t="str">
        <f t="shared" si="91"/>
        <v>Sufficient</v>
      </c>
      <c r="X1985" s="8" t="str">
        <f t="shared" si="92"/>
        <v>High</v>
      </c>
    </row>
    <row r="1986" spans="1:24">
      <c r="A1986" s="7" t="s">
        <v>2116</v>
      </c>
      <c r="B1986" s="1" t="s">
        <v>66</v>
      </c>
      <c r="C1986" s="1">
        <v>57</v>
      </c>
      <c r="D1986" s="1">
        <v>18</v>
      </c>
      <c r="E1986" s="1">
        <v>12</v>
      </c>
      <c r="F1986" s="1">
        <v>4</v>
      </c>
      <c r="G1986" s="1">
        <v>37.28</v>
      </c>
      <c r="H1986" s="1" t="s">
        <v>72</v>
      </c>
      <c r="I1986" s="1" t="s">
        <v>39</v>
      </c>
      <c r="J1986" s="1">
        <v>133</v>
      </c>
      <c r="K1986" s="1">
        <v>2.69</v>
      </c>
      <c r="L1986" s="4">
        <v>87.86</v>
      </c>
      <c r="M1986" s="1">
        <v>1.23</v>
      </c>
      <c r="N1986" s="1">
        <v>0</v>
      </c>
      <c r="O1986" s="1">
        <v>0.82</v>
      </c>
      <c r="P1986" s="1">
        <v>739</v>
      </c>
      <c r="Q1986" s="1">
        <v>7.4</v>
      </c>
      <c r="R1986" s="1">
        <v>0.83</v>
      </c>
      <c r="S1986" s="2">
        <v>45443</v>
      </c>
      <c r="T1986" s="1">
        <v>213.08</v>
      </c>
      <c r="U1986" s="1">
        <v>0.70599999999999996</v>
      </c>
      <c r="V1986" s="6">
        <f t="shared" si="90"/>
        <v>5008.0199999999995</v>
      </c>
      <c r="W1986" s="6" t="str">
        <f t="shared" si="91"/>
        <v>Sufficient</v>
      </c>
      <c r="X1986" s="8" t="str">
        <f t="shared" si="92"/>
        <v>LOW</v>
      </c>
    </row>
    <row r="1987" spans="1:24">
      <c r="A1987" s="7" t="s">
        <v>2117</v>
      </c>
      <c r="B1987" s="1" t="s">
        <v>41</v>
      </c>
      <c r="C1987" s="1">
        <v>230</v>
      </c>
      <c r="D1987" s="1">
        <v>24</v>
      </c>
      <c r="E1987" s="1">
        <v>9</v>
      </c>
      <c r="F1987" s="1">
        <v>7</v>
      </c>
      <c r="G1987" s="1">
        <v>22.88</v>
      </c>
      <c r="H1987" s="1" t="s">
        <v>106</v>
      </c>
      <c r="I1987" s="1" t="s">
        <v>45</v>
      </c>
      <c r="J1987" s="1">
        <v>143</v>
      </c>
      <c r="K1987" s="1">
        <v>0.87</v>
      </c>
      <c r="L1987" s="4">
        <v>176.56</v>
      </c>
      <c r="M1987" s="1">
        <v>1</v>
      </c>
      <c r="N1987" s="1">
        <v>4</v>
      </c>
      <c r="O1987" s="1">
        <v>0.93</v>
      </c>
      <c r="P1987" s="1">
        <v>960</v>
      </c>
      <c r="Q1987" s="1">
        <v>5.2</v>
      </c>
      <c r="R1987" s="1">
        <v>0.41</v>
      </c>
      <c r="S1987" s="2">
        <v>45427</v>
      </c>
      <c r="T1987" s="1">
        <v>191.48</v>
      </c>
      <c r="U1987" s="1">
        <v>0.55700000000000005</v>
      </c>
      <c r="V1987" s="6">
        <f t="shared" si="90"/>
        <v>40608.800000000003</v>
      </c>
      <c r="W1987" s="6" t="str">
        <f t="shared" si="91"/>
        <v>Sufficient</v>
      </c>
      <c r="X1987" s="8" t="str">
        <f t="shared" si="92"/>
        <v>Medium</v>
      </c>
    </row>
    <row r="1988" spans="1:24">
      <c r="A1988" s="7" t="s">
        <v>2118</v>
      </c>
      <c r="B1988" s="1" t="s">
        <v>33</v>
      </c>
      <c r="C1988" s="1">
        <v>463</v>
      </c>
      <c r="D1988" s="1">
        <v>35</v>
      </c>
      <c r="E1988" s="1">
        <v>10</v>
      </c>
      <c r="F1988" s="1">
        <v>6</v>
      </c>
      <c r="G1988" s="1">
        <v>4.3600000000000003</v>
      </c>
      <c r="H1988" s="1" t="s">
        <v>210</v>
      </c>
      <c r="I1988" s="1" t="s">
        <v>27</v>
      </c>
      <c r="J1988" s="1">
        <v>62</v>
      </c>
      <c r="K1988" s="1">
        <v>3.79</v>
      </c>
      <c r="L1988" s="4">
        <v>165.44</v>
      </c>
      <c r="M1988" s="1">
        <v>0.64</v>
      </c>
      <c r="N1988" s="1">
        <v>9</v>
      </c>
      <c r="O1988" s="1">
        <v>0.84</v>
      </c>
      <c r="P1988" s="1">
        <v>457</v>
      </c>
      <c r="Q1988" s="1">
        <v>5.67</v>
      </c>
      <c r="R1988" s="1">
        <v>0.97</v>
      </c>
      <c r="S1988" s="2">
        <v>45529</v>
      </c>
      <c r="T1988" s="1">
        <v>184.1</v>
      </c>
      <c r="U1988" s="1">
        <v>0.59399999999999997</v>
      </c>
      <c r="V1988" s="6">
        <f t="shared" ref="V1988:V2051" si="93">C1988*L1988</f>
        <v>76598.720000000001</v>
      </c>
      <c r="W1988" s="6" t="str">
        <f t="shared" ref="W1988:W2051" si="94">IF(C1988&lt;=D1988,"Reorder Required","Sufficient")</f>
        <v>Sufficient</v>
      </c>
      <c r="X1988" s="8" t="str">
        <f t="shared" ref="X1988:X2051" si="95">IF(C1988&lt;100,"LOW",IF(C1988&lt;250,"Medium","High"))</f>
        <v>High</v>
      </c>
    </row>
    <row r="1989" spans="1:24">
      <c r="A1989" s="7" t="s">
        <v>2119</v>
      </c>
      <c r="B1989" s="1" t="s">
        <v>25</v>
      </c>
      <c r="C1989" s="1">
        <v>346</v>
      </c>
      <c r="D1989" s="1">
        <v>19</v>
      </c>
      <c r="E1989" s="1">
        <v>11</v>
      </c>
      <c r="F1989" s="1">
        <v>4</v>
      </c>
      <c r="G1989" s="1">
        <v>9.26</v>
      </c>
      <c r="H1989" s="1" t="s">
        <v>91</v>
      </c>
      <c r="I1989" s="1" t="s">
        <v>39</v>
      </c>
      <c r="J1989" s="1">
        <v>141</v>
      </c>
      <c r="K1989" s="1">
        <v>2.29</v>
      </c>
      <c r="L1989" s="4">
        <v>164.39</v>
      </c>
      <c r="M1989" s="1">
        <v>1.53</v>
      </c>
      <c r="N1989" s="1">
        <v>2</v>
      </c>
      <c r="O1989" s="1">
        <v>0.79</v>
      </c>
      <c r="P1989" s="1">
        <v>610</v>
      </c>
      <c r="Q1989" s="1">
        <v>4.0199999999999996</v>
      </c>
      <c r="R1989" s="1">
        <v>0.97</v>
      </c>
      <c r="S1989" s="2">
        <v>45317</v>
      </c>
      <c r="T1989" s="1">
        <v>107.51</v>
      </c>
      <c r="U1989" s="1">
        <v>0.61299999999999999</v>
      </c>
      <c r="V1989" s="6">
        <f t="shared" si="93"/>
        <v>56878.939999999995</v>
      </c>
      <c r="W1989" s="6" t="str">
        <f t="shared" si="94"/>
        <v>Sufficient</v>
      </c>
      <c r="X1989" s="8" t="str">
        <f t="shared" si="95"/>
        <v>High</v>
      </c>
    </row>
    <row r="1990" spans="1:24">
      <c r="A1990" s="7" t="s">
        <v>2120</v>
      </c>
      <c r="B1990" s="1" t="s">
        <v>41</v>
      </c>
      <c r="C1990" s="1">
        <v>268</v>
      </c>
      <c r="D1990" s="1">
        <v>38</v>
      </c>
      <c r="E1990" s="1">
        <v>13</v>
      </c>
      <c r="F1990" s="1">
        <v>6</v>
      </c>
      <c r="G1990" s="1">
        <v>39.770000000000003</v>
      </c>
      <c r="H1990" s="1" t="s">
        <v>50</v>
      </c>
      <c r="I1990" s="1" t="s">
        <v>31</v>
      </c>
      <c r="J1990" s="1">
        <v>18</v>
      </c>
      <c r="K1990" s="1">
        <v>3.07</v>
      </c>
      <c r="L1990" s="4">
        <v>50.98</v>
      </c>
      <c r="M1990" s="1">
        <v>1.44</v>
      </c>
      <c r="N1990" s="1">
        <v>5</v>
      </c>
      <c r="O1990" s="1">
        <v>0.95</v>
      </c>
      <c r="P1990" s="1">
        <v>629</v>
      </c>
      <c r="Q1990" s="1">
        <v>14.38</v>
      </c>
      <c r="R1990" s="1">
        <v>0.75</v>
      </c>
      <c r="S1990" s="2">
        <v>45343</v>
      </c>
      <c r="T1990" s="1">
        <v>104.87</v>
      </c>
      <c r="U1990" s="1">
        <v>0.68799999999999994</v>
      </c>
      <c r="V1990" s="6">
        <f t="shared" si="93"/>
        <v>13662.64</v>
      </c>
      <c r="W1990" s="6" t="str">
        <f t="shared" si="94"/>
        <v>Sufficient</v>
      </c>
      <c r="X1990" s="8" t="str">
        <f t="shared" si="95"/>
        <v>High</v>
      </c>
    </row>
    <row r="1991" spans="1:24">
      <c r="A1991" s="7" t="s">
        <v>2121</v>
      </c>
      <c r="B1991" s="1" t="s">
        <v>66</v>
      </c>
      <c r="C1991" s="1">
        <v>246</v>
      </c>
      <c r="D1991" s="1">
        <v>89</v>
      </c>
      <c r="E1991" s="1">
        <v>13</v>
      </c>
      <c r="F1991" s="1">
        <v>4</v>
      </c>
      <c r="G1991" s="1">
        <v>32.770000000000003</v>
      </c>
      <c r="H1991" s="1" t="s">
        <v>103</v>
      </c>
      <c r="I1991" s="1" t="s">
        <v>39</v>
      </c>
      <c r="J1991" s="1">
        <v>78</v>
      </c>
      <c r="K1991" s="1">
        <v>1.82</v>
      </c>
      <c r="L1991" s="4">
        <v>94.99</v>
      </c>
      <c r="M1991" s="1">
        <v>1.81</v>
      </c>
      <c r="N1991" s="1">
        <v>0</v>
      </c>
      <c r="O1991" s="1">
        <v>0.96</v>
      </c>
      <c r="P1991" s="1">
        <v>568</v>
      </c>
      <c r="Q1991" s="1">
        <v>9.68</v>
      </c>
      <c r="R1991" s="1">
        <v>0.77</v>
      </c>
      <c r="S1991" s="2">
        <v>45381</v>
      </c>
      <c r="T1991" s="1">
        <v>263.3</v>
      </c>
      <c r="U1991" s="1">
        <v>0.69399999999999995</v>
      </c>
      <c r="V1991" s="6">
        <f t="shared" si="93"/>
        <v>23367.539999999997</v>
      </c>
      <c r="W1991" s="6" t="str">
        <f t="shared" si="94"/>
        <v>Sufficient</v>
      </c>
      <c r="X1991" s="8" t="str">
        <f t="shared" si="95"/>
        <v>Medium</v>
      </c>
    </row>
    <row r="1992" spans="1:24">
      <c r="A1992" s="7" t="s">
        <v>2122</v>
      </c>
      <c r="B1992" s="1" t="s">
        <v>41</v>
      </c>
      <c r="C1992" s="1">
        <v>67</v>
      </c>
      <c r="D1992" s="1">
        <v>45</v>
      </c>
      <c r="E1992" s="1">
        <v>9</v>
      </c>
      <c r="F1992" s="1">
        <v>3</v>
      </c>
      <c r="G1992" s="1">
        <v>28.92</v>
      </c>
      <c r="H1992" s="1" t="s">
        <v>81</v>
      </c>
      <c r="I1992" s="1" t="s">
        <v>31</v>
      </c>
      <c r="J1992" s="1">
        <v>83</v>
      </c>
      <c r="K1992" s="1">
        <v>1.59</v>
      </c>
      <c r="L1992" s="4">
        <v>70.41</v>
      </c>
      <c r="M1992" s="1">
        <v>1.27</v>
      </c>
      <c r="N1992" s="1">
        <v>3</v>
      </c>
      <c r="O1992" s="1">
        <v>0.83</v>
      </c>
      <c r="P1992" s="1">
        <v>655</v>
      </c>
      <c r="Q1992" s="1">
        <v>14.08</v>
      </c>
      <c r="R1992" s="1">
        <v>0.72</v>
      </c>
      <c r="S1992" s="2">
        <v>45312</v>
      </c>
      <c r="T1992" s="1">
        <v>167.75</v>
      </c>
      <c r="U1992" s="1">
        <v>0.71099999999999997</v>
      </c>
      <c r="V1992" s="6">
        <f t="shared" si="93"/>
        <v>4717.4699999999993</v>
      </c>
      <c r="W1992" s="6" t="str">
        <f t="shared" si="94"/>
        <v>Sufficient</v>
      </c>
      <c r="X1992" s="8" t="str">
        <f t="shared" si="95"/>
        <v>LOW</v>
      </c>
    </row>
    <row r="1993" spans="1:24">
      <c r="A1993" s="7" t="s">
        <v>2123</v>
      </c>
      <c r="B1993" s="1" t="s">
        <v>29</v>
      </c>
      <c r="C1993" s="1">
        <v>37</v>
      </c>
      <c r="D1993" s="1">
        <v>93</v>
      </c>
      <c r="E1993" s="1">
        <v>12</v>
      </c>
      <c r="F1993" s="1">
        <v>7</v>
      </c>
      <c r="G1993" s="1">
        <v>9.2100000000000009</v>
      </c>
      <c r="H1993" s="1" t="s">
        <v>135</v>
      </c>
      <c r="I1993" s="1" t="s">
        <v>39</v>
      </c>
      <c r="J1993" s="1">
        <v>120</v>
      </c>
      <c r="K1993" s="1">
        <v>1.96</v>
      </c>
      <c r="L1993" s="4">
        <v>194.38</v>
      </c>
      <c r="M1993" s="1">
        <v>0.84</v>
      </c>
      <c r="N1993" s="1">
        <v>5</v>
      </c>
      <c r="O1993" s="1">
        <v>0.81</v>
      </c>
      <c r="P1993" s="1">
        <v>433</v>
      </c>
      <c r="Q1993" s="1">
        <v>6.42</v>
      </c>
      <c r="R1993" s="1">
        <v>0.34</v>
      </c>
      <c r="S1993" s="2">
        <v>45440</v>
      </c>
      <c r="T1993" s="1">
        <v>88.95</v>
      </c>
      <c r="U1993" s="1">
        <v>0.53200000000000003</v>
      </c>
      <c r="V1993" s="6">
        <f t="shared" si="93"/>
        <v>7192.0599999999995</v>
      </c>
      <c r="W1993" s="6" t="str">
        <f t="shared" si="94"/>
        <v>Reorder Required</v>
      </c>
      <c r="X1993" s="8" t="str">
        <f t="shared" si="95"/>
        <v>LOW</v>
      </c>
    </row>
    <row r="1994" spans="1:24">
      <c r="A1994" s="7" t="s">
        <v>2124</v>
      </c>
      <c r="B1994" s="1" t="s">
        <v>66</v>
      </c>
      <c r="C1994" s="1">
        <v>419</v>
      </c>
      <c r="D1994" s="1">
        <v>46</v>
      </c>
      <c r="E1994" s="1">
        <v>12</v>
      </c>
      <c r="F1994" s="1">
        <v>6</v>
      </c>
      <c r="G1994" s="1">
        <v>42.05</v>
      </c>
      <c r="H1994" s="1" t="s">
        <v>72</v>
      </c>
      <c r="I1994" s="1" t="s">
        <v>45</v>
      </c>
      <c r="J1994" s="1">
        <v>96</v>
      </c>
      <c r="K1994" s="1">
        <v>4.16</v>
      </c>
      <c r="L1994" s="4">
        <v>176.58</v>
      </c>
      <c r="M1994" s="1">
        <v>1.46</v>
      </c>
      <c r="N1994" s="1">
        <v>1</v>
      </c>
      <c r="O1994" s="1">
        <v>0.88</v>
      </c>
      <c r="P1994" s="1">
        <v>130</v>
      </c>
      <c r="Q1994" s="1">
        <v>5.17</v>
      </c>
      <c r="R1994" s="1">
        <v>0.6</v>
      </c>
      <c r="S1994" s="2">
        <v>45476</v>
      </c>
      <c r="T1994" s="1">
        <v>167.53</v>
      </c>
      <c r="U1994" s="1">
        <v>0.59899999999999998</v>
      </c>
      <c r="V1994" s="6">
        <f t="shared" si="93"/>
        <v>73987.02</v>
      </c>
      <c r="W1994" s="6" t="str">
        <f t="shared" si="94"/>
        <v>Sufficient</v>
      </c>
      <c r="X1994" s="8" t="str">
        <f t="shared" si="95"/>
        <v>High</v>
      </c>
    </row>
    <row r="1995" spans="1:24">
      <c r="A1995" s="7" t="s">
        <v>2125</v>
      </c>
      <c r="B1995" s="1" t="s">
        <v>33</v>
      </c>
      <c r="C1995" s="1">
        <v>458</v>
      </c>
      <c r="D1995" s="1">
        <v>95</v>
      </c>
      <c r="E1995" s="1">
        <v>10</v>
      </c>
      <c r="F1995" s="1">
        <v>5</v>
      </c>
      <c r="G1995" s="1">
        <v>48.08</v>
      </c>
      <c r="H1995" s="1" t="s">
        <v>183</v>
      </c>
      <c r="I1995" s="1" t="s">
        <v>45</v>
      </c>
      <c r="J1995" s="1">
        <v>13</v>
      </c>
      <c r="K1995" s="1">
        <v>2.42</v>
      </c>
      <c r="L1995" s="4">
        <v>57.49</v>
      </c>
      <c r="M1995" s="1">
        <v>1.28</v>
      </c>
      <c r="N1995" s="1">
        <v>7</v>
      </c>
      <c r="O1995" s="1">
        <v>0.72</v>
      </c>
      <c r="P1995" s="1">
        <v>487</v>
      </c>
      <c r="Q1995" s="1">
        <v>2.86</v>
      </c>
      <c r="R1995" s="1">
        <v>0.83</v>
      </c>
      <c r="S1995" s="2">
        <v>45638</v>
      </c>
      <c r="T1995" s="1">
        <v>87.36</v>
      </c>
      <c r="U1995" s="1">
        <v>0.48</v>
      </c>
      <c r="V1995" s="6">
        <f t="shared" si="93"/>
        <v>26330.420000000002</v>
      </c>
      <c r="W1995" s="6" t="str">
        <f t="shared" si="94"/>
        <v>Sufficient</v>
      </c>
      <c r="X1995" s="8" t="str">
        <f t="shared" si="95"/>
        <v>High</v>
      </c>
    </row>
    <row r="1996" spans="1:24">
      <c r="A1996" s="7" t="s">
        <v>2126</v>
      </c>
      <c r="B1996" s="1" t="s">
        <v>25</v>
      </c>
      <c r="C1996" s="1">
        <v>314</v>
      </c>
      <c r="D1996" s="1">
        <v>80</v>
      </c>
      <c r="E1996" s="1">
        <v>14</v>
      </c>
      <c r="F1996" s="1">
        <v>9</v>
      </c>
      <c r="G1996" s="1">
        <v>3</v>
      </c>
      <c r="H1996" s="1" t="s">
        <v>304</v>
      </c>
      <c r="I1996" s="1" t="s">
        <v>27</v>
      </c>
      <c r="J1996" s="1">
        <v>46</v>
      </c>
      <c r="K1996" s="1">
        <v>1.9</v>
      </c>
      <c r="L1996" s="4">
        <v>69.569999999999993</v>
      </c>
      <c r="M1996" s="1">
        <v>1.27</v>
      </c>
      <c r="N1996" s="1">
        <v>3</v>
      </c>
      <c r="O1996" s="1">
        <v>0.91</v>
      </c>
      <c r="P1996" s="1">
        <v>299</v>
      </c>
      <c r="Q1996" s="1">
        <v>5.2</v>
      </c>
      <c r="R1996" s="1">
        <v>0.82</v>
      </c>
      <c r="S1996" s="2">
        <v>45452</v>
      </c>
      <c r="T1996" s="1">
        <v>63.74</v>
      </c>
      <c r="U1996" s="1">
        <v>0.628</v>
      </c>
      <c r="V1996" s="6">
        <f t="shared" si="93"/>
        <v>21844.98</v>
      </c>
      <c r="W1996" s="6" t="str">
        <f t="shared" si="94"/>
        <v>Sufficient</v>
      </c>
      <c r="X1996" s="8" t="str">
        <f t="shared" si="95"/>
        <v>High</v>
      </c>
    </row>
    <row r="1997" spans="1:24">
      <c r="A1997" s="7" t="s">
        <v>2127</v>
      </c>
      <c r="B1997" s="1" t="s">
        <v>41</v>
      </c>
      <c r="C1997" s="1">
        <v>215</v>
      </c>
      <c r="D1997" s="1">
        <v>32</v>
      </c>
      <c r="E1997" s="1">
        <v>11</v>
      </c>
      <c r="F1997" s="1">
        <v>3</v>
      </c>
      <c r="G1997" s="1">
        <v>4.82</v>
      </c>
      <c r="H1997" s="1" t="s">
        <v>124</v>
      </c>
      <c r="I1997" s="1" t="s">
        <v>27</v>
      </c>
      <c r="J1997" s="1">
        <v>80</v>
      </c>
      <c r="K1997" s="1">
        <v>2.4500000000000002</v>
      </c>
      <c r="L1997" s="4">
        <v>110.49</v>
      </c>
      <c r="M1997" s="1">
        <v>1.71</v>
      </c>
      <c r="N1997" s="1">
        <v>1</v>
      </c>
      <c r="O1997" s="1">
        <v>0.93</v>
      </c>
      <c r="P1997" s="1">
        <v>87</v>
      </c>
      <c r="Q1997" s="1">
        <v>13.46</v>
      </c>
      <c r="R1997" s="1">
        <v>0.92</v>
      </c>
      <c r="S1997" s="2">
        <v>45510</v>
      </c>
      <c r="T1997" s="1">
        <v>91.83</v>
      </c>
      <c r="U1997" s="1">
        <v>0.75800000000000001</v>
      </c>
      <c r="V1997" s="6">
        <f t="shared" si="93"/>
        <v>23755.35</v>
      </c>
      <c r="W1997" s="6" t="str">
        <f t="shared" si="94"/>
        <v>Sufficient</v>
      </c>
      <c r="X1997" s="8" t="str">
        <f t="shared" si="95"/>
        <v>Medium</v>
      </c>
    </row>
    <row r="1998" spans="1:24">
      <c r="A1998" s="7" t="s">
        <v>2128</v>
      </c>
      <c r="B1998" s="1" t="s">
        <v>66</v>
      </c>
      <c r="C1998" s="1">
        <v>206</v>
      </c>
      <c r="D1998" s="1">
        <v>50</v>
      </c>
      <c r="E1998" s="1">
        <v>8</v>
      </c>
      <c r="F1998" s="1">
        <v>8</v>
      </c>
      <c r="G1998" s="1">
        <v>44.35</v>
      </c>
      <c r="H1998" s="1" t="s">
        <v>42</v>
      </c>
      <c r="I1998" s="1" t="s">
        <v>39</v>
      </c>
      <c r="J1998" s="1">
        <v>15</v>
      </c>
      <c r="K1998" s="1">
        <v>0.65</v>
      </c>
      <c r="L1998" s="4">
        <v>62.94</v>
      </c>
      <c r="M1998" s="1">
        <v>1.83</v>
      </c>
      <c r="N1998" s="1">
        <v>0</v>
      </c>
      <c r="O1998" s="1">
        <v>0.82</v>
      </c>
      <c r="P1998" s="1">
        <v>911</v>
      </c>
      <c r="Q1998" s="1">
        <v>9.15</v>
      </c>
      <c r="R1998" s="1">
        <v>0.92</v>
      </c>
      <c r="S1998" s="2">
        <v>45351</v>
      </c>
      <c r="T1998" s="1">
        <v>192.38</v>
      </c>
      <c r="U1998" s="1">
        <v>0.68700000000000006</v>
      </c>
      <c r="V1998" s="6">
        <f t="shared" si="93"/>
        <v>12965.64</v>
      </c>
      <c r="W1998" s="6" t="str">
        <f t="shared" si="94"/>
        <v>Sufficient</v>
      </c>
      <c r="X1998" s="8" t="str">
        <f t="shared" si="95"/>
        <v>Medium</v>
      </c>
    </row>
    <row r="1999" spans="1:24">
      <c r="A1999" s="7" t="s">
        <v>2129</v>
      </c>
      <c r="B1999" s="1" t="s">
        <v>29</v>
      </c>
      <c r="C1999" s="1">
        <v>364</v>
      </c>
      <c r="D1999" s="1">
        <v>89</v>
      </c>
      <c r="E1999" s="1">
        <v>14</v>
      </c>
      <c r="F1999" s="1">
        <v>5</v>
      </c>
      <c r="G1999" s="1">
        <v>40.96</v>
      </c>
      <c r="H1999" s="1" t="s">
        <v>151</v>
      </c>
      <c r="I1999" s="1" t="s">
        <v>39</v>
      </c>
      <c r="J1999" s="1">
        <v>60</v>
      </c>
      <c r="K1999" s="1">
        <v>4.51</v>
      </c>
      <c r="L1999" s="4">
        <v>166.66</v>
      </c>
      <c r="M1999" s="1">
        <v>0.44</v>
      </c>
      <c r="N1999" s="1">
        <v>7</v>
      </c>
      <c r="O1999" s="1">
        <v>0.75</v>
      </c>
      <c r="P1999" s="1">
        <v>94</v>
      </c>
      <c r="Q1999" s="1">
        <v>7.33</v>
      </c>
      <c r="R1999" s="1">
        <v>0.41</v>
      </c>
      <c r="S1999" s="2">
        <v>45340</v>
      </c>
      <c r="T1999" s="1">
        <v>159.59</v>
      </c>
      <c r="U1999" s="1">
        <v>0.54600000000000004</v>
      </c>
      <c r="V1999" s="6">
        <f t="shared" si="93"/>
        <v>60664.24</v>
      </c>
      <c r="W1999" s="6" t="str">
        <f t="shared" si="94"/>
        <v>Sufficient</v>
      </c>
      <c r="X1999" s="8" t="str">
        <f t="shared" si="95"/>
        <v>High</v>
      </c>
    </row>
    <row r="2000" spans="1:24">
      <c r="A2000" s="7" t="s">
        <v>2130</v>
      </c>
      <c r="B2000" s="1" t="s">
        <v>66</v>
      </c>
      <c r="C2000" s="1">
        <v>243</v>
      </c>
      <c r="D2000" s="1">
        <v>37</v>
      </c>
      <c r="E2000" s="1">
        <v>14</v>
      </c>
      <c r="F2000" s="1">
        <v>7</v>
      </c>
      <c r="G2000" s="1">
        <v>31.28</v>
      </c>
      <c r="H2000" s="1" t="s">
        <v>370</v>
      </c>
      <c r="I2000" s="1" t="s">
        <v>27</v>
      </c>
      <c r="J2000" s="1">
        <v>108</v>
      </c>
      <c r="K2000" s="1">
        <v>2.98</v>
      </c>
      <c r="L2000" s="4">
        <v>165.65</v>
      </c>
      <c r="M2000" s="1">
        <v>0.7</v>
      </c>
      <c r="N2000" s="1">
        <v>9</v>
      </c>
      <c r="O2000" s="1">
        <v>0.71</v>
      </c>
      <c r="P2000" s="1">
        <v>408</v>
      </c>
      <c r="Q2000" s="1">
        <v>8.9600000000000009</v>
      </c>
      <c r="R2000" s="1">
        <v>0.78</v>
      </c>
      <c r="S2000" s="2">
        <v>45315</v>
      </c>
      <c r="T2000" s="1">
        <v>57.71</v>
      </c>
      <c r="U2000" s="1">
        <v>0.56699999999999995</v>
      </c>
      <c r="V2000" s="6">
        <f t="shared" si="93"/>
        <v>40252.950000000004</v>
      </c>
      <c r="W2000" s="6" t="str">
        <f t="shared" si="94"/>
        <v>Sufficient</v>
      </c>
      <c r="X2000" s="8" t="str">
        <f t="shared" si="95"/>
        <v>Medium</v>
      </c>
    </row>
    <row r="2001" spans="1:24">
      <c r="A2001" s="7" t="s">
        <v>2131</v>
      </c>
      <c r="B2001" s="1" t="s">
        <v>29</v>
      </c>
      <c r="C2001" s="1">
        <v>337</v>
      </c>
      <c r="D2001" s="1">
        <v>57</v>
      </c>
      <c r="E2001" s="1">
        <v>12</v>
      </c>
      <c r="F2001" s="1">
        <v>4</v>
      </c>
      <c r="G2001" s="1">
        <v>47.3</v>
      </c>
      <c r="H2001" s="1" t="s">
        <v>370</v>
      </c>
      <c r="I2001" s="1" t="s">
        <v>27</v>
      </c>
      <c r="J2001" s="1">
        <v>105</v>
      </c>
      <c r="K2001" s="1">
        <v>0.97</v>
      </c>
      <c r="L2001" s="4">
        <v>147.62</v>
      </c>
      <c r="M2001" s="1">
        <v>1.34</v>
      </c>
      <c r="N2001" s="1">
        <v>0</v>
      </c>
      <c r="O2001" s="1">
        <v>0.89</v>
      </c>
      <c r="P2001" s="1">
        <v>186</v>
      </c>
      <c r="Q2001" s="1">
        <v>13.5</v>
      </c>
      <c r="R2001" s="1">
        <v>0.72</v>
      </c>
      <c r="S2001" s="2">
        <v>45296</v>
      </c>
      <c r="T2001" s="1">
        <v>273.29000000000002</v>
      </c>
      <c r="U2001" s="1">
        <v>0.76800000000000002</v>
      </c>
      <c r="V2001" s="6">
        <f t="shared" si="93"/>
        <v>49747.94</v>
      </c>
      <c r="W2001" s="6" t="str">
        <f t="shared" si="94"/>
        <v>Sufficient</v>
      </c>
      <c r="X2001" s="8" t="str">
        <f t="shared" si="95"/>
        <v>High</v>
      </c>
    </row>
    <row r="2002" spans="1:24">
      <c r="A2002" s="7" t="s">
        <v>2132</v>
      </c>
      <c r="B2002" s="1" t="s">
        <v>33</v>
      </c>
      <c r="C2002" s="1">
        <v>416</v>
      </c>
      <c r="D2002" s="1">
        <v>47</v>
      </c>
      <c r="E2002" s="1">
        <v>4</v>
      </c>
      <c r="F2002" s="1">
        <v>8</v>
      </c>
      <c r="G2002" s="1">
        <v>32.68</v>
      </c>
      <c r="H2002" s="1" t="s">
        <v>274</v>
      </c>
      <c r="I2002" s="1" t="s">
        <v>39</v>
      </c>
      <c r="J2002" s="1">
        <v>151</v>
      </c>
      <c r="K2002" s="1">
        <v>1.8</v>
      </c>
      <c r="L2002" s="4">
        <v>140.97</v>
      </c>
      <c r="M2002" s="1">
        <v>1.1599999999999999</v>
      </c>
      <c r="N2002" s="1">
        <v>6</v>
      </c>
      <c r="O2002" s="1">
        <v>0.78</v>
      </c>
      <c r="P2002" s="1">
        <v>872</v>
      </c>
      <c r="Q2002" s="1">
        <v>3.7</v>
      </c>
      <c r="R2002" s="1">
        <v>0.91</v>
      </c>
      <c r="S2002" s="2">
        <v>45362</v>
      </c>
      <c r="T2002" s="1">
        <v>154.51</v>
      </c>
      <c r="U2002" s="1">
        <v>0.55100000000000005</v>
      </c>
      <c r="V2002" s="6">
        <f t="shared" si="93"/>
        <v>58643.519999999997</v>
      </c>
      <c r="W2002" s="6" t="str">
        <f t="shared" si="94"/>
        <v>Sufficient</v>
      </c>
      <c r="X2002" s="8" t="str">
        <f t="shared" si="95"/>
        <v>High</v>
      </c>
    </row>
    <row r="2003" spans="1:24">
      <c r="A2003" s="7" t="s">
        <v>2133</v>
      </c>
      <c r="B2003" s="1" t="s">
        <v>25</v>
      </c>
      <c r="C2003" s="1">
        <v>384</v>
      </c>
      <c r="D2003" s="1">
        <v>40</v>
      </c>
      <c r="E2003" s="1">
        <v>4</v>
      </c>
      <c r="F2003" s="1">
        <v>5</v>
      </c>
      <c r="G2003" s="1">
        <v>11.58</v>
      </c>
      <c r="H2003" s="1" t="s">
        <v>372</v>
      </c>
      <c r="I2003" s="1" t="s">
        <v>39</v>
      </c>
      <c r="J2003" s="1">
        <v>20</v>
      </c>
      <c r="K2003" s="1">
        <v>4.93</v>
      </c>
      <c r="L2003" s="4">
        <v>113.99</v>
      </c>
      <c r="M2003" s="1">
        <v>1.34</v>
      </c>
      <c r="N2003" s="1">
        <v>6</v>
      </c>
      <c r="O2003" s="1">
        <v>0.84</v>
      </c>
      <c r="P2003" s="1">
        <v>869</v>
      </c>
      <c r="Q2003" s="1">
        <v>14.52</v>
      </c>
      <c r="R2003" s="1">
        <v>0.35</v>
      </c>
      <c r="S2003" s="2">
        <v>45631</v>
      </c>
      <c r="T2003" s="1">
        <v>240.18</v>
      </c>
      <c r="U2003" s="1">
        <v>0.57799999999999996</v>
      </c>
      <c r="V2003" s="6">
        <f t="shared" si="93"/>
        <v>43772.159999999996</v>
      </c>
      <c r="W2003" s="6" t="str">
        <f t="shared" si="94"/>
        <v>Sufficient</v>
      </c>
      <c r="X2003" s="8" t="str">
        <f t="shared" si="95"/>
        <v>High</v>
      </c>
    </row>
    <row r="2004" spans="1:24">
      <c r="A2004" s="7" t="s">
        <v>2134</v>
      </c>
      <c r="B2004" s="1" t="s">
        <v>33</v>
      </c>
      <c r="C2004" s="1">
        <v>356</v>
      </c>
      <c r="D2004" s="1">
        <v>23</v>
      </c>
      <c r="E2004" s="1">
        <v>6</v>
      </c>
      <c r="F2004" s="1">
        <v>3</v>
      </c>
      <c r="G2004" s="1">
        <v>36.700000000000003</v>
      </c>
      <c r="H2004" s="1" t="s">
        <v>558</v>
      </c>
      <c r="I2004" s="1" t="s">
        <v>39</v>
      </c>
      <c r="J2004" s="1">
        <v>19</v>
      </c>
      <c r="K2004" s="1">
        <v>3.17</v>
      </c>
      <c r="L2004" s="4">
        <v>75.95</v>
      </c>
      <c r="M2004" s="1">
        <v>0.92</v>
      </c>
      <c r="N2004" s="1">
        <v>5</v>
      </c>
      <c r="O2004" s="1">
        <v>0.82</v>
      </c>
      <c r="P2004" s="1">
        <v>510</v>
      </c>
      <c r="Q2004" s="1">
        <v>10.33</v>
      </c>
      <c r="R2004" s="1">
        <v>0.79</v>
      </c>
      <c r="S2004" s="2">
        <v>45623</v>
      </c>
      <c r="T2004" s="1">
        <v>105.9</v>
      </c>
      <c r="U2004" s="1">
        <v>0.66800000000000004</v>
      </c>
      <c r="V2004" s="6">
        <f t="shared" si="93"/>
        <v>27038.2</v>
      </c>
      <c r="W2004" s="6" t="str">
        <f t="shared" si="94"/>
        <v>Sufficient</v>
      </c>
      <c r="X2004" s="8" t="str">
        <f t="shared" si="95"/>
        <v>High</v>
      </c>
    </row>
    <row r="2005" spans="1:24">
      <c r="A2005" s="7" t="s">
        <v>2135</v>
      </c>
      <c r="B2005" s="1" t="s">
        <v>41</v>
      </c>
      <c r="C2005" s="1">
        <v>248</v>
      </c>
      <c r="D2005" s="1">
        <v>82</v>
      </c>
      <c r="E2005" s="1">
        <v>11</v>
      </c>
      <c r="F2005" s="1">
        <v>8</v>
      </c>
      <c r="G2005" s="1">
        <v>32.64</v>
      </c>
      <c r="H2005" s="1" t="s">
        <v>99</v>
      </c>
      <c r="I2005" s="1" t="s">
        <v>45</v>
      </c>
      <c r="J2005" s="1">
        <v>22</v>
      </c>
      <c r="K2005" s="1">
        <v>1.81</v>
      </c>
      <c r="L2005" s="4">
        <v>169.02</v>
      </c>
      <c r="M2005" s="1">
        <v>0.88</v>
      </c>
      <c r="N2005" s="1">
        <v>7</v>
      </c>
      <c r="O2005" s="1">
        <v>0.75</v>
      </c>
      <c r="P2005" s="1">
        <v>416</v>
      </c>
      <c r="Q2005" s="1">
        <v>12.97</v>
      </c>
      <c r="R2005" s="1">
        <v>0.54</v>
      </c>
      <c r="S2005" s="2">
        <v>45379</v>
      </c>
      <c r="T2005" s="1">
        <v>287.69</v>
      </c>
      <c r="U2005" s="1">
        <v>0.60299999999999998</v>
      </c>
      <c r="V2005" s="6">
        <f t="shared" si="93"/>
        <v>41916.959999999999</v>
      </c>
      <c r="W2005" s="6" t="str">
        <f t="shared" si="94"/>
        <v>Sufficient</v>
      </c>
      <c r="X2005" s="8" t="str">
        <f t="shared" si="95"/>
        <v>Medium</v>
      </c>
    </row>
    <row r="2006" spans="1:24">
      <c r="A2006" s="7" t="s">
        <v>2136</v>
      </c>
      <c r="B2006" s="1" t="s">
        <v>66</v>
      </c>
      <c r="C2006" s="1">
        <v>409</v>
      </c>
      <c r="D2006" s="1">
        <v>97</v>
      </c>
      <c r="E2006" s="1">
        <v>9</v>
      </c>
      <c r="F2006" s="1">
        <v>8</v>
      </c>
      <c r="G2006" s="1">
        <v>49.3</v>
      </c>
      <c r="H2006" s="1" t="s">
        <v>145</v>
      </c>
      <c r="I2006" s="1" t="s">
        <v>31</v>
      </c>
      <c r="J2006" s="1">
        <v>130</v>
      </c>
      <c r="K2006" s="1">
        <v>2.42</v>
      </c>
      <c r="L2006" s="4">
        <v>173.18</v>
      </c>
      <c r="M2006" s="1">
        <v>0.32</v>
      </c>
      <c r="N2006" s="1">
        <v>9</v>
      </c>
      <c r="O2006" s="1">
        <v>0.85</v>
      </c>
      <c r="P2006" s="1">
        <v>354</v>
      </c>
      <c r="Q2006" s="1">
        <v>8.36</v>
      </c>
      <c r="R2006" s="1">
        <v>0.52</v>
      </c>
      <c r="S2006" s="2">
        <v>45460</v>
      </c>
      <c r="T2006" s="1">
        <v>228.11</v>
      </c>
      <c r="U2006" s="1">
        <v>0.57299999999999995</v>
      </c>
      <c r="V2006" s="6">
        <f t="shared" si="93"/>
        <v>70830.62000000001</v>
      </c>
      <c r="W2006" s="6" t="str">
        <f t="shared" si="94"/>
        <v>Sufficient</v>
      </c>
      <c r="X2006" s="8" t="str">
        <f t="shared" si="95"/>
        <v>High</v>
      </c>
    </row>
    <row r="2007" spans="1:24">
      <c r="A2007" s="7" t="s">
        <v>2137</v>
      </c>
      <c r="B2007" s="1" t="s">
        <v>29</v>
      </c>
      <c r="C2007" s="1">
        <v>486</v>
      </c>
      <c r="D2007" s="1">
        <v>86</v>
      </c>
      <c r="E2007" s="1">
        <v>4</v>
      </c>
      <c r="F2007" s="1">
        <v>6</v>
      </c>
      <c r="G2007" s="1">
        <v>11.48</v>
      </c>
      <c r="H2007" s="1" t="s">
        <v>171</v>
      </c>
      <c r="I2007" s="1" t="s">
        <v>31</v>
      </c>
      <c r="J2007" s="1">
        <v>171</v>
      </c>
      <c r="K2007" s="1">
        <v>1.66</v>
      </c>
      <c r="L2007" s="4">
        <v>19.41</v>
      </c>
      <c r="M2007" s="1">
        <v>1.28</v>
      </c>
      <c r="N2007" s="1">
        <v>0</v>
      </c>
      <c r="O2007" s="1">
        <v>0.84</v>
      </c>
      <c r="P2007" s="1">
        <v>278</v>
      </c>
      <c r="Q2007" s="1">
        <v>4.3099999999999996</v>
      </c>
      <c r="R2007" s="1">
        <v>0.23</v>
      </c>
      <c r="S2007" s="2">
        <v>45475</v>
      </c>
      <c r="T2007" s="1">
        <v>141.81</v>
      </c>
      <c r="U2007" s="1">
        <v>0.54300000000000004</v>
      </c>
      <c r="V2007" s="6">
        <f t="shared" si="93"/>
        <v>9433.26</v>
      </c>
      <c r="W2007" s="6" t="str">
        <f t="shared" si="94"/>
        <v>Sufficient</v>
      </c>
      <c r="X2007" s="8" t="str">
        <f t="shared" si="95"/>
        <v>High</v>
      </c>
    </row>
    <row r="2008" spans="1:24">
      <c r="A2008" s="7" t="s">
        <v>2138</v>
      </c>
      <c r="B2008" s="1" t="s">
        <v>29</v>
      </c>
      <c r="C2008" s="1">
        <v>96</v>
      </c>
      <c r="D2008" s="1">
        <v>99</v>
      </c>
      <c r="E2008" s="1">
        <v>10</v>
      </c>
      <c r="F2008" s="1">
        <v>2</v>
      </c>
      <c r="G2008" s="1">
        <v>30.3</v>
      </c>
      <c r="H2008" s="1" t="s">
        <v>470</v>
      </c>
      <c r="I2008" s="1" t="s">
        <v>27</v>
      </c>
      <c r="J2008" s="1">
        <v>69</v>
      </c>
      <c r="K2008" s="1">
        <v>0.64</v>
      </c>
      <c r="L2008" s="4">
        <v>85.74</v>
      </c>
      <c r="M2008" s="1">
        <v>0.43</v>
      </c>
      <c r="N2008" s="1">
        <v>0</v>
      </c>
      <c r="O2008" s="1">
        <v>0.89</v>
      </c>
      <c r="P2008" s="1">
        <v>232</v>
      </c>
      <c r="Q2008" s="1">
        <v>8.94</v>
      </c>
      <c r="R2008" s="1">
        <v>0.97</v>
      </c>
      <c r="S2008" s="2">
        <v>45516</v>
      </c>
      <c r="T2008" s="1">
        <v>271.66000000000003</v>
      </c>
      <c r="U2008" s="1">
        <v>0.84799999999999998</v>
      </c>
      <c r="V2008" s="6">
        <f t="shared" si="93"/>
        <v>8231.0399999999991</v>
      </c>
      <c r="W2008" s="6" t="str">
        <f t="shared" si="94"/>
        <v>Reorder Required</v>
      </c>
      <c r="X2008" s="8" t="str">
        <f t="shared" si="95"/>
        <v>LOW</v>
      </c>
    </row>
    <row r="2009" spans="1:24">
      <c r="A2009" s="7" t="s">
        <v>2139</v>
      </c>
      <c r="B2009" s="1" t="s">
        <v>66</v>
      </c>
      <c r="C2009" s="1">
        <v>207</v>
      </c>
      <c r="D2009" s="1">
        <v>38</v>
      </c>
      <c r="E2009" s="1">
        <v>13</v>
      </c>
      <c r="F2009" s="1">
        <v>5</v>
      </c>
      <c r="G2009" s="1">
        <v>39.229999999999997</v>
      </c>
      <c r="H2009" s="1" t="s">
        <v>269</v>
      </c>
      <c r="I2009" s="1" t="s">
        <v>45</v>
      </c>
      <c r="J2009" s="1">
        <v>14</v>
      </c>
      <c r="K2009" s="1">
        <v>4.29</v>
      </c>
      <c r="L2009" s="4">
        <v>15.06</v>
      </c>
      <c r="M2009" s="1">
        <v>1.37</v>
      </c>
      <c r="N2009" s="1">
        <v>0</v>
      </c>
      <c r="O2009" s="1">
        <v>0.78</v>
      </c>
      <c r="P2009" s="1">
        <v>516</v>
      </c>
      <c r="Q2009" s="1">
        <v>1.95</v>
      </c>
      <c r="R2009" s="1">
        <v>0.74</v>
      </c>
      <c r="S2009" s="2">
        <v>45610</v>
      </c>
      <c r="T2009" s="1">
        <v>218.07</v>
      </c>
      <c r="U2009" s="1">
        <v>0.59299999999999997</v>
      </c>
      <c r="V2009" s="6">
        <f t="shared" si="93"/>
        <v>3117.42</v>
      </c>
      <c r="W2009" s="6" t="str">
        <f t="shared" si="94"/>
        <v>Sufficient</v>
      </c>
      <c r="X2009" s="8" t="str">
        <f t="shared" si="95"/>
        <v>Medium</v>
      </c>
    </row>
    <row r="2010" spans="1:24">
      <c r="A2010" s="7" t="s">
        <v>2140</v>
      </c>
      <c r="B2010" s="1" t="s">
        <v>66</v>
      </c>
      <c r="C2010" s="1">
        <v>365</v>
      </c>
      <c r="D2010" s="1">
        <v>60</v>
      </c>
      <c r="E2010" s="1">
        <v>9</v>
      </c>
      <c r="F2010" s="1">
        <v>2</v>
      </c>
      <c r="G2010" s="1">
        <v>17.61</v>
      </c>
      <c r="H2010" s="1" t="s">
        <v>411</v>
      </c>
      <c r="I2010" s="1" t="s">
        <v>39</v>
      </c>
      <c r="J2010" s="1">
        <v>169</v>
      </c>
      <c r="K2010" s="1">
        <v>1.82</v>
      </c>
      <c r="L2010" s="4">
        <v>169.5</v>
      </c>
      <c r="M2010" s="1">
        <v>1.94</v>
      </c>
      <c r="N2010" s="1">
        <v>5</v>
      </c>
      <c r="O2010" s="1">
        <v>0.76</v>
      </c>
      <c r="P2010" s="1">
        <v>887</v>
      </c>
      <c r="Q2010" s="1">
        <v>12.93</v>
      </c>
      <c r="R2010" s="1">
        <v>0.67</v>
      </c>
      <c r="S2010" s="2">
        <v>45429</v>
      </c>
      <c r="T2010" s="1">
        <v>134.85</v>
      </c>
      <c r="U2010" s="1">
        <v>0.56399999999999995</v>
      </c>
      <c r="V2010" s="6">
        <f t="shared" si="93"/>
        <v>61867.5</v>
      </c>
      <c r="W2010" s="6" t="str">
        <f t="shared" si="94"/>
        <v>Sufficient</v>
      </c>
      <c r="X2010" s="8" t="str">
        <f t="shared" si="95"/>
        <v>High</v>
      </c>
    </row>
    <row r="2011" spans="1:24">
      <c r="A2011" s="7" t="s">
        <v>2141</v>
      </c>
      <c r="B2011" s="1" t="s">
        <v>41</v>
      </c>
      <c r="C2011" s="1">
        <v>289</v>
      </c>
      <c r="D2011" s="1">
        <v>58</v>
      </c>
      <c r="E2011" s="1">
        <v>11</v>
      </c>
      <c r="F2011" s="1">
        <v>7</v>
      </c>
      <c r="G2011" s="1">
        <v>19.600000000000001</v>
      </c>
      <c r="H2011" s="1" t="s">
        <v>208</v>
      </c>
      <c r="I2011" s="1" t="s">
        <v>39</v>
      </c>
      <c r="J2011" s="1">
        <v>21</v>
      </c>
      <c r="K2011" s="1">
        <v>4.2699999999999996</v>
      </c>
      <c r="L2011" s="4">
        <v>43.65</v>
      </c>
      <c r="M2011" s="1">
        <v>0.59</v>
      </c>
      <c r="N2011" s="1">
        <v>6</v>
      </c>
      <c r="O2011" s="1">
        <v>0.94</v>
      </c>
      <c r="P2011" s="1">
        <v>253</v>
      </c>
      <c r="Q2011" s="1">
        <v>10.09</v>
      </c>
      <c r="R2011" s="1">
        <v>0.4</v>
      </c>
      <c r="S2011" s="2">
        <v>45339</v>
      </c>
      <c r="T2011" s="1">
        <v>292.5</v>
      </c>
      <c r="U2011" s="1">
        <v>0.624</v>
      </c>
      <c r="V2011" s="6">
        <f t="shared" si="93"/>
        <v>12614.85</v>
      </c>
      <c r="W2011" s="6" t="str">
        <f t="shared" si="94"/>
        <v>Sufficient</v>
      </c>
      <c r="X2011" s="8" t="str">
        <f t="shared" si="95"/>
        <v>High</v>
      </c>
    </row>
    <row r="2012" spans="1:24">
      <c r="A2012" s="7" t="s">
        <v>2142</v>
      </c>
      <c r="B2012" s="1" t="s">
        <v>33</v>
      </c>
      <c r="C2012" s="1">
        <v>114</v>
      </c>
      <c r="D2012" s="1">
        <v>52</v>
      </c>
      <c r="E2012" s="1">
        <v>10</v>
      </c>
      <c r="F2012" s="1">
        <v>5</v>
      </c>
      <c r="G2012" s="1">
        <v>44.51</v>
      </c>
      <c r="H2012" s="1" t="s">
        <v>103</v>
      </c>
      <c r="I2012" s="1" t="s">
        <v>27</v>
      </c>
      <c r="J2012" s="1">
        <v>150</v>
      </c>
      <c r="K2012" s="1">
        <v>2.65</v>
      </c>
      <c r="L2012" s="4">
        <v>138.03</v>
      </c>
      <c r="M2012" s="1">
        <v>0.37</v>
      </c>
      <c r="N2012" s="1">
        <v>9</v>
      </c>
      <c r="O2012" s="1">
        <v>0.91</v>
      </c>
      <c r="P2012" s="1">
        <v>672</v>
      </c>
      <c r="Q2012" s="1">
        <v>4.96</v>
      </c>
      <c r="R2012" s="1">
        <v>0.73</v>
      </c>
      <c r="S2012" s="2">
        <v>45482</v>
      </c>
      <c r="T2012" s="1">
        <v>96.58</v>
      </c>
      <c r="U2012" s="1">
        <v>0.57699999999999996</v>
      </c>
      <c r="V2012" s="6">
        <f t="shared" si="93"/>
        <v>15735.42</v>
      </c>
      <c r="W2012" s="6" t="str">
        <f t="shared" si="94"/>
        <v>Sufficient</v>
      </c>
      <c r="X2012" s="8" t="str">
        <f t="shared" si="95"/>
        <v>Medium</v>
      </c>
    </row>
    <row r="2013" spans="1:24">
      <c r="A2013" s="7" t="s">
        <v>2143</v>
      </c>
      <c r="B2013" s="1" t="s">
        <v>29</v>
      </c>
      <c r="C2013" s="1">
        <v>329</v>
      </c>
      <c r="D2013" s="1">
        <v>81</v>
      </c>
      <c r="E2013" s="1">
        <v>5</v>
      </c>
      <c r="F2013" s="1">
        <v>5</v>
      </c>
      <c r="G2013" s="1">
        <v>20.81</v>
      </c>
      <c r="H2013" s="1" t="s">
        <v>52</v>
      </c>
      <c r="I2013" s="1" t="s">
        <v>27</v>
      </c>
      <c r="J2013" s="1">
        <v>94</v>
      </c>
      <c r="K2013" s="1">
        <v>1.32</v>
      </c>
      <c r="L2013" s="4">
        <v>77.900000000000006</v>
      </c>
      <c r="M2013" s="1">
        <v>0.15</v>
      </c>
      <c r="N2013" s="1">
        <v>8</v>
      </c>
      <c r="O2013" s="1">
        <v>0.93</v>
      </c>
      <c r="P2013" s="1">
        <v>948</v>
      </c>
      <c r="Q2013" s="1">
        <v>4.84</v>
      </c>
      <c r="R2013" s="1">
        <v>0.96</v>
      </c>
      <c r="S2013" s="2">
        <v>45467</v>
      </c>
      <c r="T2013" s="1">
        <v>84.41</v>
      </c>
      <c r="U2013" s="1">
        <v>0.66800000000000004</v>
      </c>
      <c r="V2013" s="6">
        <f t="shared" si="93"/>
        <v>25629.100000000002</v>
      </c>
      <c r="W2013" s="6" t="str">
        <f t="shared" si="94"/>
        <v>Sufficient</v>
      </c>
      <c r="X2013" s="8" t="str">
        <f t="shared" si="95"/>
        <v>High</v>
      </c>
    </row>
    <row r="2014" spans="1:24">
      <c r="A2014" s="7" t="s">
        <v>2144</v>
      </c>
      <c r="B2014" s="1" t="s">
        <v>41</v>
      </c>
      <c r="C2014" s="1">
        <v>151</v>
      </c>
      <c r="D2014" s="1">
        <v>96</v>
      </c>
      <c r="E2014" s="1">
        <v>3</v>
      </c>
      <c r="F2014" s="1">
        <v>6</v>
      </c>
      <c r="G2014" s="1">
        <v>31.61</v>
      </c>
      <c r="H2014" s="1" t="s">
        <v>266</v>
      </c>
      <c r="I2014" s="1" t="s">
        <v>45</v>
      </c>
      <c r="J2014" s="1">
        <v>126</v>
      </c>
      <c r="K2014" s="1">
        <v>4.1100000000000003</v>
      </c>
      <c r="L2014" s="4">
        <v>165.05</v>
      </c>
      <c r="M2014" s="1">
        <v>0.82</v>
      </c>
      <c r="N2014" s="1">
        <v>9</v>
      </c>
      <c r="O2014" s="1">
        <v>0.74</v>
      </c>
      <c r="P2014" s="1">
        <v>117</v>
      </c>
      <c r="Q2014" s="1">
        <v>13.64</v>
      </c>
      <c r="R2014" s="1">
        <v>0.33</v>
      </c>
      <c r="S2014" s="2">
        <v>45385</v>
      </c>
      <c r="T2014" s="1">
        <v>269.45</v>
      </c>
      <c r="U2014" s="1">
        <v>0.53400000000000003</v>
      </c>
      <c r="V2014" s="6">
        <f t="shared" si="93"/>
        <v>24922.550000000003</v>
      </c>
      <c r="W2014" s="6" t="str">
        <f t="shared" si="94"/>
        <v>Sufficient</v>
      </c>
      <c r="X2014" s="8" t="str">
        <f t="shared" si="95"/>
        <v>Medium</v>
      </c>
    </row>
    <row r="2015" spans="1:24">
      <c r="A2015" s="7" t="s">
        <v>2145</v>
      </c>
      <c r="B2015" s="1" t="s">
        <v>33</v>
      </c>
      <c r="C2015" s="1">
        <v>58</v>
      </c>
      <c r="D2015" s="1">
        <v>14</v>
      </c>
      <c r="E2015" s="1">
        <v>4</v>
      </c>
      <c r="F2015" s="1">
        <v>4</v>
      </c>
      <c r="G2015" s="1">
        <v>44.57</v>
      </c>
      <c r="H2015" s="1" t="s">
        <v>258</v>
      </c>
      <c r="I2015" s="1" t="s">
        <v>31</v>
      </c>
      <c r="J2015" s="1">
        <v>131</v>
      </c>
      <c r="K2015" s="1">
        <v>2.2000000000000002</v>
      </c>
      <c r="L2015" s="4">
        <v>106.84</v>
      </c>
      <c r="M2015" s="1">
        <v>0.51</v>
      </c>
      <c r="N2015" s="1">
        <v>4</v>
      </c>
      <c r="O2015" s="1">
        <v>0.77</v>
      </c>
      <c r="P2015" s="1">
        <v>918</v>
      </c>
      <c r="Q2015" s="1">
        <v>12.77</v>
      </c>
      <c r="R2015" s="1">
        <v>0.99</v>
      </c>
      <c r="S2015" s="2">
        <v>45350</v>
      </c>
      <c r="T2015" s="1">
        <v>215.14</v>
      </c>
      <c r="U2015" s="1">
        <v>0.79100000000000004</v>
      </c>
      <c r="V2015" s="6">
        <f t="shared" si="93"/>
        <v>6196.72</v>
      </c>
      <c r="W2015" s="6" t="str">
        <f t="shared" si="94"/>
        <v>Sufficient</v>
      </c>
      <c r="X2015" s="8" t="str">
        <f t="shared" si="95"/>
        <v>LOW</v>
      </c>
    </row>
    <row r="2016" spans="1:24">
      <c r="A2016" s="7" t="s">
        <v>2146</v>
      </c>
      <c r="B2016" s="1" t="s">
        <v>41</v>
      </c>
      <c r="C2016" s="1">
        <v>91</v>
      </c>
      <c r="D2016" s="1">
        <v>51</v>
      </c>
      <c r="E2016" s="1">
        <v>4</v>
      </c>
      <c r="F2016" s="1">
        <v>3</v>
      </c>
      <c r="G2016" s="1">
        <v>11.28</v>
      </c>
      <c r="H2016" s="1" t="s">
        <v>141</v>
      </c>
      <c r="I2016" s="1" t="s">
        <v>31</v>
      </c>
      <c r="J2016" s="1">
        <v>50</v>
      </c>
      <c r="K2016" s="1">
        <v>3.68</v>
      </c>
      <c r="L2016" s="4">
        <v>71.64</v>
      </c>
      <c r="M2016" s="1">
        <v>1.03</v>
      </c>
      <c r="N2016" s="1">
        <v>0</v>
      </c>
      <c r="O2016" s="1">
        <v>0.87</v>
      </c>
      <c r="P2016" s="1">
        <v>599</v>
      </c>
      <c r="Q2016" s="1">
        <v>11.68</v>
      </c>
      <c r="R2016" s="1">
        <v>0.54</v>
      </c>
      <c r="S2016" s="2">
        <v>45497</v>
      </c>
      <c r="T2016" s="1">
        <v>110.2</v>
      </c>
      <c r="U2016" s="1">
        <v>0.73499999999999999</v>
      </c>
      <c r="V2016" s="6">
        <f t="shared" si="93"/>
        <v>6519.24</v>
      </c>
      <c r="W2016" s="6" t="str">
        <f t="shared" si="94"/>
        <v>Sufficient</v>
      </c>
      <c r="X2016" s="8" t="str">
        <f t="shared" si="95"/>
        <v>LOW</v>
      </c>
    </row>
    <row r="2017" spans="1:24">
      <c r="A2017" s="7" t="s">
        <v>2147</v>
      </c>
      <c r="B2017" s="1" t="s">
        <v>29</v>
      </c>
      <c r="C2017" s="1">
        <v>300</v>
      </c>
      <c r="D2017" s="1">
        <v>16</v>
      </c>
      <c r="E2017" s="1">
        <v>6</v>
      </c>
      <c r="F2017" s="1">
        <v>3</v>
      </c>
      <c r="G2017" s="1">
        <v>49.11</v>
      </c>
      <c r="H2017" s="1" t="s">
        <v>183</v>
      </c>
      <c r="I2017" s="1" t="s">
        <v>39</v>
      </c>
      <c r="J2017" s="1">
        <v>57</v>
      </c>
      <c r="K2017" s="1">
        <v>4.2699999999999996</v>
      </c>
      <c r="L2017" s="4">
        <v>71.540000000000006</v>
      </c>
      <c r="M2017" s="1">
        <v>1.1000000000000001</v>
      </c>
      <c r="N2017" s="1">
        <v>8</v>
      </c>
      <c r="O2017" s="1">
        <v>0.96</v>
      </c>
      <c r="P2017" s="1">
        <v>759</v>
      </c>
      <c r="Q2017" s="1">
        <v>6.81</v>
      </c>
      <c r="R2017" s="1">
        <v>0.98</v>
      </c>
      <c r="S2017" s="2">
        <v>45496</v>
      </c>
      <c r="T2017" s="1">
        <v>77.22</v>
      </c>
      <c r="U2017" s="1">
        <v>0.60899999999999999</v>
      </c>
      <c r="V2017" s="6">
        <f t="shared" si="93"/>
        <v>21462.000000000004</v>
      </c>
      <c r="W2017" s="6" t="str">
        <f t="shared" si="94"/>
        <v>Sufficient</v>
      </c>
      <c r="X2017" s="8" t="str">
        <f t="shared" si="95"/>
        <v>High</v>
      </c>
    </row>
    <row r="2018" spans="1:24">
      <c r="A2018" s="7" t="s">
        <v>2148</v>
      </c>
      <c r="B2018" s="1" t="s">
        <v>66</v>
      </c>
      <c r="C2018" s="1">
        <v>352</v>
      </c>
      <c r="D2018" s="1">
        <v>51</v>
      </c>
      <c r="E2018" s="1">
        <v>8</v>
      </c>
      <c r="F2018" s="1">
        <v>3</v>
      </c>
      <c r="G2018" s="1">
        <v>35.4</v>
      </c>
      <c r="H2018" s="1" t="s">
        <v>394</v>
      </c>
      <c r="I2018" s="1" t="s">
        <v>27</v>
      </c>
      <c r="J2018" s="1">
        <v>60</v>
      </c>
      <c r="K2018" s="1">
        <v>4.83</v>
      </c>
      <c r="L2018" s="4">
        <v>72.12</v>
      </c>
      <c r="M2018" s="1">
        <v>0.76</v>
      </c>
      <c r="N2018" s="1">
        <v>4</v>
      </c>
      <c r="O2018" s="1">
        <v>0.97</v>
      </c>
      <c r="P2018" s="1">
        <v>354</v>
      </c>
      <c r="Q2018" s="1">
        <v>13.22</v>
      </c>
      <c r="R2018" s="1">
        <v>0.71</v>
      </c>
      <c r="S2018" s="2">
        <v>45525</v>
      </c>
      <c r="T2018" s="1">
        <v>61.63</v>
      </c>
      <c r="U2018" s="1">
        <v>0.75600000000000001</v>
      </c>
      <c r="V2018" s="6">
        <f t="shared" si="93"/>
        <v>25386.240000000002</v>
      </c>
      <c r="W2018" s="6" t="str">
        <f t="shared" si="94"/>
        <v>Sufficient</v>
      </c>
      <c r="X2018" s="8" t="str">
        <f t="shared" si="95"/>
        <v>High</v>
      </c>
    </row>
    <row r="2019" spans="1:24">
      <c r="A2019" s="7" t="s">
        <v>2149</v>
      </c>
      <c r="B2019" s="1" t="s">
        <v>66</v>
      </c>
      <c r="C2019" s="1">
        <v>179</v>
      </c>
      <c r="D2019" s="1">
        <v>45</v>
      </c>
      <c r="E2019" s="1">
        <v>6</v>
      </c>
      <c r="F2019" s="1">
        <v>9</v>
      </c>
      <c r="G2019" s="1">
        <v>25.31</v>
      </c>
      <c r="H2019" s="1" t="s">
        <v>153</v>
      </c>
      <c r="I2019" s="1" t="s">
        <v>45</v>
      </c>
      <c r="J2019" s="1">
        <v>127</v>
      </c>
      <c r="K2019" s="1">
        <v>0.89</v>
      </c>
      <c r="L2019" s="4">
        <v>159.83000000000001</v>
      </c>
      <c r="M2019" s="1">
        <v>1.52</v>
      </c>
      <c r="N2019" s="1">
        <v>5</v>
      </c>
      <c r="O2019" s="1">
        <v>0.95</v>
      </c>
      <c r="P2019" s="1">
        <v>653</v>
      </c>
      <c r="Q2019" s="1">
        <v>4.46</v>
      </c>
      <c r="R2019" s="1">
        <v>0.46</v>
      </c>
      <c r="S2019" s="2">
        <v>45431</v>
      </c>
      <c r="T2019" s="1">
        <v>100.91</v>
      </c>
      <c r="U2019" s="1">
        <v>0.48899999999999999</v>
      </c>
      <c r="V2019" s="6">
        <f t="shared" si="93"/>
        <v>28609.570000000003</v>
      </c>
      <c r="W2019" s="6" t="str">
        <f t="shared" si="94"/>
        <v>Sufficient</v>
      </c>
      <c r="X2019" s="8" t="str">
        <f t="shared" si="95"/>
        <v>Medium</v>
      </c>
    </row>
    <row r="2020" spans="1:24">
      <c r="A2020" s="7" t="s">
        <v>2150</v>
      </c>
      <c r="B2020" s="1" t="s">
        <v>33</v>
      </c>
      <c r="C2020" s="1">
        <v>206</v>
      </c>
      <c r="D2020" s="1">
        <v>36</v>
      </c>
      <c r="E2020" s="1">
        <v>11</v>
      </c>
      <c r="F2020" s="1">
        <v>7</v>
      </c>
      <c r="G2020" s="1">
        <v>22.12</v>
      </c>
      <c r="H2020" s="1" t="s">
        <v>394</v>
      </c>
      <c r="I2020" s="1" t="s">
        <v>39</v>
      </c>
      <c r="J2020" s="1">
        <v>105</v>
      </c>
      <c r="K2020" s="1">
        <v>0.54</v>
      </c>
      <c r="L2020" s="4">
        <v>145.11000000000001</v>
      </c>
      <c r="M2020" s="1">
        <v>1.82</v>
      </c>
      <c r="N2020" s="1">
        <v>8</v>
      </c>
      <c r="O2020" s="1">
        <v>0.71</v>
      </c>
      <c r="P2020" s="1">
        <v>825</v>
      </c>
      <c r="Q2020" s="1">
        <v>1.34</v>
      </c>
      <c r="R2020" s="1">
        <v>0.5</v>
      </c>
      <c r="S2020" s="2">
        <v>45489</v>
      </c>
      <c r="T2020" s="1">
        <v>46.41</v>
      </c>
      <c r="U2020" s="1">
        <v>0.318</v>
      </c>
      <c r="V2020" s="6">
        <f t="shared" si="93"/>
        <v>29892.660000000003</v>
      </c>
      <c r="W2020" s="6" t="str">
        <f t="shared" si="94"/>
        <v>Sufficient</v>
      </c>
      <c r="X2020" s="8" t="str">
        <f t="shared" si="95"/>
        <v>Medium</v>
      </c>
    </row>
    <row r="2021" spans="1:24">
      <c r="A2021" s="7" t="s">
        <v>2151</v>
      </c>
      <c r="B2021" s="1" t="s">
        <v>25</v>
      </c>
      <c r="C2021" s="1">
        <v>210</v>
      </c>
      <c r="D2021" s="1">
        <v>67</v>
      </c>
      <c r="E2021" s="1">
        <v>6</v>
      </c>
      <c r="F2021" s="1">
        <v>8</v>
      </c>
      <c r="G2021" s="1">
        <v>47.76</v>
      </c>
      <c r="H2021" s="1" t="s">
        <v>115</v>
      </c>
      <c r="I2021" s="1" t="s">
        <v>31</v>
      </c>
      <c r="J2021" s="1">
        <v>85</v>
      </c>
      <c r="K2021" s="1">
        <v>2.97</v>
      </c>
      <c r="L2021" s="4">
        <v>70.650000000000006</v>
      </c>
      <c r="M2021" s="1">
        <v>0.5</v>
      </c>
      <c r="N2021" s="1">
        <v>1</v>
      </c>
      <c r="O2021" s="1">
        <v>0.95</v>
      </c>
      <c r="P2021" s="1">
        <v>804</v>
      </c>
      <c r="Q2021" s="1">
        <v>7.06</v>
      </c>
      <c r="R2021" s="1">
        <v>0.43</v>
      </c>
      <c r="S2021" s="2">
        <v>45645</v>
      </c>
      <c r="T2021" s="1">
        <v>52.15</v>
      </c>
      <c r="U2021" s="1">
        <v>0.7</v>
      </c>
      <c r="V2021" s="6">
        <f t="shared" si="93"/>
        <v>14836.500000000002</v>
      </c>
      <c r="W2021" s="6" t="str">
        <f t="shared" si="94"/>
        <v>Sufficient</v>
      </c>
      <c r="X2021" s="8" t="str">
        <f t="shared" si="95"/>
        <v>Medium</v>
      </c>
    </row>
    <row r="2022" spans="1:24">
      <c r="A2022" s="7" t="s">
        <v>2152</v>
      </c>
      <c r="B2022" s="1" t="s">
        <v>33</v>
      </c>
      <c r="C2022" s="1">
        <v>441</v>
      </c>
      <c r="D2022" s="1">
        <v>55</v>
      </c>
      <c r="E2022" s="1">
        <v>8</v>
      </c>
      <c r="F2022" s="1">
        <v>4</v>
      </c>
      <c r="G2022" s="1">
        <v>11.08</v>
      </c>
      <c r="H2022" s="1" t="s">
        <v>77</v>
      </c>
      <c r="I2022" s="1" t="s">
        <v>31</v>
      </c>
      <c r="J2022" s="1">
        <v>55</v>
      </c>
      <c r="K2022" s="1">
        <v>1.69</v>
      </c>
      <c r="L2022" s="4">
        <v>103.14</v>
      </c>
      <c r="M2022" s="1">
        <v>1.69</v>
      </c>
      <c r="N2022" s="1">
        <v>2</v>
      </c>
      <c r="O2022" s="1">
        <v>0.97</v>
      </c>
      <c r="P2022" s="1">
        <v>677</v>
      </c>
      <c r="Q2022" s="1">
        <v>13.87</v>
      </c>
      <c r="R2022" s="1">
        <v>0.47</v>
      </c>
      <c r="S2022" s="2">
        <v>45536</v>
      </c>
      <c r="T2022" s="1">
        <v>235.22</v>
      </c>
      <c r="U2022" s="1">
        <v>0.66400000000000003</v>
      </c>
      <c r="V2022" s="6">
        <f t="shared" si="93"/>
        <v>45484.74</v>
      </c>
      <c r="W2022" s="6" t="str">
        <f t="shared" si="94"/>
        <v>Sufficient</v>
      </c>
      <c r="X2022" s="8" t="str">
        <f t="shared" si="95"/>
        <v>High</v>
      </c>
    </row>
    <row r="2023" spans="1:24">
      <c r="A2023" s="7" t="s">
        <v>2153</v>
      </c>
      <c r="B2023" s="1" t="s">
        <v>25</v>
      </c>
      <c r="C2023" s="1">
        <v>139</v>
      </c>
      <c r="D2023" s="1">
        <v>75</v>
      </c>
      <c r="E2023" s="1">
        <v>8</v>
      </c>
      <c r="F2023" s="1">
        <v>2</v>
      </c>
      <c r="G2023" s="1">
        <v>16.27</v>
      </c>
      <c r="H2023" s="1" t="s">
        <v>52</v>
      </c>
      <c r="I2023" s="1" t="s">
        <v>45</v>
      </c>
      <c r="J2023" s="1">
        <v>109</v>
      </c>
      <c r="K2023" s="1">
        <v>2.61</v>
      </c>
      <c r="L2023" s="4">
        <v>24.47</v>
      </c>
      <c r="M2023" s="1">
        <v>0.35</v>
      </c>
      <c r="N2023" s="1">
        <v>6</v>
      </c>
      <c r="O2023" s="1">
        <v>0.72</v>
      </c>
      <c r="P2023" s="1">
        <v>144</v>
      </c>
      <c r="Q2023" s="1">
        <v>9</v>
      </c>
      <c r="R2023" s="1">
        <v>0.72</v>
      </c>
      <c r="S2023" s="2">
        <v>45507</v>
      </c>
      <c r="T2023" s="1">
        <v>28.49</v>
      </c>
      <c r="U2023" s="1">
        <v>0.65300000000000002</v>
      </c>
      <c r="V2023" s="6">
        <f t="shared" si="93"/>
        <v>3401.33</v>
      </c>
      <c r="W2023" s="6" t="str">
        <f t="shared" si="94"/>
        <v>Sufficient</v>
      </c>
      <c r="X2023" s="8" t="str">
        <f t="shared" si="95"/>
        <v>Medium</v>
      </c>
    </row>
    <row r="2024" spans="1:24">
      <c r="A2024" s="7" t="s">
        <v>2154</v>
      </c>
      <c r="B2024" s="1" t="s">
        <v>41</v>
      </c>
      <c r="C2024" s="1">
        <v>239</v>
      </c>
      <c r="D2024" s="1">
        <v>34</v>
      </c>
      <c r="E2024" s="1">
        <v>12</v>
      </c>
      <c r="F2024" s="1">
        <v>3</v>
      </c>
      <c r="G2024" s="1">
        <v>16.079999999999998</v>
      </c>
      <c r="H2024" s="1" t="s">
        <v>269</v>
      </c>
      <c r="I2024" s="1" t="s">
        <v>39</v>
      </c>
      <c r="J2024" s="1">
        <v>47</v>
      </c>
      <c r="K2024" s="1">
        <v>0.83</v>
      </c>
      <c r="L2024" s="4">
        <v>167.23</v>
      </c>
      <c r="M2024" s="1">
        <v>0.53</v>
      </c>
      <c r="N2024" s="1">
        <v>2</v>
      </c>
      <c r="O2024" s="1">
        <v>0.82</v>
      </c>
      <c r="P2024" s="1">
        <v>774</v>
      </c>
      <c r="Q2024" s="1">
        <v>4.21</v>
      </c>
      <c r="R2024" s="1">
        <v>0.21</v>
      </c>
      <c r="S2024" s="2">
        <v>45624</v>
      </c>
      <c r="T2024" s="1">
        <v>137.38999999999999</v>
      </c>
      <c r="U2024" s="1">
        <v>0.56899999999999995</v>
      </c>
      <c r="V2024" s="6">
        <f t="shared" si="93"/>
        <v>39967.97</v>
      </c>
      <c r="W2024" s="6" t="str">
        <f t="shared" si="94"/>
        <v>Sufficient</v>
      </c>
      <c r="X2024" s="8" t="str">
        <f t="shared" si="95"/>
        <v>Medium</v>
      </c>
    </row>
    <row r="2025" spans="1:24">
      <c r="A2025" s="7" t="s">
        <v>2155</v>
      </c>
      <c r="B2025" s="1" t="s">
        <v>41</v>
      </c>
      <c r="C2025" s="1">
        <v>72</v>
      </c>
      <c r="D2025" s="1">
        <v>82</v>
      </c>
      <c r="E2025" s="1">
        <v>13</v>
      </c>
      <c r="F2025" s="1">
        <v>9</v>
      </c>
      <c r="G2025" s="1">
        <v>15.16</v>
      </c>
      <c r="H2025" s="1" t="s">
        <v>470</v>
      </c>
      <c r="I2025" s="1" t="s">
        <v>45</v>
      </c>
      <c r="J2025" s="1">
        <v>101</v>
      </c>
      <c r="K2025" s="1">
        <v>2.76</v>
      </c>
      <c r="L2025" s="4">
        <v>60.53</v>
      </c>
      <c r="M2025" s="1">
        <v>1.17</v>
      </c>
      <c r="N2025" s="1">
        <v>1</v>
      </c>
      <c r="O2025" s="1">
        <v>0.86</v>
      </c>
      <c r="P2025" s="1">
        <v>295</v>
      </c>
      <c r="Q2025" s="1">
        <v>10.11</v>
      </c>
      <c r="R2025" s="1">
        <v>0.97</v>
      </c>
      <c r="S2025" s="2">
        <v>45377</v>
      </c>
      <c r="T2025" s="1">
        <v>127.45</v>
      </c>
      <c r="U2025" s="1">
        <v>0.76400000000000001</v>
      </c>
      <c r="V2025" s="6">
        <f t="shared" si="93"/>
        <v>4358.16</v>
      </c>
      <c r="W2025" s="6" t="str">
        <f t="shared" si="94"/>
        <v>Reorder Required</v>
      </c>
      <c r="X2025" s="8" t="str">
        <f t="shared" si="95"/>
        <v>LOW</v>
      </c>
    </row>
    <row r="2026" spans="1:24">
      <c r="A2026" s="7" t="s">
        <v>2156</v>
      </c>
      <c r="B2026" s="1" t="s">
        <v>29</v>
      </c>
      <c r="C2026" s="1">
        <v>241</v>
      </c>
      <c r="D2026" s="1">
        <v>36</v>
      </c>
      <c r="E2026" s="1">
        <v>12</v>
      </c>
      <c r="F2026" s="1">
        <v>2</v>
      </c>
      <c r="G2026" s="1">
        <v>23.96</v>
      </c>
      <c r="H2026" s="1" t="s">
        <v>276</v>
      </c>
      <c r="I2026" s="1" t="s">
        <v>39</v>
      </c>
      <c r="J2026" s="1">
        <v>150</v>
      </c>
      <c r="K2026" s="1">
        <v>1.06</v>
      </c>
      <c r="L2026" s="4">
        <v>178.95</v>
      </c>
      <c r="M2026" s="1">
        <v>0.68</v>
      </c>
      <c r="N2026" s="1">
        <v>6</v>
      </c>
      <c r="O2026" s="1">
        <v>0.77</v>
      </c>
      <c r="P2026" s="1">
        <v>734</v>
      </c>
      <c r="Q2026" s="1">
        <v>11.43</v>
      </c>
      <c r="R2026" s="1">
        <v>0.81</v>
      </c>
      <c r="S2026" s="2">
        <v>45349</v>
      </c>
      <c r="T2026" s="1">
        <v>288.45999999999998</v>
      </c>
      <c r="U2026" s="1">
        <v>0.68</v>
      </c>
      <c r="V2026" s="6">
        <f t="shared" si="93"/>
        <v>43126.95</v>
      </c>
      <c r="W2026" s="6" t="str">
        <f t="shared" si="94"/>
        <v>Sufficient</v>
      </c>
      <c r="X2026" s="8" t="str">
        <f t="shared" si="95"/>
        <v>Medium</v>
      </c>
    </row>
    <row r="2027" spans="1:24">
      <c r="A2027" s="7" t="s">
        <v>2157</v>
      </c>
      <c r="B2027" s="1" t="s">
        <v>25</v>
      </c>
      <c r="C2027" s="1">
        <v>470</v>
      </c>
      <c r="D2027" s="1">
        <v>10</v>
      </c>
      <c r="E2027" s="1">
        <v>3</v>
      </c>
      <c r="F2027" s="1">
        <v>4</v>
      </c>
      <c r="G2027" s="1">
        <v>49.47</v>
      </c>
      <c r="H2027" s="1" t="s">
        <v>282</v>
      </c>
      <c r="I2027" s="1" t="s">
        <v>31</v>
      </c>
      <c r="J2027" s="1">
        <v>159</v>
      </c>
      <c r="K2027" s="1">
        <v>4.2699999999999996</v>
      </c>
      <c r="L2027" s="4">
        <v>123.39</v>
      </c>
      <c r="M2027" s="1">
        <v>0.18</v>
      </c>
      <c r="N2027" s="1">
        <v>7</v>
      </c>
      <c r="O2027" s="1">
        <v>0.86</v>
      </c>
      <c r="P2027" s="1">
        <v>846</v>
      </c>
      <c r="Q2027" s="1">
        <v>8.6999999999999993</v>
      </c>
      <c r="R2027" s="1">
        <v>0.95</v>
      </c>
      <c r="S2027" s="2">
        <v>45359</v>
      </c>
      <c r="T2027" s="1">
        <v>145.01</v>
      </c>
      <c r="U2027" s="1">
        <v>0.72</v>
      </c>
      <c r="V2027" s="6">
        <f t="shared" si="93"/>
        <v>57993.3</v>
      </c>
      <c r="W2027" s="6" t="str">
        <f t="shared" si="94"/>
        <v>Sufficient</v>
      </c>
      <c r="X2027" s="8" t="str">
        <f t="shared" si="95"/>
        <v>High</v>
      </c>
    </row>
    <row r="2028" spans="1:24">
      <c r="A2028" s="7" t="s">
        <v>2158</v>
      </c>
      <c r="B2028" s="1" t="s">
        <v>29</v>
      </c>
      <c r="C2028" s="1">
        <v>431</v>
      </c>
      <c r="D2028" s="1">
        <v>96</v>
      </c>
      <c r="E2028" s="1">
        <v>10</v>
      </c>
      <c r="F2028" s="1">
        <v>7</v>
      </c>
      <c r="G2028" s="1">
        <v>44.55</v>
      </c>
      <c r="H2028" s="1" t="s">
        <v>156</v>
      </c>
      <c r="I2028" s="1" t="s">
        <v>27</v>
      </c>
      <c r="J2028" s="1">
        <v>139</v>
      </c>
      <c r="K2028" s="1">
        <v>3.92</v>
      </c>
      <c r="L2028" s="4">
        <v>117.89</v>
      </c>
      <c r="M2028" s="1">
        <v>0.66</v>
      </c>
      <c r="N2028" s="1">
        <v>8</v>
      </c>
      <c r="O2028" s="1">
        <v>0.97</v>
      </c>
      <c r="P2028" s="1">
        <v>128</v>
      </c>
      <c r="Q2028" s="1">
        <v>12.8</v>
      </c>
      <c r="R2028" s="1">
        <v>0.77</v>
      </c>
      <c r="S2028" s="2">
        <v>45648</v>
      </c>
      <c r="T2028" s="1">
        <v>56.65</v>
      </c>
      <c r="U2028" s="1">
        <v>0.69299999999999995</v>
      </c>
      <c r="V2028" s="6">
        <f t="shared" si="93"/>
        <v>50810.590000000004</v>
      </c>
      <c r="W2028" s="6" t="str">
        <f t="shared" si="94"/>
        <v>Sufficient</v>
      </c>
      <c r="X2028" s="8" t="str">
        <f t="shared" si="95"/>
        <v>High</v>
      </c>
    </row>
    <row r="2029" spans="1:24">
      <c r="A2029" s="7" t="s">
        <v>2159</v>
      </c>
      <c r="B2029" s="1" t="s">
        <v>66</v>
      </c>
      <c r="C2029" s="1">
        <v>150</v>
      </c>
      <c r="D2029" s="1">
        <v>83</v>
      </c>
      <c r="E2029" s="1">
        <v>14</v>
      </c>
      <c r="F2029" s="1">
        <v>4</v>
      </c>
      <c r="G2029" s="1">
        <v>17.07</v>
      </c>
      <c r="H2029" s="1" t="s">
        <v>74</v>
      </c>
      <c r="I2029" s="1" t="s">
        <v>27</v>
      </c>
      <c r="J2029" s="1">
        <v>102</v>
      </c>
      <c r="K2029" s="1">
        <v>0.83</v>
      </c>
      <c r="L2029" s="4">
        <v>40.92</v>
      </c>
      <c r="M2029" s="1">
        <v>1.82</v>
      </c>
      <c r="N2029" s="1">
        <v>1</v>
      </c>
      <c r="O2029" s="1">
        <v>0.96</v>
      </c>
      <c r="P2029" s="1">
        <v>482</v>
      </c>
      <c r="Q2029" s="1">
        <v>9.2899999999999991</v>
      </c>
      <c r="R2029" s="1">
        <v>0.57999999999999996</v>
      </c>
      <c r="S2029" s="2">
        <v>45322</v>
      </c>
      <c r="T2029" s="1">
        <v>35.64</v>
      </c>
      <c r="U2029" s="1">
        <v>0.63</v>
      </c>
      <c r="V2029" s="6">
        <f t="shared" si="93"/>
        <v>6138</v>
      </c>
      <c r="W2029" s="6" t="str">
        <f t="shared" si="94"/>
        <v>Sufficient</v>
      </c>
      <c r="X2029" s="8" t="str">
        <f t="shared" si="95"/>
        <v>Medium</v>
      </c>
    </row>
    <row r="2030" spans="1:24">
      <c r="A2030" s="7" t="s">
        <v>2160</v>
      </c>
      <c r="B2030" s="1" t="s">
        <v>25</v>
      </c>
      <c r="C2030" s="1">
        <v>256</v>
      </c>
      <c r="D2030" s="1">
        <v>51</v>
      </c>
      <c r="E2030" s="1">
        <v>5</v>
      </c>
      <c r="F2030" s="1">
        <v>6</v>
      </c>
      <c r="G2030" s="1">
        <v>21.72</v>
      </c>
      <c r="H2030" s="1" t="s">
        <v>106</v>
      </c>
      <c r="I2030" s="1" t="s">
        <v>31</v>
      </c>
      <c r="J2030" s="1">
        <v>86</v>
      </c>
      <c r="K2030" s="1">
        <v>4.26</v>
      </c>
      <c r="L2030" s="4">
        <v>23.21</v>
      </c>
      <c r="M2030" s="1">
        <v>0.43</v>
      </c>
      <c r="N2030" s="1">
        <v>1</v>
      </c>
      <c r="O2030" s="1">
        <v>0.98</v>
      </c>
      <c r="P2030" s="1">
        <v>329</v>
      </c>
      <c r="Q2030" s="1">
        <v>2.34</v>
      </c>
      <c r="R2030" s="1">
        <v>0.35</v>
      </c>
      <c r="S2030" s="2">
        <v>45373</v>
      </c>
      <c r="T2030" s="1">
        <v>222.41</v>
      </c>
      <c r="U2030" s="1">
        <v>0.63400000000000001</v>
      </c>
      <c r="V2030" s="6">
        <f t="shared" si="93"/>
        <v>5941.76</v>
      </c>
      <c r="W2030" s="6" t="str">
        <f t="shared" si="94"/>
        <v>Sufficient</v>
      </c>
      <c r="X2030" s="8" t="str">
        <f t="shared" si="95"/>
        <v>High</v>
      </c>
    </row>
    <row r="2031" spans="1:24">
      <c r="A2031" s="7" t="s">
        <v>2161</v>
      </c>
      <c r="B2031" s="1" t="s">
        <v>33</v>
      </c>
      <c r="C2031" s="1">
        <v>265</v>
      </c>
      <c r="D2031" s="1">
        <v>61</v>
      </c>
      <c r="E2031" s="1">
        <v>8</v>
      </c>
      <c r="F2031" s="1">
        <v>8</v>
      </c>
      <c r="G2031" s="1">
        <v>33.799999999999997</v>
      </c>
      <c r="H2031" s="1" t="s">
        <v>394</v>
      </c>
      <c r="I2031" s="1" t="s">
        <v>27</v>
      </c>
      <c r="J2031" s="1">
        <v>22</v>
      </c>
      <c r="K2031" s="1">
        <v>1.96</v>
      </c>
      <c r="L2031" s="4">
        <v>115</v>
      </c>
      <c r="M2031" s="1">
        <v>1.55</v>
      </c>
      <c r="N2031" s="1">
        <v>6</v>
      </c>
      <c r="O2031" s="1">
        <v>0.85</v>
      </c>
      <c r="P2031" s="1">
        <v>710</v>
      </c>
      <c r="Q2031" s="1">
        <v>12.33</v>
      </c>
      <c r="R2031" s="1">
        <v>0.61</v>
      </c>
      <c r="S2031" s="2">
        <v>45345</v>
      </c>
      <c r="T2031" s="1">
        <v>52.84</v>
      </c>
      <c r="U2031" s="1">
        <v>0.58099999999999996</v>
      </c>
      <c r="V2031" s="6">
        <f t="shared" si="93"/>
        <v>30475</v>
      </c>
      <c r="W2031" s="6" t="str">
        <f t="shared" si="94"/>
        <v>Sufficient</v>
      </c>
      <c r="X2031" s="8" t="str">
        <f t="shared" si="95"/>
        <v>High</v>
      </c>
    </row>
    <row r="2032" spans="1:24">
      <c r="A2032" s="7" t="s">
        <v>2162</v>
      </c>
      <c r="B2032" s="1" t="s">
        <v>66</v>
      </c>
      <c r="C2032" s="1">
        <v>245</v>
      </c>
      <c r="D2032" s="1">
        <v>34</v>
      </c>
      <c r="E2032" s="1">
        <v>5</v>
      </c>
      <c r="F2032" s="1">
        <v>3</v>
      </c>
      <c r="G2032" s="1">
        <v>1.84</v>
      </c>
      <c r="H2032" s="1" t="s">
        <v>135</v>
      </c>
      <c r="I2032" s="1" t="s">
        <v>27</v>
      </c>
      <c r="J2032" s="1">
        <v>66</v>
      </c>
      <c r="K2032" s="1">
        <v>2.09</v>
      </c>
      <c r="L2032" s="4">
        <v>98.92</v>
      </c>
      <c r="M2032" s="1">
        <v>1.47</v>
      </c>
      <c r="N2032" s="1">
        <v>3</v>
      </c>
      <c r="O2032" s="1">
        <v>0.82</v>
      </c>
      <c r="P2032" s="1">
        <v>418</v>
      </c>
      <c r="Q2032" s="1">
        <v>3.05</v>
      </c>
      <c r="R2032" s="1">
        <v>0.77</v>
      </c>
      <c r="S2032" s="2">
        <v>45505</v>
      </c>
      <c r="T2032" s="1">
        <v>282.02</v>
      </c>
      <c r="U2032" s="1">
        <v>0.55200000000000005</v>
      </c>
      <c r="V2032" s="6">
        <f t="shared" si="93"/>
        <v>24235.4</v>
      </c>
      <c r="W2032" s="6" t="str">
        <f t="shared" si="94"/>
        <v>Sufficient</v>
      </c>
      <c r="X2032" s="8" t="str">
        <f t="shared" si="95"/>
        <v>Medium</v>
      </c>
    </row>
    <row r="2033" spans="1:24">
      <c r="A2033" s="7" t="s">
        <v>2163</v>
      </c>
      <c r="B2033" s="1" t="s">
        <v>66</v>
      </c>
      <c r="C2033" s="1">
        <v>227</v>
      </c>
      <c r="D2033" s="1">
        <v>63</v>
      </c>
      <c r="E2033" s="1">
        <v>13</v>
      </c>
      <c r="F2033" s="1">
        <v>7</v>
      </c>
      <c r="G2033" s="1">
        <v>41.19</v>
      </c>
      <c r="H2033" s="1" t="s">
        <v>244</v>
      </c>
      <c r="I2033" s="1" t="s">
        <v>39</v>
      </c>
      <c r="J2033" s="1">
        <v>171</v>
      </c>
      <c r="K2033" s="1">
        <v>1.31</v>
      </c>
      <c r="L2033" s="4">
        <v>32.74</v>
      </c>
      <c r="M2033" s="1">
        <v>0.3</v>
      </c>
      <c r="N2033" s="1">
        <v>4</v>
      </c>
      <c r="O2033" s="1">
        <v>0.9</v>
      </c>
      <c r="P2033" s="1">
        <v>328</v>
      </c>
      <c r="Q2033" s="1">
        <v>13.36</v>
      </c>
      <c r="R2033" s="1">
        <v>0.88</v>
      </c>
      <c r="S2033" s="2">
        <v>45594</v>
      </c>
      <c r="T2033" s="1">
        <v>172.17</v>
      </c>
      <c r="U2033" s="1">
        <v>0.82399999999999995</v>
      </c>
      <c r="V2033" s="6">
        <f t="shared" si="93"/>
        <v>7431.9800000000005</v>
      </c>
      <c r="W2033" s="6" t="str">
        <f t="shared" si="94"/>
        <v>Sufficient</v>
      </c>
      <c r="X2033" s="8" t="str">
        <f t="shared" si="95"/>
        <v>Medium</v>
      </c>
    </row>
    <row r="2034" spans="1:24">
      <c r="A2034" s="7" t="s">
        <v>2164</v>
      </c>
      <c r="B2034" s="1" t="s">
        <v>33</v>
      </c>
      <c r="C2034" s="1">
        <v>425</v>
      </c>
      <c r="D2034" s="1">
        <v>76</v>
      </c>
      <c r="E2034" s="1">
        <v>4</v>
      </c>
      <c r="F2034" s="1">
        <v>6</v>
      </c>
      <c r="G2034" s="1">
        <v>44.11</v>
      </c>
      <c r="H2034" s="1" t="s">
        <v>156</v>
      </c>
      <c r="I2034" s="1" t="s">
        <v>45</v>
      </c>
      <c r="J2034" s="1">
        <v>156</v>
      </c>
      <c r="K2034" s="1">
        <v>4.26</v>
      </c>
      <c r="L2034" s="4">
        <v>168.76</v>
      </c>
      <c r="M2034" s="1">
        <v>0.73</v>
      </c>
      <c r="N2034" s="1">
        <v>0</v>
      </c>
      <c r="O2034" s="1">
        <v>0.83</v>
      </c>
      <c r="P2034" s="1">
        <v>400</v>
      </c>
      <c r="Q2034" s="1">
        <v>8.31</v>
      </c>
      <c r="R2034" s="1">
        <v>0.46</v>
      </c>
      <c r="S2034" s="2">
        <v>45539</v>
      </c>
      <c r="T2034" s="1">
        <v>126.49</v>
      </c>
      <c r="U2034" s="1">
        <v>0.69599999999999995</v>
      </c>
      <c r="V2034" s="6">
        <f t="shared" si="93"/>
        <v>71723</v>
      </c>
      <c r="W2034" s="6" t="str">
        <f t="shared" si="94"/>
        <v>Sufficient</v>
      </c>
      <c r="X2034" s="8" t="str">
        <f t="shared" si="95"/>
        <v>High</v>
      </c>
    </row>
    <row r="2035" spans="1:24">
      <c r="A2035" s="7" t="s">
        <v>2165</v>
      </c>
      <c r="B2035" s="1" t="s">
        <v>66</v>
      </c>
      <c r="C2035" s="1">
        <v>115</v>
      </c>
      <c r="D2035" s="1">
        <v>15</v>
      </c>
      <c r="E2035" s="1">
        <v>7</v>
      </c>
      <c r="F2035" s="1">
        <v>3</v>
      </c>
      <c r="G2035" s="1">
        <v>43</v>
      </c>
      <c r="H2035" s="1" t="s">
        <v>233</v>
      </c>
      <c r="I2035" s="1" t="s">
        <v>39</v>
      </c>
      <c r="J2035" s="1">
        <v>146</v>
      </c>
      <c r="K2035" s="1">
        <v>2.3199999999999998</v>
      </c>
      <c r="L2035" s="4">
        <v>89.28</v>
      </c>
      <c r="M2035" s="1">
        <v>0.46</v>
      </c>
      <c r="N2035" s="1">
        <v>5</v>
      </c>
      <c r="O2035" s="1">
        <v>0.71</v>
      </c>
      <c r="P2035" s="1">
        <v>275</v>
      </c>
      <c r="Q2035" s="1">
        <v>11.25</v>
      </c>
      <c r="R2035" s="1">
        <v>0.61</v>
      </c>
      <c r="S2035" s="2">
        <v>45583</v>
      </c>
      <c r="T2035" s="1">
        <v>208.46</v>
      </c>
      <c r="U2035" s="1">
        <v>0.66800000000000004</v>
      </c>
      <c r="V2035" s="6">
        <f t="shared" si="93"/>
        <v>10267.200000000001</v>
      </c>
      <c r="W2035" s="6" t="str">
        <f t="shared" si="94"/>
        <v>Sufficient</v>
      </c>
      <c r="X2035" s="8" t="str">
        <f t="shared" si="95"/>
        <v>Medium</v>
      </c>
    </row>
    <row r="2036" spans="1:24">
      <c r="A2036" s="7" t="s">
        <v>2166</v>
      </c>
      <c r="B2036" s="1" t="s">
        <v>25</v>
      </c>
      <c r="C2036" s="1">
        <v>441</v>
      </c>
      <c r="D2036" s="1">
        <v>67</v>
      </c>
      <c r="E2036" s="1">
        <v>3</v>
      </c>
      <c r="F2036" s="1">
        <v>4</v>
      </c>
      <c r="G2036" s="1">
        <v>19.38</v>
      </c>
      <c r="H2036" s="1" t="s">
        <v>119</v>
      </c>
      <c r="I2036" s="1" t="s">
        <v>45</v>
      </c>
      <c r="J2036" s="1">
        <v>125</v>
      </c>
      <c r="K2036" s="1">
        <v>0.72</v>
      </c>
      <c r="L2036" s="4">
        <v>59.49</v>
      </c>
      <c r="M2036" s="1">
        <v>0.14000000000000001</v>
      </c>
      <c r="N2036" s="1">
        <v>9</v>
      </c>
      <c r="O2036" s="1">
        <v>0.92</v>
      </c>
      <c r="P2036" s="1">
        <v>973</v>
      </c>
      <c r="Q2036" s="1">
        <v>14.61</v>
      </c>
      <c r="R2036" s="1">
        <v>0.7</v>
      </c>
      <c r="S2036" s="2">
        <v>45639</v>
      </c>
      <c r="T2036" s="1">
        <v>67.69</v>
      </c>
      <c r="U2036" s="1">
        <v>0.72499999999999998</v>
      </c>
      <c r="V2036" s="6">
        <f t="shared" si="93"/>
        <v>26235.09</v>
      </c>
      <c r="W2036" s="6" t="str">
        <f t="shared" si="94"/>
        <v>Sufficient</v>
      </c>
      <c r="X2036" s="8" t="str">
        <f t="shared" si="95"/>
        <v>High</v>
      </c>
    </row>
    <row r="2037" spans="1:24">
      <c r="A2037" s="7" t="s">
        <v>2167</v>
      </c>
      <c r="B2037" s="1" t="s">
        <v>29</v>
      </c>
      <c r="C2037" s="1">
        <v>219</v>
      </c>
      <c r="D2037" s="1">
        <v>79</v>
      </c>
      <c r="E2037" s="1">
        <v>11</v>
      </c>
      <c r="F2037" s="1">
        <v>4</v>
      </c>
      <c r="G2037" s="1">
        <v>23.64</v>
      </c>
      <c r="H2037" s="1" t="s">
        <v>331</v>
      </c>
      <c r="I2037" s="1" t="s">
        <v>45</v>
      </c>
      <c r="J2037" s="1">
        <v>104</v>
      </c>
      <c r="K2037" s="1">
        <v>4.8499999999999996</v>
      </c>
      <c r="L2037" s="4">
        <v>159.77000000000001</v>
      </c>
      <c r="M2037" s="1">
        <v>0.43</v>
      </c>
      <c r="N2037" s="1">
        <v>7</v>
      </c>
      <c r="O2037" s="1">
        <v>0.78</v>
      </c>
      <c r="P2037" s="1">
        <v>977</v>
      </c>
      <c r="Q2037" s="1">
        <v>7.05</v>
      </c>
      <c r="R2037" s="1">
        <v>0.67</v>
      </c>
      <c r="S2037" s="2">
        <v>45516</v>
      </c>
      <c r="T2037" s="1">
        <v>120.85</v>
      </c>
      <c r="U2037" s="1">
        <v>0.60099999999999998</v>
      </c>
      <c r="V2037" s="6">
        <f t="shared" si="93"/>
        <v>34989.630000000005</v>
      </c>
      <c r="W2037" s="6" t="str">
        <f t="shared" si="94"/>
        <v>Sufficient</v>
      </c>
      <c r="X2037" s="8" t="str">
        <f t="shared" si="95"/>
        <v>Medium</v>
      </c>
    </row>
    <row r="2038" spans="1:24">
      <c r="A2038" s="7" t="s">
        <v>2168</v>
      </c>
      <c r="B2038" s="1" t="s">
        <v>66</v>
      </c>
      <c r="C2038" s="1">
        <v>266</v>
      </c>
      <c r="D2038" s="1">
        <v>62</v>
      </c>
      <c r="E2038" s="1">
        <v>13</v>
      </c>
      <c r="F2038" s="1">
        <v>9</v>
      </c>
      <c r="G2038" s="1">
        <v>1.61</v>
      </c>
      <c r="H2038" s="1" t="s">
        <v>83</v>
      </c>
      <c r="I2038" s="1" t="s">
        <v>27</v>
      </c>
      <c r="J2038" s="1">
        <v>170</v>
      </c>
      <c r="K2038" s="1">
        <v>1.65</v>
      </c>
      <c r="L2038" s="4">
        <v>183.48</v>
      </c>
      <c r="M2038" s="1">
        <v>0.48</v>
      </c>
      <c r="N2038" s="1">
        <v>0</v>
      </c>
      <c r="O2038" s="1">
        <v>0.71</v>
      </c>
      <c r="P2038" s="1">
        <v>455</v>
      </c>
      <c r="Q2038" s="1">
        <v>7.44</v>
      </c>
      <c r="R2038" s="1">
        <v>0.24</v>
      </c>
      <c r="S2038" s="2">
        <v>45384</v>
      </c>
      <c r="T2038" s="1">
        <v>19.690000000000001</v>
      </c>
      <c r="U2038" s="1">
        <v>0.64100000000000001</v>
      </c>
      <c r="V2038" s="6">
        <f t="shared" si="93"/>
        <v>48805.68</v>
      </c>
      <c r="W2038" s="6" t="str">
        <f t="shared" si="94"/>
        <v>Sufficient</v>
      </c>
      <c r="X2038" s="8" t="str">
        <f t="shared" si="95"/>
        <v>High</v>
      </c>
    </row>
    <row r="2039" spans="1:24">
      <c r="A2039" s="7" t="s">
        <v>2169</v>
      </c>
      <c r="B2039" s="1" t="s">
        <v>25</v>
      </c>
      <c r="C2039" s="1">
        <v>91</v>
      </c>
      <c r="D2039" s="1">
        <v>75</v>
      </c>
      <c r="E2039" s="1">
        <v>9</v>
      </c>
      <c r="F2039" s="1">
        <v>5</v>
      </c>
      <c r="G2039" s="1">
        <v>20.57</v>
      </c>
      <c r="H2039" s="1" t="s">
        <v>85</v>
      </c>
      <c r="I2039" s="1" t="s">
        <v>45</v>
      </c>
      <c r="J2039" s="1">
        <v>164</v>
      </c>
      <c r="K2039" s="1">
        <v>4.71</v>
      </c>
      <c r="L2039" s="4">
        <v>68.13</v>
      </c>
      <c r="M2039" s="1">
        <v>0.42</v>
      </c>
      <c r="N2039" s="1">
        <v>1</v>
      </c>
      <c r="O2039" s="1">
        <v>0.71</v>
      </c>
      <c r="P2039" s="1">
        <v>495</v>
      </c>
      <c r="Q2039" s="1">
        <v>12.56</v>
      </c>
      <c r="R2039" s="1">
        <v>0.59</v>
      </c>
      <c r="S2039" s="2">
        <v>45604</v>
      </c>
      <c r="T2039" s="1">
        <v>264.52999999999997</v>
      </c>
      <c r="U2039" s="1">
        <v>0.76500000000000001</v>
      </c>
      <c r="V2039" s="6">
        <f t="shared" si="93"/>
        <v>6199.83</v>
      </c>
      <c r="W2039" s="6" t="str">
        <f t="shared" si="94"/>
        <v>Sufficient</v>
      </c>
      <c r="X2039" s="8" t="str">
        <f t="shared" si="95"/>
        <v>LOW</v>
      </c>
    </row>
    <row r="2040" spans="1:24">
      <c r="A2040" s="7" t="s">
        <v>2170</v>
      </c>
      <c r="B2040" s="1" t="s">
        <v>41</v>
      </c>
      <c r="C2040" s="1">
        <v>337</v>
      </c>
      <c r="D2040" s="1">
        <v>67</v>
      </c>
      <c r="E2040" s="1">
        <v>5</v>
      </c>
      <c r="F2040" s="1">
        <v>5</v>
      </c>
      <c r="G2040" s="1">
        <v>23.56</v>
      </c>
      <c r="H2040" s="1" t="s">
        <v>156</v>
      </c>
      <c r="I2040" s="1" t="s">
        <v>45</v>
      </c>
      <c r="J2040" s="1">
        <v>139</v>
      </c>
      <c r="K2040" s="1">
        <v>1.86</v>
      </c>
      <c r="L2040" s="4">
        <v>157.43</v>
      </c>
      <c r="M2040" s="1">
        <v>0.27</v>
      </c>
      <c r="N2040" s="1">
        <v>6</v>
      </c>
      <c r="O2040" s="1">
        <v>0.98</v>
      </c>
      <c r="P2040" s="1">
        <v>372</v>
      </c>
      <c r="Q2040" s="1">
        <v>2.54</v>
      </c>
      <c r="R2040" s="1">
        <v>0.85</v>
      </c>
      <c r="S2040" s="2">
        <v>45486</v>
      </c>
      <c r="T2040" s="1">
        <v>133.32</v>
      </c>
      <c r="U2040" s="1">
        <v>0.65300000000000002</v>
      </c>
      <c r="V2040" s="6">
        <f t="shared" si="93"/>
        <v>53053.91</v>
      </c>
      <c r="W2040" s="6" t="str">
        <f t="shared" si="94"/>
        <v>Sufficient</v>
      </c>
      <c r="X2040" s="8" t="str">
        <f t="shared" si="95"/>
        <v>High</v>
      </c>
    </row>
    <row r="2041" spans="1:24">
      <c r="A2041" s="7" t="s">
        <v>2171</v>
      </c>
      <c r="B2041" s="1" t="s">
        <v>25</v>
      </c>
      <c r="C2041" s="1">
        <v>204</v>
      </c>
      <c r="D2041" s="1">
        <v>91</v>
      </c>
      <c r="E2041" s="1">
        <v>6</v>
      </c>
      <c r="F2041" s="1">
        <v>4</v>
      </c>
      <c r="G2041" s="1">
        <v>45.44</v>
      </c>
      <c r="H2041" s="1" t="s">
        <v>229</v>
      </c>
      <c r="I2041" s="1" t="s">
        <v>31</v>
      </c>
      <c r="J2041" s="1">
        <v>88</v>
      </c>
      <c r="K2041" s="1">
        <v>4.24</v>
      </c>
      <c r="L2041" s="4">
        <v>133.97999999999999</v>
      </c>
      <c r="M2041" s="1">
        <v>1.1000000000000001</v>
      </c>
      <c r="N2041" s="1">
        <v>1</v>
      </c>
      <c r="O2041" s="1">
        <v>0.78</v>
      </c>
      <c r="P2041" s="1">
        <v>679</v>
      </c>
      <c r="Q2041" s="1">
        <v>1.39</v>
      </c>
      <c r="R2041" s="1">
        <v>0.84</v>
      </c>
      <c r="S2041" s="2">
        <v>45475</v>
      </c>
      <c r="T2041" s="1">
        <v>230.06</v>
      </c>
      <c r="U2041" s="1">
        <v>0.61299999999999999</v>
      </c>
      <c r="V2041" s="6">
        <f t="shared" si="93"/>
        <v>27331.919999999998</v>
      </c>
      <c r="W2041" s="6" t="str">
        <f t="shared" si="94"/>
        <v>Sufficient</v>
      </c>
      <c r="X2041" s="8" t="str">
        <f t="shared" si="95"/>
        <v>Medium</v>
      </c>
    </row>
    <row r="2042" spans="1:24">
      <c r="A2042" s="7" t="s">
        <v>2172</v>
      </c>
      <c r="B2042" s="1" t="s">
        <v>29</v>
      </c>
      <c r="C2042" s="1">
        <v>25</v>
      </c>
      <c r="D2042" s="1">
        <v>96</v>
      </c>
      <c r="E2042" s="1">
        <v>8</v>
      </c>
      <c r="F2042" s="1">
        <v>4</v>
      </c>
      <c r="G2042" s="1">
        <v>44.81</v>
      </c>
      <c r="H2042" s="1" t="s">
        <v>346</v>
      </c>
      <c r="I2042" s="1" t="s">
        <v>45</v>
      </c>
      <c r="J2042" s="1">
        <v>66</v>
      </c>
      <c r="K2042" s="1">
        <v>3.49</v>
      </c>
      <c r="L2042" s="4">
        <v>198.05</v>
      </c>
      <c r="M2042" s="1">
        <v>0.71</v>
      </c>
      <c r="N2042" s="1">
        <v>8</v>
      </c>
      <c r="O2042" s="1">
        <v>0.83</v>
      </c>
      <c r="P2042" s="1">
        <v>122</v>
      </c>
      <c r="Q2042" s="1">
        <v>9.4600000000000009</v>
      </c>
      <c r="R2042" s="1">
        <v>0.61</v>
      </c>
      <c r="S2042" s="2">
        <v>45605</v>
      </c>
      <c r="T2042" s="1">
        <v>275.89</v>
      </c>
      <c r="U2042" s="1">
        <v>0.58299999999999996</v>
      </c>
      <c r="V2042" s="6">
        <f t="shared" si="93"/>
        <v>4951.25</v>
      </c>
      <c r="W2042" s="6" t="str">
        <f t="shared" si="94"/>
        <v>Reorder Required</v>
      </c>
      <c r="X2042" s="8" t="str">
        <f t="shared" si="95"/>
        <v>LOW</v>
      </c>
    </row>
    <row r="2043" spans="1:24">
      <c r="A2043" s="7" t="s">
        <v>2173</v>
      </c>
      <c r="B2043" s="1" t="s">
        <v>25</v>
      </c>
      <c r="C2043" s="1">
        <v>225</v>
      </c>
      <c r="D2043" s="1">
        <v>11</v>
      </c>
      <c r="E2043" s="1">
        <v>5</v>
      </c>
      <c r="F2043" s="1">
        <v>2</v>
      </c>
      <c r="G2043" s="1">
        <v>48.34</v>
      </c>
      <c r="H2043" s="1" t="s">
        <v>266</v>
      </c>
      <c r="I2043" s="1" t="s">
        <v>31</v>
      </c>
      <c r="J2043" s="1">
        <v>104</v>
      </c>
      <c r="K2043" s="1">
        <v>4.38</v>
      </c>
      <c r="L2043" s="4">
        <v>48.76</v>
      </c>
      <c r="M2043" s="1">
        <v>1.83</v>
      </c>
      <c r="N2043" s="1">
        <v>5</v>
      </c>
      <c r="O2043" s="1">
        <v>0.99</v>
      </c>
      <c r="P2043" s="1">
        <v>567</v>
      </c>
      <c r="Q2043" s="1">
        <v>3.35</v>
      </c>
      <c r="R2043" s="1">
        <v>0.96</v>
      </c>
      <c r="S2043" s="2">
        <v>45306</v>
      </c>
      <c r="T2043" s="1">
        <v>199.31</v>
      </c>
      <c r="U2043" s="1">
        <v>0.55200000000000005</v>
      </c>
      <c r="V2043" s="6">
        <f t="shared" si="93"/>
        <v>10971</v>
      </c>
      <c r="W2043" s="6" t="str">
        <f t="shared" si="94"/>
        <v>Sufficient</v>
      </c>
      <c r="X2043" s="8" t="str">
        <f t="shared" si="95"/>
        <v>Medium</v>
      </c>
    </row>
    <row r="2044" spans="1:24">
      <c r="A2044" s="7" t="s">
        <v>2174</v>
      </c>
      <c r="B2044" s="1" t="s">
        <v>33</v>
      </c>
      <c r="C2044" s="1">
        <v>51</v>
      </c>
      <c r="D2044" s="1">
        <v>85</v>
      </c>
      <c r="E2044" s="1">
        <v>14</v>
      </c>
      <c r="F2044" s="1">
        <v>9</v>
      </c>
      <c r="G2044" s="1">
        <v>44.37</v>
      </c>
      <c r="H2044" s="1" t="s">
        <v>151</v>
      </c>
      <c r="I2044" s="1" t="s">
        <v>39</v>
      </c>
      <c r="J2044" s="1">
        <v>66</v>
      </c>
      <c r="K2044" s="1">
        <v>4.8899999999999997</v>
      </c>
      <c r="L2044" s="4">
        <v>192.53</v>
      </c>
      <c r="M2044" s="1">
        <v>0.46</v>
      </c>
      <c r="N2044" s="1">
        <v>4</v>
      </c>
      <c r="O2044" s="1">
        <v>0.84</v>
      </c>
      <c r="P2044" s="1">
        <v>370</v>
      </c>
      <c r="Q2044" s="1">
        <v>4.58</v>
      </c>
      <c r="R2044" s="1">
        <v>0.86</v>
      </c>
      <c r="S2044" s="2">
        <v>45642</v>
      </c>
      <c r="T2044" s="1">
        <v>118.97</v>
      </c>
      <c r="U2044" s="1">
        <v>0.67500000000000004</v>
      </c>
      <c r="V2044" s="6">
        <f t="shared" si="93"/>
        <v>9819.0300000000007</v>
      </c>
      <c r="W2044" s="6" t="str">
        <f t="shared" si="94"/>
        <v>Reorder Required</v>
      </c>
      <c r="X2044" s="8" t="str">
        <f t="shared" si="95"/>
        <v>LOW</v>
      </c>
    </row>
    <row r="2045" spans="1:24">
      <c r="A2045" s="7" t="s">
        <v>2175</v>
      </c>
      <c r="B2045" s="1" t="s">
        <v>29</v>
      </c>
      <c r="C2045" s="1">
        <v>118</v>
      </c>
      <c r="D2045" s="1">
        <v>31</v>
      </c>
      <c r="E2045" s="1">
        <v>9</v>
      </c>
      <c r="F2045" s="1">
        <v>8</v>
      </c>
      <c r="G2045" s="1">
        <v>1.4</v>
      </c>
      <c r="H2045" s="1" t="s">
        <v>135</v>
      </c>
      <c r="I2045" s="1" t="s">
        <v>27</v>
      </c>
      <c r="J2045" s="1">
        <v>153</v>
      </c>
      <c r="K2045" s="1">
        <v>4.42</v>
      </c>
      <c r="L2045" s="4">
        <v>69.900000000000006</v>
      </c>
      <c r="M2045" s="1">
        <v>1.25</v>
      </c>
      <c r="N2045" s="1">
        <v>6</v>
      </c>
      <c r="O2045" s="1">
        <v>0.72</v>
      </c>
      <c r="P2045" s="1">
        <v>71</v>
      </c>
      <c r="Q2045" s="1">
        <v>14.67</v>
      </c>
      <c r="R2045" s="1">
        <v>0.79</v>
      </c>
      <c r="S2045" s="2">
        <v>45358</v>
      </c>
      <c r="T2045" s="1">
        <v>189.66</v>
      </c>
      <c r="U2045" s="1">
        <v>0.65300000000000002</v>
      </c>
      <c r="V2045" s="6">
        <f t="shared" si="93"/>
        <v>8248.2000000000007</v>
      </c>
      <c r="W2045" s="6" t="str">
        <f t="shared" si="94"/>
        <v>Sufficient</v>
      </c>
      <c r="X2045" s="8" t="str">
        <f t="shared" si="95"/>
        <v>Medium</v>
      </c>
    </row>
    <row r="2046" spans="1:24">
      <c r="A2046" s="7" t="s">
        <v>2176</v>
      </c>
      <c r="B2046" s="1" t="s">
        <v>41</v>
      </c>
      <c r="C2046" s="1">
        <v>413</v>
      </c>
      <c r="D2046" s="1">
        <v>46</v>
      </c>
      <c r="E2046" s="1">
        <v>8</v>
      </c>
      <c r="F2046" s="1">
        <v>2</v>
      </c>
      <c r="G2046" s="1">
        <v>32.43</v>
      </c>
      <c r="H2046" s="1" t="s">
        <v>331</v>
      </c>
      <c r="I2046" s="1" t="s">
        <v>45</v>
      </c>
      <c r="J2046" s="1">
        <v>116</v>
      </c>
      <c r="K2046" s="1">
        <v>2.3199999999999998</v>
      </c>
      <c r="L2046" s="4">
        <v>88.27</v>
      </c>
      <c r="M2046" s="1">
        <v>1.81</v>
      </c>
      <c r="N2046" s="1">
        <v>9</v>
      </c>
      <c r="O2046" s="1">
        <v>0.87</v>
      </c>
      <c r="P2046" s="1">
        <v>228</v>
      </c>
      <c r="Q2046" s="1">
        <v>10.14</v>
      </c>
      <c r="R2046" s="1">
        <v>0.61</v>
      </c>
      <c r="S2046" s="2">
        <v>45539</v>
      </c>
      <c r="T2046" s="1">
        <v>114.5</v>
      </c>
      <c r="U2046" s="1">
        <v>0.47</v>
      </c>
      <c r="V2046" s="6">
        <f t="shared" si="93"/>
        <v>36455.509999999995</v>
      </c>
      <c r="W2046" s="6" t="str">
        <f t="shared" si="94"/>
        <v>Sufficient</v>
      </c>
      <c r="X2046" s="8" t="str">
        <f t="shared" si="95"/>
        <v>High</v>
      </c>
    </row>
    <row r="2047" spans="1:24">
      <c r="A2047" s="7" t="s">
        <v>2177</v>
      </c>
      <c r="B2047" s="1" t="s">
        <v>33</v>
      </c>
      <c r="C2047" s="1">
        <v>406</v>
      </c>
      <c r="D2047" s="1">
        <v>29</v>
      </c>
      <c r="E2047" s="1">
        <v>11</v>
      </c>
      <c r="F2047" s="1">
        <v>8</v>
      </c>
      <c r="G2047" s="1">
        <v>4.34</v>
      </c>
      <c r="H2047" s="1" t="s">
        <v>77</v>
      </c>
      <c r="I2047" s="1" t="s">
        <v>31</v>
      </c>
      <c r="J2047" s="1">
        <v>88</v>
      </c>
      <c r="K2047" s="1">
        <v>4.17</v>
      </c>
      <c r="L2047" s="4">
        <v>78.180000000000007</v>
      </c>
      <c r="M2047" s="1">
        <v>0.19</v>
      </c>
      <c r="N2047" s="1">
        <v>7</v>
      </c>
      <c r="O2047" s="1">
        <v>0.73</v>
      </c>
      <c r="P2047" s="1">
        <v>757</v>
      </c>
      <c r="Q2047" s="1">
        <v>12.98</v>
      </c>
      <c r="R2047" s="1">
        <v>0.67</v>
      </c>
      <c r="S2047" s="2">
        <v>45541</v>
      </c>
      <c r="T2047" s="1">
        <v>174.52</v>
      </c>
      <c r="U2047" s="1">
        <v>0.69399999999999995</v>
      </c>
      <c r="V2047" s="6">
        <f t="shared" si="93"/>
        <v>31741.08</v>
      </c>
      <c r="W2047" s="6" t="str">
        <f t="shared" si="94"/>
        <v>Sufficient</v>
      </c>
      <c r="X2047" s="8" t="str">
        <f t="shared" si="95"/>
        <v>High</v>
      </c>
    </row>
    <row r="2048" spans="1:24">
      <c r="A2048" s="7" t="s">
        <v>2178</v>
      </c>
      <c r="B2048" s="1" t="s">
        <v>25</v>
      </c>
      <c r="C2048" s="1">
        <v>275</v>
      </c>
      <c r="D2048" s="1">
        <v>33</v>
      </c>
      <c r="E2048" s="1">
        <v>14</v>
      </c>
      <c r="F2048" s="1">
        <v>6</v>
      </c>
      <c r="G2048" s="1">
        <v>14.36</v>
      </c>
      <c r="H2048" s="1" t="s">
        <v>113</v>
      </c>
      <c r="I2048" s="1" t="s">
        <v>39</v>
      </c>
      <c r="J2048" s="1">
        <v>143</v>
      </c>
      <c r="K2048" s="1">
        <v>3.7</v>
      </c>
      <c r="L2048" s="4">
        <v>61.01</v>
      </c>
      <c r="M2048" s="1">
        <v>1.08</v>
      </c>
      <c r="N2048" s="1">
        <v>8</v>
      </c>
      <c r="O2048" s="1">
        <v>0.73</v>
      </c>
      <c r="P2048" s="1">
        <v>158</v>
      </c>
      <c r="Q2048" s="1">
        <v>13.57</v>
      </c>
      <c r="R2048" s="1">
        <v>0.38</v>
      </c>
      <c r="S2048" s="2">
        <v>45349</v>
      </c>
      <c r="T2048" s="1">
        <v>135.33000000000001</v>
      </c>
      <c r="U2048" s="1">
        <v>0.53500000000000003</v>
      </c>
      <c r="V2048" s="6">
        <f t="shared" si="93"/>
        <v>16777.75</v>
      </c>
      <c r="W2048" s="6" t="str">
        <f t="shared" si="94"/>
        <v>Sufficient</v>
      </c>
      <c r="X2048" s="8" t="str">
        <f t="shared" si="95"/>
        <v>High</v>
      </c>
    </row>
    <row r="2049" spans="1:24">
      <c r="A2049" s="7" t="s">
        <v>2179</v>
      </c>
      <c r="B2049" s="1" t="s">
        <v>29</v>
      </c>
      <c r="C2049" s="1">
        <v>206</v>
      </c>
      <c r="D2049" s="1">
        <v>93</v>
      </c>
      <c r="E2049" s="1">
        <v>7</v>
      </c>
      <c r="F2049" s="1">
        <v>5</v>
      </c>
      <c r="G2049" s="1">
        <v>29.34</v>
      </c>
      <c r="H2049" s="1" t="s">
        <v>183</v>
      </c>
      <c r="I2049" s="1" t="s">
        <v>39</v>
      </c>
      <c r="J2049" s="1">
        <v>23</v>
      </c>
      <c r="K2049" s="1">
        <v>0.78</v>
      </c>
      <c r="L2049" s="4">
        <v>141.71</v>
      </c>
      <c r="M2049" s="1">
        <v>0.96</v>
      </c>
      <c r="N2049" s="1">
        <v>5</v>
      </c>
      <c r="O2049" s="1">
        <v>0.96</v>
      </c>
      <c r="P2049" s="1">
        <v>421</v>
      </c>
      <c r="Q2049" s="1">
        <v>2.7</v>
      </c>
      <c r="R2049" s="1">
        <v>0.63</v>
      </c>
      <c r="S2049" s="2">
        <v>45502</v>
      </c>
      <c r="T2049" s="1">
        <v>53.46</v>
      </c>
      <c r="U2049" s="1">
        <v>0.55800000000000005</v>
      </c>
      <c r="V2049" s="6">
        <f t="shared" si="93"/>
        <v>29192.260000000002</v>
      </c>
      <c r="W2049" s="6" t="str">
        <f t="shared" si="94"/>
        <v>Sufficient</v>
      </c>
      <c r="X2049" s="8" t="str">
        <f t="shared" si="95"/>
        <v>Medium</v>
      </c>
    </row>
    <row r="2050" spans="1:24">
      <c r="A2050" s="7" t="s">
        <v>2180</v>
      </c>
      <c r="B2050" s="1" t="s">
        <v>41</v>
      </c>
      <c r="C2050" s="1">
        <v>95</v>
      </c>
      <c r="D2050" s="1">
        <v>74</v>
      </c>
      <c r="E2050" s="1">
        <v>6</v>
      </c>
      <c r="F2050" s="1">
        <v>5</v>
      </c>
      <c r="G2050" s="1">
        <v>35.33</v>
      </c>
      <c r="H2050" s="1" t="s">
        <v>394</v>
      </c>
      <c r="I2050" s="1" t="s">
        <v>39</v>
      </c>
      <c r="J2050" s="1">
        <v>36</v>
      </c>
      <c r="K2050" s="1">
        <v>4.68</v>
      </c>
      <c r="L2050" s="4">
        <v>121.94</v>
      </c>
      <c r="M2050" s="1">
        <v>1.86</v>
      </c>
      <c r="N2050" s="1">
        <v>4</v>
      </c>
      <c r="O2050" s="1">
        <v>0.79</v>
      </c>
      <c r="P2050" s="1">
        <v>746</v>
      </c>
      <c r="Q2050" s="1">
        <v>13.99</v>
      </c>
      <c r="R2050" s="1">
        <v>0.62</v>
      </c>
      <c r="S2050" s="2">
        <v>45517</v>
      </c>
      <c r="T2050" s="1">
        <v>236.23</v>
      </c>
      <c r="U2050" s="1">
        <v>0.60299999999999998</v>
      </c>
      <c r="V2050" s="6">
        <f t="shared" si="93"/>
        <v>11584.3</v>
      </c>
      <c r="W2050" s="6" t="str">
        <f t="shared" si="94"/>
        <v>Sufficient</v>
      </c>
      <c r="X2050" s="8" t="str">
        <f t="shared" si="95"/>
        <v>LOW</v>
      </c>
    </row>
    <row r="2051" spans="1:24">
      <c r="A2051" s="7" t="s">
        <v>2181</v>
      </c>
      <c r="B2051" s="1" t="s">
        <v>33</v>
      </c>
      <c r="C2051" s="1">
        <v>196</v>
      </c>
      <c r="D2051" s="1">
        <v>74</v>
      </c>
      <c r="E2051" s="1">
        <v>5</v>
      </c>
      <c r="F2051" s="1">
        <v>9</v>
      </c>
      <c r="G2051" s="1">
        <v>33.08</v>
      </c>
      <c r="H2051" s="1" t="s">
        <v>346</v>
      </c>
      <c r="I2051" s="1" t="s">
        <v>31</v>
      </c>
      <c r="J2051" s="1">
        <v>47</v>
      </c>
      <c r="K2051" s="1">
        <v>2.6</v>
      </c>
      <c r="L2051" s="4">
        <v>68.08</v>
      </c>
      <c r="M2051" s="1">
        <v>1.36</v>
      </c>
      <c r="N2051" s="1">
        <v>6</v>
      </c>
      <c r="O2051" s="1">
        <v>0.9</v>
      </c>
      <c r="P2051" s="1">
        <v>505</v>
      </c>
      <c r="Q2051" s="1">
        <v>13.13</v>
      </c>
      <c r="R2051" s="1">
        <v>0.36</v>
      </c>
      <c r="S2051" s="2">
        <v>45315</v>
      </c>
      <c r="T2051" s="1">
        <v>153.96</v>
      </c>
      <c r="U2051" s="1">
        <v>0.57099999999999995</v>
      </c>
      <c r="V2051" s="6">
        <f t="shared" si="93"/>
        <v>13343.68</v>
      </c>
      <c r="W2051" s="6" t="str">
        <f t="shared" si="94"/>
        <v>Sufficient</v>
      </c>
      <c r="X2051" s="8" t="str">
        <f t="shared" si="95"/>
        <v>Medium</v>
      </c>
    </row>
    <row r="2052" spans="1:24">
      <c r="A2052" s="7" t="s">
        <v>2182</v>
      </c>
      <c r="B2052" s="1" t="s">
        <v>41</v>
      </c>
      <c r="C2052" s="1">
        <v>334</v>
      </c>
      <c r="D2052" s="1">
        <v>90</v>
      </c>
      <c r="E2052" s="1">
        <v>12</v>
      </c>
      <c r="F2052" s="1">
        <v>4</v>
      </c>
      <c r="G2052" s="1">
        <v>3.4</v>
      </c>
      <c r="H2052" s="1" t="s">
        <v>176</v>
      </c>
      <c r="I2052" s="1" t="s">
        <v>31</v>
      </c>
      <c r="J2052" s="1">
        <v>156</v>
      </c>
      <c r="K2052" s="1">
        <v>1.1100000000000001</v>
      </c>
      <c r="L2052" s="4">
        <v>35.119999999999997</v>
      </c>
      <c r="M2052" s="1">
        <v>0.76</v>
      </c>
      <c r="N2052" s="1">
        <v>1</v>
      </c>
      <c r="O2052" s="1">
        <v>0.85</v>
      </c>
      <c r="P2052" s="1">
        <v>616</v>
      </c>
      <c r="Q2052" s="1">
        <v>1.63</v>
      </c>
      <c r="R2052" s="1">
        <v>0.96</v>
      </c>
      <c r="S2052" s="2">
        <v>45324</v>
      </c>
      <c r="T2052" s="1">
        <v>65.14</v>
      </c>
      <c r="U2052" s="1">
        <v>0.68799999999999994</v>
      </c>
      <c r="V2052" s="6">
        <f t="shared" ref="V2052:V2115" si="96">C2052*L2052</f>
        <v>11730.08</v>
      </c>
      <c r="W2052" s="6" t="str">
        <f t="shared" ref="W2052:W2115" si="97">IF(C2052&lt;=D2052,"Reorder Required","Sufficient")</f>
        <v>Sufficient</v>
      </c>
      <c r="X2052" s="8" t="str">
        <f t="shared" ref="X2052:X2115" si="98">IF(C2052&lt;100,"LOW",IF(C2052&lt;250,"Medium","High"))</f>
        <v>High</v>
      </c>
    </row>
    <row r="2053" spans="1:24">
      <c r="A2053" s="7" t="s">
        <v>2183</v>
      </c>
      <c r="B2053" s="1" t="s">
        <v>25</v>
      </c>
      <c r="C2053" s="1">
        <v>306</v>
      </c>
      <c r="D2053" s="1">
        <v>10</v>
      </c>
      <c r="E2053" s="1">
        <v>3</v>
      </c>
      <c r="F2053" s="1">
        <v>4</v>
      </c>
      <c r="G2053" s="1">
        <v>6.08</v>
      </c>
      <c r="H2053" s="1" t="s">
        <v>85</v>
      </c>
      <c r="I2053" s="1" t="s">
        <v>27</v>
      </c>
      <c r="J2053" s="1">
        <v>174</v>
      </c>
      <c r="K2053" s="1">
        <v>2.41</v>
      </c>
      <c r="L2053" s="4">
        <v>70.3</v>
      </c>
      <c r="M2053" s="1">
        <v>1.45</v>
      </c>
      <c r="N2053" s="1">
        <v>7</v>
      </c>
      <c r="O2053" s="1">
        <v>0.77</v>
      </c>
      <c r="P2053" s="1">
        <v>278</v>
      </c>
      <c r="Q2053" s="1">
        <v>14.68</v>
      </c>
      <c r="R2053" s="1">
        <v>0.4</v>
      </c>
      <c r="S2053" s="2">
        <v>45425</v>
      </c>
      <c r="T2053" s="1">
        <v>268.63</v>
      </c>
      <c r="U2053" s="1">
        <v>0.54500000000000004</v>
      </c>
      <c r="V2053" s="6">
        <f t="shared" si="96"/>
        <v>21511.8</v>
      </c>
      <c r="W2053" s="6" t="str">
        <f t="shared" si="97"/>
        <v>Sufficient</v>
      </c>
      <c r="X2053" s="8" t="str">
        <f t="shared" si="98"/>
        <v>High</v>
      </c>
    </row>
    <row r="2054" spans="1:24">
      <c r="A2054" s="7" t="s">
        <v>2184</v>
      </c>
      <c r="B2054" s="1" t="s">
        <v>41</v>
      </c>
      <c r="C2054" s="1">
        <v>368</v>
      </c>
      <c r="D2054" s="1">
        <v>12</v>
      </c>
      <c r="E2054" s="1">
        <v>5</v>
      </c>
      <c r="F2054" s="1">
        <v>6</v>
      </c>
      <c r="G2054" s="1">
        <v>7.3</v>
      </c>
      <c r="H2054" s="1" t="s">
        <v>36</v>
      </c>
      <c r="I2054" s="1" t="s">
        <v>45</v>
      </c>
      <c r="J2054" s="1">
        <v>136</v>
      </c>
      <c r="K2054" s="1">
        <v>3.21</v>
      </c>
      <c r="L2054" s="4">
        <v>82.43</v>
      </c>
      <c r="M2054" s="1">
        <v>1.21</v>
      </c>
      <c r="N2054" s="1">
        <v>3</v>
      </c>
      <c r="O2054" s="1">
        <v>0.86</v>
      </c>
      <c r="P2054" s="1">
        <v>987</v>
      </c>
      <c r="Q2054" s="1">
        <v>7.42</v>
      </c>
      <c r="R2054" s="1">
        <v>0.28000000000000003</v>
      </c>
      <c r="S2054" s="2">
        <v>45627</v>
      </c>
      <c r="T2054" s="1">
        <v>257.43</v>
      </c>
      <c r="U2054" s="1">
        <v>0.54600000000000004</v>
      </c>
      <c r="V2054" s="6">
        <f t="shared" si="96"/>
        <v>30334.240000000002</v>
      </c>
      <c r="W2054" s="6" t="str">
        <f t="shared" si="97"/>
        <v>Sufficient</v>
      </c>
      <c r="X2054" s="8" t="str">
        <f t="shared" si="98"/>
        <v>High</v>
      </c>
    </row>
    <row r="2055" spans="1:24">
      <c r="A2055" s="7" t="s">
        <v>2185</v>
      </c>
      <c r="B2055" s="1" t="s">
        <v>66</v>
      </c>
      <c r="C2055" s="1">
        <v>274</v>
      </c>
      <c r="D2055" s="1">
        <v>55</v>
      </c>
      <c r="E2055" s="1">
        <v>5</v>
      </c>
      <c r="F2055" s="1">
        <v>7</v>
      </c>
      <c r="G2055" s="1">
        <v>5.48</v>
      </c>
      <c r="H2055" s="1" t="s">
        <v>181</v>
      </c>
      <c r="I2055" s="1" t="s">
        <v>39</v>
      </c>
      <c r="J2055" s="1">
        <v>13</v>
      </c>
      <c r="K2055" s="1">
        <v>3.08</v>
      </c>
      <c r="L2055" s="4">
        <v>82.32</v>
      </c>
      <c r="M2055" s="1">
        <v>0.76</v>
      </c>
      <c r="N2055" s="1">
        <v>0</v>
      </c>
      <c r="O2055" s="1">
        <v>0.72</v>
      </c>
      <c r="P2055" s="1">
        <v>997</v>
      </c>
      <c r="Q2055" s="1">
        <v>14.64</v>
      </c>
      <c r="R2055" s="1">
        <v>0.56999999999999995</v>
      </c>
      <c r="S2055" s="2">
        <v>45452</v>
      </c>
      <c r="T2055" s="1">
        <v>172.06</v>
      </c>
      <c r="U2055" s="1">
        <v>0.77700000000000002</v>
      </c>
      <c r="V2055" s="6">
        <f t="shared" si="96"/>
        <v>22555.679999999997</v>
      </c>
      <c r="W2055" s="6" t="str">
        <f t="shared" si="97"/>
        <v>Sufficient</v>
      </c>
      <c r="X2055" s="8" t="str">
        <f t="shared" si="98"/>
        <v>High</v>
      </c>
    </row>
    <row r="2056" spans="1:24">
      <c r="A2056" s="7" t="s">
        <v>2186</v>
      </c>
      <c r="B2056" s="1" t="s">
        <v>33</v>
      </c>
      <c r="C2056" s="1">
        <v>344</v>
      </c>
      <c r="D2056" s="1">
        <v>64</v>
      </c>
      <c r="E2056" s="1">
        <v>9</v>
      </c>
      <c r="F2056" s="1">
        <v>7</v>
      </c>
      <c r="G2056" s="1">
        <v>9.73</v>
      </c>
      <c r="H2056" s="1" t="s">
        <v>274</v>
      </c>
      <c r="I2056" s="1" t="s">
        <v>27</v>
      </c>
      <c r="J2056" s="1">
        <v>67</v>
      </c>
      <c r="K2056" s="1">
        <v>3.09</v>
      </c>
      <c r="L2056" s="4">
        <v>77.88</v>
      </c>
      <c r="M2056" s="1">
        <v>1.59</v>
      </c>
      <c r="N2056" s="1">
        <v>2</v>
      </c>
      <c r="O2056" s="1">
        <v>0.8</v>
      </c>
      <c r="P2056" s="1">
        <v>580</v>
      </c>
      <c r="Q2056" s="1">
        <v>12.53</v>
      </c>
      <c r="R2056" s="1">
        <v>0.75</v>
      </c>
      <c r="S2056" s="2">
        <v>45298</v>
      </c>
      <c r="T2056" s="1">
        <v>291.39</v>
      </c>
      <c r="U2056" s="1">
        <v>0.67800000000000005</v>
      </c>
      <c r="V2056" s="6">
        <f t="shared" si="96"/>
        <v>26790.719999999998</v>
      </c>
      <c r="W2056" s="6" t="str">
        <f t="shared" si="97"/>
        <v>Sufficient</v>
      </c>
      <c r="X2056" s="8" t="str">
        <f t="shared" si="98"/>
        <v>High</v>
      </c>
    </row>
    <row r="2057" spans="1:24">
      <c r="A2057" s="7" t="s">
        <v>2187</v>
      </c>
      <c r="B2057" s="1" t="s">
        <v>41</v>
      </c>
      <c r="C2057" s="1">
        <v>209</v>
      </c>
      <c r="D2057" s="1">
        <v>84</v>
      </c>
      <c r="E2057" s="1">
        <v>9</v>
      </c>
      <c r="F2057" s="1">
        <v>9</v>
      </c>
      <c r="G2057" s="1">
        <v>34.74</v>
      </c>
      <c r="H2057" s="1" t="s">
        <v>57</v>
      </c>
      <c r="I2057" s="1" t="s">
        <v>31</v>
      </c>
      <c r="J2057" s="1">
        <v>146</v>
      </c>
      <c r="K2057" s="1">
        <v>1.65</v>
      </c>
      <c r="L2057" s="4">
        <v>19.260000000000002</v>
      </c>
      <c r="M2057" s="1">
        <v>1.37</v>
      </c>
      <c r="N2057" s="1">
        <v>8</v>
      </c>
      <c r="O2057" s="1">
        <v>0.86</v>
      </c>
      <c r="P2057" s="1">
        <v>413</v>
      </c>
      <c r="Q2057" s="1">
        <v>7.16</v>
      </c>
      <c r="R2057" s="1">
        <v>0.36</v>
      </c>
      <c r="S2057" s="2">
        <v>45652</v>
      </c>
      <c r="T2057" s="1">
        <v>278.88</v>
      </c>
      <c r="U2057" s="1">
        <v>0.442</v>
      </c>
      <c r="V2057" s="6">
        <f t="shared" si="96"/>
        <v>4025.34</v>
      </c>
      <c r="W2057" s="6" t="str">
        <f t="shared" si="97"/>
        <v>Sufficient</v>
      </c>
      <c r="X2057" s="8" t="str">
        <f t="shared" si="98"/>
        <v>Medium</v>
      </c>
    </row>
    <row r="2058" spans="1:24">
      <c r="A2058" s="7" t="s">
        <v>2188</v>
      </c>
      <c r="B2058" s="1" t="s">
        <v>25</v>
      </c>
      <c r="C2058" s="1">
        <v>327</v>
      </c>
      <c r="D2058" s="1">
        <v>97</v>
      </c>
      <c r="E2058" s="1">
        <v>14</v>
      </c>
      <c r="F2058" s="1">
        <v>7</v>
      </c>
      <c r="G2058" s="1">
        <v>41.71</v>
      </c>
      <c r="H2058" s="1" t="s">
        <v>183</v>
      </c>
      <c r="I2058" s="1" t="s">
        <v>27</v>
      </c>
      <c r="J2058" s="1">
        <v>122</v>
      </c>
      <c r="K2058" s="1">
        <v>3.35</v>
      </c>
      <c r="L2058" s="4">
        <v>98.17</v>
      </c>
      <c r="M2058" s="1">
        <v>0.11</v>
      </c>
      <c r="N2058" s="1">
        <v>3</v>
      </c>
      <c r="O2058" s="1">
        <v>0.77</v>
      </c>
      <c r="P2058" s="1">
        <v>946</v>
      </c>
      <c r="Q2058" s="1">
        <v>8.16</v>
      </c>
      <c r="R2058" s="1">
        <v>0.35</v>
      </c>
      <c r="S2058" s="2">
        <v>45639</v>
      </c>
      <c r="T2058" s="1">
        <v>270.13</v>
      </c>
      <c r="U2058" s="1">
        <v>0.66200000000000003</v>
      </c>
      <c r="V2058" s="6">
        <f t="shared" si="96"/>
        <v>32101.59</v>
      </c>
      <c r="W2058" s="6" t="str">
        <f t="shared" si="97"/>
        <v>Sufficient</v>
      </c>
      <c r="X2058" s="8" t="str">
        <f t="shared" si="98"/>
        <v>High</v>
      </c>
    </row>
    <row r="2059" spans="1:24">
      <c r="A2059" s="7" t="s">
        <v>2189</v>
      </c>
      <c r="B2059" s="1" t="s">
        <v>25</v>
      </c>
      <c r="C2059" s="1">
        <v>364</v>
      </c>
      <c r="D2059" s="1">
        <v>95</v>
      </c>
      <c r="E2059" s="1">
        <v>3</v>
      </c>
      <c r="F2059" s="1">
        <v>5</v>
      </c>
      <c r="G2059" s="1">
        <v>21.03</v>
      </c>
      <c r="H2059" s="1" t="s">
        <v>176</v>
      </c>
      <c r="I2059" s="1" t="s">
        <v>39</v>
      </c>
      <c r="J2059" s="1">
        <v>177</v>
      </c>
      <c r="K2059" s="1">
        <v>4.58</v>
      </c>
      <c r="L2059" s="4">
        <v>168.88</v>
      </c>
      <c r="M2059" s="1">
        <v>1.74</v>
      </c>
      <c r="N2059" s="1">
        <v>9</v>
      </c>
      <c r="O2059" s="1">
        <v>0.9</v>
      </c>
      <c r="P2059" s="1">
        <v>474</v>
      </c>
      <c r="Q2059" s="1">
        <v>4.8499999999999996</v>
      </c>
      <c r="R2059" s="1">
        <v>0.41</v>
      </c>
      <c r="S2059" s="2">
        <v>45560</v>
      </c>
      <c r="T2059" s="1">
        <v>48.65</v>
      </c>
      <c r="U2059" s="1">
        <v>0.373</v>
      </c>
      <c r="V2059" s="6">
        <f t="shared" si="96"/>
        <v>61472.32</v>
      </c>
      <c r="W2059" s="6" t="str">
        <f t="shared" si="97"/>
        <v>Sufficient</v>
      </c>
      <c r="X2059" s="8" t="str">
        <f t="shared" si="98"/>
        <v>High</v>
      </c>
    </row>
    <row r="2060" spans="1:24">
      <c r="A2060" s="7" t="s">
        <v>2190</v>
      </c>
      <c r="B2060" s="1" t="s">
        <v>41</v>
      </c>
      <c r="C2060" s="1">
        <v>146</v>
      </c>
      <c r="D2060" s="1">
        <v>73</v>
      </c>
      <c r="E2060" s="1">
        <v>5</v>
      </c>
      <c r="F2060" s="1">
        <v>2</v>
      </c>
      <c r="G2060" s="1">
        <v>34.950000000000003</v>
      </c>
      <c r="H2060" s="1" t="s">
        <v>61</v>
      </c>
      <c r="I2060" s="1" t="s">
        <v>39</v>
      </c>
      <c r="J2060" s="1">
        <v>152</v>
      </c>
      <c r="K2060" s="1">
        <v>2.25</v>
      </c>
      <c r="L2060" s="4">
        <v>44.27</v>
      </c>
      <c r="M2060" s="1">
        <v>0.85</v>
      </c>
      <c r="N2060" s="1">
        <v>9</v>
      </c>
      <c r="O2060" s="1">
        <v>0.72</v>
      </c>
      <c r="P2060" s="1">
        <v>265</v>
      </c>
      <c r="Q2060" s="1">
        <v>7.82</v>
      </c>
      <c r="R2060" s="1">
        <v>0.44</v>
      </c>
      <c r="S2060" s="2">
        <v>45587</v>
      </c>
      <c r="T2060" s="1">
        <v>95.44</v>
      </c>
      <c r="U2060" s="1">
        <v>0.47099999999999997</v>
      </c>
      <c r="V2060" s="6">
        <f t="shared" si="96"/>
        <v>6463.42</v>
      </c>
      <c r="W2060" s="6" t="str">
        <f t="shared" si="97"/>
        <v>Sufficient</v>
      </c>
      <c r="X2060" s="8" t="str">
        <f t="shared" si="98"/>
        <v>Medium</v>
      </c>
    </row>
    <row r="2061" spans="1:24">
      <c r="A2061" s="7" t="s">
        <v>2191</v>
      </c>
      <c r="B2061" s="1" t="s">
        <v>25</v>
      </c>
      <c r="C2061" s="1">
        <v>444</v>
      </c>
      <c r="D2061" s="1">
        <v>54</v>
      </c>
      <c r="E2061" s="1">
        <v>10</v>
      </c>
      <c r="F2061" s="1">
        <v>7</v>
      </c>
      <c r="G2061" s="1">
        <v>10.8</v>
      </c>
      <c r="H2061" s="1" t="s">
        <v>252</v>
      </c>
      <c r="I2061" s="1" t="s">
        <v>27</v>
      </c>
      <c r="J2061" s="1">
        <v>13</v>
      </c>
      <c r="K2061" s="1">
        <v>3.34</v>
      </c>
      <c r="L2061" s="4">
        <v>37.67</v>
      </c>
      <c r="M2061" s="1">
        <v>1.33</v>
      </c>
      <c r="N2061" s="1">
        <v>2</v>
      </c>
      <c r="O2061" s="1">
        <v>0.85</v>
      </c>
      <c r="P2061" s="1">
        <v>97</v>
      </c>
      <c r="Q2061" s="1">
        <v>2.5</v>
      </c>
      <c r="R2061" s="1">
        <v>0.4</v>
      </c>
      <c r="S2061" s="2">
        <v>45581</v>
      </c>
      <c r="T2061" s="1">
        <v>128.96</v>
      </c>
      <c r="U2061" s="1">
        <v>0.51</v>
      </c>
      <c r="V2061" s="6">
        <f t="shared" si="96"/>
        <v>16725.48</v>
      </c>
      <c r="W2061" s="6" t="str">
        <f t="shared" si="97"/>
        <v>Sufficient</v>
      </c>
      <c r="X2061" s="8" t="str">
        <f t="shared" si="98"/>
        <v>High</v>
      </c>
    </row>
    <row r="2062" spans="1:24">
      <c r="A2062" s="7" t="s">
        <v>2192</v>
      </c>
      <c r="B2062" s="1" t="s">
        <v>29</v>
      </c>
      <c r="C2062" s="1">
        <v>306</v>
      </c>
      <c r="D2062" s="1">
        <v>35</v>
      </c>
      <c r="E2062" s="1">
        <v>11</v>
      </c>
      <c r="F2062" s="1">
        <v>3</v>
      </c>
      <c r="G2062" s="1">
        <v>48.69</v>
      </c>
      <c r="H2062" s="1" t="s">
        <v>145</v>
      </c>
      <c r="I2062" s="1" t="s">
        <v>39</v>
      </c>
      <c r="J2062" s="1">
        <v>61</v>
      </c>
      <c r="K2062" s="1">
        <v>1.6</v>
      </c>
      <c r="L2062" s="4">
        <v>99.65</v>
      </c>
      <c r="M2062" s="1">
        <v>0.85</v>
      </c>
      <c r="N2062" s="1">
        <v>3</v>
      </c>
      <c r="O2062" s="1">
        <v>0.91</v>
      </c>
      <c r="P2062" s="1">
        <v>514</v>
      </c>
      <c r="Q2062" s="1">
        <v>13.72</v>
      </c>
      <c r="R2062" s="1">
        <v>0.57999999999999996</v>
      </c>
      <c r="S2062" s="2">
        <v>45406</v>
      </c>
      <c r="T2062" s="1">
        <v>251.25</v>
      </c>
      <c r="U2062" s="1">
        <v>0.73599999999999999</v>
      </c>
      <c r="V2062" s="6">
        <f t="shared" si="96"/>
        <v>30492.9</v>
      </c>
      <c r="W2062" s="6" t="str">
        <f t="shared" si="97"/>
        <v>Sufficient</v>
      </c>
      <c r="X2062" s="8" t="str">
        <f t="shared" si="98"/>
        <v>High</v>
      </c>
    </row>
    <row r="2063" spans="1:24">
      <c r="A2063" s="7" t="s">
        <v>2193</v>
      </c>
      <c r="B2063" s="1" t="s">
        <v>29</v>
      </c>
      <c r="C2063" s="1">
        <v>273</v>
      </c>
      <c r="D2063" s="1">
        <v>86</v>
      </c>
      <c r="E2063" s="1">
        <v>9</v>
      </c>
      <c r="F2063" s="1">
        <v>9</v>
      </c>
      <c r="G2063" s="1">
        <v>18.149999999999999</v>
      </c>
      <c r="H2063" s="1" t="s">
        <v>327</v>
      </c>
      <c r="I2063" s="1" t="s">
        <v>31</v>
      </c>
      <c r="J2063" s="1">
        <v>155</v>
      </c>
      <c r="K2063" s="1">
        <v>0.72</v>
      </c>
      <c r="L2063" s="4">
        <v>80.41</v>
      </c>
      <c r="M2063" s="1">
        <v>1.77</v>
      </c>
      <c r="N2063" s="1">
        <v>2</v>
      </c>
      <c r="O2063" s="1">
        <v>0.83</v>
      </c>
      <c r="P2063" s="1">
        <v>721</v>
      </c>
      <c r="Q2063" s="1">
        <v>10.98</v>
      </c>
      <c r="R2063" s="1">
        <v>0.21</v>
      </c>
      <c r="S2063" s="2">
        <v>45634</v>
      </c>
      <c r="T2063" s="1">
        <v>262.66000000000003</v>
      </c>
      <c r="U2063" s="1">
        <v>0.53700000000000003</v>
      </c>
      <c r="V2063" s="6">
        <f t="shared" si="96"/>
        <v>21951.93</v>
      </c>
      <c r="W2063" s="6" t="str">
        <f t="shared" si="97"/>
        <v>Sufficient</v>
      </c>
      <c r="X2063" s="8" t="str">
        <f t="shared" si="98"/>
        <v>High</v>
      </c>
    </row>
    <row r="2064" spans="1:24">
      <c r="A2064" s="7" t="s">
        <v>2194</v>
      </c>
      <c r="B2064" s="1" t="s">
        <v>29</v>
      </c>
      <c r="C2064" s="1">
        <v>232</v>
      </c>
      <c r="D2064" s="1">
        <v>74</v>
      </c>
      <c r="E2064" s="1">
        <v>9</v>
      </c>
      <c r="F2064" s="1">
        <v>6</v>
      </c>
      <c r="G2064" s="1">
        <v>42.45</v>
      </c>
      <c r="H2064" s="1" t="s">
        <v>145</v>
      </c>
      <c r="I2064" s="1" t="s">
        <v>39</v>
      </c>
      <c r="J2064" s="1">
        <v>108</v>
      </c>
      <c r="K2064" s="1">
        <v>3.14</v>
      </c>
      <c r="L2064" s="4">
        <v>116.64</v>
      </c>
      <c r="M2064" s="1">
        <v>1.34</v>
      </c>
      <c r="N2064" s="1">
        <v>2</v>
      </c>
      <c r="O2064" s="1">
        <v>0.96</v>
      </c>
      <c r="P2064" s="1">
        <v>995</v>
      </c>
      <c r="Q2064" s="1">
        <v>12.27</v>
      </c>
      <c r="R2064" s="1">
        <v>0.27</v>
      </c>
      <c r="S2064" s="2">
        <v>45465</v>
      </c>
      <c r="T2064" s="1">
        <v>227.93</v>
      </c>
      <c r="U2064" s="1">
        <v>0.63600000000000001</v>
      </c>
      <c r="V2064" s="6">
        <f t="shared" si="96"/>
        <v>27060.48</v>
      </c>
      <c r="W2064" s="6" t="str">
        <f t="shared" si="97"/>
        <v>Sufficient</v>
      </c>
      <c r="X2064" s="8" t="str">
        <f t="shared" si="98"/>
        <v>Medium</v>
      </c>
    </row>
    <row r="2065" spans="1:24">
      <c r="A2065" s="7" t="s">
        <v>2195</v>
      </c>
      <c r="B2065" s="1" t="s">
        <v>66</v>
      </c>
      <c r="C2065" s="1">
        <v>269</v>
      </c>
      <c r="D2065" s="1">
        <v>33</v>
      </c>
      <c r="E2065" s="1">
        <v>14</v>
      </c>
      <c r="F2065" s="1">
        <v>7</v>
      </c>
      <c r="G2065" s="1">
        <v>47.32</v>
      </c>
      <c r="H2065" s="1" t="s">
        <v>331</v>
      </c>
      <c r="I2065" s="1" t="s">
        <v>45</v>
      </c>
      <c r="J2065" s="1">
        <v>178</v>
      </c>
      <c r="K2065" s="1">
        <v>0.71</v>
      </c>
      <c r="L2065" s="4">
        <v>189.94</v>
      </c>
      <c r="M2065" s="1">
        <v>1.2</v>
      </c>
      <c r="N2065" s="1">
        <v>1</v>
      </c>
      <c r="O2065" s="1">
        <v>0.89</v>
      </c>
      <c r="P2065" s="1">
        <v>959</v>
      </c>
      <c r="Q2065" s="1">
        <v>8.44</v>
      </c>
      <c r="R2065" s="1">
        <v>0.78</v>
      </c>
      <c r="S2065" s="2">
        <v>45557</v>
      </c>
      <c r="T2065" s="1">
        <v>147</v>
      </c>
      <c r="U2065" s="1">
        <v>0.70699999999999996</v>
      </c>
      <c r="V2065" s="6">
        <f t="shared" si="96"/>
        <v>51093.86</v>
      </c>
      <c r="W2065" s="6" t="str">
        <f t="shared" si="97"/>
        <v>Sufficient</v>
      </c>
      <c r="X2065" s="8" t="str">
        <f t="shared" si="98"/>
        <v>High</v>
      </c>
    </row>
    <row r="2066" spans="1:24">
      <c r="A2066" s="7" t="s">
        <v>2196</v>
      </c>
      <c r="B2066" s="1" t="s">
        <v>41</v>
      </c>
      <c r="C2066" s="1">
        <v>103</v>
      </c>
      <c r="D2066" s="1">
        <v>83</v>
      </c>
      <c r="E2066" s="1">
        <v>13</v>
      </c>
      <c r="F2066" s="1">
        <v>3</v>
      </c>
      <c r="G2066" s="1">
        <v>43.37</v>
      </c>
      <c r="H2066" s="1" t="s">
        <v>440</v>
      </c>
      <c r="I2066" s="1" t="s">
        <v>45</v>
      </c>
      <c r="J2066" s="1">
        <v>102</v>
      </c>
      <c r="K2066" s="1">
        <v>3.76</v>
      </c>
      <c r="L2066" s="4">
        <v>154.57</v>
      </c>
      <c r="M2066" s="1">
        <v>1.96</v>
      </c>
      <c r="N2066" s="1">
        <v>5</v>
      </c>
      <c r="O2066" s="1">
        <v>0.99</v>
      </c>
      <c r="P2066" s="1">
        <v>322</v>
      </c>
      <c r="Q2066" s="1">
        <v>2.76</v>
      </c>
      <c r="R2066" s="1">
        <v>0.53</v>
      </c>
      <c r="S2066" s="2">
        <v>45559</v>
      </c>
      <c r="T2066" s="1">
        <v>56.95</v>
      </c>
      <c r="U2066" s="1">
        <v>0.44500000000000001</v>
      </c>
      <c r="V2066" s="6">
        <f t="shared" si="96"/>
        <v>15920.71</v>
      </c>
      <c r="W2066" s="6" t="str">
        <f t="shared" si="97"/>
        <v>Sufficient</v>
      </c>
      <c r="X2066" s="8" t="str">
        <f t="shared" si="98"/>
        <v>Medium</v>
      </c>
    </row>
    <row r="2067" spans="1:24">
      <c r="A2067" s="7" t="s">
        <v>2197</v>
      </c>
      <c r="B2067" s="1" t="s">
        <v>66</v>
      </c>
      <c r="C2067" s="1">
        <v>402</v>
      </c>
      <c r="D2067" s="1">
        <v>44</v>
      </c>
      <c r="E2067" s="1">
        <v>10</v>
      </c>
      <c r="F2067" s="1">
        <v>7</v>
      </c>
      <c r="G2067" s="1">
        <v>4.29</v>
      </c>
      <c r="H2067" s="1" t="s">
        <v>68</v>
      </c>
      <c r="I2067" s="1" t="s">
        <v>39</v>
      </c>
      <c r="J2067" s="1">
        <v>126</v>
      </c>
      <c r="K2067" s="1">
        <v>3.52</v>
      </c>
      <c r="L2067" s="4">
        <v>140.54</v>
      </c>
      <c r="M2067" s="1">
        <v>0.63</v>
      </c>
      <c r="N2067" s="1">
        <v>9</v>
      </c>
      <c r="O2067" s="1">
        <v>0.79</v>
      </c>
      <c r="P2067" s="1">
        <v>657</v>
      </c>
      <c r="Q2067" s="1">
        <v>8.52</v>
      </c>
      <c r="R2067" s="1">
        <v>0.49</v>
      </c>
      <c r="S2067" s="2">
        <v>45644</v>
      </c>
      <c r="T2067" s="1">
        <v>20.21</v>
      </c>
      <c r="U2067" s="1">
        <v>0.52700000000000002</v>
      </c>
      <c r="V2067" s="6">
        <f t="shared" si="96"/>
        <v>56497.079999999994</v>
      </c>
      <c r="W2067" s="6" t="str">
        <f t="shared" si="97"/>
        <v>Sufficient</v>
      </c>
      <c r="X2067" s="8" t="str">
        <f t="shared" si="98"/>
        <v>High</v>
      </c>
    </row>
    <row r="2068" spans="1:24">
      <c r="A2068" s="7" t="s">
        <v>2198</v>
      </c>
      <c r="B2068" s="1" t="s">
        <v>25</v>
      </c>
      <c r="C2068" s="1">
        <v>425</v>
      </c>
      <c r="D2068" s="1">
        <v>33</v>
      </c>
      <c r="E2068" s="1">
        <v>8</v>
      </c>
      <c r="F2068" s="1">
        <v>2</v>
      </c>
      <c r="G2068" s="1">
        <v>32.869999999999997</v>
      </c>
      <c r="H2068" s="1" t="s">
        <v>103</v>
      </c>
      <c r="I2068" s="1" t="s">
        <v>27</v>
      </c>
      <c r="J2068" s="1">
        <v>13</v>
      </c>
      <c r="K2068" s="1">
        <v>2.16</v>
      </c>
      <c r="L2068" s="4">
        <v>89.03</v>
      </c>
      <c r="M2068" s="1">
        <v>0.22</v>
      </c>
      <c r="N2068" s="1">
        <v>5</v>
      </c>
      <c r="O2068" s="1">
        <v>0.98</v>
      </c>
      <c r="P2068" s="1">
        <v>79</v>
      </c>
      <c r="Q2068" s="1">
        <v>5.61</v>
      </c>
      <c r="R2068" s="1">
        <v>0.21</v>
      </c>
      <c r="S2068" s="2">
        <v>45650</v>
      </c>
      <c r="T2068" s="1">
        <v>212.8</v>
      </c>
      <c r="U2068" s="1">
        <v>0.59099999999999997</v>
      </c>
      <c r="V2068" s="6">
        <f t="shared" si="96"/>
        <v>37837.75</v>
      </c>
      <c r="W2068" s="6" t="str">
        <f t="shared" si="97"/>
        <v>Sufficient</v>
      </c>
      <c r="X2068" s="8" t="str">
        <f t="shared" si="98"/>
        <v>High</v>
      </c>
    </row>
    <row r="2069" spans="1:24">
      <c r="A2069" s="7" t="s">
        <v>2199</v>
      </c>
      <c r="B2069" s="1" t="s">
        <v>66</v>
      </c>
      <c r="C2069" s="1">
        <v>407</v>
      </c>
      <c r="D2069" s="1">
        <v>37</v>
      </c>
      <c r="E2069" s="1">
        <v>13</v>
      </c>
      <c r="F2069" s="1">
        <v>2</v>
      </c>
      <c r="G2069" s="1">
        <v>6.88</v>
      </c>
      <c r="H2069" s="1" t="s">
        <v>159</v>
      </c>
      <c r="I2069" s="1" t="s">
        <v>39</v>
      </c>
      <c r="J2069" s="1">
        <v>94</v>
      </c>
      <c r="K2069" s="1">
        <v>2.35</v>
      </c>
      <c r="L2069" s="4">
        <v>64.599999999999994</v>
      </c>
      <c r="M2069" s="1">
        <v>1.08</v>
      </c>
      <c r="N2069" s="1">
        <v>9</v>
      </c>
      <c r="O2069" s="1">
        <v>0.88</v>
      </c>
      <c r="P2069" s="1">
        <v>682</v>
      </c>
      <c r="Q2069" s="1">
        <v>1.1399999999999999</v>
      </c>
      <c r="R2069" s="1">
        <v>0.44</v>
      </c>
      <c r="S2069" s="2">
        <v>45608</v>
      </c>
      <c r="T2069" s="1">
        <v>298.3</v>
      </c>
      <c r="U2069" s="1">
        <v>0.39100000000000001</v>
      </c>
      <c r="V2069" s="6">
        <f t="shared" si="96"/>
        <v>26292.199999999997</v>
      </c>
      <c r="W2069" s="6" t="str">
        <f t="shared" si="97"/>
        <v>Sufficient</v>
      </c>
      <c r="X2069" s="8" t="str">
        <f t="shared" si="98"/>
        <v>High</v>
      </c>
    </row>
    <row r="2070" spans="1:24">
      <c r="A2070" s="7" t="s">
        <v>2200</v>
      </c>
      <c r="B2070" s="1" t="s">
        <v>25</v>
      </c>
      <c r="C2070" s="1">
        <v>32</v>
      </c>
      <c r="D2070" s="1">
        <v>89</v>
      </c>
      <c r="E2070" s="1">
        <v>5</v>
      </c>
      <c r="F2070" s="1">
        <v>7</v>
      </c>
      <c r="G2070" s="1">
        <v>1.28</v>
      </c>
      <c r="H2070" s="1" t="s">
        <v>325</v>
      </c>
      <c r="I2070" s="1" t="s">
        <v>45</v>
      </c>
      <c r="J2070" s="1">
        <v>176</v>
      </c>
      <c r="K2070" s="1">
        <v>4.63</v>
      </c>
      <c r="L2070" s="4">
        <v>112.65</v>
      </c>
      <c r="M2070" s="1">
        <v>0.91</v>
      </c>
      <c r="N2070" s="1">
        <v>3</v>
      </c>
      <c r="O2070" s="1">
        <v>0.92</v>
      </c>
      <c r="P2070" s="1">
        <v>928</v>
      </c>
      <c r="Q2070" s="1">
        <v>9.61</v>
      </c>
      <c r="R2070" s="1">
        <v>0.86</v>
      </c>
      <c r="S2070" s="2">
        <v>45340</v>
      </c>
      <c r="T2070" s="1">
        <v>110.19</v>
      </c>
      <c r="U2070" s="1">
        <v>0.73299999999999998</v>
      </c>
      <c r="V2070" s="6">
        <f t="shared" si="96"/>
        <v>3604.8</v>
      </c>
      <c r="W2070" s="6" t="str">
        <f t="shared" si="97"/>
        <v>Reorder Required</v>
      </c>
      <c r="X2070" s="8" t="str">
        <f t="shared" si="98"/>
        <v>LOW</v>
      </c>
    </row>
    <row r="2071" spans="1:24">
      <c r="A2071" s="7" t="s">
        <v>2201</v>
      </c>
      <c r="B2071" s="1" t="s">
        <v>25</v>
      </c>
      <c r="C2071" s="1">
        <v>64</v>
      </c>
      <c r="D2071" s="1">
        <v>25</v>
      </c>
      <c r="E2071" s="1">
        <v>3</v>
      </c>
      <c r="F2071" s="1">
        <v>9</v>
      </c>
      <c r="G2071" s="1">
        <v>3.54</v>
      </c>
      <c r="H2071" s="1" t="s">
        <v>149</v>
      </c>
      <c r="I2071" s="1" t="s">
        <v>31</v>
      </c>
      <c r="J2071" s="1">
        <v>16</v>
      </c>
      <c r="K2071" s="1">
        <v>0.56000000000000005</v>
      </c>
      <c r="L2071" s="4">
        <v>178.23</v>
      </c>
      <c r="M2071" s="1">
        <v>0.96</v>
      </c>
      <c r="N2071" s="1">
        <v>7</v>
      </c>
      <c r="O2071" s="1">
        <v>0.97</v>
      </c>
      <c r="P2071" s="1">
        <v>996</v>
      </c>
      <c r="Q2071" s="1">
        <v>12.95</v>
      </c>
      <c r="R2071" s="1">
        <v>0.47</v>
      </c>
      <c r="S2071" s="2">
        <v>45513</v>
      </c>
      <c r="T2071" s="1">
        <v>174.93</v>
      </c>
      <c r="U2071" s="1">
        <v>0.625</v>
      </c>
      <c r="V2071" s="6">
        <f t="shared" si="96"/>
        <v>11406.72</v>
      </c>
      <c r="W2071" s="6" t="str">
        <f t="shared" si="97"/>
        <v>Sufficient</v>
      </c>
      <c r="X2071" s="8" t="str">
        <f t="shared" si="98"/>
        <v>LOW</v>
      </c>
    </row>
    <row r="2072" spans="1:24">
      <c r="A2072" s="7" t="s">
        <v>2202</v>
      </c>
      <c r="B2072" s="1" t="s">
        <v>33</v>
      </c>
      <c r="C2072" s="1">
        <v>146</v>
      </c>
      <c r="D2072" s="1">
        <v>68</v>
      </c>
      <c r="E2072" s="1">
        <v>9</v>
      </c>
      <c r="F2072" s="1">
        <v>9</v>
      </c>
      <c r="G2072" s="1">
        <v>45.89</v>
      </c>
      <c r="H2072" s="1" t="s">
        <v>44</v>
      </c>
      <c r="I2072" s="1" t="s">
        <v>45</v>
      </c>
      <c r="J2072" s="1">
        <v>134</v>
      </c>
      <c r="K2072" s="1">
        <v>3.03</v>
      </c>
      <c r="L2072" s="4">
        <v>176.58</v>
      </c>
      <c r="M2072" s="1">
        <v>1.28</v>
      </c>
      <c r="N2072" s="1">
        <v>5</v>
      </c>
      <c r="O2072" s="1">
        <v>0.87</v>
      </c>
      <c r="P2072" s="1">
        <v>915</v>
      </c>
      <c r="Q2072" s="1">
        <v>10.95</v>
      </c>
      <c r="R2072" s="1">
        <v>0.97</v>
      </c>
      <c r="S2072" s="2">
        <v>45630</v>
      </c>
      <c r="T2072" s="1">
        <v>245.07</v>
      </c>
      <c r="U2072" s="1">
        <v>0.68600000000000005</v>
      </c>
      <c r="V2072" s="6">
        <f t="shared" si="96"/>
        <v>25780.68</v>
      </c>
      <c r="W2072" s="6" t="str">
        <f t="shared" si="97"/>
        <v>Sufficient</v>
      </c>
      <c r="X2072" s="8" t="str">
        <f t="shared" si="98"/>
        <v>Medium</v>
      </c>
    </row>
    <row r="2073" spans="1:24">
      <c r="A2073" s="7" t="s">
        <v>2203</v>
      </c>
      <c r="B2073" s="1" t="s">
        <v>29</v>
      </c>
      <c r="C2073" s="1">
        <v>445</v>
      </c>
      <c r="D2073" s="1">
        <v>90</v>
      </c>
      <c r="E2073" s="1">
        <v>3</v>
      </c>
      <c r="F2073" s="1">
        <v>3</v>
      </c>
      <c r="G2073" s="1">
        <v>45.51</v>
      </c>
      <c r="H2073" s="1" t="s">
        <v>47</v>
      </c>
      <c r="I2073" s="1" t="s">
        <v>39</v>
      </c>
      <c r="J2073" s="1">
        <v>160</v>
      </c>
      <c r="K2073" s="1">
        <v>4.66</v>
      </c>
      <c r="L2073" s="4">
        <v>94.65</v>
      </c>
      <c r="M2073" s="1">
        <v>1.27</v>
      </c>
      <c r="N2073" s="1">
        <v>7</v>
      </c>
      <c r="O2073" s="1">
        <v>0.96</v>
      </c>
      <c r="P2073" s="1">
        <v>239</v>
      </c>
      <c r="Q2073" s="1">
        <v>4.13</v>
      </c>
      <c r="R2073" s="1">
        <v>0.51</v>
      </c>
      <c r="S2073" s="2">
        <v>45419</v>
      </c>
      <c r="T2073" s="1">
        <v>64.08</v>
      </c>
      <c r="U2073" s="1">
        <v>0.48199999999999998</v>
      </c>
      <c r="V2073" s="6">
        <f t="shared" si="96"/>
        <v>42119.25</v>
      </c>
      <c r="W2073" s="6" t="str">
        <f t="shared" si="97"/>
        <v>Sufficient</v>
      </c>
      <c r="X2073" s="8" t="str">
        <f t="shared" si="98"/>
        <v>High</v>
      </c>
    </row>
    <row r="2074" spans="1:24">
      <c r="A2074" s="7" t="s">
        <v>2204</v>
      </c>
      <c r="B2074" s="1" t="s">
        <v>25</v>
      </c>
      <c r="C2074" s="1">
        <v>133</v>
      </c>
      <c r="D2074" s="1">
        <v>63</v>
      </c>
      <c r="E2074" s="1">
        <v>3</v>
      </c>
      <c r="F2074" s="1">
        <v>6</v>
      </c>
      <c r="G2074" s="1">
        <v>12.07</v>
      </c>
      <c r="H2074" s="1" t="s">
        <v>106</v>
      </c>
      <c r="I2074" s="1" t="s">
        <v>39</v>
      </c>
      <c r="J2074" s="1">
        <v>94</v>
      </c>
      <c r="K2074" s="1">
        <v>4.6100000000000003</v>
      </c>
      <c r="L2074" s="4">
        <v>56.78</v>
      </c>
      <c r="M2074" s="1">
        <v>0.85</v>
      </c>
      <c r="N2074" s="1">
        <v>5</v>
      </c>
      <c r="O2074" s="1">
        <v>0.86</v>
      </c>
      <c r="P2074" s="1">
        <v>201</v>
      </c>
      <c r="Q2074" s="1">
        <v>12.47</v>
      </c>
      <c r="R2074" s="1">
        <v>0.56999999999999995</v>
      </c>
      <c r="S2074" s="2">
        <v>45538</v>
      </c>
      <c r="T2074" s="1">
        <v>250.57</v>
      </c>
      <c r="U2074" s="1">
        <v>0.66700000000000004</v>
      </c>
      <c r="V2074" s="6">
        <f t="shared" si="96"/>
        <v>7551.74</v>
      </c>
      <c r="W2074" s="6" t="str">
        <f t="shared" si="97"/>
        <v>Sufficient</v>
      </c>
      <c r="X2074" s="8" t="str">
        <f t="shared" si="98"/>
        <v>Medium</v>
      </c>
    </row>
    <row r="2075" spans="1:24">
      <c r="A2075" s="7" t="s">
        <v>2205</v>
      </c>
      <c r="B2075" s="1" t="s">
        <v>33</v>
      </c>
      <c r="C2075" s="1">
        <v>452</v>
      </c>
      <c r="D2075" s="1">
        <v>88</v>
      </c>
      <c r="E2075" s="1">
        <v>11</v>
      </c>
      <c r="F2075" s="1">
        <v>3</v>
      </c>
      <c r="G2075" s="1">
        <v>27.81</v>
      </c>
      <c r="H2075" s="1" t="s">
        <v>185</v>
      </c>
      <c r="I2075" s="1" t="s">
        <v>27</v>
      </c>
      <c r="J2075" s="1">
        <v>72</v>
      </c>
      <c r="K2075" s="1">
        <v>3.13</v>
      </c>
      <c r="L2075" s="4">
        <v>52.82</v>
      </c>
      <c r="M2075" s="1">
        <v>1.74</v>
      </c>
      <c r="N2075" s="1">
        <v>8</v>
      </c>
      <c r="O2075" s="1">
        <v>0.88</v>
      </c>
      <c r="P2075" s="1">
        <v>425</v>
      </c>
      <c r="Q2075" s="1">
        <v>5.33</v>
      </c>
      <c r="R2075" s="1">
        <v>0.84</v>
      </c>
      <c r="S2075" s="2">
        <v>45469</v>
      </c>
      <c r="T2075" s="1">
        <v>191.35</v>
      </c>
      <c r="U2075" s="1">
        <v>0.48099999999999998</v>
      </c>
      <c r="V2075" s="6">
        <f t="shared" si="96"/>
        <v>23874.639999999999</v>
      </c>
      <c r="W2075" s="6" t="str">
        <f t="shared" si="97"/>
        <v>Sufficient</v>
      </c>
      <c r="X2075" s="8" t="str">
        <f t="shared" si="98"/>
        <v>High</v>
      </c>
    </row>
    <row r="2076" spans="1:24">
      <c r="A2076" s="7" t="s">
        <v>2206</v>
      </c>
      <c r="B2076" s="1" t="s">
        <v>29</v>
      </c>
      <c r="C2076" s="1">
        <v>295</v>
      </c>
      <c r="D2076" s="1">
        <v>25</v>
      </c>
      <c r="E2076" s="1">
        <v>12</v>
      </c>
      <c r="F2076" s="1">
        <v>6</v>
      </c>
      <c r="G2076" s="1">
        <v>47.8</v>
      </c>
      <c r="H2076" s="1" t="s">
        <v>139</v>
      </c>
      <c r="I2076" s="1" t="s">
        <v>39</v>
      </c>
      <c r="J2076" s="1">
        <v>132</v>
      </c>
      <c r="K2076" s="1">
        <v>2.2200000000000002</v>
      </c>
      <c r="L2076" s="4">
        <v>16.46</v>
      </c>
      <c r="M2076" s="1">
        <v>1.34</v>
      </c>
      <c r="N2076" s="1">
        <v>2</v>
      </c>
      <c r="O2076" s="1">
        <v>0.83</v>
      </c>
      <c r="P2076" s="1">
        <v>304</v>
      </c>
      <c r="Q2076" s="1">
        <v>4.0599999999999996</v>
      </c>
      <c r="R2076" s="1">
        <v>0.99</v>
      </c>
      <c r="S2076" s="2">
        <v>45631</v>
      </c>
      <c r="T2076" s="1">
        <v>175.26</v>
      </c>
      <c r="U2076" s="1">
        <v>0.64400000000000002</v>
      </c>
      <c r="V2076" s="6">
        <f t="shared" si="96"/>
        <v>4855.7</v>
      </c>
      <c r="W2076" s="6" t="str">
        <f t="shared" si="97"/>
        <v>Sufficient</v>
      </c>
      <c r="X2076" s="8" t="str">
        <f t="shared" si="98"/>
        <v>High</v>
      </c>
    </row>
    <row r="2077" spans="1:24">
      <c r="A2077" s="7" t="s">
        <v>2207</v>
      </c>
      <c r="B2077" s="1" t="s">
        <v>25</v>
      </c>
      <c r="C2077" s="1">
        <v>224</v>
      </c>
      <c r="D2077" s="1">
        <v>24</v>
      </c>
      <c r="E2077" s="1">
        <v>9</v>
      </c>
      <c r="F2077" s="1">
        <v>7</v>
      </c>
      <c r="G2077" s="1">
        <v>25.34</v>
      </c>
      <c r="H2077" s="1" t="s">
        <v>115</v>
      </c>
      <c r="I2077" s="1" t="s">
        <v>39</v>
      </c>
      <c r="J2077" s="1">
        <v>178</v>
      </c>
      <c r="K2077" s="1">
        <v>0.95</v>
      </c>
      <c r="L2077" s="4">
        <v>170.11</v>
      </c>
      <c r="M2077" s="1">
        <v>1.79</v>
      </c>
      <c r="N2077" s="1">
        <v>2</v>
      </c>
      <c r="O2077" s="1">
        <v>0.74</v>
      </c>
      <c r="P2077" s="1">
        <v>752</v>
      </c>
      <c r="Q2077" s="1">
        <v>14.46</v>
      </c>
      <c r="R2077" s="1">
        <v>0.5</v>
      </c>
      <c r="S2077" s="2">
        <v>45638</v>
      </c>
      <c r="T2077" s="1">
        <v>231.06</v>
      </c>
      <c r="U2077" s="1">
        <v>0.622</v>
      </c>
      <c r="V2077" s="6">
        <f t="shared" si="96"/>
        <v>38104.639999999999</v>
      </c>
      <c r="W2077" s="6" t="str">
        <f t="shared" si="97"/>
        <v>Sufficient</v>
      </c>
      <c r="X2077" s="8" t="str">
        <f t="shared" si="98"/>
        <v>Medium</v>
      </c>
    </row>
    <row r="2078" spans="1:24">
      <c r="A2078" s="7" t="s">
        <v>2208</v>
      </c>
      <c r="B2078" s="1" t="s">
        <v>25</v>
      </c>
      <c r="C2078" s="1">
        <v>356</v>
      </c>
      <c r="D2078" s="1">
        <v>20</v>
      </c>
      <c r="E2078" s="1">
        <v>13</v>
      </c>
      <c r="F2078" s="1">
        <v>6</v>
      </c>
      <c r="G2078" s="1">
        <v>20.29</v>
      </c>
      <c r="H2078" s="1" t="s">
        <v>72</v>
      </c>
      <c r="I2078" s="1" t="s">
        <v>31</v>
      </c>
      <c r="J2078" s="1">
        <v>98</v>
      </c>
      <c r="K2078" s="1">
        <v>1.28</v>
      </c>
      <c r="L2078" s="4">
        <v>60.32</v>
      </c>
      <c r="M2078" s="1">
        <v>1.83</v>
      </c>
      <c r="N2078" s="1">
        <v>1</v>
      </c>
      <c r="O2078" s="1">
        <v>0.87</v>
      </c>
      <c r="P2078" s="1">
        <v>703</v>
      </c>
      <c r="Q2078" s="1">
        <v>1.23</v>
      </c>
      <c r="R2078" s="1">
        <v>0.3</v>
      </c>
      <c r="S2078" s="2">
        <v>45620</v>
      </c>
      <c r="T2078" s="1">
        <v>79.88</v>
      </c>
      <c r="U2078" s="1">
        <v>0.44700000000000001</v>
      </c>
      <c r="V2078" s="6">
        <f t="shared" si="96"/>
        <v>21473.920000000002</v>
      </c>
      <c r="W2078" s="6" t="str">
        <f t="shared" si="97"/>
        <v>Sufficient</v>
      </c>
      <c r="X2078" s="8" t="str">
        <f t="shared" si="98"/>
        <v>High</v>
      </c>
    </row>
    <row r="2079" spans="1:24">
      <c r="A2079" s="7" t="s">
        <v>2209</v>
      </c>
      <c r="B2079" s="1" t="s">
        <v>66</v>
      </c>
      <c r="C2079" s="1">
        <v>457</v>
      </c>
      <c r="D2079" s="1">
        <v>74</v>
      </c>
      <c r="E2079" s="1">
        <v>6</v>
      </c>
      <c r="F2079" s="1">
        <v>4</v>
      </c>
      <c r="G2079" s="1">
        <v>24.68</v>
      </c>
      <c r="H2079" s="1" t="s">
        <v>159</v>
      </c>
      <c r="I2079" s="1" t="s">
        <v>31</v>
      </c>
      <c r="J2079" s="1">
        <v>104</v>
      </c>
      <c r="K2079" s="1">
        <v>3.56</v>
      </c>
      <c r="L2079" s="4">
        <v>78.209999999999994</v>
      </c>
      <c r="M2079" s="1">
        <v>0.42</v>
      </c>
      <c r="N2079" s="1">
        <v>9</v>
      </c>
      <c r="O2079" s="1">
        <v>0.99</v>
      </c>
      <c r="P2079" s="1">
        <v>807</v>
      </c>
      <c r="Q2079" s="1">
        <v>3.35</v>
      </c>
      <c r="R2079" s="1">
        <v>0.62</v>
      </c>
      <c r="S2079" s="2">
        <v>45489</v>
      </c>
      <c r="T2079" s="1">
        <v>188.29</v>
      </c>
      <c r="U2079" s="1">
        <v>0.54500000000000004</v>
      </c>
      <c r="V2079" s="6">
        <f t="shared" si="96"/>
        <v>35741.969999999994</v>
      </c>
      <c r="W2079" s="6" t="str">
        <f t="shared" si="97"/>
        <v>Sufficient</v>
      </c>
      <c r="X2079" s="8" t="str">
        <f t="shared" si="98"/>
        <v>High</v>
      </c>
    </row>
    <row r="2080" spans="1:24">
      <c r="A2080" s="7" t="s">
        <v>2210</v>
      </c>
      <c r="B2080" s="1" t="s">
        <v>66</v>
      </c>
      <c r="C2080" s="1">
        <v>439</v>
      </c>
      <c r="D2080" s="1">
        <v>88</v>
      </c>
      <c r="E2080" s="1">
        <v>8</v>
      </c>
      <c r="F2080" s="1">
        <v>5</v>
      </c>
      <c r="G2080" s="1">
        <v>39.72</v>
      </c>
      <c r="H2080" s="1" t="s">
        <v>55</v>
      </c>
      <c r="I2080" s="1" t="s">
        <v>31</v>
      </c>
      <c r="J2080" s="1">
        <v>128</v>
      </c>
      <c r="K2080" s="1">
        <v>0.56999999999999995</v>
      </c>
      <c r="L2080" s="4">
        <v>163.75</v>
      </c>
      <c r="M2080" s="1">
        <v>1.39</v>
      </c>
      <c r="N2080" s="1">
        <v>5</v>
      </c>
      <c r="O2080" s="1">
        <v>0.94</v>
      </c>
      <c r="P2080" s="1">
        <v>83</v>
      </c>
      <c r="Q2080" s="1">
        <v>7.54</v>
      </c>
      <c r="R2080" s="1">
        <v>0.67</v>
      </c>
      <c r="S2080" s="2">
        <v>45368</v>
      </c>
      <c r="T2080" s="1">
        <v>79.709999999999994</v>
      </c>
      <c r="U2080" s="1">
        <v>0.58399999999999996</v>
      </c>
      <c r="V2080" s="6">
        <f t="shared" si="96"/>
        <v>71886.25</v>
      </c>
      <c r="W2080" s="6" t="str">
        <f t="shared" si="97"/>
        <v>Sufficient</v>
      </c>
      <c r="X2080" s="8" t="str">
        <f t="shared" si="98"/>
        <v>High</v>
      </c>
    </row>
    <row r="2081" spans="1:24">
      <c r="A2081" s="7" t="s">
        <v>2211</v>
      </c>
      <c r="B2081" s="1" t="s">
        <v>29</v>
      </c>
      <c r="C2081" s="1">
        <v>404</v>
      </c>
      <c r="D2081" s="1">
        <v>99</v>
      </c>
      <c r="E2081" s="1">
        <v>3</v>
      </c>
      <c r="F2081" s="1">
        <v>8</v>
      </c>
      <c r="G2081" s="1">
        <v>24.39</v>
      </c>
      <c r="H2081" s="1" t="s">
        <v>36</v>
      </c>
      <c r="I2081" s="1" t="s">
        <v>27</v>
      </c>
      <c r="J2081" s="1">
        <v>53</v>
      </c>
      <c r="K2081" s="1">
        <v>4.4800000000000004</v>
      </c>
      <c r="L2081" s="4">
        <v>32.799999999999997</v>
      </c>
      <c r="M2081" s="1">
        <v>0.7</v>
      </c>
      <c r="N2081" s="1">
        <v>6</v>
      </c>
      <c r="O2081" s="1">
        <v>0.92</v>
      </c>
      <c r="P2081" s="1">
        <v>236</v>
      </c>
      <c r="Q2081" s="1">
        <v>3.34</v>
      </c>
      <c r="R2081" s="1">
        <v>0.97</v>
      </c>
      <c r="S2081" s="2">
        <v>45577</v>
      </c>
      <c r="T2081" s="1">
        <v>62.07</v>
      </c>
      <c r="U2081" s="1">
        <v>0.63300000000000001</v>
      </c>
      <c r="V2081" s="6">
        <f t="shared" si="96"/>
        <v>13251.199999999999</v>
      </c>
      <c r="W2081" s="6" t="str">
        <f t="shared" si="97"/>
        <v>Sufficient</v>
      </c>
      <c r="X2081" s="8" t="str">
        <f t="shared" si="98"/>
        <v>High</v>
      </c>
    </row>
    <row r="2082" spans="1:24">
      <c r="A2082" s="7" t="s">
        <v>2212</v>
      </c>
      <c r="B2082" s="1" t="s">
        <v>25</v>
      </c>
      <c r="C2082" s="1">
        <v>418</v>
      </c>
      <c r="D2082" s="1">
        <v>77</v>
      </c>
      <c r="E2082" s="1">
        <v>9</v>
      </c>
      <c r="F2082" s="1">
        <v>5</v>
      </c>
      <c r="G2082" s="1">
        <v>39.380000000000003</v>
      </c>
      <c r="H2082" s="1" t="s">
        <v>274</v>
      </c>
      <c r="I2082" s="1" t="s">
        <v>27</v>
      </c>
      <c r="J2082" s="1">
        <v>111</v>
      </c>
      <c r="K2082" s="1">
        <v>3.15</v>
      </c>
      <c r="L2082" s="4">
        <v>97.63</v>
      </c>
      <c r="M2082" s="1">
        <v>1.69</v>
      </c>
      <c r="N2082" s="1">
        <v>6</v>
      </c>
      <c r="O2082" s="1">
        <v>0.89</v>
      </c>
      <c r="P2082" s="1">
        <v>928</v>
      </c>
      <c r="Q2082" s="1">
        <v>3.34</v>
      </c>
      <c r="R2082" s="1">
        <v>0.53</v>
      </c>
      <c r="S2082" s="2">
        <v>45605</v>
      </c>
      <c r="T2082" s="1">
        <v>190.77</v>
      </c>
      <c r="U2082" s="1">
        <v>0.44</v>
      </c>
      <c r="V2082" s="6">
        <f t="shared" si="96"/>
        <v>40809.339999999997</v>
      </c>
      <c r="W2082" s="6" t="str">
        <f t="shared" si="97"/>
        <v>Sufficient</v>
      </c>
      <c r="X2082" s="8" t="str">
        <f t="shared" si="98"/>
        <v>High</v>
      </c>
    </row>
    <row r="2083" spans="1:24">
      <c r="A2083" s="7" t="s">
        <v>2213</v>
      </c>
      <c r="B2083" s="1" t="s">
        <v>41</v>
      </c>
      <c r="C2083" s="1">
        <v>480</v>
      </c>
      <c r="D2083" s="1">
        <v>52</v>
      </c>
      <c r="E2083" s="1">
        <v>14</v>
      </c>
      <c r="F2083" s="1">
        <v>2</v>
      </c>
      <c r="G2083" s="1">
        <v>22.15</v>
      </c>
      <c r="H2083" s="1" t="s">
        <v>63</v>
      </c>
      <c r="I2083" s="1" t="s">
        <v>45</v>
      </c>
      <c r="J2083" s="1">
        <v>54</v>
      </c>
      <c r="K2083" s="1">
        <v>0.7</v>
      </c>
      <c r="L2083" s="4">
        <v>33.24</v>
      </c>
      <c r="M2083" s="1">
        <v>1.49</v>
      </c>
      <c r="N2083" s="1">
        <v>4</v>
      </c>
      <c r="O2083" s="1">
        <v>0.8</v>
      </c>
      <c r="P2083" s="1">
        <v>498</v>
      </c>
      <c r="Q2083" s="1">
        <v>9.8800000000000008</v>
      </c>
      <c r="R2083" s="1">
        <v>0.27</v>
      </c>
      <c r="S2083" s="2">
        <v>45319</v>
      </c>
      <c r="T2083" s="1">
        <v>88.09</v>
      </c>
      <c r="U2083" s="1">
        <v>0.51700000000000002</v>
      </c>
      <c r="V2083" s="6">
        <f t="shared" si="96"/>
        <v>15955.2</v>
      </c>
      <c r="W2083" s="6" t="str">
        <f t="shared" si="97"/>
        <v>Sufficient</v>
      </c>
      <c r="X2083" s="8" t="str">
        <f t="shared" si="98"/>
        <v>High</v>
      </c>
    </row>
    <row r="2084" spans="1:24">
      <c r="A2084" s="7" t="s">
        <v>2214</v>
      </c>
      <c r="B2084" s="1" t="s">
        <v>66</v>
      </c>
      <c r="C2084" s="1">
        <v>292</v>
      </c>
      <c r="D2084" s="1">
        <v>78</v>
      </c>
      <c r="E2084" s="1">
        <v>8</v>
      </c>
      <c r="F2084" s="1">
        <v>4</v>
      </c>
      <c r="G2084" s="1">
        <v>13.35</v>
      </c>
      <c r="H2084" s="1" t="s">
        <v>156</v>
      </c>
      <c r="I2084" s="1" t="s">
        <v>27</v>
      </c>
      <c r="J2084" s="1">
        <v>126</v>
      </c>
      <c r="K2084" s="1">
        <v>1.58</v>
      </c>
      <c r="L2084" s="4">
        <v>93.95</v>
      </c>
      <c r="M2084" s="1">
        <v>0.48</v>
      </c>
      <c r="N2084" s="1">
        <v>5</v>
      </c>
      <c r="O2084" s="1">
        <v>0.75</v>
      </c>
      <c r="P2084" s="1">
        <v>135</v>
      </c>
      <c r="Q2084" s="1">
        <v>12.47</v>
      </c>
      <c r="R2084" s="1">
        <v>0.72</v>
      </c>
      <c r="S2084" s="2">
        <v>45297</v>
      </c>
      <c r="T2084" s="1">
        <v>217.17</v>
      </c>
      <c r="U2084" s="1">
        <v>0.71199999999999997</v>
      </c>
      <c r="V2084" s="6">
        <f t="shared" si="96"/>
        <v>27433.4</v>
      </c>
      <c r="W2084" s="6" t="str">
        <f t="shared" si="97"/>
        <v>Sufficient</v>
      </c>
      <c r="X2084" s="8" t="str">
        <f t="shared" si="98"/>
        <v>High</v>
      </c>
    </row>
    <row r="2085" spans="1:24">
      <c r="A2085" s="7" t="s">
        <v>2215</v>
      </c>
      <c r="B2085" s="1" t="s">
        <v>29</v>
      </c>
      <c r="C2085" s="1">
        <v>427</v>
      </c>
      <c r="D2085" s="1">
        <v>22</v>
      </c>
      <c r="E2085" s="1">
        <v>6</v>
      </c>
      <c r="F2085" s="1">
        <v>5</v>
      </c>
      <c r="G2085" s="1">
        <v>17</v>
      </c>
      <c r="H2085" s="1" t="s">
        <v>103</v>
      </c>
      <c r="I2085" s="1" t="s">
        <v>31</v>
      </c>
      <c r="J2085" s="1">
        <v>60</v>
      </c>
      <c r="K2085" s="1">
        <v>3.17</v>
      </c>
      <c r="L2085" s="4">
        <v>18.96</v>
      </c>
      <c r="M2085" s="1">
        <v>1.88</v>
      </c>
      <c r="N2085" s="1">
        <v>6</v>
      </c>
      <c r="O2085" s="1">
        <v>0.77</v>
      </c>
      <c r="P2085" s="1">
        <v>722</v>
      </c>
      <c r="Q2085" s="1">
        <v>10.26</v>
      </c>
      <c r="R2085" s="1">
        <v>0.22</v>
      </c>
      <c r="S2085" s="2">
        <v>45621</v>
      </c>
      <c r="T2085" s="1">
        <v>159.19999999999999</v>
      </c>
      <c r="U2085" s="1">
        <v>0.42699999999999999</v>
      </c>
      <c r="V2085" s="6">
        <f t="shared" si="96"/>
        <v>8095.92</v>
      </c>
      <c r="W2085" s="6" t="str">
        <f t="shared" si="97"/>
        <v>Sufficient</v>
      </c>
      <c r="X2085" s="8" t="str">
        <f t="shared" si="98"/>
        <v>High</v>
      </c>
    </row>
    <row r="2086" spans="1:24">
      <c r="A2086" s="7" t="s">
        <v>2216</v>
      </c>
      <c r="B2086" s="1" t="s">
        <v>25</v>
      </c>
      <c r="C2086" s="1">
        <v>77</v>
      </c>
      <c r="D2086" s="1">
        <v>19</v>
      </c>
      <c r="E2086" s="1">
        <v>9</v>
      </c>
      <c r="F2086" s="1">
        <v>7</v>
      </c>
      <c r="G2086" s="1">
        <v>4.8099999999999996</v>
      </c>
      <c r="H2086" s="1" t="s">
        <v>159</v>
      </c>
      <c r="I2086" s="1" t="s">
        <v>27</v>
      </c>
      <c r="J2086" s="1">
        <v>74</v>
      </c>
      <c r="K2086" s="1">
        <v>0.66</v>
      </c>
      <c r="L2086" s="4">
        <v>108.35</v>
      </c>
      <c r="M2086" s="1">
        <v>1.4</v>
      </c>
      <c r="N2086" s="1">
        <v>1</v>
      </c>
      <c r="O2086" s="1">
        <v>0.7</v>
      </c>
      <c r="P2086" s="1">
        <v>925</v>
      </c>
      <c r="Q2086" s="1">
        <v>2.42</v>
      </c>
      <c r="R2086" s="1">
        <v>0.54</v>
      </c>
      <c r="S2086" s="2">
        <v>45372</v>
      </c>
      <c r="T2086" s="1">
        <v>211.54</v>
      </c>
      <c r="U2086" s="1">
        <v>0.52</v>
      </c>
      <c r="V2086" s="6">
        <f t="shared" si="96"/>
        <v>8342.9499999999989</v>
      </c>
      <c r="W2086" s="6" t="str">
        <f t="shared" si="97"/>
        <v>Sufficient</v>
      </c>
      <c r="X2086" s="8" t="str">
        <f t="shared" si="98"/>
        <v>LOW</v>
      </c>
    </row>
    <row r="2087" spans="1:24">
      <c r="A2087" s="7" t="s">
        <v>2217</v>
      </c>
      <c r="B2087" s="1" t="s">
        <v>25</v>
      </c>
      <c r="C2087" s="1">
        <v>347</v>
      </c>
      <c r="D2087" s="1">
        <v>84</v>
      </c>
      <c r="E2087" s="1">
        <v>5</v>
      </c>
      <c r="F2087" s="1">
        <v>6</v>
      </c>
      <c r="G2087" s="1">
        <v>25.37</v>
      </c>
      <c r="H2087" s="1" t="s">
        <v>143</v>
      </c>
      <c r="I2087" s="1" t="s">
        <v>39</v>
      </c>
      <c r="J2087" s="1">
        <v>63</v>
      </c>
      <c r="K2087" s="1">
        <v>4.01</v>
      </c>
      <c r="L2087" s="4">
        <v>161.18</v>
      </c>
      <c r="M2087" s="1">
        <v>1.9</v>
      </c>
      <c r="N2087" s="1">
        <v>9</v>
      </c>
      <c r="O2087" s="1">
        <v>0.9</v>
      </c>
      <c r="P2087" s="1">
        <v>167</v>
      </c>
      <c r="Q2087" s="1">
        <v>13.54</v>
      </c>
      <c r="R2087" s="1">
        <v>0.53</v>
      </c>
      <c r="S2087" s="2">
        <v>45550</v>
      </c>
      <c r="T2087" s="1">
        <v>268.57</v>
      </c>
      <c r="U2087" s="1">
        <v>0.497</v>
      </c>
      <c r="V2087" s="6">
        <f t="shared" si="96"/>
        <v>55929.46</v>
      </c>
      <c r="W2087" s="6" t="str">
        <f t="shared" si="97"/>
        <v>Sufficient</v>
      </c>
      <c r="X2087" s="8" t="str">
        <f t="shared" si="98"/>
        <v>High</v>
      </c>
    </row>
    <row r="2088" spans="1:24">
      <c r="A2088" s="7" t="s">
        <v>2218</v>
      </c>
      <c r="B2088" s="1" t="s">
        <v>41</v>
      </c>
      <c r="C2088" s="1">
        <v>238</v>
      </c>
      <c r="D2088" s="1">
        <v>91</v>
      </c>
      <c r="E2088" s="1">
        <v>3</v>
      </c>
      <c r="F2088" s="1">
        <v>6</v>
      </c>
      <c r="G2088" s="1">
        <v>8.26</v>
      </c>
      <c r="H2088" s="1" t="s">
        <v>346</v>
      </c>
      <c r="I2088" s="1" t="s">
        <v>27</v>
      </c>
      <c r="J2088" s="1">
        <v>81</v>
      </c>
      <c r="K2088" s="1">
        <v>4.6399999999999997</v>
      </c>
      <c r="L2088" s="4">
        <v>138.5</v>
      </c>
      <c r="M2088" s="1">
        <v>0.48</v>
      </c>
      <c r="N2088" s="1">
        <v>6</v>
      </c>
      <c r="O2088" s="1">
        <v>0.94</v>
      </c>
      <c r="P2088" s="1">
        <v>672</v>
      </c>
      <c r="Q2088" s="1">
        <v>13.92</v>
      </c>
      <c r="R2088" s="1">
        <v>0.4</v>
      </c>
      <c r="S2088" s="2">
        <v>45532</v>
      </c>
      <c r="T2088" s="1">
        <v>50.09</v>
      </c>
      <c r="U2088" s="1">
        <v>0.68600000000000005</v>
      </c>
      <c r="V2088" s="6">
        <f t="shared" si="96"/>
        <v>32963</v>
      </c>
      <c r="W2088" s="6" t="str">
        <f t="shared" si="97"/>
        <v>Sufficient</v>
      </c>
      <c r="X2088" s="8" t="str">
        <f t="shared" si="98"/>
        <v>Medium</v>
      </c>
    </row>
    <row r="2089" spans="1:24">
      <c r="A2089" s="7" t="s">
        <v>2219</v>
      </c>
      <c r="B2089" s="1" t="s">
        <v>29</v>
      </c>
      <c r="C2089" s="1">
        <v>128</v>
      </c>
      <c r="D2089" s="1">
        <v>50</v>
      </c>
      <c r="E2089" s="1">
        <v>6</v>
      </c>
      <c r="F2089" s="1">
        <v>3</v>
      </c>
      <c r="G2089" s="1">
        <v>40.770000000000003</v>
      </c>
      <c r="H2089" s="1" t="s">
        <v>266</v>
      </c>
      <c r="I2089" s="1" t="s">
        <v>39</v>
      </c>
      <c r="J2089" s="1">
        <v>129</v>
      </c>
      <c r="K2089" s="1">
        <v>4.83</v>
      </c>
      <c r="L2089" s="4">
        <v>106.74</v>
      </c>
      <c r="M2089" s="1">
        <v>1.75</v>
      </c>
      <c r="N2089" s="1">
        <v>0</v>
      </c>
      <c r="O2089" s="1">
        <v>0.78</v>
      </c>
      <c r="P2089" s="1">
        <v>107</v>
      </c>
      <c r="Q2089" s="1">
        <v>4.93</v>
      </c>
      <c r="R2089" s="1">
        <v>0.97</v>
      </c>
      <c r="S2089" s="2">
        <v>45545</v>
      </c>
      <c r="T2089" s="1">
        <v>29.35</v>
      </c>
      <c r="U2089" s="1">
        <v>0.64100000000000001</v>
      </c>
      <c r="V2089" s="6">
        <f t="shared" si="96"/>
        <v>13662.72</v>
      </c>
      <c r="W2089" s="6" t="str">
        <f t="shared" si="97"/>
        <v>Sufficient</v>
      </c>
      <c r="X2089" s="8" t="str">
        <f t="shared" si="98"/>
        <v>Medium</v>
      </c>
    </row>
    <row r="2090" spans="1:24">
      <c r="A2090" s="7" t="s">
        <v>2220</v>
      </c>
      <c r="B2090" s="1" t="s">
        <v>25</v>
      </c>
      <c r="C2090" s="1">
        <v>298</v>
      </c>
      <c r="D2090" s="1">
        <v>59</v>
      </c>
      <c r="E2090" s="1">
        <v>5</v>
      </c>
      <c r="F2090" s="1">
        <v>3</v>
      </c>
      <c r="G2090" s="1">
        <v>21.61</v>
      </c>
      <c r="H2090" s="1" t="s">
        <v>113</v>
      </c>
      <c r="I2090" s="1" t="s">
        <v>45</v>
      </c>
      <c r="J2090" s="1">
        <v>177</v>
      </c>
      <c r="K2090" s="1">
        <v>3.8</v>
      </c>
      <c r="L2090" s="4">
        <v>167.46</v>
      </c>
      <c r="M2090" s="1">
        <v>1.37</v>
      </c>
      <c r="N2090" s="1">
        <v>5</v>
      </c>
      <c r="O2090" s="1">
        <v>0.73</v>
      </c>
      <c r="P2090" s="1">
        <v>67</v>
      </c>
      <c r="Q2090" s="1">
        <v>8.74</v>
      </c>
      <c r="R2090" s="1">
        <v>0.52</v>
      </c>
      <c r="S2090" s="2">
        <v>45376</v>
      </c>
      <c r="T2090" s="1">
        <v>125.98</v>
      </c>
      <c r="U2090" s="1">
        <v>0.53</v>
      </c>
      <c r="V2090" s="6">
        <f t="shared" si="96"/>
        <v>49903.08</v>
      </c>
      <c r="W2090" s="6" t="str">
        <f t="shared" si="97"/>
        <v>Sufficient</v>
      </c>
      <c r="X2090" s="8" t="str">
        <f t="shared" si="98"/>
        <v>High</v>
      </c>
    </row>
    <row r="2091" spans="1:24">
      <c r="A2091" s="7" t="s">
        <v>2221</v>
      </c>
      <c r="B2091" s="1" t="s">
        <v>66</v>
      </c>
      <c r="C2091" s="1">
        <v>193</v>
      </c>
      <c r="D2091" s="1">
        <v>96</v>
      </c>
      <c r="E2091" s="1">
        <v>3</v>
      </c>
      <c r="F2091" s="1">
        <v>9</v>
      </c>
      <c r="G2091" s="1">
        <v>38.49</v>
      </c>
      <c r="H2091" s="1" t="s">
        <v>106</v>
      </c>
      <c r="I2091" s="1" t="s">
        <v>39</v>
      </c>
      <c r="J2091" s="1">
        <v>152</v>
      </c>
      <c r="K2091" s="1">
        <v>4.3600000000000003</v>
      </c>
      <c r="L2091" s="4">
        <v>53.28</v>
      </c>
      <c r="M2091" s="1">
        <v>1.1499999999999999</v>
      </c>
      <c r="N2091" s="1">
        <v>7</v>
      </c>
      <c r="O2091" s="1">
        <v>0.8</v>
      </c>
      <c r="P2091" s="1">
        <v>928</v>
      </c>
      <c r="Q2091" s="1">
        <v>7.79</v>
      </c>
      <c r="R2091" s="1">
        <v>0.92</v>
      </c>
      <c r="S2091" s="2">
        <v>45330</v>
      </c>
      <c r="T2091" s="1">
        <v>217.85</v>
      </c>
      <c r="U2091" s="1">
        <v>0.59299999999999997</v>
      </c>
      <c r="V2091" s="6">
        <f t="shared" si="96"/>
        <v>10283.040000000001</v>
      </c>
      <c r="W2091" s="6" t="str">
        <f t="shared" si="97"/>
        <v>Sufficient</v>
      </c>
      <c r="X2091" s="8" t="str">
        <f t="shared" si="98"/>
        <v>Medium</v>
      </c>
    </row>
    <row r="2092" spans="1:24">
      <c r="A2092" s="7" t="s">
        <v>2222</v>
      </c>
      <c r="B2092" s="1" t="s">
        <v>41</v>
      </c>
      <c r="C2092" s="1">
        <v>347</v>
      </c>
      <c r="D2092" s="1">
        <v>80</v>
      </c>
      <c r="E2092" s="1">
        <v>4</v>
      </c>
      <c r="F2092" s="1">
        <v>6</v>
      </c>
      <c r="G2092" s="1">
        <v>47.77</v>
      </c>
      <c r="H2092" s="1" t="s">
        <v>99</v>
      </c>
      <c r="I2092" s="1" t="s">
        <v>31</v>
      </c>
      <c r="J2092" s="1">
        <v>28</v>
      </c>
      <c r="K2092" s="1">
        <v>3.25</v>
      </c>
      <c r="L2092" s="4">
        <v>167.85</v>
      </c>
      <c r="M2092" s="1">
        <v>1.66</v>
      </c>
      <c r="N2092" s="1">
        <v>0</v>
      </c>
      <c r="O2092" s="1">
        <v>0.79</v>
      </c>
      <c r="P2092" s="1">
        <v>920</v>
      </c>
      <c r="Q2092" s="1">
        <v>10.36</v>
      </c>
      <c r="R2092" s="1">
        <v>0.61</v>
      </c>
      <c r="S2092" s="2">
        <v>45543</v>
      </c>
      <c r="T2092" s="1">
        <v>266.98</v>
      </c>
      <c r="U2092" s="1">
        <v>0.65200000000000002</v>
      </c>
      <c r="V2092" s="6">
        <f t="shared" si="96"/>
        <v>58243.95</v>
      </c>
      <c r="W2092" s="6" t="str">
        <f t="shared" si="97"/>
        <v>Sufficient</v>
      </c>
      <c r="X2092" s="8" t="str">
        <f t="shared" si="98"/>
        <v>High</v>
      </c>
    </row>
    <row r="2093" spans="1:24">
      <c r="A2093" s="7" t="s">
        <v>2223</v>
      </c>
      <c r="B2093" s="1" t="s">
        <v>29</v>
      </c>
      <c r="C2093" s="1">
        <v>283</v>
      </c>
      <c r="D2093" s="1">
        <v>68</v>
      </c>
      <c r="E2093" s="1">
        <v>13</v>
      </c>
      <c r="F2093" s="1">
        <v>9</v>
      </c>
      <c r="G2093" s="1">
        <v>42.62</v>
      </c>
      <c r="H2093" s="1" t="s">
        <v>440</v>
      </c>
      <c r="I2093" s="1" t="s">
        <v>45</v>
      </c>
      <c r="J2093" s="1">
        <v>19</v>
      </c>
      <c r="K2093" s="1">
        <v>2.56</v>
      </c>
      <c r="L2093" s="4">
        <v>62.51</v>
      </c>
      <c r="M2093" s="1">
        <v>1.3</v>
      </c>
      <c r="N2093" s="1">
        <v>0</v>
      </c>
      <c r="O2093" s="1">
        <v>0.84</v>
      </c>
      <c r="P2093" s="1">
        <v>189</v>
      </c>
      <c r="Q2093" s="1">
        <v>14.69</v>
      </c>
      <c r="R2093" s="1">
        <v>0.86</v>
      </c>
      <c r="S2093" s="2">
        <v>45456</v>
      </c>
      <c r="T2093" s="1">
        <v>20.09</v>
      </c>
      <c r="U2093" s="1">
        <v>0.80600000000000005</v>
      </c>
      <c r="V2093" s="6">
        <f t="shared" si="96"/>
        <v>17690.329999999998</v>
      </c>
      <c r="W2093" s="6" t="str">
        <f t="shared" si="97"/>
        <v>Sufficient</v>
      </c>
      <c r="X2093" s="8" t="str">
        <f t="shared" si="98"/>
        <v>High</v>
      </c>
    </row>
    <row r="2094" spans="1:24">
      <c r="A2094" s="7" t="s">
        <v>2224</v>
      </c>
      <c r="B2094" s="1" t="s">
        <v>41</v>
      </c>
      <c r="C2094" s="1">
        <v>334</v>
      </c>
      <c r="D2094" s="1">
        <v>48</v>
      </c>
      <c r="E2094" s="1">
        <v>7</v>
      </c>
      <c r="F2094" s="1">
        <v>7</v>
      </c>
      <c r="G2094" s="1">
        <v>47.62</v>
      </c>
      <c r="H2094" s="1" t="s">
        <v>200</v>
      </c>
      <c r="I2094" s="1" t="s">
        <v>45</v>
      </c>
      <c r="J2094" s="1">
        <v>25</v>
      </c>
      <c r="K2094" s="1">
        <v>3.71</v>
      </c>
      <c r="L2094" s="4">
        <v>78.87</v>
      </c>
      <c r="M2094" s="1">
        <v>1.37</v>
      </c>
      <c r="N2094" s="1">
        <v>5</v>
      </c>
      <c r="O2094" s="1">
        <v>0.78</v>
      </c>
      <c r="P2094" s="1">
        <v>507</v>
      </c>
      <c r="Q2094" s="1">
        <v>14.81</v>
      </c>
      <c r="R2094" s="1">
        <v>0.56000000000000005</v>
      </c>
      <c r="S2094" s="2">
        <v>45415</v>
      </c>
      <c r="T2094" s="1">
        <v>239.96</v>
      </c>
      <c r="U2094" s="1">
        <v>0.628</v>
      </c>
      <c r="V2094" s="6">
        <f t="shared" si="96"/>
        <v>26342.58</v>
      </c>
      <c r="W2094" s="6" t="str">
        <f t="shared" si="97"/>
        <v>Sufficient</v>
      </c>
      <c r="X2094" s="8" t="str">
        <f t="shared" si="98"/>
        <v>High</v>
      </c>
    </row>
    <row r="2095" spans="1:24">
      <c r="A2095" s="7" t="s">
        <v>2225</v>
      </c>
      <c r="B2095" s="1" t="s">
        <v>66</v>
      </c>
      <c r="C2095" s="1">
        <v>493</v>
      </c>
      <c r="D2095" s="1">
        <v>12</v>
      </c>
      <c r="E2095" s="1">
        <v>10</v>
      </c>
      <c r="F2095" s="1">
        <v>6</v>
      </c>
      <c r="G2095" s="1">
        <v>28.83</v>
      </c>
      <c r="H2095" s="1" t="s">
        <v>159</v>
      </c>
      <c r="I2095" s="1" t="s">
        <v>45</v>
      </c>
      <c r="J2095" s="1">
        <v>168</v>
      </c>
      <c r="K2095" s="1">
        <v>1.51</v>
      </c>
      <c r="L2095" s="4">
        <v>34.4</v>
      </c>
      <c r="M2095" s="1">
        <v>0.57999999999999996</v>
      </c>
      <c r="N2095" s="1">
        <v>4</v>
      </c>
      <c r="O2095" s="1">
        <v>0.8</v>
      </c>
      <c r="P2095" s="1">
        <v>755</v>
      </c>
      <c r="Q2095" s="1">
        <v>8.1300000000000008</v>
      </c>
      <c r="R2095" s="1">
        <v>0.99</v>
      </c>
      <c r="S2095" s="2">
        <v>45461</v>
      </c>
      <c r="T2095" s="1">
        <v>31.87</v>
      </c>
      <c r="U2095" s="1">
        <v>0.72799999999999998</v>
      </c>
      <c r="V2095" s="6">
        <f t="shared" si="96"/>
        <v>16959.2</v>
      </c>
      <c r="W2095" s="6" t="str">
        <f t="shared" si="97"/>
        <v>Sufficient</v>
      </c>
      <c r="X2095" s="8" t="str">
        <f t="shared" si="98"/>
        <v>High</v>
      </c>
    </row>
    <row r="2096" spans="1:24">
      <c r="A2096" s="7" t="s">
        <v>2226</v>
      </c>
      <c r="B2096" s="1" t="s">
        <v>29</v>
      </c>
      <c r="C2096" s="1">
        <v>130</v>
      </c>
      <c r="D2096" s="1">
        <v>85</v>
      </c>
      <c r="E2096" s="1">
        <v>3</v>
      </c>
      <c r="F2096" s="1">
        <v>3</v>
      </c>
      <c r="G2096" s="1">
        <v>9.1</v>
      </c>
      <c r="H2096" s="1" t="s">
        <v>143</v>
      </c>
      <c r="I2096" s="1" t="s">
        <v>31</v>
      </c>
      <c r="J2096" s="1">
        <v>117</v>
      </c>
      <c r="K2096" s="1">
        <v>0.99</v>
      </c>
      <c r="L2096" s="4">
        <v>29.33</v>
      </c>
      <c r="M2096" s="1">
        <v>1.65</v>
      </c>
      <c r="N2096" s="1">
        <v>2</v>
      </c>
      <c r="O2096" s="1">
        <v>0.97</v>
      </c>
      <c r="P2096" s="1">
        <v>691</v>
      </c>
      <c r="Q2096" s="1">
        <v>2.29</v>
      </c>
      <c r="R2096" s="1">
        <v>0.71</v>
      </c>
      <c r="S2096" s="2">
        <v>45434</v>
      </c>
      <c r="T2096" s="1">
        <v>178.37</v>
      </c>
      <c r="U2096" s="1">
        <v>0.56200000000000006</v>
      </c>
      <c r="V2096" s="6">
        <f t="shared" si="96"/>
        <v>3812.8999999999996</v>
      </c>
      <c r="W2096" s="6" t="str">
        <f t="shared" si="97"/>
        <v>Sufficient</v>
      </c>
      <c r="X2096" s="8" t="str">
        <f t="shared" si="98"/>
        <v>Medium</v>
      </c>
    </row>
    <row r="2097" spans="1:24">
      <c r="A2097" s="7" t="s">
        <v>2227</v>
      </c>
      <c r="B2097" s="1" t="s">
        <v>41</v>
      </c>
      <c r="C2097" s="1">
        <v>206</v>
      </c>
      <c r="D2097" s="1">
        <v>16</v>
      </c>
      <c r="E2097" s="1">
        <v>6</v>
      </c>
      <c r="F2097" s="1">
        <v>5</v>
      </c>
      <c r="G2097" s="1">
        <v>46.83</v>
      </c>
      <c r="H2097" s="1" t="s">
        <v>189</v>
      </c>
      <c r="I2097" s="1" t="s">
        <v>39</v>
      </c>
      <c r="J2097" s="1">
        <v>25</v>
      </c>
      <c r="K2097" s="1">
        <v>3.93</v>
      </c>
      <c r="L2097" s="4">
        <v>187.1</v>
      </c>
      <c r="M2097" s="1">
        <v>1.34</v>
      </c>
      <c r="N2097" s="1">
        <v>9</v>
      </c>
      <c r="O2097" s="1">
        <v>0.8</v>
      </c>
      <c r="P2097" s="1">
        <v>261</v>
      </c>
      <c r="Q2097" s="1">
        <v>5.68</v>
      </c>
      <c r="R2097" s="1">
        <v>0.32</v>
      </c>
      <c r="S2097" s="2">
        <v>45317</v>
      </c>
      <c r="T2097" s="1">
        <v>109.79</v>
      </c>
      <c r="U2097" s="1">
        <v>0.38600000000000001</v>
      </c>
      <c r="V2097" s="6">
        <f t="shared" si="96"/>
        <v>38542.6</v>
      </c>
      <c r="W2097" s="6" t="str">
        <f t="shared" si="97"/>
        <v>Sufficient</v>
      </c>
      <c r="X2097" s="8" t="str">
        <f t="shared" si="98"/>
        <v>Medium</v>
      </c>
    </row>
    <row r="2098" spans="1:24">
      <c r="A2098" s="7" t="s">
        <v>2228</v>
      </c>
      <c r="B2098" s="1" t="s">
        <v>33</v>
      </c>
      <c r="C2098" s="1">
        <v>288</v>
      </c>
      <c r="D2098" s="1">
        <v>58</v>
      </c>
      <c r="E2098" s="1">
        <v>6</v>
      </c>
      <c r="F2098" s="1">
        <v>9</v>
      </c>
      <c r="G2098" s="1">
        <v>43.56</v>
      </c>
      <c r="H2098" s="1" t="s">
        <v>282</v>
      </c>
      <c r="I2098" s="1" t="s">
        <v>45</v>
      </c>
      <c r="J2098" s="1">
        <v>89</v>
      </c>
      <c r="K2098" s="1">
        <v>4.8099999999999996</v>
      </c>
      <c r="L2098" s="4">
        <v>46.1</v>
      </c>
      <c r="M2098" s="1">
        <v>1.7</v>
      </c>
      <c r="N2098" s="1">
        <v>9</v>
      </c>
      <c r="O2098" s="1">
        <v>0.94</v>
      </c>
      <c r="P2098" s="1">
        <v>535</v>
      </c>
      <c r="Q2098" s="1">
        <v>6.79</v>
      </c>
      <c r="R2098" s="1">
        <v>0.21</v>
      </c>
      <c r="S2098" s="2">
        <v>45551</v>
      </c>
      <c r="T2098" s="1">
        <v>15.12</v>
      </c>
      <c r="U2098" s="1">
        <v>0.371</v>
      </c>
      <c r="V2098" s="6">
        <f t="shared" si="96"/>
        <v>13276.800000000001</v>
      </c>
      <c r="W2098" s="6" t="str">
        <f t="shared" si="97"/>
        <v>Sufficient</v>
      </c>
      <c r="X2098" s="8" t="str">
        <f t="shared" si="98"/>
        <v>High</v>
      </c>
    </row>
    <row r="2099" spans="1:24">
      <c r="A2099" s="7" t="s">
        <v>2229</v>
      </c>
      <c r="B2099" s="1" t="s">
        <v>66</v>
      </c>
      <c r="C2099" s="1">
        <v>442</v>
      </c>
      <c r="D2099" s="1">
        <v>35</v>
      </c>
      <c r="E2099" s="1">
        <v>7</v>
      </c>
      <c r="F2099" s="1">
        <v>9</v>
      </c>
      <c r="G2099" s="1">
        <v>43.36</v>
      </c>
      <c r="H2099" s="1" t="s">
        <v>370</v>
      </c>
      <c r="I2099" s="1" t="s">
        <v>31</v>
      </c>
      <c r="J2099" s="1">
        <v>37</v>
      </c>
      <c r="K2099" s="1">
        <v>3.1</v>
      </c>
      <c r="L2099" s="4">
        <v>73.33</v>
      </c>
      <c r="M2099" s="1">
        <v>0.77</v>
      </c>
      <c r="N2099" s="1">
        <v>6</v>
      </c>
      <c r="O2099" s="1">
        <v>0.89</v>
      </c>
      <c r="P2099" s="1">
        <v>845</v>
      </c>
      <c r="Q2099" s="1">
        <v>8.48</v>
      </c>
      <c r="R2099" s="1">
        <v>0.94</v>
      </c>
      <c r="S2099" s="2">
        <v>45406</v>
      </c>
      <c r="T2099" s="1">
        <v>38.159999999999997</v>
      </c>
      <c r="U2099" s="1">
        <v>0.68200000000000005</v>
      </c>
      <c r="V2099" s="6">
        <f t="shared" si="96"/>
        <v>32411.86</v>
      </c>
      <c r="W2099" s="6" t="str">
        <f t="shared" si="97"/>
        <v>Sufficient</v>
      </c>
      <c r="X2099" s="8" t="str">
        <f t="shared" si="98"/>
        <v>High</v>
      </c>
    </row>
    <row r="2100" spans="1:24">
      <c r="A2100" s="7" t="s">
        <v>2230</v>
      </c>
      <c r="B2100" s="1" t="s">
        <v>66</v>
      </c>
      <c r="C2100" s="1">
        <v>248</v>
      </c>
      <c r="D2100" s="1">
        <v>42</v>
      </c>
      <c r="E2100" s="1">
        <v>9</v>
      </c>
      <c r="F2100" s="1">
        <v>2</v>
      </c>
      <c r="G2100" s="1">
        <v>34.97</v>
      </c>
      <c r="H2100" s="1" t="s">
        <v>124</v>
      </c>
      <c r="I2100" s="1" t="s">
        <v>45</v>
      </c>
      <c r="J2100" s="1">
        <v>157</v>
      </c>
      <c r="K2100" s="1">
        <v>2.67</v>
      </c>
      <c r="L2100" s="4">
        <v>110.54</v>
      </c>
      <c r="M2100" s="1">
        <v>0.73</v>
      </c>
      <c r="N2100" s="1">
        <v>6</v>
      </c>
      <c r="O2100" s="1">
        <v>0.8</v>
      </c>
      <c r="P2100" s="1">
        <v>169</v>
      </c>
      <c r="Q2100" s="1">
        <v>14.45</v>
      </c>
      <c r="R2100" s="1">
        <v>0.75</v>
      </c>
      <c r="S2100" s="2">
        <v>45573</v>
      </c>
      <c r="T2100" s="1">
        <v>112.58</v>
      </c>
      <c r="U2100" s="1">
        <v>0.71</v>
      </c>
      <c r="V2100" s="6">
        <f t="shared" si="96"/>
        <v>27413.920000000002</v>
      </c>
      <c r="W2100" s="6" t="str">
        <f t="shared" si="97"/>
        <v>Sufficient</v>
      </c>
      <c r="X2100" s="8" t="str">
        <f t="shared" si="98"/>
        <v>Medium</v>
      </c>
    </row>
    <row r="2101" spans="1:24">
      <c r="A2101" s="7" t="s">
        <v>2231</v>
      </c>
      <c r="B2101" s="1" t="s">
        <v>66</v>
      </c>
      <c r="C2101" s="1">
        <v>175</v>
      </c>
      <c r="D2101" s="1">
        <v>57</v>
      </c>
      <c r="E2101" s="1">
        <v>14</v>
      </c>
      <c r="F2101" s="1">
        <v>3</v>
      </c>
      <c r="G2101" s="1">
        <v>31.62</v>
      </c>
      <c r="H2101" s="1" t="s">
        <v>411</v>
      </c>
      <c r="I2101" s="1" t="s">
        <v>45</v>
      </c>
      <c r="J2101" s="1">
        <v>172</v>
      </c>
      <c r="K2101" s="1">
        <v>2.9</v>
      </c>
      <c r="L2101" s="4">
        <v>76.09</v>
      </c>
      <c r="M2101" s="1">
        <v>0.15</v>
      </c>
      <c r="N2101" s="1">
        <v>6</v>
      </c>
      <c r="O2101" s="1">
        <v>0.95</v>
      </c>
      <c r="P2101" s="1">
        <v>940</v>
      </c>
      <c r="Q2101" s="1">
        <v>4.67</v>
      </c>
      <c r="R2101" s="1">
        <v>0.28999999999999998</v>
      </c>
      <c r="S2101" s="2">
        <v>45621</v>
      </c>
      <c r="T2101" s="1">
        <v>286.58999999999997</v>
      </c>
      <c r="U2101" s="1">
        <v>0.57499999999999996</v>
      </c>
      <c r="V2101" s="6">
        <f t="shared" si="96"/>
        <v>13315.75</v>
      </c>
      <c r="W2101" s="6" t="str">
        <f t="shared" si="97"/>
        <v>Sufficient</v>
      </c>
      <c r="X2101" s="8" t="str">
        <f t="shared" si="98"/>
        <v>Medium</v>
      </c>
    </row>
    <row r="2102" spans="1:24">
      <c r="A2102" s="7" t="s">
        <v>2232</v>
      </c>
      <c r="B2102" s="1" t="s">
        <v>33</v>
      </c>
      <c r="C2102" s="1">
        <v>492</v>
      </c>
      <c r="D2102" s="1">
        <v>88</v>
      </c>
      <c r="E2102" s="1">
        <v>10</v>
      </c>
      <c r="F2102" s="1">
        <v>7</v>
      </c>
      <c r="G2102" s="1">
        <v>1.72</v>
      </c>
      <c r="H2102" s="1" t="s">
        <v>145</v>
      </c>
      <c r="I2102" s="1" t="s">
        <v>31</v>
      </c>
      <c r="J2102" s="1">
        <v>18</v>
      </c>
      <c r="K2102" s="1">
        <v>2.65</v>
      </c>
      <c r="L2102" s="4">
        <v>175.33</v>
      </c>
      <c r="M2102" s="1">
        <v>1.56</v>
      </c>
      <c r="N2102" s="1">
        <v>5</v>
      </c>
      <c r="O2102" s="1">
        <v>0.88</v>
      </c>
      <c r="P2102" s="1">
        <v>603</v>
      </c>
      <c r="Q2102" s="1">
        <v>8.51</v>
      </c>
      <c r="R2102" s="1">
        <v>0.79</v>
      </c>
      <c r="S2102" s="2">
        <v>45485</v>
      </c>
      <c r="T2102" s="1">
        <v>54.9</v>
      </c>
      <c r="U2102" s="1">
        <v>0.59099999999999997</v>
      </c>
      <c r="V2102" s="6">
        <f t="shared" si="96"/>
        <v>86262.36</v>
      </c>
      <c r="W2102" s="6" t="str">
        <f t="shared" si="97"/>
        <v>Sufficient</v>
      </c>
      <c r="X2102" s="8" t="str">
        <f t="shared" si="98"/>
        <v>High</v>
      </c>
    </row>
    <row r="2103" spans="1:24">
      <c r="A2103" s="7" t="s">
        <v>2233</v>
      </c>
      <c r="B2103" s="1" t="s">
        <v>33</v>
      </c>
      <c r="C2103" s="1">
        <v>208</v>
      </c>
      <c r="D2103" s="1">
        <v>11</v>
      </c>
      <c r="E2103" s="1">
        <v>8</v>
      </c>
      <c r="F2103" s="1">
        <v>9</v>
      </c>
      <c r="G2103" s="1">
        <v>37.65</v>
      </c>
      <c r="H2103" s="1" t="s">
        <v>52</v>
      </c>
      <c r="I2103" s="1" t="s">
        <v>27</v>
      </c>
      <c r="J2103" s="1">
        <v>113</v>
      </c>
      <c r="K2103" s="1">
        <v>2.4900000000000002</v>
      </c>
      <c r="L2103" s="4">
        <v>181.14</v>
      </c>
      <c r="M2103" s="1">
        <v>0.73</v>
      </c>
      <c r="N2103" s="1">
        <v>3</v>
      </c>
      <c r="O2103" s="1">
        <v>0.7</v>
      </c>
      <c r="P2103" s="1">
        <v>52</v>
      </c>
      <c r="Q2103" s="1">
        <v>5.07</v>
      </c>
      <c r="R2103" s="1">
        <v>0.38</v>
      </c>
      <c r="S2103" s="2">
        <v>45498</v>
      </c>
      <c r="T2103" s="1">
        <v>88.87</v>
      </c>
      <c r="U2103" s="1">
        <v>0.55100000000000005</v>
      </c>
      <c r="V2103" s="6">
        <f t="shared" si="96"/>
        <v>37677.119999999995</v>
      </c>
      <c r="W2103" s="6" t="str">
        <f t="shared" si="97"/>
        <v>Sufficient</v>
      </c>
      <c r="X2103" s="8" t="str">
        <f t="shared" si="98"/>
        <v>Medium</v>
      </c>
    </row>
    <row r="2104" spans="1:24">
      <c r="A2104" s="7" t="s">
        <v>2234</v>
      </c>
      <c r="B2104" s="1" t="s">
        <v>25</v>
      </c>
      <c r="C2104" s="1">
        <v>291</v>
      </c>
      <c r="D2104" s="1">
        <v>80</v>
      </c>
      <c r="E2104" s="1">
        <v>3</v>
      </c>
      <c r="F2104" s="1">
        <v>5</v>
      </c>
      <c r="G2104" s="1">
        <v>5.49</v>
      </c>
      <c r="H2104" s="1" t="s">
        <v>282</v>
      </c>
      <c r="I2104" s="1" t="s">
        <v>45</v>
      </c>
      <c r="J2104" s="1">
        <v>147</v>
      </c>
      <c r="K2104" s="1">
        <v>4.76</v>
      </c>
      <c r="L2104" s="4">
        <v>71.94</v>
      </c>
      <c r="M2104" s="1">
        <v>0.72</v>
      </c>
      <c r="N2104" s="1">
        <v>8</v>
      </c>
      <c r="O2104" s="1">
        <v>0.72</v>
      </c>
      <c r="P2104" s="1">
        <v>993</v>
      </c>
      <c r="Q2104" s="1">
        <v>13.87</v>
      </c>
      <c r="R2104" s="1">
        <v>0.85</v>
      </c>
      <c r="S2104" s="2">
        <v>45412</v>
      </c>
      <c r="T2104" s="1">
        <v>298.3</v>
      </c>
      <c r="U2104" s="1">
        <v>0.66700000000000004</v>
      </c>
      <c r="V2104" s="6">
        <f t="shared" si="96"/>
        <v>20934.54</v>
      </c>
      <c r="W2104" s="6" t="str">
        <f t="shared" si="97"/>
        <v>Sufficient</v>
      </c>
      <c r="X2104" s="8" t="str">
        <f t="shared" si="98"/>
        <v>High</v>
      </c>
    </row>
    <row r="2105" spans="1:24">
      <c r="A2105" s="7" t="s">
        <v>2235</v>
      </c>
      <c r="B2105" s="1" t="s">
        <v>41</v>
      </c>
      <c r="C2105" s="1">
        <v>394</v>
      </c>
      <c r="D2105" s="1">
        <v>41</v>
      </c>
      <c r="E2105" s="1">
        <v>9</v>
      </c>
      <c r="F2105" s="1">
        <v>5</v>
      </c>
      <c r="G2105" s="1">
        <v>13.73</v>
      </c>
      <c r="H2105" s="1" t="s">
        <v>333</v>
      </c>
      <c r="I2105" s="1" t="s">
        <v>27</v>
      </c>
      <c r="J2105" s="1">
        <v>54</v>
      </c>
      <c r="K2105" s="1">
        <v>2.66</v>
      </c>
      <c r="L2105" s="4">
        <v>27.49</v>
      </c>
      <c r="M2105" s="1">
        <v>1.41</v>
      </c>
      <c r="N2105" s="1">
        <v>8</v>
      </c>
      <c r="O2105" s="1">
        <v>0.93</v>
      </c>
      <c r="P2105" s="1">
        <v>278</v>
      </c>
      <c r="Q2105" s="1">
        <v>14.86</v>
      </c>
      <c r="R2105" s="1">
        <v>0.69</v>
      </c>
      <c r="S2105" s="2">
        <v>45332</v>
      </c>
      <c r="T2105" s="1">
        <v>149.38</v>
      </c>
      <c r="U2105" s="1">
        <v>0.621</v>
      </c>
      <c r="V2105" s="6">
        <f t="shared" si="96"/>
        <v>10831.06</v>
      </c>
      <c r="W2105" s="6" t="str">
        <f t="shared" si="97"/>
        <v>Sufficient</v>
      </c>
      <c r="X2105" s="8" t="str">
        <f t="shared" si="98"/>
        <v>High</v>
      </c>
    </row>
    <row r="2106" spans="1:24">
      <c r="A2106" s="7" t="s">
        <v>2236</v>
      </c>
      <c r="B2106" s="1" t="s">
        <v>25</v>
      </c>
      <c r="C2106" s="1">
        <v>21</v>
      </c>
      <c r="D2106" s="1">
        <v>13</v>
      </c>
      <c r="E2106" s="1">
        <v>5</v>
      </c>
      <c r="F2106" s="1">
        <v>5</v>
      </c>
      <c r="G2106" s="1">
        <v>28.02</v>
      </c>
      <c r="H2106" s="1" t="s">
        <v>370</v>
      </c>
      <c r="I2106" s="1" t="s">
        <v>45</v>
      </c>
      <c r="J2106" s="1">
        <v>118</v>
      </c>
      <c r="K2106" s="1">
        <v>0.86</v>
      </c>
      <c r="L2106" s="4">
        <v>49.93</v>
      </c>
      <c r="M2106" s="1">
        <v>0.57999999999999996</v>
      </c>
      <c r="N2106" s="1">
        <v>6</v>
      </c>
      <c r="O2106" s="1">
        <v>0.83</v>
      </c>
      <c r="P2106" s="1">
        <v>278</v>
      </c>
      <c r="Q2106" s="1">
        <v>13.19</v>
      </c>
      <c r="R2106" s="1">
        <v>0.3</v>
      </c>
      <c r="S2106" s="2">
        <v>45527</v>
      </c>
      <c r="T2106" s="1">
        <v>86.05</v>
      </c>
      <c r="U2106" s="1">
        <v>0.624</v>
      </c>
      <c r="V2106" s="6">
        <f t="shared" si="96"/>
        <v>1048.53</v>
      </c>
      <c r="W2106" s="6" t="str">
        <f t="shared" si="97"/>
        <v>Sufficient</v>
      </c>
      <c r="X2106" s="8" t="str">
        <f t="shared" si="98"/>
        <v>LOW</v>
      </c>
    </row>
    <row r="2107" spans="1:24">
      <c r="A2107" s="7" t="s">
        <v>2237</v>
      </c>
      <c r="B2107" s="1" t="s">
        <v>41</v>
      </c>
      <c r="C2107" s="1">
        <v>265</v>
      </c>
      <c r="D2107" s="1">
        <v>29</v>
      </c>
      <c r="E2107" s="1">
        <v>8</v>
      </c>
      <c r="F2107" s="1">
        <v>4</v>
      </c>
      <c r="G2107" s="1">
        <v>23.13</v>
      </c>
      <c r="H2107" s="1" t="s">
        <v>558</v>
      </c>
      <c r="I2107" s="1" t="s">
        <v>27</v>
      </c>
      <c r="J2107" s="1">
        <v>152</v>
      </c>
      <c r="K2107" s="1">
        <v>3.94</v>
      </c>
      <c r="L2107" s="4">
        <v>100.13</v>
      </c>
      <c r="M2107" s="1">
        <v>1.83</v>
      </c>
      <c r="N2107" s="1">
        <v>6</v>
      </c>
      <c r="O2107" s="1">
        <v>0.82</v>
      </c>
      <c r="P2107" s="1">
        <v>392</v>
      </c>
      <c r="Q2107" s="1">
        <v>5.74</v>
      </c>
      <c r="R2107" s="1">
        <v>0.26</v>
      </c>
      <c r="S2107" s="2">
        <v>45519</v>
      </c>
      <c r="T2107" s="1">
        <v>188.62</v>
      </c>
      <c r="U2107" s="1">
        <v>0.39</v>
      </c>
      <c r="V2107" s="6">
        <f t="shared" si="96"/>
        <v>26534.449999999997</v>
      </c>
      <c r="W2107" s="6" t="str">
        <f t="shared" si="97"/>
        <v>Sufficient</v>
      </c>
      <c r="X2107" s="8" t="str">
        <f t="shared" si="98"/>
        <v>High</v>
      </c>
    </row>
    <row r="2108" spans="1:24">
      <c r="A2108" s="7" t="s">
        <v>2238</v>
      </c>
      <c r="B2108" s="1" t="s">
        <v>33</v>
      </c>
      <c r="C2108" s="1">
        <v>229</v>
      </c>
      <c r="D2108" s="1">
        <v>45</v>
      </c>
      <c r="E2108" s="1">
        <v>10</v>
      </c>
      <c r="F2108" s="1">
        <v>4</v>
      </c>
      <c r="G2108" s="1">
        <v>1.77</v>
      </c>
      <c r="H2108" s="1" t="s">
        <v>470</v>
      </c>
      <c r="I2108" s="1" t="s">
        <v>39</v>
      </c>
      <c r="J2108" s="1">
        <v>39</v>
      </c>
      <c r="K2108" s="1">
        <v>2.2599999999999998</v>
      </c>
      <c r="L2108" s="4">
        <v>64.81</v>
      </c>
      <c r="M2108" s="1">
        <v>1.1200000000000001</v>
      </c>
      <c r="N2108" s="1">
        <v>7</v>
      </c>
      <c r="O2108" s="1">
        <v>0.74</v>
      </c>
      <c r="P2108" s="1">
        <v>190</v>
      </c>
      <c r="Q2108" s="1">
        <v>4.8899999999999997</v>
      </c>
      <c r="R2108" s="1">
        <v>0.56999999999999995</v>
      </c>
      <c r="S2108" s="2">
        <v>45585</v>
      </c>
      <c r="T2108" s="1">
        <v>136.44999999999999</v>
      </c>
      <c r="U2108" s="1">
        <v>0.47499999999999998</v>
      </c>
      <c r="V2108" s="6">
        <f t="shared" si="96"/>
        <v>14841.49</v>
      </c>
      <c r="W2108" s="6" t="str">
        <f t="shared" si="97"/>
        <v>Sufficient</v>
      </c>
      <c r="X2108" s="8" t="str">
        <f t="shared" si="98"/>
        <v>Medium</v>
      </c>
    </row>
    <row r="2109" spans="1:24">
      <c r="A2109" s="7" t="s">
        <v>2239</v>
      </c>
      <c r="B2109" s="1" t="s">
        <v>33</v>
      </c>
      <c r="C2109" s="1">
        <v>420</v>
      </c>
      <c r="D2109" s="1">
        <v>41</v>
      </c>
      <c r="E2109" s="1">
        <v>9</v>
      </c>
      <c r="F2109" s="1">
        <v>8</v>
      </c>
      <c r="G2109" s="1">
        <v>41.38</v>
      </c>
      <c r="H2109" s="1" t="s">
        <v>256</v>
      </c>
      <c r="I2109" s="1" t="s">
        <v>27</v>
      </c>
      <c r="J2109" s="1">
        <v>57</v>
      </c>
      <c r="K2109" s="1">
        <v>3.7</v>
      </c>
      <c r="L2109" s="4">
        <v>96.16</v>
      </c>
      <c r="M2109" s="1">
        <v>1.94</v>
      </c>
      <c r="N2109" s="1">
        <v>4</v>
      </c>
      <c r="O2109" s="1">
        <v>0.75</v>
      </c>
      <c r="P2109" s="1">
        <v>106</v>
      </c>
      <c r="Q2109" s="1">
        <v>7.04</v>
      </c>
      <c r="R2109" s="1">
        <v>0.95</v>
      </c>
      <c r="S2109" s="2">
        <v>45521</v>
      </c>
      <c r="T2109" s="1">
        <v>258.91000000000003</v>
      </c>
      <c r="U2109" s="1">
        <v>0.56000000000000005</v>
      </c>
      <c r="V2109" s="6">
        <f t="shared" si="96"/>
        <v>40387.199999999997</v>
      </c>
      <c r="W2109" s="6" t="str">
        <f t="shared" si="97"/>
        <v>Sufficient</v>
      </c>
      <c r="X2109" s="8" t="str">
        <f t="shared" si="98"/>
        <v>High</v>
      </c>
    </row>
    <row r="2110" spans="1:24">
      <c r="A2110" s="7" t="s">
        <v>2240</v>
      </c>
      <c r="B2110" s="1" t="s">
        <v>25</v>
      </c>
      <c r="C2110" s="1">
        <v>305</v>
      </c>
      <c r="D2110" s="1">
        <v>37</v>
      </c>
      <c r="E2110" s="1">
        <v>12</v>
      </c>
      <c r="F2110" s="1">
        <v>5</v>
      </c>
      <c r="G2110" s="1">
        <v>44.06</v>
      </c>
      <c r="H2110" s="1" t="s">
        <v>238</v>
      </c>
      <c r="I2110" s="1" t="s">
        <v>27</v>
      </c>
      <c r="J2110" s="1">
        <v>177</v>
      </c>
      <c r="K2110" s="1">
        <v>3.11</v>
      </c>
      <c r="L2110" s="4">
        <v>154.15</v>
      </c>
      <c r="M2110" s="1">
        <v>0.25</v>
      </c>
      <c r="N2110" s="1">
        <v>8</v>
      </c>
      <c r="O2110" s="1">
        <v>0.94</v>
      </c>
      <c r="P2110" s="1">
        <v>265</v>
      </c>
      <c r="Q2110" s="1">
        <v>11.47</v>
      </c>
      <c r="R2110" s="1">
        <v>0.65</v>
      </c>
      <c r="S2110" s="2">
        <v>45337</v>
      </c>
      <c r="T2110" s="1">
        <v>12.31</v>
      </c>
      <c r="U2110" s="1">
        <v>0.68600000000000005</v>
      </c>
      <c r="V2110" s="6">
        <f t="shared" si="96"/>
        <v>47015.75</v>
      </c>
      <c r="W2110" s="6" t="str">
        <f t="shared" si="97"/>
        <v>Sufficient</v>
      </c>
      <c r="X2110" s="8" t="str">
        <f t="shared" si="98"/>
        <v>High</v>
      </c>
    </row>
    <row r="2111" spans="1:24">
      <c r="A2111" s="7" t="s">
        <v>2241</v>
      </c>
      <c r="B2111" s="1" t="s">
        <v>29</v>
      </c>
      <c r="C2111" s="1">
        <v>378</v>
      </c>
      <c r="D2111" s="1">
        <v>86</v>
      </c>
      <c r="E2111" s="1">
        <v>8</v>
      </c>
      <c r="F2111" s="1">
        <v>9</v>
      </c>
      <c r="G2111" s="1">
        <v>34.409999999999997</v>
      </c>
      <c r="H2111" s="1" t="s">
        <v>91</v>
      </c>
      <c r="I2111" s="1" t="s">
        <v>27</v>
      </c>
      <c r="J2111" s="1">
        <v>100</v>
      </c>
      <c r="K2111" s="1">
        <v>3.71</v>
      </c>
      <c r="L2111" s="4">
        <v>89.92</v>
      </c>
      <c r="M2111" s="1">
        <v>0.74</v>
      </c>
      <c r="N2111" s="1">
        <v>5</v>
      </c>
      <c r="O2111" s="1">
        <v>0.95</v>
      </c>
      <c r="P2111" s="1">
        <v>692</v>
      </c>
      <c r="Q2111" s="1">
        <v>1.1299999999999999</v>
      </c>
      <c r="R2111" s="1">
        <v>0.81</v>
      </c>
      <c r="S2111" s="2">
        <v>45547</v>
      </c>
      <c r="T2111" s="1">
        <v>299.07</v>
      </c>
      <c r="U2111" s="1">
        <v>0.59299999999999997</v>
      </c>
      <c r="V2111" s="6">
        <f t="shared" si="96"/>
        <v>33989.760000000002</v>
      </c>
      <c r="W2111" s="6" t="str">
        <f t="shared" si="97"/>
        <v>Sufficient</v>
      </c>
      <c r="X2111" s="8" t="str">
        <f t="shared" si="98"/>
        <v>High</v>
      </c>
    </row>
    <row r="2112" spans="1:24">
      <c r="A2112" s="7" t="s">
        <v>2242</v>
      </c>
      <c r="B2112" s="1" t="s">
        <v>25</v>
      </c>
      <c r="C2112" s="1">
        <v>32</v>
      </c>
      <c r="D2112" s="1">
        <v>10</v>
      </c>
      <c r="E2112" s="1">
        <v>11</v>
      </c>
      <c r="F2112" s="1">
        <v>7</v>
      </c>
      <c r="G2112" s="1">
        <v>27.51</v>
      </c>
      <c r="H2112" s="1" t="s">
        <v>70</v>
      </c>
      <c r="I2112" s="1" t="s">
        <v>27</v>
      </c>
      <c r="J2112" s="1">
        <v>100</v>
      </c>
      <c r="K2112" s="1">
        <v>0.78</v>
      </c>
      <c r="L2112" s="4">
        <v>47.43</v>
      </c>
      <c r="M2112" s="1">
        <v>0.82</v>
      </c>
      <c r="N2112" s="1">
        <v>6</v>
      </c>
      <c r="O2112" s="1">
        <v>0.87</v>
      </c>
      <c r="P2112" s="1">
        <v>163</v>
      </c>
      <c r="Q2112" s="1">
        <v>14.93</v>
      </c>
      <c r="R2112" s="1">
        <v>0.57999999999999996</v>
      </c>
      <c r="S2112" s="2">
        <v>45520</v>
      </c>
      <c r="T2112" s="1">
        <v>29.23</v>
      </c>
      <c r="U2112" s="1">
        <v>0.68700000000000006</v>
      </c>
      <c r="V2112" s="6">
        <f t="shared" si="96"/>
        <v>1517.76</v>
      </c>
      <c r="W2112" s="6" t="str">
        <f t="shared" si="97"/>
        <v>Sufficient</v>
      </c>
      <c r="X2112" s="8" t="str">
        <f t="shared" si="98"/>
        <v>LOW</v>
      </c>
    </row>
    <row r="2113" spans="1:24">
      <c r="A2113" s="7" t="s">
        <v>2243</v>
      </c>
      <c r="B2113" s="1" t="s">
        <v>41</v>
      </c>
      <c r="C2113" s="1">
        <v>115</v>
      </c>
      <c r="D2113" s="1">
        <v>69</v>
      </c>
      <c r="E2113" s="1">
        <v>11</v>
      </c>
      <c r="F2113" s="1">
        <v>6</v>
      </c>
      <c r="G2113" s="1">
        <v>48.08</v>
      </c>
      <c r="H2113" s="1" t="s">
        <v>130</v>
      </c>
      <c r="I2113" s="1" t="s">
        <v>39</v>
      </c>
      <c r="J2113" s="1">
        <v>83</v>
      </c>
      <c r="K2113" s="1">
        <v>0.65</v>
      </c>
      <c r="L2113" s="4">
        <v>78.010000000000005</v>
      </c>
      <c r="M2113" s="1">
        <v>1.49</v>
      </c>
      <c r="N2113" s="1">
        <v>6</v>
      </c>
      <c r="O2113" s="1">
        <v>0.79</v>
      </c>
      <c r="P2113" s="1">
        <v>752</v>
      </c>
      <c r="Q2113" s="1">
        <v>13.37</v>
      </c>
      <c r="R2113" s="1">
        <v>0.51</v>
      </c>
      <c r="S2113" s="2">
        <v>45453</v>
      </c>
      <c r="T2113" s="1">
        <v>165.77</v>
      </c>
      <c r="U2113" s="1">
        <v>0.56899999999999995</v>
      </c>
      <c r="V2113" s="6">
        <f t="shared" si="96"/>
        <v>8971.1500000000015</v>
      </c>
      <c r="W2113" s="6" t="str">
        <f t="shared" si="97"/>
        <v>Sufficient</v>
      </c>
      <c r="X2113" s="8" t="str">
        <f t="shared" si="98"/>
        <v>Medium</v>
      </c>
    </row>
    <row r="2114" spans="1:24">
      <c r="A2114" s="7" t="s">
        <v>2244</v>
      </c>
      <c r="B2114" s="1" t="s">
        <v>25</v>
      </c>
      <c r="C2114" s="1">
        <v>240</v>
      </c>
      <c r="D2114" s="1">
        <v>65</v>
      </c>
      <c r="E2114" s="1">
        <v>3</v>
      </c>
      <c r="F2114" s="1">
        <v>7</v>
      </c>
      <c r="G2114" s="1">
        <v>6.88</v>
      </c>
      <c r="H2114" s="1" t="s">
        <v>333</v>
      </c>
      <c r="I2114" s="1" t="s">
        <v>31</v>
      </c>
      <c r="J2114" s="1">
        <v>53</v>
      </c>
      <c r="K2114" s="1">
        <v>2.2000000000000002</v>
      </c>
      <c r="L2114" s="4">
        <v>151.16999999999999</v>
      </c>
      <c r="M2114" s="1">
        <v>0.5</v>
      </c>
      <c r="N2114" s="1">
        <v>8</v>
      </c>
      <c r="O2114" s="1">
        <v>0.98</v>
      </c>
      <c r="P2114" s="1">
        <v>804</v>
      </c>
      <c r="Q2114" s="1">
        <v>1.33</v>
      </c>
      <c r="R2114" s="1">
        <v>0.86</v>
      </c>
      <c r="S2114" s="2">
        <v>45352</v>
      </c>
      <c r="T2114" s="1">
        <v>212.25</v>
      </c>
      <c r="U2114" s="1">
        <v>0.57599999999999996</v>
      </c>
      <c r="V2114" s="6">
        <f t="shared" si="96"/>
        <v>36280.799999999996</v>
      </c>
      <c r="W2114" s="6" t="str">
        <f t="shared" si="97"/>
        <v>Sufficient</v>
      </c>
      <c r="X2114" s="8" t="str">
        <f t="shared" si="98"/>
        <v>Medium</v>
      </c>
    </row>
    <row r="2115" spans="1:24">
      <c r="A2115" s="7" t="s">
        <v>2245</v>
      </c>
      <c r="B2115" s="1" t="s">
        <v>66</v>
      </c>
      <c r="C2115" s="1">
        <v>257</v>
      </c>
      <c r="D2115" s="1">
        <v>44</v>
      </c>
      <c r="E2115" s="1">
        <v>3</v>
      </c>
      <c r="F2115" s="1">
        <v>4</v>
      </c>
      <c r="G2115" s="1">
        <v>37.159999999999997</v>
      </c>
      <c r="H2115" s="1" t="s">
        <v>331</v>
      </c>
      <c r="I2115" s="1" t="s">
        <v>27</v>
      </c>
      <c r="J2115" s="1">
        <v>143</v>
      </c>
      <c r="K2115" s="1">
        <v>3.62</v>
      </c>
      <c r="L2115" s="4">
        <v>90.57</v>
      </c>
      <c r="M2115" s="1">
        <v>0.81</v>
      </c>
      <c r="N2115" s="1">
        <v>6</v>
      </c>
      <c r="O2115" s="1">
        <v>0.89</v>
      </c>
      <c r="P2115" s="1">
        <v>343</v>
      </c>
      <c r="Q2115" s="1">
        <v>6.35</v>
      </c>
      <c r="R2115" s="1">
        <v>0.56999999999999995</v>
      </c>
      <c r="S2115" s="2">
        <v>45546</v>
      </c>
      <c r="T2115" s="1">
        <v>169.45</v>
      </c>
      <c r="U2115" s="1">
        <v>0.57599999999999996</v>
      </c>
      <c r="V2115" s="6">
        <f t="shared" si="96"/>
        <v>23276.489999999998</v>
      </c>
      <c r="W2115" s="6" t="str">
        <f t="shared" si="97"/>
        <v>Sufficient</v>
      </c>
      <c r="X2115" s="8" t="str">
        <f t="shared" si="98"/>
        <v>High</v>
      </c>
    </row>
    <row r="2116" spans="1:24">
      <c r="A2116" s="7" t="s">
        <v>2246</v>
      </c>
      <c r="B2116" s="1" t="s">
        <v>41</v>
      </c>
      <c r="C2116" s="1">
        <v>113</v>
      </c>
      <c r="D2116" s="1">
        <v>39</v>
      </c>
      <c r="E2116" s="1">
        <v>3</v>
      </c>
      <c r="F2116" s="1">
        <v>3</v>
      </c>
      <c r="G2116" s="1">
        <v>7.29</v>
      </c>
      <c r="H2116" s="1" t="s">
        <v>350</v>
      </c>
      <c r="I2116" s="1" t="s">
        <v>31</v>
      </c>
      <c r="J2116" s="1">
        <v>126</v>
      </c>
      <c r="K2116" s="1">
        <v>1.51</v>
      </c>
      <c r="L2116" s="4">
        <v>57.41</v>
      </c>
      <c r="M2116" s="1">
        <v>1.83</v>
      </c>
      <c r="N2116" s="1">
        <v>2</v>
      </c>
      <c r="O2116" s="1">
        <v>0.94</v>
      </c>
      <c r="P2116" s="1">
        <v>876</v>
      </c>
      <c r="Q2116" s="1">
        <v>10.63</v>
      </c>
      <c r="R2116" s="1">
        <v>0.31</v>
      </c>
      <c r="S2116" s="2">
        <v>45626</v>
      </c>
      <c r="T2116" s="1">
        <v>97.22</v>
      </c>
      <c r="U2116" s="1">
        <v>0.56899999999999995</v>
      </c>
      <c r="V2116" s="6">
        <f t="shared" ref="V2116:V2179" si="99">C2116*L2116</f>
        <v>6487.33</v>
      </c>
      <c r="W2116" s="6" t="str">
        <f t="shared" ref="W2116:W2179" si="100">IF(C2116&lt;=D2116,"Reorder Required","Sufficient")</f>
        <v>Sufficient</v>
      </c>
      <c r="X2116" s="8" t="str">
        <f t="shared" ref="X2116:X2179" si="101">IF(C2116&lt;100,"LOW",IF(C2116&lt;250,"Medium","High"))</f>
        <v>Medium</v>
      </c>
    </row>
    <row r="2117" spans="1:24">
      <c r="A2117" s="7" t="s">
        <v>2247</v>
      </c>
      <c r="B2117" s="1" t="s">
        <v>41</v>
      </c>
      <c r="C2117" s="1">
        <v>357</v>
      </c>
      <c r="D2117" s="1">
        <v>63</v>
      </c>
      <c r="E2117" s="1">
        <v>10</v>
      </c>
      <c r="F2117" s="1">
        <v>9</v>
      </c>
      <c r="G2117" s="1">
        <v>19.71</v>
      </c>
      <c r="H2117" s="1" t="s">
        <v>149</v>
      </c>
      <c r="I2117" s="1" t="s">
        <v>45</v>
      </c>
      <c r="J2117" s="1">
        <v>33</v>
      </c>
      <c r="K2117" s="1">
        <v>2.4500000000000002</v>
      </c>
      <c r="L2117" s="4">
        <v>91.21</v>
      </c>
      <c r="M2117" s="1">
        <v>0.32</v>
      </c>
      <c r="N2117" s="1">
        <v>5</v>
      </c>
      <c r="O2117" s="1">
        <v>0.7</v>
      </c>
      <c r="P2117" s="1">
        <v>77</v>
      </c>
      <c r="Q2117" s="1">
        <v>4.38</v>
      </c>
      <c r="R2117" s="1">
        <v>0.42</v>
      </c>
      <c r="S2117" s="2">
        <v>45301</v>
      </c>
      <c r="T2117" s="1">
        <v>258.08</v>
      </c>
      <c r="U2117" s="1">
        <v>0.55000000000000004</v>
      </c>
      <c r="V2117" s="6">
        <f t="shared" si="99"/>
        <v>32561.969999999998</v>
      </c>
      <c r="W2117" s="6" t="str">
        <f t="shared" si="100"/>
        <v>Sufficient</v>
      </c>
      <c r="X2117" s="8" t="str">
        <f t="shared" si="101"/>
        <v>High</v>
      </c>
    </row>
    <row r="2118" spans="1:24">
      <c r="A2118" s="7" t="s">
        <v>2248</v>
      </c>
      <c r="B2118" s="1" t="s">
        <v>29</v>
      </c>
      <c r="C2118" s="1">
        <v>288</v>
      </c>
      <c r="D2118" s="1">
        <v>45</v>
      </c>
      <c r="E2118" s="1">
        <v>14</v>
      </c>
      <c r="F2118" s="1">
        <v>8</v>
      </c>
      <c r="G2118" s="1">
        <v>29.69</v>
      </c>
      <c r="H2118" s="1" t="s">
        <v>171</v>
      </c>
      <c r="I2118" s="1" t="s">
        <v>31</v>
      </c>
      <c r="J2118" s="1">
        <v>16</v>
      </c>
      <c r="K2118" s="1">
        <v>4.91</v>
      </c>
      <c r="L2118" s="4">
        <v>96.41</v>
      </c>
      <c r="M2118" s="1">
        <v>1.52</v>
      </c>
      <c r="N2118" s="1">
        <v>5</v>
      </c>
      <c r="O2118" s="1">
        <v>0.84</v>
      </c>
      <c r="P2118" s="1">
        <v>587</v>
      </c>
      <c r="Q2118" s="1">
        <v>3</v>
      </c>
      <c r="R2118" s="1">
        <v>0.65</v>
      </c>
      <c r="S2118" s="2">
        <v>45344</v>
      </c>
      <c r="T2118" s="1">
        <v>134.82</v>
      </c>
      <c r="U2118" s="1">
        <v>0.48599999999999999</v>
      </c>
      <c r="V2118" s="6">
        <f t="shared" si="99"/>
        <v>27766.079999999998</v>
      </c>
      <c r="W2118" s="6" t="str">
        <f t="shared" si="100"/>
        <v>Sufficient</v>
      </c>
      <c r="X2118" s="8" t="str">
        <f t="shared" si="101"/>
        <v>High</v>
      </c>
    </row>
    <row r="2119" spans="1:24">
      <c r="A2119" s="7" t="s">
        <v>2249</v>
      </c>
      <c r="B2119" s="1" t="s">
        <v>33</v>
      </c>
      <c r="C2119" s="1">
        <v>190</v>
      </c>
      <c r="D2119" s="1">
        <v>64</v>
      </c>
      <c r="E2119" s="1">
        <v>14</v>
      </c>
      <c r="F2119" s="1">
        <v>4</v>
      </c>
      <c r="G2119" s="1">
        <v>37.119999999999997</v>
      </c>
      <c r="H2119" s="1" t="s">
        <v>52</v>
      </c>
      <c r="I2119" s="1" t="s">
        <v>27</v>
      </c>
      <c r="J2119" s="1">
        <v>15</v>
      </c>
      <c r="K2119" s="1">
        <v>1.47</v>
      </c>
      <c r="L2119" s="4">
        <v>66.31</v>
      </c>
      <c r="M2119" s="1">
        <v>1.43</v>
      </c>
      <c r="N2119" s="1">
        <v>6</v>
      </c>
      <c r="O2119" s="1">
        <v>0.96</v>
      </c>
      <c r="P2119" s="1">
        <v>645</v>
      </c>
      <c r="Q2119" s="1">
        <v>9.81</v>
      </c>
      <c r="R2119" s="1">
        <v>0.52</v>
      </c>
      <c r="S2119" s="2">
        <v>45498</v>
      </c>
      <c r="T2119" s="1">
        <v>97.2</v>
      </c>
      <c r="U2119" s="1">
        <v>0.56399999999999995</v>
      </c>
      <c r="V2119" s="6">
        <f t="shared" si="99"/>
        <v>12598.9</v>
      </c>
      <c r="W2119" s="6" t="str">
        <f t="shared" si="100"/>
        <v>Sufficient</v>
      </c>
      <c r="X2119" s="8" t="str">
        <f t="shared" si="101"/>
        <v>Medium</v>
      </c>
    </row>
    <row r="2120" spans="1:24">
      <c r="A2120" s="7" t="s">
        <v>2250</v>
      </c>
      <c r="B2120" s="1" t="s">
        <v>41</v>
      </c>
      <c r="C2120" s="1">
        <v>488</v>
      </c>
      <c r="D2120" s="1">
        <v>98</v>
      </c>
      <c r="E2120" s="1">
        <v>12</v>
      </c>
      <c r="F2120" s="1">
        <v>6</v>
      </c>
      <c r="G2120" s="1">
        <v>1.18</v>
      </c>
      <c r="H2120" s="1" t="s">
        <v>147</v>
      </c>
      <c r="I2120" s="1" t="s">
        <v>31</v>
      </c>
      <c r="J2120" s="1">
        <v>127</v>
      </c>
      <c r="K2120" s="1">
        <v>4.32</v>
      </c>
      <c r="L2120" s="4">
        <v>199.18</v>
      </c>
      <c r="M2120" s="1">
        <v>0.35</v>
      </c>
      <c r="N2120" s="1">
        <v>5</v>
      </c>
      <c r="O2120" s="1">
        <v>0.8</v>
      </c>
      <c r="P2120" s="1">
        <v>908</v>
      </c>
      <c r="Q2120" s="1">
        <v>13.65</v>
      </c>
      <c r="R2120" s="1">
        <v>0.49</v>
      </c>
      <c r="S2120" s="2">
        <v>45503</v>
      </c>
      <c r="T2120" s="1">
        <v>232.82</v>
      </c>
      <c r="U2120" s="1">
        <v>0.70499999999999996</v>
      </c>
      <c r="V2120" s="6">
        <f t="shared" si="99"/>
        <v>97199.84</v>
      </c>
      <c r="W2120" s="6" t="str">
        <f t="shared" si="100"/>
        <v>Sufficient</v>
      </c>
      <c r="X2120" s="8" t="str">
        <f t="shared" si="101"/>
        <v>High</v>
      </c>
    </row>
    <row r="2121" spans="1:24">
      <c r="A2121" s="7" t="s">
        <v>2251</v>
      </c>
      <c r="B2121" s="1" t="s">
        <v>33</v>
      </c>
      <c r="C2121" s="1">
        <v>113</v>
      </c>
      <c r="D2121" s="1">
        <v>89</v>
      </c>
      <c r="E2121" s="1">
        <v>9</v>
      </c>
      <c r="F2121" s="1">
        <v>2</v>
      </c>
      <c r="G2121" s="1">
        <v>13.77</v>
      </c>
      <c r="H2121" s="1" t="s">
        <v>370</v>
      </c>
      <c r="I2121" s="1" t="s">
        <v>39</v>
      </c>
      <c r="J2121" s="1">
        <v>170</v>
      </c>
      <c r="K2121" s="1">
        <v>4.21</v>
      </c>
      <c r="L2121" s="4">
        <v>155.85</v>
      </c>
      <c r="M2121" s="1">
        <v>1.41</v>
      </c>
      <c r="N2121" s="1">
        <v>3</v>
      </c>
      <c r="O2121" s="1">
        <v>0.92</v>
      </c>
      <c r="P2121" s="1">
        <v>370</v>
      </c>
      <c r="Q2121" s="1">
        <v>14.38</v>
      </c>
      <c r="R2121" s="1">
        <v>0.74</v>
      </c>
      <c r="S2121" s="2">
        <v>45310</v>
      </c>
      <c r="T2121" s="1">
        <v>52.3</v>
      </c>
      <c r="U2121" s="1">
        <v>0.72299999999999998</v>
      </c>
      <c r="V2121" s="6">
        <f t="shared" si="99"/>
        <v>17611.05</v>
      </c>
      <c r="W2121" s="6" t="str">
        <f t="shared" si="100"/>
        <v>Sufficient</v>
      </c>
      <c r="X2121" s="8" t="str">
        <f t="shared" si="101"/>
        <v>Medium</v>
      </c>
    </row>
    <row r="2122" spans="1:24">
      <c r="A2122" s="7" t="s">
        <v>2252</v>
      </c>
      <c r="B2122" s="1" t="s">
        <v>25</v>
      </c>
      <c r="C2122" s="1">
        <v>168</v>
      </c>
      <c r="D2122" s="1">
        <v>67</v>
      </c>
      <c r="E2122" s="1">
        <v>5</v>
      </c>
      <c r="F2122" s="1">
        <v>8</v>
      </c>
      <c r="G2122" s="1">
        <v>27.37</v>
      </c>
      <c r="H2122" s="1" t="s">
        <v>195</v>
      </c>
      <c r="I2122" s="1" t="s">
        <v>39</v>
      </c>
      <c r="J2122" s="1">
        <v>94</v>
      </c>
      <c r="K2122" s="1">
        <v>4.51</v>
      </c>
      <c r="L2122" s="4">
        <v>141.57</v>
      </c>
      <c r="M2122" s="1">
        <v>1.18</v>
      </c>
      <c r="N2122" s="1">
        <v>5</v>
      </c>
      <c r="O2122" s="1">
        <v>0.9</v>
      </c>
      <c r="P2122" s="1">
        <v>891</v>
      </c>
      <c r="Q2122" s="1">
        <v>1.1399999999999999</v>
      </c>
      <c r="R2122" s="1">
        <v>0.71</v>
      </c>
      <c r="S2122" s="2">
        <v>45577</v>
      </c>
      <c r="T2122" s="1">
        <v>69.45</v>
      </c>
      <c r="U2122" s="1">
        <v>0.51900000000000002</v>
      </c>
      <c r="V2122" s="6">
        <f t="shared" si="99"/>
        <v>23783.759999999998</v>
      </c>
      <c r="W2122" s="6" t="str">
        <f t="shared" si="100"/>
        <v>Sufficient</v>
      </c>
      <c r="X2122" s="8" t="str">
        <f t="shared" si="101"/>
        <v>Medium</v>
      </c>
    </row>
    <row r="2123" spans="1:24">
      <c r="A2123" s="7" t="s">
        <v>2253</v>
      </c>
      <c r="B2123" s="1" t="s">
        <v>66</v>
      </c>
      <c r="C2123" s="1">
        <v>131</v>
      </c>
      <c r="D2123" s="1">
        <v>92</v>
      </c>
      <c r="E2123" s="1">
        <v>4</v>
      </c>
      <c r="F2123" s="1">
        <v>4</v>
      </c>
      <c r="G2123" s="1">
        <v>27.11</v>
      </c>
      <c r="H2123" s="1" t="s">
        <v>159</v>
      </c>
      <c r="I2123" s="1" t="s">
        <v>27</v>
      </c>
      <c r="J2123" s="1">
        <v>119</v>
      </c>
      <c r="K2123" s="1">
        <v>4.62</v>
      </c>
      <c r="L2123" s="4">
        <v>172.42</v>
      </c>
      <c r="M2123" s="1">
        <v>0.65</v>
      </c>
      <c r="N2123" s="1">
        <v>2</v>
      </c>
      <c r="O2123" s="1">
        <v>0.75</v>
      </c>
      <c r="P2123" s="1">
        <v>763</v>
      </c>
      <c r="Q2123" s="1">
        <v>13.24</v>
      </c>
      <c r="R2123" s="1">
        <v>0.45</v>
      </c>
      <c r="S2123" s="2">
        <v>45573</v>
      </c>
      <c r="T2123" s="1">
        <v>83.3</v>
      </c>
      <c r="U2123" s="1">
        <v>0.71199999999999997</v>
      </c>
      <c r="V2123" s="6">
        <f t="shared" si="99"/>
        <v>22587.019999999997</v>
      </c>
      <c r="W2123" s="6" t="str">
        <f t="shared" si="100"/>
        <v>Sufficient</v>
      </c>
      <c r="X2123" s="8" t="str">
        <f t="shared" si="101"/>
        <v>Medium</v>
      </c>
    </row>
    <row r="2124" spans="1:24">
      <c r="A2124" s="7" t="s">
        <v>2254</v>
      </c>
      <c r="B2124" s="1" t="s">
        <v>29</v>
      </c>
      <c r="C2124" s="1">
        <v>74</v>
      </c>
      <c r="D2124" s="1">
        <v>74</v>
      </c>
      <c r="E2124" s="1">
        <v>6</v>
      </c>
      <c r="F2124" s="1">
        <v>7</v>
      </c>
      <c r="G2124" s="1">
        <v>32.24</v>
      </c>
      <c r="H2124" s="1" t="s">
        <v>470</v>
      </c>
      <c r="I2124" s="1" t="s">
        <v>31</v>
      </c>
      <c r="J2124" s="1">
        <v>175</v>
      </c>
      <c r="K2124" s="1">
        <v>2.78</v>
      </c>
      <c r="L2124" s="4">
        <v>136.62</v>
      </c>
      <c r="M2124" s="1">
        <v>0.69</v>
      </c>
      <c r="N2124" s="1">
        <v>0</v>
      </c>
      <c r="O2124" s="1">
        <v>0.93</v>
      </c>
      <c r="P2124" s="1">
        <v>622</v>
      </c>
      <c r="Q2124" s="1">
        <v>8.85</v>
      </c>
      <c r="R2124" s="1">
        <v>0.49</v>
      </c>
      <c r="S2124" s="2">
        <v>45292</v>
      </c>
      <c r="T2124" s="1">
        <v>136.12</v>
      </c>
      <c r="U2124" s="1">
        <v>0.73299999999999998</v>
      </c>
      <c r="V2124" s="6">
        <f t="shared" si="99"/>
        <v>10109.880000000001</v>
      </c>
      <c r="W2124" s="6" t="str">
        <f t="shared" si="100"/>
        <v>Reorder Required</v>
      </c>
      <c r="X2124" s="8" t="str">
        <f t="shared" si="101"/>
        <v>LOW</v>
      </c>
    </row>
    <row r="2125" spans="1:24">
      <c r="A2125" s="7" t="s">
        <v>2255</v>
      </c>
      <c r="B2125" s="1" t="s">
        <v>33</v>
      </c>
      <c r="C2125" s="1">
        <v>356</v>
      </c>
      <c r="D2125" s="1">
        <v>78</v>
      </c>
      <c r="E2125" s="1">
        <v>5</v>
      </c>
      <c r="F2125" s="1">
        <v>8</v>
      </c>
      <c r="G2125" s="1">
        <v>15.89</v>
      </c>
      <c r="H2125" s="1" t="s">
        <v>208</v>
      </c>
      <c r="I2125" s="1" t="s">
        <v>45</v>
      </c>
      <c r="J2125" s="1">
        <v>154</v>
      </c>
      <c r="K2125" s="1">
        <v>3.57</v>
      </c>
      <c r="L2125" s="4">
        <v>160.29</v>
      </c>
      <c r="M2125" s="1">
        <v>1.68</v>
      </c>
      <c r="N2125" s="1">
        <v>0</v>
      </c>
      <c r="O2125" s="1">
        <v>0.73</v>
      </c>
      <c r="P2125" s="1">
        <v>746</v>
      </c>
      <c r="Q2125" s="1">
        <v>4.33</v>
      </c>
      <c r="R2125" s="1">
        <v>0.8</v>
      </c>
      <c r="S2125" s="2">
        <v>45338</v>
      </c>
      <c r="T2125" s="1">
        <v>15.9</v>
      </c>
      <c r="U2125" s="1">
        <v>0.59599999999999997</v>
      </c>
      <c r="V2125" s="6">
        <f t="shared" si="99"/>
        <v>57063.24</v>
      </c>
      <c r="W2125" s="6" t="str">
        <f t="shared" si="100"/>
        <v>Sufficient</v>
      </c>
      <c r="X2125" s="8" t="str">
        <f t="shared" si="101"/>
        <v>High</v>
      </c>
    </row>
    <row r="2126" spans="1:24">
      <c r="A2126" s="7" t="s">
        <v>2256</v>
      </c>
      <c r="B2126" s="1" t="s">
        <v>41</v>
      </c>
      <c r="C2126" s="1">
        <v>443</v>
      </c>
      <c r="D2126" s="1">
        <v>60</v>
      </c>
      <c r="E2126" s="1">
        <v>9</v>
      </c>
      <c r="F2126" s="1">
        <v>9</v>
      </c>
      <c r="G2126" s="1">
        <v>27.49</v>
      </c>
      <c r="H2126" s="1" t="s">
        <v>113</v>
      </c>
      <c r="I2126" s="1" t="s">
        <v>39</v>
      </c>
      <c r="J2126" s="1">
        <v>40</v>
      </c>
      <c r="K2126" s="1">
        <v>3.29</v>
      </c>
      <c r="L2126" s="4">
        <v>88.38</v>
      </c>
      <c r="M2126" s="1">
        <v>0.54</v>
      </c>
      <c r="N2126" s="1">
        <v>4</v>
      </c>
      <c r="O2126" s="1">
        <v>0.92</v>
      </c>
      <c r="P2126" s="1">
        <v>807</v>
      </c>
      <c r="Q2126" s="1">
        <v>9.64</v>
      </c>
      <c r="R2126" s="1">
        <v>0.94</v>
      </c>
      <c r="S2126" s="2">
        <v>45601</v>
      </c>
      <c r="T2126" s="1">
        <v>297.61</v>
      </c>
      <c r="U2126" s="1">
        <v>0.76700000000000002</v>
      </c>
      <c r="V2126" s="6">
        <f t="shared" si="99"/>
        <v>39152.339999999997</v>
      </c>
      <c r="W2126" s="6" t="str">
        <f t="shared" si="100"/>
        <v>Sufficient</v>
      </c>
      <c r="X2126" s="8" t="str">
        <f t="shared" si="101"/>
        <v>High</v>
      </c>
    </row>
    <row r="2127" spans="1:24">
      <c r="A2127" s="7" t="s">
        <v>2257</v>
      </c>
      <c r="B2127" s="1" t="s">
        <v>33</v>
      </c>
      <c r="C2127" s="1">
        <v>486</v>
      </c>
      <c r="D2127" s="1">
        <v>31</v>
      </c>
      <c r="E2127" s="1">
        <v>12</v>
      </c>
      <c r="F2127" s="1">
        <v>7</v>
      </c>
      <c r="G2127" s="1">
        <v>10.3</v>
      </c>
      <c r="H2127" s="1" t="s">
        <v>72</v>
      </c>
      <c r="I2127" s="1" t="s">
        <v>27</v>
      </c>
      <c r="J2127" s="1">
        <v>174</v>
      </c>
      <c r="K2127" s="1">
        <v>1.89</v>
      </c>
      <c r="L2127" s="4">
        <v>105.07</v>
      </c>
      <c r="M2127" s="1">
        <v>1.07</v>
      </c>
      <c r="N2127" s="1">
        <v>7</v>
      </c>
      <c r="O2127" s="1">
        <v>1</v>
      </c>
      <c r="P2127" s="1">
        <v>562</v>
      </c>
      <c r="Q2127" s="1">
        <v>14.94</v>
      </c>
      <c r="R2127" s="1">
        <v>0.46</v>
      </c>
      <c r="S2127" s="2">
        <v>45608</v>
      </c>
      <c r="T2127" s="1">
        <v>184.04</v>
      </c>
      <c r="U2127" s="1">
        <v>0.64400000000000002</v>
      </c>
      <c r="V2127" s="6">
        <f t="shared" si="99"/>
        <v>51064.02</v>
      </c>
      <c r="W2127" s="6" t="str">
        <f t="shared" si="100"/>
        <v>Sufficient</v>
      </c>
      <c r="X2127" s="8" t="str">
        <f t="shared" si="101"/>
        <v>High</v>
      </c>
    </row>
    <row r="2128" spans="1:24">
      <c r="A2128" s="7" t="s">
        <v>2258</v>
      </c>
      <c r="B2128" s="1" t="s">
        <v>41</v>
      </c>
      <c r="C2128" s="1">
        <v>135</v>
      </c>
      <c r="D2128" s="1">
        <v>97</v>
      </c>
      <c r="E2128" s="1">
        <v>10</v>
      </c>
      <c r="F2128" s="1">
        <v>5</v>
      </c>
      <c r="G2128" s="1">
        <v>10.16</v>
      </c>
      <c r="H2128" s="1" t="s">
        <v>274</v>
      </c>
      <c r="I2128" s="1" t="s">
        <v>39</v>
      </c>
      <c r="J2128" s="1">
        <v>148</v>
      </c>
      <c r="K2128" s="1">
        <v>1.76</v>
      </c>
      <c r="L2128" s="4">
        <v>18.93</v>
      </c>
      <c r="M2128" s="1">
        <v>1.39</v>
      </c>
      <c r="N2128" s="1">
        <v>2</v>
      </c>
      <c r="O2128" s="1">
        <v>0.99</v>
      </c>
      <c r="P2128" s="1">
        <v>977</v>
      </c>
      <c r="Q2128" s="1">
        <v>4.87</v>
      </c>
      <c r="R2128" s="1">
        <v>0.43</v>
      </c>
      <c r="S2128" s="2">
        <v>45618</v>
      </c>
      <c r="T2128" s="1">
        <v>291.51</v>
      </c>
      <c r="U2128" s="1">
        <v>0.56999999999999995</v>
      </c>
      <c r="V2128" s="6">
        <f t="shared" si="99"/>
        <v>2555.5500000000002</v>
      </c>
      <c r="W2128" s="6" t="str">
        <f t="shared" si="100"/>
        <v>Sufficient</v>
      </c>
      <c r="X2128" s="8" t="str">
        <f t="shared" si="101"/>
        <v>Medium</v>
      </c>
    </row>
    <row r="2129" spans="1:24">
      <c r="A2129" s="7" t="s">
        <v>2259</v>
      </c>
      <c r="B2129" s="1" t="s">
        <v>33</v>
      </c>
      <c r="C2129" s="1">
        <v>162</v>
      </c>
      <c r="D2129" s="1">
        <v>62</v>
      </c>
      <c r="E2129" s="1">
        <v>8</v>
      </c>
      <c r="F2129" s="1">
        <v>5</v>
      </c>
      <c r="G2129" s="1">
        <v>29.25</v>
      </c>
      <c r="H2129" s="1" t="s">
        <v>88</v>
      </c>
      <c r="I2129" s="1" t="s">
        <v>27</v>
      </c>
      <c r="J2129" s="1">
        <v>142</v>
      </c>
      <c r="K2129" s="1">
        <v>2.04</v>
      </c>
      <c r="L2129" s="4">
        <v>63.32</v>
      </c>
      <c r="M2129" s="1">
        <v>0.35</v>
      </c>
      <c r="N2129" s="1">
        <v>1</v>
      </c>
      <c r="O2129" s="1">
        <v>0.94</v>
      </c>
      <c r="P2129" s="1">
        <v>804</v>
      </c>
      <c r="Q2129" s="1">
        <v>4.88</v>
      </c>
      <c r="R2129" s="1">
        <v>0.41</v>
      </c>
      <c r="S2129" s="2">
        <v>45447</v>
      </c>
      <c r="T2129" s="1">
        <v>244.16</v>
      </c>
      <c r="U2129" s="1">
        <v>0.68</v>
      </c>
      <c r="V2129" s="6">
        <f t="shared" si="99"/>
        <v>10257.84</v>
      </c>
      <c r="W2129" s="6" t="str">
        <f t="shared" si="100"/>
        <v>Sufficient</v>
      </c>
      <c r="X2129" s="8" t="str">
        <f t="shared" si="101"/>
        <v>Medium</v>
      </c>
    </row>
    <row r="2130" spans="1:24">
      <c r="A2130" s="7" t="s">
        <v>2260</v>
      </c>
      <c r="B2130" s="1" t="s">
        <v>41</v>
      </c>
      <c r="C2130" s="1">
        <v>220</v>
      </c>
      <c r="D2130" s="1">
        <v>45</v>
      </c>
      <c r="E2130" s="1">
        <v>5</v>
      </c>
      <c r="F2130" s="1">
        <v>5</v>
      </c>
      <c r="G2130" s="1">
        <v>34.590000000000003</v>
      </c>
      <c r="H2130" s="1" t="s">
        <v>99</v>
      </c>
      <c r="I2130" s="1" t="s">
        <v>31</v>
      </c>
      <c r="J2130" s="1">
        <v>73</v>
      </c>
      <c r="K2130" s="1">
        <v>1.48</v>
      </c>
      <c r="L2130" s="4">
        <v>79.92</v>
      </c>
      <c r="M2130" s="1">
        <v>1.87</v>
      </c>
      <c r="N2130" s="1">
        <v>7</v>
      </c>
      <c r="O2130" s="1">
        <v>0.86</v>
      </c>
      <c r="P2130" s="1">
        <v>81</v>
      </c>
      <c r="Q2130" s="1">
        <v>10.79</v>
      </c>
      <c r="R2130" s="1">
        <v>0.31</v>
      </c>
      <c r="S2130" s="2">
        <v>45552</v>
      </c>
      <c r="T2130" s="1">
        <v>48.95</v>
      </c>
      <c r="U2130" s="1">
        <v>0.45100000000000001</v>
      </c>
      <c r="V2130" s="6">
        <f t="shared" si="99"/>
        <v>17582.400000000001</v>
      </c>
      <c r="W2130" s="6" t="str">
        <f t="shared" si="100"/>
        <v>Sufficient</v>
      </c>
      <c r="X2130" s="8" t="str">
        <f t="shared" si="101"/>
        <v>Medium</v>
      </c>
    </row>
    <row r="2131" spans="1:24">
      <c r="A2131" s="7" t="s">
        <v>2261</v>
      </c>
      <c r="B2131" s="1" t="s">
        <v>25</v>
      </c>
      <c r="C2131" s="1">
        <v>199</v>
      </c>
      <c r="D2131" s="1">
        <v>77</v>
      </c>
      <c r="E2131" s="1">
        <v>8</v>
      </c>
      <c r="F2131" s="1">
        <v>8</v>
      </c>
      <c r="G2131" s="1">
        <v>6.9</v>
      </c>
      <c r="H2131" s="1" t="s">
        <v>79</v>
      </c>
      <c r="I2131" s="1" t="s">
        <v>31</v>
      </c>
      <c r="J2131" s="1">
        <v>85</v>
      </c>
      <c r="K2131" s="1">
        <v>3.91</v>
      </c>
      <c r="L2131" s="4">
        <v>128.84</v>
      </c>
      <c r="M2131" s="1">
        <v>0.6</v>
      </c>
      <c r="N2131" s="1">
        <v>8</v>
      </c>
      <c r="O2131" s="1">
        <v>0.9</v>
      </c>
      <c r="P2131" s="1">
        <v>796</v>
      </c>
      <c r="Q2131" s="1">
        <v>1.6</v>
      </c>
      <c r="R2131" s="1">
        <v>0.5</v>
      </c>
      <c r="S2131" s="2">
        <v>45579</v>
      </c>
      <c r="T2131" s="1">
        <v>70.63</v>
      </c>
      <c r="U2131" s="1">
        <v>0.48099999999999998</v>
      </c>
      <c r="V2131" s="6">
        <f t="shared" si="99"/>
        <v>25639.16</v>
      </c>
      <c r="W2131" s="6" t="str">
        <f t="shared" si="100"/>
        <v>Sufficient</v>
      </c>
      <c r="X2131" s="8" t="str">
        <f t="shared" si="101"/>
        <v>Medium</v>
      </c>
    </row>
    <row r="2132" spans="1:24">
      <c r="A2132" s="7" t="s">
        <v>2262</v>
      </c>
      <c r="B2132" s="1" t="s">
        <v>41</v>
      </c>
      <c r="C2132" s="1">
        <v>221</v>
      </c>
      <c r="D2132" s="1">
        <v>45</v>
      </c>
      <c r="E2132" s="1">
        <v>4</v>
      </c>
      <c r="F2132" s="1">
        <v>2</v>
      </c>
      <c r="G2132" s="1">
        <v>7.02</v>
      </c>
      <c r="H2132" s="1" t="s">
        <v>74</v>
      </c>
      <c r="I2132" s="1" t="s">
        <v>31</v>
      </c>
      <c r="J2132" s="1">
        <v>140</v>
      </c>
      <c r="K2132" s="1">
        <v>4.84</v>
      </c>
      <c r="L2132" s="4">
        <v>98.2</v>
      </c>
      <c r="M2132" s="1">
        <v>0.71</v>
      </c>
      <c r="N2132" s="1">
        <v>8</v>
      </c>
      <c r="O2132" s="1">
        <v>0.92</v>
      </c>
      <c r="P2132" s="1">
        <v>460</v>
      </c>
      <c r="Q2132" s="1">
        <v>12.49</v>
      </c>
      <c r="R2132" s="1">
        <v>0.61</v>
      </c>
      <c r="S2132" s="2">
        <v>45397</v>
      </c>
      <c r="T2132" s="1">
        <v>19.989999999999998</v>
      </c>
      <c r="U2132" s="1">
        <v>0.64200000000000002</v>
      </c>
      <c r="V2132" s="6">
        <f t="shared" si="99"/>
        <v>21702.2</v>
      </c>
      <c r="W2132" s="6" t="str">
        <f t="shared" si="100"/>
        <v>Sufficient</v>
      </c>
      <c r="X2132" s="8" t="str">
        <f t="shared" si="101"/>
        <v>Medium</v>
      </c>
    </row>
    <row r="2133" spans="1:24">
      <c r="A2133" s="7" t="s">
        <v>2263</v>
      </c>
      <c r="B2133" s="1" t="s">
        <v>41</v>
      </c>
      <c r="C2133" s="1">
        <v>383</v>
      </c>
      <c r="D2133" s="1">
        <v>61</v>
      </c>
      <c r="E2133" s="1">
        <v>14</v>
      </c>
      <c r="F2133" s="1">
        <v>6</v>
      </c>
      <c r="G2133" s="1">
        <v>28.7</v>
      </c>
      <c r="H2133" s="1" t="s">
        <v>47</v>
      </c>
      <c r="I2133" s="1" t="s">
        <v>31</v>
      </c>
      <c r="J2133" s="1">
        <v>65</v>
      </c>
      <c r="K2133" s="1">
        <v>4.4000000000000004</v>
      </c>
      <c r="L2133" s="4">
        <v>125.49</v>
      </c>
      <c r="M2133" s="1">
        <v>1.37</v>
      </c>
      <c r="N2133" s="1">
        <v>1</v>
      </c>
      <c r="O2133" s="1">
        <v>0.7</v>
      </c>
      <c r="P2133" s="1">
        <v>446</v>
      </c>
      <c r="Q2133" s="1">
        <v>10.14</v>
      </c>
      <c r="R2133" s="1">
        <v>0.63</v>
      </c>
      <c r="S2133" s="2">
        <v>45627</v>
      </c>
      <c r="T2133" s="1">
        <v>251.8</v>
      </c>
      <c r="U2133" s="1">
        <v>0.64400000000000002</v>
      </c>
      <c r="V2133" s="6">
        <f t="shared" si="99"/>
        <v>48062.67</v>
      </c>
      <c r="W2133" s="6" t="str">
        <f t="shared" si="100"/>
        <v>Sufficient</v>
      </c>
      <c r="X2133" s="8" t="str">
        <f t="shared" si="101"/>
        <v>High</v>
      </c>
    </row>
    <row r="2134" spans="1:24">
      <c r="A2134" s="7" t="s">
        <v>2264</v>
      </c>
      <c r="B2134" s="1" t="s">
        <v>66</v>
      </c>
      <c r="C2134" s="1">
        <v>498</v>
      </c>
      <c r="D2134" s="1">
        <v>62</v>
      </c>
      <c r="E2134" s="1">
        <v>9</v>
      </c>
      <c r="F2134" s="1">
        <v>9</v>
      </c>
      <c r="G2134" s="1">
        <v>14.23</v>
      </c>
      <c r="H2134" s="1" t="s">
        <v>276</v>
      </c>
      <c r="I2134" s="1" t="s">
        <v>31</v>
      </c>
      <c r="J2134" s="1">
        <v>72</v>
      </c>
      <c r="K2134" s="1">
        <v>1.48</v>
      </c>
      <c r="L2134" s="4">
        <v>145.53</v>
      </c>
      <c r="M2134" s="1">
        <v>0.25</v>
      </c>
      <c r="N2134" s="1">
        <v>7</v>
      </c>
      <c r="O2134" s="1">
        <v>0.73</v>
      </c>
      <c r="P2134" s="1">
        <v>66</v>
      </c>
      <c r="Q2134" s="1">
        <v>12.78</v>
      </c>
      <c r="R2134" s="1">
        <v>0.75</v>
      </c>
      <c r="S2134" s="2">
        <v>45635</v>
      </c>
      <c r="T2134" s="1">
        <v>182.1</v>
      </c>
      <c r="U2134" s="1">
        <v>0.70099999999999996</v>
      </c>
      <c r="V2134" s="6">
        <f t="shared" si="99"/>
        <v>72473.94</v>
      </c>
      <c r="W2134" s="6" t="str">
        <f t="shared" si="100"/>
        <v>Sufficient</v>
      </c>
      <c r="X2134" s="8" t="str">
        <f t="shared" si="101"/>
        <v>High</v>
      </c>
    </row>
    <row r="2135" spans="1:24">
      <c r="A2135" s="7" t="s">
        <v>2265</v>
      </c>
      <c r="B2135" s="1" t="s">
        <v>41</v>
      </c>
      <c r="C2135" s="1">
        <v>72</v>
      </c>
      <c r="D2135" s="1">
        <v>91</v>
      </c>
      <c r="E2135" s="1">
        <v>13</v>
      </c>
      <c r="F2135" s="1">
        <v>8</v>
      </c>
      <c r="G2135" s="1">
        <v>20.23</v>
      </c>
      <c r="H2135" s="1" t="s">
        <v>258</v>
      </c>
      <c r="I2135" s="1" t="s">
        <v>27</v>
      </c>
      <c r="J2135" s="1">
        <v>114</v>
      </c>
      <c r="K2135" s="1">
        <v>0.73</v>
      </c>
      <c r="L2135" s="4">
        <v>18.12</v>
      </c>
      <c r="M2135" s="1">
        <v>1.29</v>
      </c>
      <c r="N2135" s="1">
        <v>1</v>
      </c>
      <c r="O2135" s="1">
        <v>0.88</v>
      </c>
      <c r="P2135" s="1">
        <v>973</v>
      </c>
      <c r="Q2135" s="1">
        <v>4.2300000000000004</v>
      </c>
      <c r="R2135" s="1">
        <v>0.24</v>
      </c>
      <c r="S2135" s="2">
        <v>45525</v>
      </c>
      <c r="T2135" s="1">
        <v>72.37</v>
      </c>
      <c r="U2135" s="1">
        <v>0.53100000000000003</v>
      </c>
      <c r="V2135" s="6">
        <f t="shared" si="99"/>
        <v>1304.6400000000001</v>
      </c>
      <c r="W2135" s="6" t="str">
        <f t="shared" si="100"/>
        <v>Reorder Required</v>
      </c>
      <c r="X2135" s="8" t="str">
        <f t="shared" si="101"/>
        <v>LOW</v>
      </c>
    </row>
    <row r="2136" spans="1:24">
      <c r="A2136" s="7" t="s">
        <v>2266</v>
      </c>
      <c r="B2136" s="1" t="s">
        <v>66</v>
      </c>
      <c r="C2136" s="1">
        <v>490</v>
      </c>
      <c r="D2136" s="1">
        <v>59</v>
      </c>
      <c r="E2136" s="1">
        <v>12</v>
      </c>
      <c r="F2136" s="1">
        <v>3</v>
      </c>
      <c r="G2136" s="1">
        <v>20.64</v>
      </c>
      <c r="H2136" s="1" t="s">
        <v>183</v>
      </c>
      <c r="I2136" s="1" t="s">
        <v>39</v>
      </c>
      <c r="J2136" s="1">
        <v>47</v>
      </c>
      <c r="K2136" s="1">
        <v>3.91</v>
      </c>
      <c r="L2136" s="4">
        <v>59.07</v>
      </c>
      <c r="M2136" s="1">
        <v>1.84</v>
      </c>
      <c r="N2136" s="1">
        <v>6</v>
      </c>
      <c r="O2136" s="1">
        <v>0.7</v>
      </c>
      <c r="P2136" s="1">
        <v>650</v>
      </c>
      <c r="Q2136" s="1">
        <v>12.86</v>
      </c>
      <c r="R2136" s="1">
        <v>0.65</v>
      </c>
      <c r="S2136" s="2">
        <v>45466</v>
      </c>
      <c r="T2136" s="1">
        <v>291.32</v>
      </c>
      <c r="U2136" s="1">
        <v>0.53700000000000003</v>
      </c>
      <c r="V2136" s="6">
        <f t="shared" si="99"/>
        <v>28944.3</v>
      </c>
      <c r="W2136" s="6" t="str">
        <f t="shared" si="100"/>
        <v>Sufficient</v>
      </c>
      <c r="X2136" s="8" t="str">
        <f t="shared" si="101"/>
        <v>High</v>
      </c>
    </row>
    <row r="2137" spans="1:24">
      <c r="A2137" s="7" t="s">
        <v>2267</v>
      </c>
      <c r="B2137" s="1" t="s">
        <v>29</v>
      </c>
      <c r="C2137" s="1">
        <v>403</v>
      </c>
      <c r="D2137" s="1">
        <v>89</v>
      </c>
      <c r="E2137" s="1">
        <v>9</v>
      </c>
      <c r="F2137" s="1">
        <v>9</v>
      </c>
      <c r="G2137" s="1">
        <v>9.75</v>
      </c>
      <c r="H2137" s="1" t="s">
        <v>459</v>
      </c>
      <c r="I2137" s="1" t="s">
        <v>45</v>
      </c>
      <c r="J2137" s="1">
        <v>63</v>
      </c>
      <c r="K2137" s="1">
        <v>2.2599999999999998</v>
      </c>
      <c r="L2137" s="4">
        <v>42.47</v>
      </c>
      <c r="M2137" s="1">
        <v>0.56999999999999995</v>
      </c>
      <c r="N2137" s="1">
        <v>7</v>
      </c>
      <c r="O2137" s="1">
        <v>0.97</v>
      </c>
      <c r="P2137" s="1">
        <v>101</v>
      </c>
      <c r="Q2137" s="1">
        <v>7.28</v>
      </c>
      <c r="R2137" s="1">
        <v>0.4</v>
      </c>
      <c r="S2137" s="2">
        <v>45478</v>
      </c>
      <c r="T2137" s="1">
        <v>223.65</v>
      </c>
      <c r="U2137" s="1">
        <v>0.57399999999999995</v>
      </c>
      <c r="V2137" s="6">
        <f t="shared" si="99"/>
        <v>17115.41</v>
      </c>
      <c r="W2137" s="6" t="str">
        <f t="shared" si="100"/>
        <v>Sufficient</v>
      </c>
      <c r="X2137" s="8" t="str">
        <f t="shared" si="101"/>
        <v>High</v>
      </c>
    </row>
    <row r="2138" spans="1:24">
      <c r="A2138" s="7" t="s">
        <v>2268</v>
      </c>
      <c r="B2138" s="1" t="s">
        <v>66</v>
      </c>
      <c r="C2138" s="1">
        <v>199</v>
      </c>
      <c r="D2138" s="1">
        <v>50</v>
      </c>
      <c r="E2138" s="1">
        <v>6</v>
      </c>
      <c r="F2138" s="1">
        <v>7</v>
      </c>
      <c r="G2138" s="1">
        <v>1.06</v>
      </c>
      <c r="H2138" s="1" t="s">
        <v>171</v>
      </c>
      <c r="I2138" s="1" t="s">
        <v>39</v>
      </c>
      <c r="J2138" s="1">
        <v>139</v>
      </c>
      <c r="K2138" s="1">
        <v>4.21</v>
      </c>
      <c r="L2138" s="4">
        <v>45.62</v>
      </c>
      <c r="M2138" s="1">
        <v>0.79</v>
      </c>
      <c r="N2138" s="1">
        <v>0</v>
      </c>
      <c r="O2138" s="1">
        <v>0.85</v>
      </c>
      <c r="P2138" s="1">
        <v>419</v>
      </c>
      <c r="Q2138" s="1">
        <v>2.86</v>
      </c>
      <c r="R2138" s="1">
        <v>0.39</v>
      </c>
      <c r="S2138" s="2">
        <v>45319</v>
      </c>
      <c r="T2138" s="1">
        <v>214.6</v>
      </c>
      <c r="U2138" s="1">
        <v>0.60699999999999998</v>
      </c>
      <c r="V2138" s="6">
        <f t="shared" si="99"/>
        <v>9078.3799999999992</v>
      </c>
      <c r="W2138" s="6" t="str">
        <f t="shared" si="100"/>
        <v>Sufficient</v>
      </c>
      <c r="X2138" s="8" t="str">
        <f t="shared" si="101"/>
        <v>Medium</v>
      </c>
    </row>
    <row r="2139" spans="1:24">
      <c r="A2139" s="7" t="s">
        <v>2269</v>
      </c>
      <c r="B2139" s="1" t="s">
        <v>25</v>
      </c>
      <c r="C2139" s="1">
        <v>433</v>
      </c>
      <c r="D2139" s="1">
        <v>27</v>
      </c>
      <c r="E2139" s="1">
        <v>10</v>
      </c>
      <c r="F2139" s="1">
        <v>7</v>
      </c>
      <c r="G2139" s="1">
        <v>42.8</v>
      </c>
      <c r="H2139" s="1" t="s">
        <v>137</v>
      </c>
      <c r="I2139" s="1" t="s">
        <v>31</v>
      </c>
      <c r="J2139" s="1">
        <v>11</v>
      </c>
      <c r="K2139" s="1">
        <v>4.01</v>
      </c>
      <c r="L2139" s="4">
        <v>105.59</v>
      </c>
      <c r="M2139" s="1">
        <v>0.54</v>
      </c>
      <c r="N2139" s="1">
        <v>7</v>
      </c>
      <c r="O2139" s="1">
        <v>0.78</v>
      </c>
      <c r="P2139" s="1">
        <v>213</v>
      </c>
      <c r="Q2139" s="1">
        <v>13.62</v>
      </c>
      <c r="R2139" s="1">
        <v>0.83</v>
      </c>
      <c r="S2139" s="2">
        <v>45406</v>
      </c>
      <c r="T2139" s="1">
        <v>87.43</v>
      </c>
      <c r="U2139" s="1">
        <v>0.71</v>
      </c>
      <c r="V2139" s="6">
        <f t="shared" si="99"/>
        <v>45720.47</v>
      </c>
      <c r="W2139" s="6" t="str">
        <f t="shared" si="100"/>
        <v>Sufficient</v>
      </c>
      <c r="X2139" s="8" t="str">
        <f t="shared" si="101"/>
        <v>High</v>
      </c>
    </row>
    <row r="2140" spans="1:24">
      <c r="A2140" s="7" t="s">
        <v>2270</v>
      </c>
      <c r="B2140" s="1" t="s">
        <v>66</v>
      </c>
      <c r="C2140" s="1">
        <v>436</v>
      </c>
      <c r="D2140" s="1">
        <v>31</v>
      </c>
      <c r="E2140" s="1">
        <v>6</v>
      </c>
      <c r="F2140" s="1">
        <v>8</v>
      </c>
      <c r="G2140" s="1">
        <v>36.04</v>
      </c>
      <c r="H2140" s="1" t="s">
        <v>50</v>
      </c>
      <c r="I2140" s="1" t="s">
        <v>39</v>
      </c>
      <c r="J2140" s="1">
        <v>149</v>
      </c>
      <c r="K2140" s="1">
        <v>3.31</v>
      </c>
      <c r="L2140" s="4">
        <v>150.6</v>
      </c>
      <c r="M2140" s="1">
        <v>1.66</v>
      </c>
      <c r="N2140" s="1">
        <v>2</v>
      </c>
      <c r="O2140" s="1">
        <v>0.82</v>
      </c>
      <c r="P2140" s="1">
        <v>352</v>
      </c>
      <c r="Q2140" s="1">
        <v>10.87</v>
      </c>
      <c r="R2140" s="1">
        <v>0.32</v>
      </c>
      <c r="S2140" s="2">
        <v>45524</v>
      </c>
      <c r="T2140" s="1">
        <v>100.88</v>
      </c>
      <c r="U2140" s="1">
        <v>0.56699999999999995</v>
      </c>
      <c r="V2140" s="6">
        <f t="shared" si="99"/>
        <v>65661.599999999991</v>
      </c>
      <c r="W2140" s="6" t="str">
        <f t="shared" si="100"/>
        <v>Sufficient</v>
      </c>
      <c r="X2140" s="8" t="str">
        <f t="shared" si="101"/>
        <v>High</v>
      </c>
    </row>
    <row r="2141" spans="1:24">
      <c r="A2141" s="7" t="s">
        <v>2271</v>
      </c>
      <c r="B2141" s="1" t="s">
        <v>29</v>
      </c>
      <c r="C2141" s="1">
        <v>332</v>
      </c>
      <c r="D2141" s="1">
        <v>75</v>
      </c>
      <c r="E2141" s="1">
        <v>9</v>
      </c>
      <c r="F2141" s="1">
        <v>8</v>
      </c>
      <c r="G2141" s="1">
        <v>34.840000000000003</v>
      </c>
      <c r="H2141" s="1" t="s">
        <v>81</v>
      </c>
      <c r="I2141" s="1" t="s">
        <v>39</v>
      </c>
      <c r="J2141" s="1">
        <v>49</v>
      </c>
      <c r="K2141" s="1">
        <v>1.65</v>
      </c>
      <c r="L2141" s="4">
        <v>61.83</v>
      </c>
      <c r="M2141" s="1">
        <v>0.42</v>
      </c>
      <c r="N2141" s="1">
        <v>0</v>
      </c>
      <c r="O2141" s="1">
        <v>0.96</v>
      </c>
      <c r="P2141" s="1">
        <v>499</v>
      </c>
      <c r="Q2141" s="1">
        <v>3.36</v>
      </c>
      <c r="R2141" s="1">
        <v>0.46</v>
      </c>
      <c r="S2141" s="2">
        <v>45461</v>
      </c>
      <c r="T2141" s="1">
        <v>203.71</v>
      </c>
      <c r="U2141" s="1">
        <v>0.68700000000000006</v>
      </c>
      <c r="V2141" s="6">
        <f t="shared" si="99"/>
        <v>20527.559999999998</v>
      </c>
      <c r="W2141" s="6" t="str">
        <f t="shared" si="100"/>
        <v>Sufficient</v>
      </c>
      <c r="X2141" s="8" t="str">
        <f t="shared" si="101"/>
        <v>High</v>
      </c>
    </row>
    <row r="2142" spans="1:24">
      <c r="A2142" s="7" t="s">
        <v>2272</v>
      </c>
      <c r="B2142" s="1" t="s">
        <v>25</v>
      </c>
      <c r="C2142" s="1">
        <v>327</v>
      </c>
      <c r="D2142" s="1">
        <v>30</v>
      </c>
      <c r="E2142" s="1">
        <v>6</v>
      </c>
      <c r="F2142" s="1">
        <v>6</v>
      </c>
      <c r="G2142" s="1">
        <v>27.78</v>
      </c>
      <c r="H2142" s="1" t="s">
        <v>372</v>
      </c>
      <c r="I2142" s="1" t="s">
        <v>27</v>
      </c>
      <c r="J2142" s="1">
        <v>11</v>
      </c>
      <c r="K2142" s="1">
        <v>0.97</v>
      </c>
      <c r="L2142" s="4">
        <v>166.65</v>
      </c>
      <c r="M2142" s="1">
        <v>0.76</v>
      </c>
      <c r="N2142" s="1">
        <v>6</v>
      </c>
      <c r="O2142" s="1">
        <v>0.98</v>
      </c>
      <c r="P2142" s="1">
        <v>977</v>
      </c>
      <c r="Q2142" s="1">
        <v>4.45</v>
      </c>
      <c r="R2142" s="1">
        <v>0.71</v>
      </c>
      <c r="S2142" s="2">
        <v>45578</v>
      </c>
      <c r="T2142" s="1">
        <v>182.13</v>
      </c>
      <c r="U2142" s="1">
        <v>0.60099999999999998</v>
      </c>
      <c r="V2142" s="6">
        <f t="shared" si="99"/>
        <v>54494.55</v>
      </c>
      <c r="W2142" s="6" t="str">
        <f t="shared" si="100"/>
        <v>Sufficient</v>
      </c>
      <c r="X2142" s="8" t="str">
        <f t="shared" si="101"/>
        <v>High</v>
      </c>
    </row>
    <row r="2143" spans="1:24">
      <c r="A2143" s="7" t="s">
        <v>2273</v>
      </c>
      <c r="B2143" s="1" t="s">
        <v>33</v>
      </c>
      <c r="C2143" s="1">
        <v>156</v>
      </c>
      <c r="D2143" s="1">
        <v>53</v>
      </c>
      <c r="E2143" s="1">
        <v>14</v>
      </c>
      <c r="F2143" s="1">
        <v>2</v>
      </c>
      <c r="G2143" s="1">
        <v>35.35</v>
      </c>
      <c r="H2143" s="1" t="s">
        <v>132</v>
      </c>
      <c r="I2143" s="1" t="s">
        <v>45</v>
      </c>
      <c r="J2143" s="1">
        <v>114</v>
      </c>
      <c r="K2143" s="1">
        <v>1.64</v>
      </c>
      <c r="L2143" s="4">
        <v>179.57</v>
      </c>
      <c r="M2143" s="1">
        <v>1.24</v>
      </c>
      <c r="N2143" s="1">
        <v>9</v>
      </c>
      <c r="O2143" s="1">
        <v>0.73</v>
      </c>
      <c r="P2143" s="1">
        <v>593</v>
      </c>
      <c r="Q2143" s="1">
        <v>4.76</v>
      </c>
      <c r="R2143" s="1">
        <v>0.71</v>
      </c>
      <c r="S2143" s="2">
        <v>45609</v>
      </c>
      <c r="T2143" s="1">
        <v>197.71</v>
      </c>
      <c r="U2143" s="1">
        <v>0.44700000000000001</v>
      </c>
      <c r="V2143" s="6">
        <f t="shared" si="99"/>
        <v>28012.92</v>
      </c>
      <c r="W2143" s="6" t="str">
        <f t="shared" si="100"/>
        <v>Sufficient</v>
      </c>
      <c r="X2143" s="8" t="str">
        <f t="shared" si="101"/>
        <v>Medium</v>
      </c>
    </row>
    <row r="2144" spans="1:24">
      <c r="A2144" s="7" t="s">
        <v>2274</v>
      </c>
      <c r="B2144" s="1" t="s">
        <v>33</v>
      </c>
      <c r="C2144" s="1">
        <v>201</v>
      </c>
      <c r="D2144" s="1">
        <v>56</v>
      </c>
      <c r="E2144" s="1">
        <v>7</v>
      </c>
      <c r="F2144" s="1">
        <v>8</v>
      </c>
      <c r="G2144" s="1">
        <v>46.85</v>
      </c>
      <c r="H2144" s="1" t="s">
        <v>470</v>
      </c>
      <c r="I2144" s="1" t="s">
        <v>45</v>
      </c>
      <c r="J2144" s="1">
        <v>134</v>
      </c>
      <c r="K2144" s="1">
        <v>2.79</v>
      </c>
      <c r="L2144" s="4">
        <v>76.599999999999994</v>
      </c>
      <c r="M2144" s="1">
        <v>0.87</v>
      </c>
      <c r="N2144" s="1">
        <v>2</v>
      </c>
      <c r="O2144" s="1">
        <v>0.93</v>
      </c>
      <c r="P2144" s="1">
        <v>759</v>
      </c>
      <c r="Q2144" s="1">
        <v>14.49</v>
      </c>
      <c r="R2144" s="1">
        <v>0.24</v>
      </c>
      <c r="S2144" s="2">
        <v>45599</v>
      </c>
      <c r="T2144" s="1">
        <v>264.86</v>
      </c>
      <c r="U2144" s="1">
        <v>0.7</v>
      </c>
      <c r="V2144" s="6">
        <f t="shared" si="99"/>
        <v>15396.599999999999</v>
      </c>
      <c r="W2144" s="6" t="str">
        <f t="shared" si="100"/>
        <v>Sufficient</v>
      </c>
      <c r="X2144" s="8" t="str">
        <f t="shared" si="101"/>
        <v>Medium</v>
      </c>
    </row>
    <row r="2145" spans="1:24">
      <c r="A2145" s="7" t="s">
        <v>2275</v>
      </c>
      <c r="B2145" s="1" t="s">
        <v>66</v>
      </c>
      <c r="C2145" s="1">
        <v>386</v>
      </c>
      <c r="D2145" s="1">
        <v>48</v>
      </c>
      <c r="E2145" s="1">
        <v>9</v>
      </c>
      <c r="F2145" s="1">
        <v>5</v>
      </c>
      <c r="G2145" s="1">
        <v>33.619999999999997</v>
      </c>
      <c r="H2145" s="1" t="s">
        <v>135</v>
      </c>
      <c r="I2145" s="1" t="s">
        <v>31</v>
      </c>
      <c r="J2145" s="1">
        <v>89</v>
      </c>
      <c r="K2145" s="1">
        <v>4.91</v>
      </c>
      <c r="L2145" s="4">
        <v>139.46</v>
      </c>
      <c r="M2145" s="1">
        <v>0.22</v>
      </c>
      <c r="N2145" s="1">
        <v>7</v>
      </c>
      <c r="O2145" s="1">
        <v>0.87</v>
      </c>
      <c r="P2145" s="1">
        <v>551</v>
      </c>
      <c r="Q2145" s="1">
        <v>13.41</v>
      </c>
      <c r="R2145" s="1">
        <v>0.26</v>
      </c>
      <c r="S2145" s="2">
        <v>45534</v>
      </c>
      <c r="T2145" s="1">
        <v>56.52</v>
      </c>
      <c r="U2145" s="1">
        <v>0.64300000000000002</v>
      </c>
      <c r="V2145" s="6">
        <f t="shared" si="99"/>
        <v>53831.560000000005</v>
      </c>
      <c r="W2145" s="6" t="str">
        <f t="shared" si="100"/>
        <v>Sufficient</v>
      </c>
      <c r="X2145" s="8" t="str">
        <f t="shared" si="101"/>
        <v>High</v>
      </c>
    </row>
    <row r="2146" spans="1:24">
      <c r="A2146" s="7" t="s">
        <v>2276</v>
      </c>
      <c r="B2146" s="1" t="s">
        <v>66</v>
      </c>
      <c r="C2146" s="1">
        <v>20</v>
      </c>
      <c r="D2146" s="1">
        <v>38</v>
      </c>
      <c r="E2146" s="1">
        <v>12</v>
      </c>
      <c r="F2146" s="1">
        <v>6</v>
      </c>
      <c r="G2146" s="1">
        <v>13.99</v>
      </c>
      <c r="H2146" s="1" t="s">
        <v>97</v>
      </c>
      <c r="I2146" s="1" t="s">
        <v>27</v>
      </c>
      <c r="J2146" s="1">
        <v>56</v>
      </c>
      <c r="K2146" s="1">
        <v>0.79</v>
      </c>
      <c r="L2146" s="4">
        <v>32.24</v>
      </c>
      <c r="M2146" s="1">
        <v>1.9</v>
      </c>
      <c r="N2146" s="1">
        <v>8</v>
      </c>
      <c r="O2146" s="1">
        <v>0.88</v>
      </c>
      <c r="P2146" s="1">
        <v>400</v>
      </c>
      <c r="Q2146" s="1">
        <v>5.85</v>
      </c>
      <c r="R2146" s="1">
        <v>0.72</v>
      </c>
      <c r="S2146" s="2">
        <v>45628</v>
      </c>
      <c r="T2146" s="1">
        <v>43.74</v>
      </c>
      <c r="U2146" s="1">
        <v>0.44800000000000001</v>
      </c>
      <c r="V2146" s="6">
        <f t="shared" si="99"/>
        <v>644.80000000000007</v>
      </c>
      <c r="W2146" s="6" t="str">
        <f t="shared" si="100"/>
        <v>Reorder Required</v>
      </c>
      <c r="X2146" s="8" t="str">
        <f t="shared" si="101"/>
        <v>LOW</v>
      </c>
    </row>
    <row r="2147" spans="1:24">
      <c r="A2147" s="7" t="s">
        <v>2277</v>
      </c>
      <c r="B2147" s="1" t="s">
        <v>29</v>
      </c>
      <c r="C2147" s="1">
        <v>63</v>
      </c>
      <c r="D2147" s="1">
        <v>63</v>
      </c>
      <c r="E2147" s="1">
        <v>5</v>
      </c>
      <c r="F2147" s="1">
        <v>3</v>
      </c>
      <c r="G2147" s="1">
        <v>28.96</v>
      </c>
      <c r="H2147" s="1" t="s">
        <v>99</v>
      </c>
      <c r="I2147" s="1" t="s">
        <v>27</v>
      </c>
      <c r="J2147" s="1">
        <v>173</v>
      </c>
      <c r="K2147" s="1">
        <v>1.4</v>
      </c>
      <c r="L2147" s="4">
        <v>151.37</v>
      </c>
      <c r="M2147" s="1">
        <v>0.74</v>
      </c>
      <c r="N2147" s="1">
        <v>1</v>
      </c>
      <c r="O2147" s="1">
        <v>0.93</v>
      </c>
      <c r="P2147" s="1">
        <v>428</v>
      </c>
      <c r="Q2147" s="1">
        <v>7.53</v>
      </c>
      <c r="R2147" s="1">
        <v>0.96</v>
      </c>
      <c r="S2147" s="2">
        <v>45478</v>
      </c>
      <c r="T2147" s="1">
        <v>173.74</v>
      </c>
      <c r="U2147" s="1">
        <v>0.78400000000000003</v>
      </c>
      <c r="V2147" s="6">
        <f t="shared" si="99"/>
        <v>9536.31</v>
      </c>
      <c r="W2147" s="6" t="str">
        <f t="shared" si="100"/>
        <v>Reorder Required</v>
      </c>
      <c r="X2147" s="8" t="str">
        <f t="shared" si="101"/>
        <v>LOW</v>
      </c>
    </row>
    <row r="2148" spans="1:24">
      <c r="A2148" s="7" t="s">
        <v>2278</v>
      </c>
      <c r="B2148" s="1" t="s">
        <v>29</v>
      </c>
      <c r="C2148" s="1">
        <v>246</v>
      </c>
      <c r="D2148" s="1">
        <v>99</v>
      </c>
      <c r="E2148" s="1">
        <v>12</v>
      </c>
      <c r="F2148" s="1">
        <v>5</v>
      </c>
      <c r="G2148" s="1">
        <v>22.67</v>
      </c>
      <c r="H2148" s="1" t="s">
        <v>178</v>
      </c>
      <c r="I2148" s="1" t="s">
        <v>27</v>
      </c>
      <c r="J2148" s="1">
        <v>141</v>
      </c>
      <c r="K2148" s="1">
        <v>3.32</v>
      </c>
      <c r="L2148" s="4">
        <v>41.35</v>
      </c>
      <c r="M2148" s="1">
        <v>0.95</v>
      </c>
      <c r="N2148" s="1">
        <v>0</v>
      </c>
      <c r="O2148" s="1">
        <v>0.77</v>
      </c>
      <c r="P2148" s="1">
        <v>488</v>
      </c>
      <c r="Q2148" s="1">
        <v>4.99</v>
      </c>
      <c r="R2148" s="1">
        <v>1</v>
      </c>
      <c r="S2148" s="2">
        <v>45523</v>
      </c>
      <c r="T2148" s="1">
        <v>155.05000000000001</v>
      </c>
      <c r="U2148" s="1">
        <v>0.72599999999999998</v>
      </c>
      <c r="V2148" s="6">
        <f t="shared" si="99"/>
        <v>10172.1</v>
      </c>
      <c r="W2148" s="6" t="str">
        <f t="shared" si="100"/>
        <v>Sufficient</v>
      </c>
      <c r="X2148" s="8" t="str">
        <f t="shared" si="101"/>
        <v>Medium</v>
      </c>
    </row>
    <row r="2149" spans="1:24">
      <c r="A2149" s="7" t="s">
        <v>2279</v>
      </c>
      <c r="B2149" s="1" t="s">
        <v>41</v>
      </c>
      <c r="C2149" s="1">
        <v>350</v>
      </c>
      <c r="D2149" s="1">
        <v>94</v>
      </c>
      <c r="E2149" s="1">
        <v>7</v>
      </c>
      <c r="F2149" s="1">
        <v>3</v>
      </c>
      <c r="G2149" s="1">
        <v>28.26</v>
      </c>
      <c r="H2149" s="1" t="s">
        <v>91</v>
      </c>
      <c r="I2149" s="1" t="s">
        <v>27</v>
      </c>
      <c r="J2149" s="1">
        <v>161</v>
      </c>
      <c r="K2149" s="1">
        <v>1.87</v>
      </c>
      <c r="L2149" s="4">
        <v>140.61000000000001</v>
      </c>
      <c r="M2149" s="1">
        <v>0.42</v>
      </c>
      <c r="N2149" s="1">
        <v>7</v>
      </c>
      <c r="O2149" s="1">
        <v>0.86</v>
      </c>
      <c r="P2149" s="1">
        <v>250</v>
      </c>
      <c r="Q2149" s="1">
        <v>11.4</v>
      </c>
      <c r="R2149" s="1">
        <v>0.99</v>
      </c>
      <c r="S2149" s="2">
        <v>45350</v>
      </c>
      <c r="T2149" s="1">
        <v>126.83</v>
      </c>
      <c r="U2149" s="1">
        <v>0.74</v>
      </c>
      <c r="V2149" s="6">
        <f t="shared" si="99"/>
        <v>49213.500000000007</v>
      </c>
      <c r="W2149" s="6" t="str">
        <f t="shared" si="100"/>
        <v>Sufficient</v>
      </c>
      <c r="X2149" s="8" t="str">
        <f t="shared" si="101"/>
        <v>High</v>
      </c>
    </row>
    <row r="2150" spans="1:24">
      <c r="A2150" s="7" t="s">
        <v>2280</v>
      </c>
      <c r="B2150" s="1" t="s">
        <v>29</v>
      </c>
      <c r="C2150" s="1">
        <v>117</v>
      </c>
      <c r="D2150" s="1">
        <v>26</v>
      </c>
      <c r="E2150" s="1">
        <v>13</v>
      </c>
      <c r="F2150" s="1">
        <v>4</v>
      </c>
      <c r="G2150" s="1">
        <v>26.36</v>
      </c>
      <c r="H2150" s="1" t="s">
        <v>252</v>
      </c>
      <c r="I2150" s="1" t="s">
        <v>27</v>
      </c>
      <c r="J2150" s="1">
        <v>100</v>
      </c>
      <c r="K2150" s="1">
        <v>4.3600000000000003</v>
      </c>
      <c r="L2150" s="4">
        <v>90.16</v>
      </c>
      <c r="M2150" s="1">
        <v>1.74</v>
      </c>
      <c r="N2150" s="1">
        <v>9</v>
      </c>
      <c r="O2150" s="1">
        <v>0.8</v>
      </c>
      <c r="P2150" s="1">
        <v>156</v>
      </c>
      <c r="Q2150" s="1">
        <v>3.26</v>
      </c>
      <c r="R2150" s="1">
        <v>0.48</v>
      </c>
      <c r="S2150" s="2">
        <v>45341</v>
      </c>
      <c r="T2150" s="1">
        <v>272.37</v>
      </c>
      <c r="U2150" s="1">
        <v>0.34499999999999997</v>
      </c>
      <c r="V2150" s="6">
        <f t="shared" si="99"/>
        <v>10548.72</v>
      </c>
      <c r="W2150" s="6" t="str">
        <f t="shared" si="100"/>
        <v>Sufficient</v>
      </c>
      <c r="X2150" s="8" t="str">
        <f t="shared" si="101"/>
        <v>Medium</v>
      </c>
    </row>
    <row r="2151" spans="1:24">
      <c r="A2151" s="7" t="s">
        <v>2281</v>
      </c>
      <c r="B2151" s="1" t="s">
        <v>41</v>
      </c>
      <c r="C2151" s="1">
        <v>227</v>
      </c>
      <c r="D2151" s="1">
        <v>89</v>
      </c>
      <c r="E2151" s="1">
        <v>5</v>
      </c>
      <c r="F2151" s="1">
        <v>3</v>
      </c>
      <c r="G2151" s="1">
        <v>43.08</v>
      </c>
      <c r="H2151" s="1" t="s">
        <v>233</v>
      </c>
      <c r="I2151" s="1" t="s">
        <v>45</v>
      </c>
      <c r="J2151" s="1">
        <v>110</v>
      </c>
      <c r="K2151" s="1">
        <v>1.1299999999999999</v>
      </c>
      <c r="L2151" s="4">
        <v>186.41</v>
      </c>
      <c r="M2151" s="1">
        <v>0.65</v>
      </c>
      <c r="N2151" s="1">
        <v>5</v>
      </c>
      <c r="O2151" s="1">
        <v>0.73</v>
      </c>
      <c r="P2151" s="1">
        <v>554</v>
      </c>
      <c r="Q2151" s="1">
        <v>5.74</v>
      </c>
      <c r="R2151" s="1">
        <v>0.39</v>
      </c>
      <c r="S2151" s="2">
        <v>45629</v>
      </c>
      <c r="T2151" s="1">
        <v>171.93</v>
      </c>
      <c r="U2151" s="1">
        <v>0.53600000000000003</v>
      </c>
      <c r="V2151" s="6">
        <f t="shared" si="99"/>
        <v>42315.07</v>
      </c>
      <c r="W2151" s="6" t="str">
        <f t="shared" si="100"/>
        <v>Sufficient</v>
      </c>
      <c r="X2151" s="8" t="str">
        <f t="shared" si="101"/>
        <v>Medium</v>
      </c>
    </row>
    <row r="2152" spans="1:24">
      <c r="A2152" s="7" t="s">
        <v>2282</v>
      </c>
      <c r="B2152" s="1" t="s">
        <v>25</v>
      </c>
      <c r="C2152" s="1">
        <v>284</v>
      </c>
      <c r="D2152" s="1">
        <v>69</v>
      </c>
      <c r="E2152" s="1">
        <v>7</v>
      </c>
      <c r="F2152" s="1">
        <v>5</v>
      </c>
      <c r="G2152" s="1">
        <v>32.94</v>
      </c>
      <c r="H2152" s="1" t="s">
        <v>294</v>
      </c>
      <c r="I2152" s="1" t="s">
        <v>45</v>
      </c>
      <c r="J2152" s="1">
        <v>139</v>
      </c>
      <c r="K2152" s="1">
        <v>4.83</v>
      </c>
      <c r="L2152" s="4">
        <v>98.25</v>
      </c>
      <c r="M2152" s="1">
        <v>0.14000000000000001</v>
      </c>
      <c r="N2152" s="1">
        <v>9</v>
      </c>
      <c r="O2152" s="1">
        <v>0.73</v>
      </c>
      <c r="P2152" s="1">
        <v>433</v>
      </c>
      <c r="Q2152" s="1">
        <v>9.49</v>
      </c>
      <c r="R2152" s="1">
        <v>0.28000000000000003</v>
      </c>
      <c r="S2152" s="2">
        <v>45405</v>
      </c>
      <c r="T2152" s="1">
        <v>174.5</v>
      </c>
      <c r="U2152" s="1">
        <v>0.53500000000000003</v>
      </c>
      <c r="V2152" s="6">
        <f t="shared" si="99"/>
        <v>27903</v>
      </c>
      <c r="W2152" s="6" t="str">
        <f t="shared" si="100"/>
        <v>Sufficient</v>
      </c>
      <c r="X2152" s="8" t="str">
        <f t="shared" si="101"/>
        <v>High</v>
      </c>
    </row>
    <row r="2153" spans="1:24">
      <c r="A2153" s="7" t="s">
        <v>2283</v>
      </c>
      <c r="B2153" s="1" t="s">
        <v>66</v>
      </c>
      <c r="C2153" s="1">
        <v>307</v>
      </c>
      <c r="D2153" s="1">
        <v>40</v>
      </c>
      <c r="E2153" s="1">
        <v>5</v>
      </c>
      <c r="F2153" s="1">
        <v>4</v>
      </c>
      <c r="G2153" s="1">
        <v>10.25</v>
      </c>
      <c r="H2153" s="1" t="s">
        <v>57</v>
      </c>
      <c r="I2153" s="1" t="s">
        <v>39</v>
      </c>
      <c r="J2153" s="1">
        <v>24</v>
      </c>
      <c r="K2153" s="1">
        <v>4.6100000000000003</v>
      </c>
      <c r="L2153" s="4">
        <v>15.87</v>
      </c>
      <c r="M2153" s="1">
        <v>0.7</v>
      </c>
      <c r="N2153" s="1">
        <v>0</v>
      </c>
      <c r="O2153" s="1">
        <v>0.74</v>
      </c>
      <c r="P2153" s="1">
        <v>897</v>
      </c>
      <c r="Q2153" s="1">
        <v>13.28</v>
      </c>
      <c r="R2153" s="1">
        <v>0.46</v>
      </c>
      <c r="S2153" s="2">
        <v>45293</v>
      </c>
      <c r="T2153" s="1">
        <v>116.26</v>
      </c>
      <c r="U2153" s="1">
        <v>0.747</v>
      </c>
      <c r="V2153" s="6">
        <f t="shared" si="99"/>
        <v>4872.09</v>
      </c>
      <c r="W2153" s="6" t="str">
        <f t="shared" si="100"/>
        <v>Sufficient</v>
      </c>
      <c r="X2153" s="8" t="str">
        <f t="shared" si="101"/>
        <v>High</v>
      </c>
    </row>
    <row r="2154" spans="1:24">
      <c r="A2154" s="7" t="s">
        <v>2284</v>
      </c>
      <c r="B2154" s="1" t="s">
        <v>25</v>
      </c>
      <c r="C2154" s="1">
        <v>290</v>
      </c>
      <c r="D2154" s="1">
        <v>82</v>
      </c>
      <c r="E2154" s="1">
        <v>13</v>
      </c>
      <c r="F2154" s="1">
        <v>5</v>
      </c>
      <c r="G2154" s="1">
        <v>4.09</v>
      </c>
      <c r="H2154" s="1" t="s">
        <v>44</v>
      </c>
      <c r="I2154" s="1" t="s">
        <v>45</v>
      </c>
      <c r="J2154" s="1">
        <v>58</v>
      </c>
      <c r="K2154" s="1">
        <v>4.49</v>
      </c>
      <c r="L2154" s="4">
        <v>101.33</v>
      </c>
      <c r="M2154" s="1">
        <v>1.97</v>
      </c>
      <c r="N2154" s="1">
        <v>2</v>
      </c>
      <c r="O2154" s="1">
        <v>0.88</v>
      </c>
      <c r="P2154" s="1">
        <v>906</v>
      </c>
      <c r="Q2154" s="1">
        <v>9.9</v>
      </c>
      <c r="R2154" s="1">
        <v>0.42</v>
      </c>
      <c r="S2154" s="2">
        <v>45466</v>
      </c>
      <c r="T2154" s="1">
        <v>109.78</v>
      </c>
      <c r="U2154" s="1">
        <v>0.55500000000000005</v>
      </c>
      <c r="V2154" s="6">
        <f t="shared" si="99"/>
        <v>29385.7</v>
      </c>
      <c r="W2154" s="6" t="str">
        <f t="shared" si="100"/>
        <v>Sufficient</v>
      </c>
      <c r="X2154" s="8" t="str">
        <f t="shared" si="101"/>
        <v>High</v>
      </c>
    </row>
    <row r="2155" spans="1:24">
      <c r="A2155" s="7" t="s">
        <v>2285</v>
      </c>
      <c r="B2155" s="1" t="s">
        <v>29</v>
      </c>
      <c r="C2155" s="1">
        <v>159</v>
      </c>
      <c r="D2155" s="1">
        <v>87</v>
      </c>
      <c r="E2155" s="1">
        <v>12</v>
      </c>
      <c r="F2155" s="1">
        <v>7</v>
      </c>
      <c r="G2155" s="1">
        <v>21.79</v>
      </c>
      <c r="H2155" s="1" t="s">
        <v>91</v>
      </c>
      <c r="I2155" s="1" t="s">
        <v>27</v>
      </c>
      <c r="J2155" s="1">
        <v>121</v>
      </c>
      <c r="K2155" s="1">
        <v>1.28</v>
      </c>
      <c r="L2155" s="4">
        <v>161.13999999999999</v>
      </c>
      <c r="M2155" s="1">
        <v>0.38</v>
      </c>
      <c r="N2155" s="1">
        <v>8</v>
      </c>
      <c r="O2155" s="1">
        <v>0.73</v>
      </c>
      <c r="P2155" s="1">
        <v>345</v>
      </c>
      <c r="Q2155" s="1">
        <v>14.16</v>
      </c>
      <c r="R2155" s="1">
        <v>0.66</v>
      </c>
      <c r="S2155" s="2">
        <v>45473</v>
      </c>
      <c r="T2155" s="1">
        <v>296.41000000000003</v>
      </c>
      <c r="U2155" s="1">
        <v>0.66900000000000004</v>
      </c>
      <c r="V2155" s="6">
        <f t="shared" si="99"/>
        <v>25621.26</v>
      </c>
      <c r="W2155" s="6" t="str">
        <f t="shared" si="100"/>
        <v>Sufficient</v>
      </c>
      <c r="X2155" s="8" t="str">
        <f t="shared" si="101"/>
        <v>Medium</v>
      </c>
    </row>
    <row r="2156" spans="1:24">
      <c r="A2156" s="7" t="s">
        <v>2286</v>
      </c>
      <c r="B2156" s="1" t="s">
        <v>25</v>
      </c>
      <c r="C2156" s="1">
        <v>256</v>
      </c>
      <c r="D2156" s="1">
        <v>58</v>
      </c>
      <c r="E2156" s="1">
        <v>13</v>
      </c>
      <c r="F2156" s="1">
        <v>5</v>
      </c>
      <c r="G2156" s="1">
        <v>1.76</v>
      </c>
      <c r="H2156" s="1" t="s">
        <v>119</v>
      </c>
      <c r="I2156" s="1" t="s">
        <v>39</v>
      </c>
      <c r="J2156" s="1">
        <v>44</v>
      </c>
      <c r="K2156" s="1">
        <v>1.98</v>
      </c>
      <c r="L2156" s="4">
        <v>132.94999999999999</v>
      </c>
      <c r="M2156" s="1">
        <v>0.16</v>
      </c>
      <c r="N2156" s="1">
        <v>8</v>
      </c>
      <c r="O2156" s="1">
        <v>0.87</v>
      </c>
      <c r="P2156" s="1">
        <v>77</v>
      </c>
      <c r="Q2156" s="1">
        <v>14.03</v>
      </c>
      <c r="R2156" s="1">
        <v>0.5</v>
      </c>
      <c r="S2156" s="2">
        <v>45616</v>
      </c>
      <c r="T2156" s="1">
        <v>190.69</v>
      </c>
      <c r="U2156" s="1">
        <v>0.68500000000000005</v>
      </c>
      <c r="V2156" s="6">
        <f t="shared" si="99"/>
        <v>34035.199999999997</v>
      </c>
      <c r="W2156" s="6" t="str">
        <f t="shared" si="100"/>
        <v>Sufficient</v>
      </c>
      <c r="X2156" s="8" t="str">
        <f t="shared" si="101"/>
        <v>High</v>
      </c>
    </row>
    <row r="2157" spans="1:24">
      <c r="A2157" s="7" t="s">
        <v>2287</v>
      </c>
      <c r="B2157" s="1" t="s">
        <v>25</v>
      </c>
      <c r="C2157" s="1">
        <v>481</v>
      </c>
      <c r="D2157" s="1">
        <v>11</v>
      </c>
      <c r="E2157" s="1">
        <v>9</v>
      </c>
      <c r="F2157" s="1">
        <v>4</v>
      </c>
      <c r="G2157" s="1">
        <v>16.600000000000001</v>
      </c>
      <c r="H2157" s="1" t="s">
        <v>34</v>
      </c>
      <c r="I2157" s="1" t="s">
        <v>45</v>
      </c>
      <c r="J2157" s="1">
        <v>125</v>
      </c>
      <c r="K2157" s="1">
        <v>4.12</v>
      </c>
      <c r="L2157" s="4">
        <v>193.6</v>
      </c>
      <c r="M2157" s="1">
        <v>1.2</v>
      </c>
      <c r="N2157" s="1">
        <v>5</v>
      </c>
      <c r="O2157" s="1">
        <v>0.88</v>
      </c>
      <c r="P2157" s="1">
        <v>386</v>
      </c>
      <c r="Q2157" s="1">
        <v>11.06</v>
      </c>
      <c r="R2157" s="1">
        <v>0.39</v>
      </c>
      <c r="S2157" s="2">
        <v>45441</v>
      </c>
      <c r="T2157" s="1">
        <v>249.28</v>
      </c>
      <c r="U2157" s="1">
        <v>0.58099999999999996</v>
      </c>
      <c r="V2157" s="6">
        <f t="shared" si="99"/>
        <v>93121.599999999991</v>
      </c>
      <c r="W2157" s="6" t="str">
        <f t="shared" si="100"/>
        <v>Sufficient</v>
      </c>
      <c r="X2157" s="8" t="str">
        <f t="shared" si="101"/>
        <v>High</v>
      </c>
    </row>
    <row r="2158" spans="1:24">
      <c r="A2158" s="7" t="s">
        <v>2288</v>
      </c>
      <c r="B2158" s="1" t="s">
        <v>25</v>
      </c>
      <c r="C2158" s="1">
        <v>460</v>
      </c>
      <c r="D2158" s="1">
        <v>57</v>
      </c>
      <c r="E2158" s="1">
        <v>3</v>
      </c>
      <c r="F2158" s="1">
        <v>3</v>
      </c>
      <c r="G2158" s="1">
        <v>19.03</v>
      </c>
      <c r="H2158" s="1" t="s">
        <v>88</v>
      </c>
      <c r="I2158" s="1" t="s">
        <v>39</v>
      </c>
      <c r="J2158" s="1">
        <v>103</v>
      </c>
      <c r="K2158" s="1">
        <v>4.1399999999999997</v>
      </c>
      <c r="L2158" s="4">
        <v>170.22</v>
      </c>
      <c r="M2158" s="1">
        <v>0.81</v>
      </c>
      <c r="N2158" s="1">
        <v>2</v>
      </c>
      <c r="O2158" s="1">
        <v>0.97</v>
      </c>
      <c r="P2158" s="1">
        <v>336</v>
      </c>
      <c r="Q2158" s="1">
        <v>4.9000000000000004</v>
      </c>
      <c r="R2158" s="1">
        <v>0.69</v>
      </c>
      <c r="S2158" s="2">
        <v>45572</v>
      </c>
      <c r="T2158" s="1">
        <v>139.76</v>
      </c>
      <c r="U2158" s="1">
        <v>0.67600000000000005</v>
      </c>
      <c r="V2158" s="6">
        <f t="shared" si="99"/>
        <v>78301.2</v>
      </c>
      <c r="W2158" s="6" t="str">
        <f t="shared" si="100"/>
        <v>Sufficient</v>
      </c>
      <c r="X2158" s="8" t="str">
        <f t="shared" si="101"/>
        <v>High</v>
      </c>
    </row>
    <row r="2159" spans="1:24">
      <c r="A2159" s="7" t="s">
        <v>2289</v>
      </c>
      <c r="B2159" s="1" t="s">
        <v>29</v>
      </c>
      <c r="C2159" s="1">
        <v>411</v>
      </c>
      <c r="D2159" s="1">
        <v>23</v>
      </c>
      <c r="E2159" s="1">
        <v>11</v>
      </c>
      <c r="F2159" s="1">
        <v>7</v>
      </c>
      <c r="G2159" s="1">
        <v>19.399999999999999</v>
      </c>
      <c r="H2159" s="1" t="s">
        <v>258</v>
      </c>
      <c r="I2159" s="1" t="s">
        <v>45</v>
      </c>
      <c r="J2159" s="1">
        <v>33</v>
      </c>
      <c r="K2159" s="1">
        <v>3.67</v>
      </c>
      <c r="L2159" s="4">
        <v>110.04</v>
      </c>
      <c r="M2159" s="1">
        <v>1.61</v>
      </c>
      <c r="N2159" s="1">
        <v>7</v>
      </c>
      <c r="O2159" s="1">
        <v>0.89</v>
      </c>
      <c r="P2159" s="1">
        <v>680</v>
      </c>
      <c r="Q2159" s="1">
        <v>10.56</v>
      </c>
      <c r="R2159" s="1">
        <v>0.46</v>
      </c>
      <c r="S2159" s="2">
        <v>45559</v>
      </c>
      <c r="T2159" s="1">
        <v>65.64</v>
      </c>
      <c r="U2159" s="1">
        <v>0.51</v>
      </c>
      <c r="V2159" s="6">
        <f t="shared" si="99"/>
        <v>45226.44</v>
      </c>
      <c r="W2159" s="6" t="str">
        <f t="shared" si="100"/>
        <v>Sufficient</v>
      </c>
      <c r="X2159" s="8" t="str">
        <f t="shared" si="101"/>
        <v>High</v>
      </c>
    </row>
    <row r="2160" spans="1:24">
      <c r="A2160" s="7" t="s">
        <v>2290</v>
      </c>
      <c r="B2160" s="1" t="s">
        <v>25</v>
      </c>
      <c r="C2160" s="1">
        <v>91</v>
      </c>
      <c r="D2160" s="1">
        <v>68</v>
      </c>
      <c r="E2160" s="1">
        <v>11</v>
      </c>
      <c r="F2160" s="1">
        <v>2</v>
      </c>
      <c r="G2160" s="1">
        <v>48.99</v>
      </c>
      <c r="H2160" s="1" t="s">
        <v>229</v>
      </c>
      <c r="I2160" s="1" t="s">
        <v>31</v>
      </c>
      <c r="J2160" s="1">
        <v>69</v>
      </c>
      <c r="K2160" s="1">
        <v>2.52</v>
      </c>
      <c r="L2160" s="4">
        <v>49.24</v>
      </c>
      <c r="M2160" s="1">
        <v>1.49</v>
      </c>
      <c r="N2160" s="1">
        <v>5</v>
      </c>
      <c r="O2160" s="1">
        <v>1</v>
      </c>
      <c r="P2160" s="1">
        <v>392</v>
      </c>
      <c r="Q2160" s="1">
        <v>3.7</v>
      </c>
      <c r="R2160" s="1">
        <v>0.48</v>
      </c>
      <c r="S2160" s="2">
        <v>45483</v>
      </c>
      <c r="T2160" s="1">
        <v>104.2</v>
      </c>
      <c r="U2160" s="1">
        <v>0.496</v>
      </c>
      <c r="V2160" s="6">
        <f t="shared" si="99"/>
        <v>4480.84</v>
      </c>
      <c r="W2160" s="6" t="str">
        <f t="shared" si="100"/>
        <v>Sufficient</v>
      </c>
      <c r="X2160" s="8" t="str">
        <f t="shared" si="101"/>
        <v>LOW</v>
      </c>
    </row>
    <row r="2161" spans="1:24">
      <c r="A2161" s="7" t="s">
        <v>2291</v>
      </c>
      <c r="B2161" s="1" t="s">
        <v>41</v>
      </c>
      <c r="C2161" s="1">
        <v>174</v>
      </c>
      <c r="D2161" s="1">
        <v>67</v>
      </c>
      <c r="E2161" s="1">
        <v>7</v>
      </c>
      <c r="F2161" s="1">
        <v>2</v>
      </c>
      <c r="G2161" s="1">
        <v>15.89</v>
      </c>
      <c r="H2161" s="1" t="s">
        <v>72</v>
      </c>
      <c r="I2161" s="1" t="s">
        <v>45</v>
      </c>
      <c r="J2161" s="1">
        <v>86</v>
      </c>
      <c r="K2161" s="1">
        <v>1.9</v>
      </c>
      <c r="L2161" s="4">
        <v>10.72</v>
      </c>
      <c r="M2161" s="1">
        <v>0.45</v>
      </c>
      <c r="N2161" s="1">
        <v>0</v>
      </c>
      <c r="O2161" s="1">
        <v>0.71</v>
      </c>
      <c r="P2161" s="1">
        <v>80</v>
      </c>
      <c r="Q2161" s="1">
        <v>5.66</v>
      </c>
      <c r="R2161" s="1">
        <v>0.68</v>
      </c>
      <c r="S2161" s="2">
        <v>45651</v>
      </c>
      <c r="T2161" s="1">
        <v>110.38</v>
      </c>
      <c r="U2161" s="1">
        <v>0.70799999999999996</v>
      </c>
      <c r="V2161" s="6">
        <f t="shared" si="99"/>
        <v>1865.2800000000002</v>
      </c>
      <c r="W2161" s="6" t="str">
        <f t="shared" si="100"/>
        <v>Sufficient</v>
      </c>
      <c r="X2161" s="8" t="str">
        <f t="shared" si="101"/>
        <v>Medium</v>
      </c>
    </row>
    <row r="2162" spans="1:24">
      <c r="A2162" s="7" t="s">
        <v>2292</v>
      </c>
      <c r="B2162" s="1" t="s">
        <v>29</v>
      </c>
      <c r="C2162" s="1">
        <v>209</v>
      </c>
      <c r="D2162" s="1">
        <v>67</v>
      </c>
      <c r="E2162" s="1">
        <v>11</v>
      </c>
      <c r="F2162" s="1">
        <v>9</v>
      </c>
      <c r="G2162" s="1">
        <v>14</v>
      </c>
      <c r="H2162" s="1" t="s">
        <v>171</v>
      </c>
      <c r="I2162" s="1" t="s">
        <v>39</v>
      </c>
      <c r="J2162" s="1">
        <v>57</v>
      </c>
      <c r="K2162" s="1">
        <v>4.83</v>
      </c>
      <c r="L2162" s="4">
        <v>196.3</v>
      </c>
      <c r="M2162" s="1">
        <v>1.17</v>
      </c>
      <c r="N2162" s="1">
        <v>5</v>
      </c>
      <c r="O2162" s="1">
        <v>0.91</v>
      </c>
      <c r="P2162" s="1">
        <v>715</v>
      </c>
      <c r="Q2162" s="1">
        <v>11.61</v>
      </c>
      <c r="R2162" s="1">
        <v>0.28999999999999998</v>
      </c>
      <c r="S2162" s="2">
        <v>45346</v>
      </c>
      <c r="T2162" s="1">
        <v>173.82</v>
      </c>
      <c r="U2162" s="1">
        <v>0.57799999999999996</v>
      </c>
      <c r="V2162" s="6">
        <f t="shared" si="99"/>
        <v>41026.700000000004</v>
      </c>
      <c r="W2162" s="6" t="str">
        <f t="shared" si="100"/>
        <v>Sufficient</v>
      </c>
      <c r="X2162" s="8" t="str">
        <f t="shared" si="101"/>
        <v>Medium</v>
      </c>
    </row>
    <row r="2163" spans="1:24">
      <c r="A2163" s="7" t="s">
        <v>2293</v>
      </c>
      <c r="B2163" s="1" t="s">
        <v>25</v>
      </c>
      <c r="C2163" s="1">
        <v>287</v>
      </c>
      <c r="D2163" s="1">
        <v>60</v>
      </c>
      <c r="E2163" s="1">
        <v>12</v>
      </c>
      <c r="F2163" s="1">
        <v>2</v>
      </c>
      <c r="G2163" s="1">
        <v>7.34</v>
      </c>
      <c r="H2163" s="1" t="s">
        <v>333</v>
      </c>
      <c r="I2163" s="1" t="s">
        <v>31</v>
      </c>
      <c r="J2163" s="1">
        <v>160</v>
      </c>
      <c r="K2163" s="1">
        <v>1.1299999999999999</v>
      </c>
      <c r="L2163" s="4">
        <v>188.28</v>
      </c>
      <c r="M2163" s="1">
        <v>0.16</v>
      </c>
      <c r="N2163" s="1">
        <v>4</v>
      </c>
      <c r="O2163" s="1">
        <v>0.71</v>
      </c>
      <c r="P2163" s="1">
        <v>821</v>
      </c>
      <c r="Q2163" s="1">
        <v>12.91</v>
      </c>
      <c r="R2163" s="1">
        <v>0.82</v>
      </c>
      <c r="S2163" s="2">
        <v>45315</v>
      </c>
      <c r="T2163" s="1">
        <v>54.84</v>
      </c>
      <c r="U2163" s="1">
        <v>0.78200000000000003</v>
      </c>
      <c r="V2163" s="6">
        <f t="shared" si="99"/>
        <v>54036.36</v>
      </c>
      <c r="W2163" s="6" t="str">
        <f t="shared" si="100"/>
        <v>Sufficient</v>
      </c>
      <c r="X2163" s="8" t="str">
        <f t="shared" si="101"/>
        <v>High</v>
      </c>
    </row>
    <row r="2164" spans="1:24">
      <c r="A2164" s="7" t="s">
        <v>2294</v>
      </c>
      <c r="B2164" s="1" t="s">
        <v>29</v>
      </c>
      <c r="C2164" s="1">
        <v>340</v>
      </c>
      <c r="D2164" s="1">
        <v>93</v>
      </c>
      <c r="E2164" s="1">
        <v>8</v>
      </c>
      <c r="F2164" s="1">
        <v>2</v>
      </c>
      <c r="G2164" s="1">
        <v>26.04</v>
      </c>
      <c r="H2164" s="1" t="s">
        <v>269</v>
      </c>
      <c r="I2164" s="1" t="s">
        <v>27</v>
      </c>
      <c r="J2164" s="1">
        <v>149</v>
      </c>
      <c r="K2164" s="1">
        <v>0.7</v>
      </c>
      <c r="L2164" s="4">
        <v>62.09</v>
      </c>
      <c r="M2164" s="1">
        <v>0.94</v>
      </c>
      <c r="N2164" s="1">
        <v>7</v>
      </c>
      <c r="O2164" s="1">
        <v>0.92</v>
      </c>
      <c r="P2164" s="1">
        <v>536</v>
      </c>
      <c r="Q2164" s="1">
        <v>6.83</v>
      </c>
      <c r="R2164" s="1">
        <v>0.97</v>
      </c>
      <c r="S2164" s="2">
        <v>45376</v>
      </c>
      <c r="T2164" s="1">
        <v>122.24</v>
      </c>
      <c r="U2164" s="1">
        <v>0.63500000000000001</v>
      </c>
      <c r="V2164" s="6">
        <f t="shared" si="99"/>
        <v>21110.600000000002</v>
      </c>
      <c r="W2164" s="6" t="str">
        <f t="shared" si="100"/>
        <v>Sufficient</v>
      </c>
      <c r="X2164" s="8" t="str">
        <f t="shared" si="101"/>
        <v>High</v>
      </c>
    </row>
    <row r="2165" spans="1:24">
      <c r="A2165" s="7" t="s">
        <v>2295</v>
      </c>
      <c r="B2165" s="1" t="s">
        <v>33</v>
      </c>
      <c r="C2165" s="1">
        <v>126</v>
      </c>
      <c r="D2165" s="1">
        <v>11</v>
      </c>
      <c r="E2165" s="1">
        <v>7</v>
      </c>
      <c r="F2165" s="1">
        <v>6</v>
      </c>
      <c r="G2165" s="1">
        <v>8.5299999999999994</v>
      </c>
      <c r="H2165" s="1" t="s">
        <v>135</v>
      </c>
      <c r="I2165" s="1" t="s">
        <v>39</v>
      </c>
      <c r="J2165" s="1">
        <v>50</v>
      </c>
      <c r="K2165" s="1">
        <v>0.54</v>
      </c>
      <c r="L2165" s="4">
        <v>131.26</v>
      </c>
      <c r="M2165" s="1">
        <v>1.46</v>
      </c>
      <c r="N2165" s="1">
        <v>1</v>
      </c>
      <c r="O2165" s="1">
        <v>0.82</v>
      </c>
      <c r="P2165" s="1">
        <v>668</v>
      </c>
      <c r="Q2165" s="1">
        <v>8.33</v>
      </c>
      <c r="R2165" s="1">
        <v>0.59</v>
      </c>
      <c r="S2165" s="2">
        <v>45544</v>
      </c>
      <c r="T2165" s="1">
        <v>39.17</v>
      </c>
      <c r="U2165" s="1">
        <v>0.627</v>
      </c>
      <c r="V2165" s="6">
        <f t="shared" si="99"/>
        <v>16538.759999999998</v>
      </c>
      <c r="W2165" s="6" t="str">
        <f t="shared" si="100"/>
        <v>Sufficient</v>
      </c>
      <c r="X2165" s="8" t="str">
        <f t="shared" si="101"/>
        <v>Medium</v>
      </c>
    </row>
    <row r="2166" spans="1:24">
      <c r="A2166" s="7" t="s">
        <v>2296</v>
      </c>
      <c r="B2166" s="1" t="s">
        <v>41</v>
      </c>
      <c r="C2166" s="1">
        <v>251</v>
      </c>
      <c r="D2166" s="1">
        <v>50</v>
      </c>
      <c r="E2166" s="1">
        <v>5</v>
      </c>
      <c r="F2166" s="1">
        <v>2</v>
      </c>
      <c r="G2166" s="1">
        <v>31.2</v>
      </c>
      <c r="H2166" s="1" t="s">
        <v>171</v>
      </c>
      <c r="I2166" s="1" t="s">
        <v>27</v>
      </c>
      <c r="J2166" s="1">
        <v>166</v>
      </c>
      <c r="K2166" s="1">
        <v>3.99</v>
      </c>
      <c r="L2166" s="4">
        <v>148.56</v>
      </c>
      <c r="M2166" s="1">
        <v>0.89</v>
      </c>
      <c r="N2166" s="1">
        <v>6</v>
      </c>
      <c r="O2166" s="1">
        <v>0.88</v>
      </c>
      <c r="P2166" s="1">
        <v>300</v>
      </c>
      <c r="Q2166" s="1">
        <v>6.41</v>
      </c>
      <c r="R2166" s="1">
        <v>0.65</v>
      </c>
      <c r="S2166" s="2">
        <v>45363</v>
      </c>
      <c r="T2166" s="1">
        <v>153.99</v>
      </c>
      <c r="U2166" s="1">
        <v>0.58199999999999996</v>
      </c>
      <c r="V2166" s="6">
        <f t="shared" si="99"/>
        <v>37288.559999999998</v>
      </c>
      <c r="W2166" s="6" t="str">
        <f t="shared" si="100"/>
        <v>Sufficient</v>
      </c>
      <c r="X2166" s="8" t="str">
        <f t="shared" si="101"/>
        <v>High</v>
      </c>
    </row>
    <row r="2167" spans="1:24">
      <c r="A2167" s="7" t="s">
        <v>2297</v>
      </c>
      <c r="B2167" s="1" t="s">
        <v>25</v>
      </c>
      <c r="C2167" s="1">
        <v>61</v>
      </c>
      <c r="D2167" s="1">
        <v>92</v>
      </c>
      <c r="E2167" s="1">
        <v>13</v>
      </c>
      <c r="F2167" s="1">
        <v>4</v>
      </c>
      <c r="G2167" s="1">
        <v>8.6</v>
      </c>
      <c r="H2167" s="1" t="s">
        <v>44</v>
      </c>
      <c r="I2167" s="1" t="s">
        <v>27</v>
      </c>
      <c r="J2167" s="1">
        <v>137</v>
      </c>
      <c r="K2167" s="1">
        <v>0.76</v>
      </c>
      <c r="L2167" s="4">
        <v>119.82</v>
      </c>
      <c r="M2167" s="1">
        <v>0.32</v>
      </c>
      <c r="N2167" s="1">
        <v>5</v>
      </c>
      <c r="O2167" s="1">
        <v>0.79</v>
      </c>
      <c r="P2167" s="1">
        <v>412</v>
      </c>
      <c r="Q2167" s="1">
        <v>7.71</v>
      </c>
      <c r="R2167" s="1">
        <v>0.51</v>
      </c>
      <c r="S2167" s="2">
        <v>45501</v>
      </c>
      <c r="T2167" s="1">
        <v>284.75</v>
      </c>
      <c r="U2167" s="1">
        <v>0.63100000000000001</v>
      </c>
      <c r="V2167" s="6">
        <f t="shared" si="99"/>
        <v>7309.0199999999995</v>
      </c>
      <c r="W2167" s="6" t="str">
        <f t="shared" si="100"/>
        <v>Reorder Required</v>
      </c>
      <c r="X2167" s="8" t="str">
        <f t="shared" si="101"/>
        <v>LOW</v>
      </c>
    </row>
    <row r="2168" spans="1:24">
      <c r="A2168" s="7" t="s">
        <v>2298</v>
      </c>
      <c r="B2168" s="1" t="s">
        <v>33</v>
      </c>
      <c r="C2168" s="1">
        <v>209</v>
      </c>
      <c r="D2168" s="1">
        <v>91</v>
      </c>
      <c r="E2168" s="1">
        <v>13</v>
      </c>
      <c r="F2168" s="1">
        <v>8</v>
      </c>
      <c r="G2168" s="1">
        <v>29.26</v>
      </c>
      <c r="H2168" s="1" t="s">
        <v>34</v>
      </c>
      <c r="I2168" s="1" t="s">
        <v>39</v>
      </c>
      <c r="J2168" s="1">
        <v>160</v>
      </c>
      <c r="K2168" s="1">
        <v>2.92</v>
      </c>
      <c r="L2168" s="4">
        <v>170.16</v>
      </c>
      <c r="M2168" s="1">
        <v>0.22</v>
      </c>
      <c r="N2168" s="1">
        <v>0</v>
      </c>
      <c r="O2168" s="1">
        <v>0.75</v>
      </c>
      <c r="P2168" s="1">
        <v>156</v>
      </c>
      <c r="Q2168" s="1">
        <v>8.17</v>
      </c>
      <c r="R2168" s="1">
        <v>0.97</v>
      </c>
      <c r="S2168" s="2">
        <v>45346</v>
      </c>
      <c r="T2168" s="1">
        <v>108.29</v>
      </c>
      <c r="U2168" s="1">
        <v>0.83099999999999996</v>
      </c>
      <c r="V2168" s="6">
        <f t="shared" si="99"/>
        <v>35563.440000000002</v>
      </c>
      <c r="W2168" s="6" t="str">
        <f t="shared" si="100"/>
        <v>Sufficient</v>
      </c>
      <c r="X2168" s="8" t="str">
        <f t="shared" si="101"/>
        <v>Medium</v>
      </c>
    </row>
    <row r="2169" spans="1:24">
      <c r="A2169" s="7" t="s">
        <v>2299</v>
      </c>
      <c r="B2169" s="1" t="s">
        <v>33</v>
      </c>
      <c r="C2169" s="1">
        <v>390</v>
      </c>
      <c r="D2169" s="1">
        <v>25</v>
      </c>
      <c r="E2169" s="1">
        <v>10</v>
      </c>
      <c r="F2169" s="1">
        <v>2</v>
      </c>
      <c r="G2169" s="1">
        <v>41.49</v>
      </c>
      <c r="H2169" s="1" t="s">
        <v>214</v>
      </c>
      <c r="I2169" s="1" t="s">
        <v>27</v>
      </c>
      <c r="J2169" s="1">
        <v>40</v>
      </c>
      <c r="K2169" s="1">
        <v>2.15</v>
      </c>
      <c r="L2169" s="4">
        <v>24.79</v>
      </c>
      <c r="M2169" s="1">
        <v>1.72</v>
      </c>
      <c r="N2169" s="1">
        <v>7</v>
      </c>
      <c r="O2169" s="1">
        <v>0.92</v>
      </c>
      <c r="P2169" s="1">
        <v>555</v>
      </c>
      <c r="Q2169" s="1">
        <v>10.69</v>
      </c>
      <c r="R2169" s="1">
        <v>0.31</v>
      </c>
      <c r="S2169" s="2">
        <v>45422</v>
      </c>
      <c r="T2169" s="1">
        <v>24.42</v>
      </c>
      <c r="U2169" s="1">
        <v>0.47699999999999998</v>
      </c>
      <c r="V2169" s="6">
        <f t="shared" si="99"/>
        <v>9668.1</v>
      </c>
      <c r="W2169" s="6" t="str">
        <f t="shared" si="100"/>
        <v>Sufficient</v>
      </c>
      <c r="X2169" s="8" t="str">
        <f t="shared" si="101"/>
        <v>High</v>
      </c>
    </row>
    <row r="2170" spans="1:24">
      <c r="A2170" s="7" t="s">
        <v>2300</v>
      </c>
      <c r="B2170" s="1" t="s">
        <v>29</v>
      </c>
      <c r="C2170" s="1">
        <v>158</v>
      </c>
      <c r="D2170" s="1">
        <v>13</v>
      </c>
      <c r="E2170" s="1">
        <v>6</v>
      </c>
      <c r="F2170" s="1">
        <v>5</v>
      </c>
      <c r="G2170" s="1">
        <v>3.08</v>
      </c>
      <c r="H2170" s="1" t="s">
        <v>115</v>
      </c>
      <c r="I2170" s="1" t="s">
        <v>39</v>
      </c>
      <c r="J2170" s="1">
        <v>158</v>
      </c>
      <c r="K2170" s="1">
        <v>1.1599999999999999</v>
      </c>
      <c r="L2170" s="4">
        <v>180.33</v>
      </c>
      <c r="M2170" s="1">
        <v>1.79</v>
      </c>
      <c r="N2170" s="1">
        <v>5</v>
      </c>
      <c r="O2170" s="1">
        <v>0.97</v>
      </c>
      <c r="P2170" s="1">
        <v>491</v>
      </c>
      <c r="Q2170" s="1">
        <v>11.51</v>
      </c>
      <c r="R2170" s="1">
        <v>0.85</v>
      </c>
      <c r="S2170" s="2">
        <v>45604</v>
      </c>
      <c r="T2170" s="1">
        <v>186.54</v>
      </c>
      <c r="U2170" s="1">
        <v>0.63800000000000001</v>
      </c>
      <c r="V2170" s="6">
        <f t="shared" si="99"/>
        <v>28492.140000000003</v>
      </c>
      <c r="W2170" s="6" t="str">
        <f t="shared" si="100"/>
        <v>Sufficient</v>
      </c>
      <c r="X2170" s="8" t="str">
        <f t="shared" si="101"/>
        <v>Medium</v>
      </c>
    </row>
    <row r="2171" spans="1:24">
      <c r="A2171" s="7" t="s">
        <v>2301</v>
      </c>
      <c r="B2171" s="1" t="s">
        <v>33</v>
      </c>
      <c r="C2171" s="1">
        <v>122</v>
      </c>
      <c r="D2171" s="1">
        <v>21</v>
      </c>
      <c r="E2171" s="1">
        <v>12</v>
      </c>
      <c r="F2171" s="1">
        <v>8</v>
      </c>
      <c r="G2171" s="1">
        <v>21.57</v>
      </c>
      <c r="H2171" s="1" t="s">
        <v>81</v>
      </c>
      <c r="I2171" s="1" t="s">
        <v>39</v>
      </c>
      <c r="J2171" s="1">
        <v>33</v>
      </c>
      <c r="K2171" s="1">
        <v>3.83</v>
      </c>
      <c r="L2171" s="4">
        <v>84.48</v>
      </c>
      <c r="M2171" s="1">
        <v>0.75</v>
      </c>
      <c r="N2171" s="1">
        <v>2</v>
      </c>
      <c r="O2171" s="1">
        <v>0.76</v>
      </c>
      <c r="P2171" s="1">
        <v>166</v>
      </c>
      <c r="Q2171" s="1">
        <v>14.65</v>
      </c>
      <c r="R2171" s="1">
        <v>0.72</v>
      </c>
      <c r="S2171" s="2">
        <v>45392</v>
      </c>
      <c r="T2171" s="1">
        <v>194.07</v>
      </c>
      <c r="U2171" s="1">
        <v>0.77600000000000002</v>
      </c>
      <c r="V2171" s="6">
        <f t="shared" si="99"/>
        <v>10306.560000000001</v>
      </c>
      <c r="W2171" s="6" t="str">
        <f t="shared" si="100"/>
        <v>Sufficient</v>
      </c>
      <c r="X2171" s="8" t="str">
        <f t="shared" si="101"/>
        <v>Medium</v>
      </c>
    </row>
    <row r="2172" spans="1:24">
      <c r="A2172" s="7" t="s">
        <v>2302</v>
      </c>
      <c r="B2172" s="1" t="s">
        <v>41</v>
      </c>
      <c r="C2172" s="1">
        <v>190</v>
      </c>
      <c r="D2172" s="1">
        <v>38</v>
      </c>
      <c r="E2172" s="1">
        <v>5</v>
      </c>
      <c r="F2172" s="1">
        <v>2</v>
      </c>
      <c r="G2172" s="1">
        <v>23.59</v>
      </c>
      <c r="H2172" s="1" t="s">
        <v>83</v>
      </c>
      <c r="I2172" s="1" t="s">
        <v>45</v>
      </c>
      <c r="J2172" s="1">
        <v>18</v>
      </c>
      <c r="K2172" s="1">
        <v>0.75</v>
      </c>
      <c r="L2172" s="4">
        <v>101.33</v>
      </c>
      <c r="M2172" s="1">
        <v>0.41</v>
      </c>
      <c r="N2172" s="1">
        <v>4</v>
      </c>
      <c r="O2172" s="1">
        <v>0.98</v>
      </c>
      <c r="P2172" s="1">
        <v>294</v>
      </c>
      <c r="Q2172" s="1">
        <v>7.13</v>
      </c>
      <c r="R2172" s="1">
        <v>0.83</v>
      </c>
      <c r="S2172" s="2">
        <v>45388</v>
      </c>
      <c r="T2172" s="1">
        <v>149.08000000000001</v>
      </c>
      <c r="U2172" s="1">
        <v>0.73599999999999999</v>
      </c>
      <c r="V2172" s="6">
        <f t="shared" si="99"/>
        <v>19252.7</v>
      </c>
      <c r="W2172" s="6" t="str">
        <f t="shared" si="100"/>
        <v>Sufficient</v>
      </c>
      <c r="X2172" s="8" t="str">
        <f t="shared" si="101"/>
        <v>Medium</v>
      </c>
    </row>
    <row r="2173" spans="1:24">
      <c r="A2173" s="7" t="s">
        <v>2303</v>
      </c>
      <c r="B2173" s="1" t="s">
        <v>41</v>
      </c>
      <c r="C2173" s="1">
        <v>370</v>
      </c>
      <c r="D2173" s="1">
        <v>16</v>
      </c>
      <c r="E2173" s="1">
        <v>8</v>
      </c>
      <c r="F2173" s="1">
        <v>8</v>
      </c>
      <c r="G2173" s="1">
        <v>39.76</v>
      </c>
      <c r="H2173" s="1" t="s">
        <v>394</v>
      </c>
      <c r="I2173" s="1" t="s">
        <v>31</v>
      </c>
      <c r="J2173" s="1">
        <v>159</v>
      </c>
      <c r="K2173" s="1">
        <v>1.93</v>
      </c>
      <c r="L2173" s="4">
        <v>94.5</v>
      </c>
      <c r="M2173" s="1">
        <v>1.96</v>
      </c>
      <c r="N2173" s="1">
        <v>6</v>
      </c>
      <c r="O2173" s="1">
        <v>0.74</v>
      </c>
      <c r="P2173" s="1">
        <v>128</v>
      </c>
      <c r="Q2173" s="1">
        <v>2.16</v>
      </c>
      <c r="R2173" s="1">
        <v>0.96</v>
      </c>
      <c r="S2173" s="2">
        <v>45353</v>
      </c>
      <c r="T2173" s="1">
        <v>125.09</v>
      </c>
      <c r="U2173" s="1">
        <v>0.45300000000000001</v>
      </c>
      <c r="V2173" s="6">
        <f t="shared" si="99"/>
        <v>34965</v>
      </c>
      <c r="W2173" s="6" t="str">
        <f t="shared" si="100"/>
        <v>Sufficient</v>
      </c>
      <c r="X2173" s="8" t="str">
        <f t="shared" si="101"/>
        <v>High</v>
      </c>
    </row>
    <row r="2174" spans="1:24">
      <c r="A2174" s="7" t="s">
        <v>2304</v>
      </c>
      <c r="B2174" s="1" t="s">
        <v>66</v>
      </c>
      <c r="C2174" s="1">
        <v>292</v>
      </c>
      <c r="D2174" s="1">
        <v>23</v>
      </c>
      <c r="E2174" s="1">
        <v>10</v>
      </c>
      <c r="F2174" s="1">
        <v>3</v>
      </c>
      <c r="G2174" s="1">
        <v>23.93</v>
      </c>
      <c r="H2174" s="1" t="s">
        <v>233</v>
      </c>
      <c r="I2174" s="1" t="s">
        <v>27</v>
      </c>
      <c r="J2174" s="1">
        <v>141</v>
      </c>
      <c r="K2174" s="1">
        <v>3.03</v>
      </c>
      <c r="L2174" s="4">
        <v>110.94</v>
      </c>
      <c r="M2174" s="1">
        <v>1.1399999999999999</v>
      </c>
      <c r="N2174" s="1">
        <v>8</v>
      </c>
      <c r="O2174" s="1">
        <v>0.92</v>
      </c>
      <c r="P2174" s="1">
        <v>790</v>
      </c>
      <c r="Q2174" s="1">
        <v>10.63</v>
      </c>
      <c r="R2174" s="1">
        <v>0.6</v>
      </c>
      <c r="S2174" s="2">
        <v>45493</v>
      </c>
      <c r="T2174" s="1">
        <v>268.87</v>
      </c>
      <c r="U2174" s="1">
        <v>0.57199999999999995</v>
      </c>
      <c r="V2174" s="6">
        <f t="shared" si="99"/>
        <v>32394.48</v>
      </c>
      <c r="W2174" s="6" t="str">
        <f t="shared" si="100"/>
        <v>Sufficient</v>
      </c>
      <c r="X2174" s="8" t="str">
        <f t="shared" si="101"/>
        <v>High</v>
      </c>
    </row>
    <row r="2175" spans="1:24">
      <c r="A2175" s="7" t="s">
        <v>2305</v>
      </c>
      <c r="B2175" s="1" t="s">
        <v>41</v>
      </c>
      <c r="C2175" s="1">
        <v>435</v>
      </c>
      <c r="D2175" s="1">
        <v>21</v>
      </c>
      <c r="E2175" s="1">
        <v>11</v>
      </c>
      <c r="F2175" s="1">
        <v>4</v>
      </c>
      <c r="G2175" s="1">
        <v>28.81</v>
      </c>
      <c r="H2175" s="1" t="s">
        <v>47</v>
      </c>
      <c r="I2175" s="1" t="s">
        <v>27</v>
      </c>
      <c r="J2175" s="1">
        <v>86</v>
      </c>
      <c r="K2175" s="1">
        <v>2.31</v>
      </c>
      <c r="L2175" s="4">
        <v>123.65</v>
      </c>
      <c r="M2175" s="1">
        <v>1.01</v>
      </c>
      <c r="N2175" s="1">
        <v>3</v>
      </c>
      <c r="O2175" s="1">
        <v>0.99</v>
      </c>
      <c r="P2175" s="1">
        <v>535</v>
      </c>
      <c r="Q2175" s="1">
        <v>7.98</v>
      </c>
      <c r="R2175" s="1">
        <v>0.43</v>
      </c>
      <c r="S2175" s="2">
        <v>45402</v>
      </c>
      <c r="T2175" s="1">
        <v>282.14999999999998</v>
      </c>
      <c r="U2175" s="1">
        <v>0.629</v>
      </c>
      <c r="V2175" s="6">
        <f t="shared" si="99"/>
        <v>53787.75</v>
      </c>
      <c r="W2175" s="6" t="str">
        <f t="shared" si="100"/>
        <v>Sufficient</v>
      </c>
      <c r="X2175" s="8" t="str">
        <f t="shared" si="101"/>
        <v>High</v>
      </c>
    </row>
    <row r="2176" spans="1:24">
      <c r="A2176" s="7" t="s">
        <v>2306</v>
      </c>
      <c r="B2176" s="1" t="s">
        <v>33</v>
      </c>
      <c r="C2176" s="1">
        <v>240</v>
      </c>
      <c r="D2176" s="1">
        <v>14</v>
      </c>
      <c r="E2176" s="1">
        <v>8</v>
      </c>
      <c r="F2176" s="1">
        <v>4</v>
      </c>
      <c r="G2176" s="1">
        <v>39.770000000000003</v>
      </c>
      <c r="H2176" s="1" t="s">
        <v>63</v>
      </c>
      <c r="I2176" s="1" t="s">
        <v>31</v>
      </c>
      <c r="J2176" s="1">
        <v>140</v>
      </c>
      <c r="K2176" s="1">
        <v>1.67</v>
      </c>
      <c r="L2176" s="4">
        <v>144.97</v>
      </c>
      <c r="M2176" s="1">
        <v>1.51</v>
      </c>
      <c r="N2176" s="1">
        <v>1</v>
      </c>
      <c r="O2176" s="1">
        <v>0.74</v>
      </c>
      <c r="P2176" s="1">
        <v>72</v>
      </c>
      <c r="Q2176" s="1">
        <v>12.77</v>
      </c>
      <c r="R2176" s="1">
        <v>0.82</v>
      </c>
      <c r="S2176" s="2">
        <v>45526</v>
      </c>
      <c r="T2176" s="1">
        <v>205.22</v>
      </c>
      <c r="U2176" s="1">
        <v>0.71099999999999997</v>
      </c>
      <c r="V2176" s="6">
        <f t="shared" si="99"/>
        <v>34792.800000000003</v>
      </c>
      <c r="W2176" s="6" t="str">
        <f t="shared" si="100"/>
        <v>Sufficient</v>
      </c>
      <c r="X2176" s="8" t="str">
        <f t="shared" si="101"/>
        <v>Medium</v>
      </c>
    </row>
    <row r="2177" spans="1:24">
      <c r="A2177" s="7" t="s">
        <v>2307</v>
      </c>
      <c r="B2177" s="1" t="s">
        <v>41</v>
      </c>
      <c r="C2177" s="1">
        <v>232</v>
      </c>
      <c r="D2177" s="1">
        <v>90</v>
      </c>
      <c r="E2177" s="1">
        <v>7</v>
      </c>
      <c r="F2177" s="1">
        <v>9</v>
      </c>
      <c r="G2177" s="1">
        <v>28.43</v>
      </c>
      <c r="H2177" s="1" t="s">
        <v>470</v>
      </c>
      <c r="I2177" s="1" t="s">
        <v>31</v>
      </c>
      <c r="J2177" s="1">
        <v>129</v>
      </c>
      <c r="K2177" s="1">
        <v>4.67</v>
      </c>
      <c r="L2177" s="4">
        <v>109.74</v>
      </c>
      <c r="M2177" s="1">
        <v>0.42</v>
      </c>
      <c r="N2177" s="1">
        <v>2</v>
      </c>
      <c r="O2177" s="1">
        <v>0.83</v>
      </c>
      <c r="P2177" s="1">
        <v>246</v>
      </c>
      <c r="Q2177" s="1">
        <v>3.05</v>
      </c>
      <c r="R2177" s="1">
        <v>0.88</v>
      </c>
      <c r="S2177" s="2">
        <v>45389</v>
      </c>
      <c r="T2177" s="1">
        <v>155.36000000000001</v>
      </c>
      <c r="U2177" s="1">
        <v>0.70099999999999996</v>
      </c>
      <c r="V2177" s="6">
        <f t="shared" si="99"/>
        <v>25459.68</v>
      </c>
      <c r="W2177" s="6" t="str">
        <f t="shared" si="100"/>
        <v>Sufficient</v>
      </c>
      <c r="X2177" s="8" t="str">
        <f t="shared" si="101"/>
        <v>Medium</v>
      </c>
    </row>
    <row r="2178" spans="1:24">
      <c r="A2178" s="7" t="s">
        <v>2308</v>
      </c>
      <c r="B2178" s="1" t="s">
        <v>29</v>
      </c>
      <c r="C2178" s="1">
        <v>360</v>
      </c>
      <c r="D2178" s="1">
        <v>41</v>
      </c>
      <c r="E2178" s="1">
        <v>14</v>
      </c>
      <c r="F2178" s="1">
        <v>8</v>
      </c>
      <c r="G2178" s="1">
        <v>18.559999999999999</v>
      </c>
      <c r="H2178" s="1" t="s">
        <v>350</v>
      </c>
      <c r="I2178" s="1" t="s">
        <v>31</v>
      </c>
      <c r="J2178" s="1">
        <v>165</v>
      </c>
      <c r="K2178" s="1">
        <v>4.6900000000000004</v>
      </c>
      <c r="L2178" s="4">
        <v>140.11000000000001</v>
      </c>
      <c r="M2178" s="1">
        <v>1.2</v>
      </c>
      <c r="N2178" s="1">
        <v>6</v>
      </c>
      <c r="O2178" s="1">
        <v>0.8</v>
      </c>
      <c r="P2178" s="1">
        <v>410</v>
      </c>
      <c r="Q2178" s="1">
        <v>10.029999999999999</v>
      </c>
      <c r="R2178" s="1">
        <v>0.75</v>
      </c>
      <c r="S2178" s="2">
        <v>45465</v>
      </c>
      <c r="T2178" s="1">
        <v>29.59</v>
      </c>
      <c r="U2178" s="1">
        <v>0.60399999999999998</v>
      </c>
      <c r="V2178" s="6">
        <f t="shared" si="99"/>
        <v>50439.600000000006</v>
      </c>
      <c r="W2178" s="6" t="str">
        <f t="shared" si="100"/>
        <v>Sufficient</v>
      </c>
      <c r="X2178" s="8" t="str">
        <f t="shared" si="101"/>
        <v>High</v>
      </c>
    </row>
    <row r="2179" spans="1:24">
      <c r="A2179" s="7" t="s">
        <v>2309</v>
      </c>
      <c r="B2179" s="1" t="s">
        <v>66</v>
      </c>
      <c r="C2179" s="1">
        <v>443</v>
      </c>
      <c r="D2179" s="1">
        <v>83</v>
      </c>
      <c r="E2179" s="1">
        <v>13</v>
      </c>
      <c r="F2179" s="1">
        <v>9</v>
      </c>
      <c r="G2179" s="1">
        <v>5.21</v>
      </c>
      <c r="H2179" s="1" t="s">
        <v>85</v>
      </c>
      <c r="I2179" s="1" t="s">
        <v>31</v>
      </c>
      <c r="J2179" s="1">
        <v>99</v>
      </c>
      <c r="K2179" s="1">
        <v>2.37</v>
      </c>
      <c r="L2179" s="4">
        <v>74.28</v>
      </c>
      <c r="M2179" s="1">
        <v>1.79</v>
      </c>
      <c r="N2179" s="1">
        <v>7</v>
      </c>
      <c r="O2179" s="1">
        <v>0.82</v>
      </c>
      <c r="P2179" s="1">
        <v>749</v>
      </c>
      <c r="Q2179" s="1">
        <v>7.43</v>
      </c>
      <c r="R2179" s="1">
        <v>0.88</v>
      </c>
      <c r="S2179" s="2">
        <v>45347</v>
      </c>
      <c r="T2179" s="1">
        <v>97.3</v>
      </c>
      <c r="U2179" s="1">
        <v>0.52</v>
      </c>
      <c r="V2179" s="6">
        <f t="shared" si="99"/>
        <v>32906.04</v>
      </c>
      <c r="W2179" s="6" t="str">
        <f t="shared" si="100"/>
        <v>Sufficient</v>
      </c>
      <c r="X2179" s="8" t="str">
        <f t="shared" si="101"/>
        <v>High</v>
      </c>
    </row>
    <row r="2180" spans="1:24">
      <c r="A2180" s="7" t="s">
        <v>2310</v>
      </c>
      <c r="B2180" s="1" t="s">
        <v>33</v>
      </c>
      <c r="C2180" s="1">
        <v>426</v>
      </c>
      <c r="D2180" s="1">
        <v>52</v>
      </c>
      <c r="E2180" s="1">
        <v>4</v>
      </c>
      <c r="F2180" s="1">
        <v>7</v>
      </c>
      <c r="G2180" s="1">
        <v>36.770000000000003</v>
      </c>
      <c r="H2180" s="1" t="s">
        <v>47</v>
      </c>
      <c r="I2180" s="1" t="s">
        <v>31</v>
      </c>
      <c r="J2180" s="1">
        <v>126</v>
      </c>
      <c r="K2180" s="1">
        <v>2.27</v>
      </c>
      <c r="L2180" s="4">
        <v>187.97</v>
      </c>
      <c r="M2180" s="1">
        <v>0.14000000000000001</v>
      </c>
      <c r="N2180" s="1">
        <v>4</v>
      </c>
      <c r="O2180" s="1">
        <v>0.93</v>
      </c>
      <c r="P2180" s="1">
        <v>476</v>
      </c>
      <c r="Q2180" s="1">
        <v>6.87</v>
      </c>
      <c r="R2180" s="1">
        <v>0.78</v>
      </c>
      <c r="S2180" s="2">
        <v>45504</v>
      </c>
      <c r="T2180" s="1">
        <v>92.68</v>
      </c>
      <c r="U2180" s="1">
        <v>0.74</v>
      </c>
      <c r="V2180" s="6">
        <f t="shared" ref="V2180:V2243" si="102">C2180*L2180</f>
        <v>80075.22</v>
      </c>
      <c r="W2180" s="6" t="str">
        <f t="shared" ref="W2180:W2243" si="103">IF(C2180&lt;=D2180,"Reorder Required","Sufficient")</f>
        <v>Sufficient</v>
      </c>
      <c r="X2180" s="8" t="str">
        <f t="shared" ref="X2180:X2243" si="104">IF(C2180&lt;100,"LOW",IF(C2180&lt;250,"Medium","High"))</f>
        <v>High</v>
      </c>
    </row>
    <row r="2181" spans="1:24">
      <c r="A2181" s="7" t="s">
        <v>2311</v>
      </c>
      <c r="B2181" s="1" t="s">
        <v>66</v>
      </c>
      <c r="C2181" s="1">
        <v>75</v>
      </c>
      <c r="D2181" s="1">
        <v>90</v>
      </c>
      <c r="E2181" s="1">
        <v>4</v>
      </c>
      <c r="F2181" s="1">
        <v>6</v>
      </c>
      <c r="G2181" s="1">
        <v>43.69</v>
      </c>
      <c r="H2181" s="1" t="s">
        <v>97</v>
      </c>
      <c r="I2181" s="1" t="s">
        <v>45</v>
      </c>
      <c r="J2181" s="1">
        <v>119</v>
      </c>
      <c r="K2181" s="1">
        <v>1.88</v>
      </c>
      <c r="L2181" s="4">
        <v>22.26</v>
      </c>
      <c r="M2181" s="1">
        <v>1.38</v>
      </c>
      <c r="N2181" s="1">
        <v>2</v>
      </c>
      <c r="O2181" s="1">
        <v>0.9</v>
      </c>
      <c r="P2181" s="1">
        <v>266</v>
      </c>
      <c r="Q2181" s="1">
        <v>8.91</v>
      </c>
      <c r="R2181" s="1">
        <v>0.97</v>
      </c>
      <c r="S2181" s="2">
        <v>45315</v>
      </c>
      <c r="T2181" s="1">
        <v>26.89</v>
      </c>
      <c r="U2181" s="1">
        <v>0.71499999999999997</v>
      </c>
      <c r="V2181" s="6">
        <f t="shared" si="102"/>
        <v>1669.5000000000002</v>
      </c>
      <c r="W2181" s="6" t="str">
        <f t="shared" si="103"/>
        <v>Reorder Required</v>
      </c>
      <c r="X2181" s="8" t="str">
        <f t="shared" si="104"/>
        <v>LOW</v>
      </c>
    </row>
    <row r="2182" spans="1:24">
      <c r="A2182" s="7" t="s">
        <v>2312</v>
      </c>
      <c r="B2182" s="1" t="s">
        <v>33</v>
      </c>
      <c r="C2182" s="1">
        <v>409</v>
      </c>
      <c r="D2182" s="1">
        <v>78</v>
      </c>
      <c r="E2182" s="1">
        <v>11</v>
      </c>
      <c r="F2182" s="1">
        <v>5</v>
      </c>
      <c r="G2182" s="1">
        <v>48.53</v>
      </c>
      <c r="H2182" s="1" t="s">
        <v>151</v>
      </c>
      <c r="I2182" s="1" t="s">
        <v>39</v>
      </c>
      <c r="J2182" s="1">
        <v>130</v>
      </c>
      <c r="K2182" s="1">
        <v>4.3499999999999996</v>
      </c>
      <c r="L2182" s="4">
        <v>113.65</v>
      </c>
      <c r="M2182" s="1">
        <v>1.1499999999999999</v>
      </c>
      <c r="N2182" s="1">
        <v>0</v>
      </c>
      <c r="O2182" s="1">
        <v>0.99</v>
      </c>
      <c r="P2182" s="1">
        <v>808</v>
      </c>
      <c r="Q2182" s="1">
        <v>10.58</v>
      </c>
      <c r="R2182" s="1">
        <v>0.66</v>
      </c>
      <c r="S2182" s="2">
        <v>45616</v>
      </c>
      <c r="T2182" s="1">
        <v>254.58</v>
      </c>
      <c r="U2182" s="1">
        <v>0.75600000000000001</v>
      </c>
      <c r="V2182" s="6">
        <f t="shared" si="102"/>
        <v>46482.850000000006</v>
      </c>
      <c r="W2182" s="6" t="str">
        <f t="shared" si="103"/>
        <v>Sufficient</v>
      </c>
      <c r="X2182" s="8" t="str">
        <f t="shared" si="104"/>
        <v>High</v>
      </c>
    </row>
    <row r="2183" spans="1:24">
      <c r="A2183" s="7" t="s">
        <v>2313</v>
      </c>
      <c r="B2183" s="1" t="s">
        <v>29</v>
      </c>
      <c r="C2183" s="1">
        <v>361</v>
      </c>
      <c r="D2183" s="1">
        <v>54</v>
      </c>
      <c r="E2183" s="1">
        <v>4</v>
      </c>
      <c r="F2183" s="1">
        <v>8</v>
      </c>
      <c r="G2183" s="1">
        <v>46.4</v>
      </c>
      <c r="H2183" s="1" t="s">
        <v>350</v>
      </c>
      <c r="I2183" s="1" t="s">
        <v>31</v>
      </c>
      <c r="J2183" s="1">
        <v>107</v>
      </c>
      <c r="K2183" s="1">
        <v>3.06</v>
      </c>
      <c r="L2183" s="4">
        <v>26.61</v>
      </c>
      <c r="M2183" s="1">
        <v>1.91</v>
      </c>
      <c r="N2183" s="1">
        <v>9</v>
      </c>
      <c r="O2183" s="1">
        <v>0.76</v>
      </c>
      <c r="P2183" s="1">
        <v>715</v>
      </c>
      <c r="Q2183" s="1">
        <v>12.91</v>
      </c>
      <c r="R2183" s="1">
        <v>0.5</v>
      </c>
      <c r="S2183" s="2">
        <v>45636</v>
      </c>
      <c r="T2183" s="1">
        <v>261.44</v>
      </c>
      <c r="U2183" s="1">
        <v>0.45300000000000001</v>
      </c>
      <c r="V2183" s="6">
        <f t="shared" si="102"/>
        <v>9606.2099999999991</v>
      </c>
      <c r="W2183" s="6" t="str">
        <f t="shared" si="103"/>
        <v>Sufficient</v>
      </c>
      <c r="X2183" s="8" t="str">
        <f t="shared" si="104"/>
        <v>High</v>
      </c>
    </row>
    <row r="2184" spans="1:24">
      <c r="A2184" s="7" t="s">
        <v>2314</v>
      </c>
      <c r="B2184" s="1" t="s">
        <v>66</v>
      </c>
      <c r="C2184" s="1">
        <v>453</v>
      </c>
      <c r="D2184" s="1">
        <v>18</v>
      </c>
      <c r="E2184" s="1">
        <v>4</v>
      </c>
      <c r="F2184" s="1">
        <v>4</v>
      </c>
      <c r="G2184" s="1">
        <v>40.07</v>
      </c>
      <c r="H2184" s="1" t="s">
        <v>91</v>
      </c>
      <c r="I2184" s="1" t="s">
        <v>45</v>
      </c>
      <c r="J2184" s="1">
        <v>24</v>
      </c>
      <c r="K2184" s="1">
        <v>0.9</v>
      </c>
      <c r="L2184" s="4">
        <v>94.13</v>
      </c>
      <c r="M2184" s="1">
        <v>0.59</v>
      </c>
      <c r="N2184" s="1">
        <v>0</v>
      </c>
      <c r="O2184" s="1">
        <v>0.86</v>
      </c>
      <c r="P2184" s="1">
        <v>756</v>
      </c>
      <c r="Q2184" s="1">
        <v>4.29</v>
      </c>
      <c r="R2184" s="1">
        <v>0.74</v>
      </c>
      <c r="S2184" s="2">
        <v>45593</v>
      </c>
      <c r="T2184" s="1">
        <v>274.58999999999997</v>
      </c>
      <c r="U2184" s="1">
        <v>0.71799999999999997</v>
      </c>
      <c r="V2184" s="6">
        <f t="shared" si="102"/>
        <v>42640.89</v>
      </c>
      <c r="W2184" s="6" t="str">
        <f t="shared" si="103"/>
        <v>Sufficient</v>
      </c>
      <c r="X2184" s="8" t="str">
        <f t="shared" si="104"/>
        <v>High</v>
      </c>
    </row>
    <row r="2185" spans="1:24">
      <c r="A2185" s="7" t="s">
        <v>2315</v>
      </c>
      <c r="B2185" s="1" t="s">
        <v>25</v>
      </c>
      <c r="C2185" s="1">
        <v>121</v>
      </c>
      <c r="D2185" s="1">
        <v>58</v>
      </c>
      <c r="E2185" s="1">
        <v>5</v>
      </c>
      <c r="F2185" s="1">
        <v>9</v>
      </c>
      <c r="G2185" s="1">
        <v>32.53</v>
      </c>
      <c r="H2185" s="1" t="s">
        <v>558</v>
      </c>
      <c r="I2185" s="1" t="s">
        <v>31</v>
      </c>
      <c r="J2185" s="1">
        <v>145</v>
      </c>
      <c r="K2185" s="1">
        <v>4.34</v>
      </c>
      <c r="L2185" s="4">
        <v>58.94</v>
      </c>
      <c r="M2185" s="1">
        <v>1.73</v>
      </c>
      <c r="N2185" s="1">
        <v>1</v>
      </c>
      <c r="O2185" s="1">
        <v>0.83</v>
      </c>
      <c r="P2185" s="1">
        <v>677</v>
      </c>
      <c r="Q2185" s="1">
        <v>5.0999999999999996</v>
      </c>
      <c r="R2185" s="1">
        <v>0.26</v>
      </c>
      <c r="S2185" s="2">
        <v>45355</v>
      </c>
      <c r="T2185" s="1">
        <v>225.12</v>
      </c>
      <c r="U2185" s="1">
        <v>0.49299999999999999</v>
      </c>
      <c r="V2185" s="6">
        <f t="shared" si="102"/>
        <v>7131.74</v>
      </c>
      <c r="W2185" s="6" t="str">
        <f t="shared" si="103"/>
        <v>Sufficient</v>
      </c>
      <c r="X2185" s="8" t="str">
        <f t="shared" si="104"/>
        <v>Medium</v>
      </c>
    </row>
    <row r="2186" spans="1:24">
      <c r="A2186" s="7" t="s">
        <v>2316</v>
      </c>
      <c r="B2186" s="1" t="s">
        <v>33</v>
      </c>
      <c r="C2186" s="1">
        <v>440</v>
      </c>
      <c r="D2186" s="1">
        <v>42</v>
      </c>
      <c r="E2186" s="1">
        <v>5</v>
      </c>
      <c r="F2186" s="1">
        <v>3</v>
      </c>
      <c r="G2186" s="1">
        <v>39.29</v>
      </c>
      <c r="H2186" s="1" t="s">
        <v>95</v>
      </c>
      <c r="I2186" s="1" t="s">
        <v>31</v>
      </c>
      <c r="J2186" s="1">
        <v>61</v>
      </c>
      <c r="K2186" s="1">
        <v>2.91</v>
      </c>
      <c r="L2186" s="4">
        <v>188.01</v>
      </c>
      <c r="M2186" s="1">
        <v>0.69</v>
      </c>
      <c r="N2186" s="1">
        <v>4</v>
      </c>
      <c r="O2186" s="1">
        <v>0.98</v>
      </c>
      <c r="P2186" s="1">
        <v>245</v>
      </c>
      <c r="Q2186" s="1">
        <v>8.68</v>
      </c>
      <c r="R2186" s="1">
        <v>0.6</v>
      </c>
      <c r="S2186" s="2">
        <v>45522</v>
      </c>
      <c r="T2186" s="1">
        <v>216.05</v>
      </c>
      <c r="U2186" s="1">
        <v>0.68300000000000005</v>
      </c>
      <c r="V2186" s="6">
        <f t="shared" si="102"/>
        <v>82724.399999999994</v>
      </c>
      <c r="W2186" s="6" t="str">
        <f t="shared" si="103"/>
        <v>Sufficient</v>
      </c>
      <c r="X2186" s="8" t="str">
        <f t="shared" si="104"/>
        <v>High</v>
      </c>
    </row>
    <row r="2187" spans="1:24">
      <c r="A2187" s="7" t="s">
        <v>2317</v>
      </c>
      <c r="B2187" s="1" t="s">
        <v>25</v>
      </c>
      <c r="C2187" s="1">
        <v>211</v>
      </c>
      <c r="D2187" s="1">
        <v>27</v>
      </c>
      <c r="E2187" s="1">
        <v>6</v>
      </c>
      <c r="F2187" s="1">
        <v>2</v>
      </c>
      <c r="G2187" s="1">
        <v>22.17</v>
      </c>
      <c r="H2187" s="1" t="s">
        <v>135</v>
      </c>
      <c r="I2187" s="1" t="s">
        <v>27</v>
      </c>
      <c r="J2187" s="1">
        <v>64</v>
      </c>
      <c r="K2187" s="1">
        <v>2.37</v>
      </c>
      <c r="L2187" s="4">
        <v>12.48</v>
      </c>
      <c r="M2187" s="1">
        <v>0.92</v>
      </c>
      <c r="N2187" s="1">
        <v>2</v>
      </c>
      <c r="O2187" s="1">
        <v>0.7</v>
      </c>
      <c r="P2187" s="1">
        <v>616</v>
      </c>
      <c r="Q2187" s="1">
        <v>5.85</v>
      </c>
      <c r="R2187" s="1">
        <v>0.82</v>
      </c>
      <c r="S2187" s="2">
        <v>45526</v>
      </c>
      <c r="T2187" s="1">
        <v>148.57</v>
      </c>
      <c r="U2187" s="1">
        <v>0.65</v>
      </c>
      <c r="V2187" s="6">
        <f t="shared" si="102"/>
        <v>2633.28</v>
      </c>
      <c r="W2187" s="6" t="str">
        <f t="shared" si="103"/>
        <v>Sufficient</v>
      </c>
      <c r="X2187" s="8" t="str">
        <f t="shared" si="104"/>
        <v>Medium</v>
      </c>
    </row>
    <row r="2188" spans="1:24">
      <c r="A2188" s="7" t="s">
        <v>2318</v>
      </c>
      <c r="B2188" s="1" t="s">
        <v>66</v>
      </c>
      <c r="C2188" s="1">
        <v>329</v>
      </c>
      <c r="D2188" s="1">
        <v>18</v>
      </c>
      <c r="E2188" s="1">
        <v>9</v>
      </c>
      <c r="F2188" s="1">
        <v>4</v>
      </c>
      <c r="G2188" s="1">
        <v>30.14</v>
      </c>
      <c r="H2188" s="1" t="s">
        <v>327</v>
      </c>
      <c r="I2188" s="1" t="s">
        <v>27</v>
      </c>
      <c r="J2188" s="1">
        <v>46</v>
      </c>
      <c r="K2188" s="1">
        <v>2.02</v>
      </c>
      <c r="L2188" s="4">
        <v>84.33</v>
      </c>
      <c r="M2188" s="1">
        <v>0.51</v>
      </c>
      <c r="N2188" s="1">
        <v>6</v>
      </c>
      <c r="O2188" s="1">
        <v>1</v>
      </c>
      <c r="P2188" s="1">
        <v>736</v>
      </c>
      <c r="Q2188" s="1">
        <v>8.9600000000000009</v>
      </c>
      <c r="R2188" s="1">
        <v>0.34</v>
      </c>
      <c r="S2188" s="2">
        <v>45629</v>
      </c>
      <c r="T2188" s="1">
        <v>258.64999999999998</v>
      </c>
      <c r="U2188" s="1">
        <v>0.61599999999999999</v>
      </c>
      <c r="V2188" s="6">
        <f t="shared" si="102"/>
        <v>27744.57</v>
      </c>
      <c r="W2188" s="6" t="str">
        <f t="shared" si="103"/>
        <v>Sufficient</v>
      </c>
      <c r="X2188" s="8" t="str">
        <f t="shared" si="104"/>
        <v>High</v>
      </c>
    </row>
    <row r="2189" spans="1:24">
      <c r="A2189" s="7" t="s">
        <v>2319</v>
      </c>
      <c r="B2189" s="1" t="s">
        <v>25</v>
      </c>
      <c r="C2189" s="1">
        <v>219</v>
      </c>
      <c r="D2189" s="1">
        <v>71</v>
      </c>
      <c r="E2189" s="1">
        <v>11</v>
      </c>
      <c r="F2189" s="1">
        <v>3</v>
      </c>
      <c r="G2189" s="1">
        <v>18.09</v>
      </c>
      <c r="H2189" s="1" t="s">
        <v>276</v>
      </c>
      <c r="I2189" s="1" t="s">
        <v>27</v>
      </c>
      <c r="J2189" s="1">
        <v>141</v>
      </c>
      <c r="K2189" s="1">
        <v>0.95</v>
      </c>
      <c r="L2189" s="4">
        <v>158.59</v>
      </c>
      <c r="M2189" s="1">
        <v>1.74</v>
      </c>
      <c r="N2189" s="1">
        <v>1</v>
      </c>
      <c r="O2189" s="1">
        <v>0.84</v>
      </c>
      <c r="P2189" s="1">
        <v>492</v>
      </c>
      <c r="Q2189" s="1">
        <v>3.8</v>
      </c>
      <c r="R2189" s="1">
        <v>0.52</v>
      </c>
      <c r="S2189" s="2">
        <v>45593</v>
      </c>
      <c r="T2189" s="1">
        <v>157.94</v>
      </c>
      <c r="U2189" s="1">
        <v>0.52900000000000003</v>
      </c>
      <c r="V2189" s="6">
        <f t="shared" si="102"/>
        <v>34731.21</v>
      </c>
      <c r="W2189" s="6" t="str">
        <f t="shared" si="103"/>
        <v>Sufficient</v>
      </c>
      <c r="X2189" s="8" t="str">
        <f t="shared" si="104"/>
        <v>Medium</v>
      </c>
    </row>
    <row r="2190" spans="1:24">
      <c r="A2190" s="7" t="s">
        <v>2320</v>
      </c>
      <c r="B2190" s="1" t="s">
        <v>25</v>
      </c>
      <c r="C2190" s="1">
        <v>252</v>
      </c>
      <c r="D2190" s="1">
        <v>66</v>
      </c>
      <c r="E2190" s="1">
        <v>4</v>
      </c>
      <c r="F2190" s="1">
        <v>2</v>
      </c>
      <c r="G2190" s="1">
        <v>17.010000000000002</v>
      </c>
      <c r="H2190" s="1" t="s">
        <v>68</v>
      </c>
      <c r="I2190" s="1" t="s">
        <v>27</v>
      </c>
      <c r="J2190" s="1">
        <v>64</v>
      </c>
      <c r="K2190" s="1">
        <v>4.8099999999999996</v>
      </c>
      <c r="L2190" s="4">
        <v>45.81</v>
      </c>
      <c r="M2190" s="1">
        <v>0.47</v>
      </c>
      <c r="N2190" s="1">
        <v>1</v>
      </c>
      <c r="O2190" s="1">
        <v>0.89</v>
      </c>
      <c r="P2190" s="1">
        <v>508</v>
      </c>
      <c r="Q2190" s="1">
        <v>5.31</v>
      </c>
      <c r="R2190" s="1">
        <v>0.48</v>
      </c>
      <c r="S2190" s="2">
        <v>45550</v>
      </c>
      <c r="T2190" s="1">
        <v>18.600000000000001</v>
      </c>
      <c r="U2190" s="1">
        <v>0.67800000000000005</v>
      </c>
      <c r="V2190" s="6">
        <f t="shared" si="102"/>
        <v>11544.12</v>
      </c>
      <c r="W2190" s="6" t="str">
        <f t="shared" si="103"/>
        <v>Sufficient</v>
      </c>
      <c r="X2190" s="8" t="str">
        <f t="shared" si="104"/>
        <v>High</v>
      </c>
    </row>
    <row r="2191" spans="1:24">
      <c r="A2191" s="7" t="s">
        <v>2321</v>
      </c>
      <c r="B2191" s="1" t="s">
        <v>66</v>
      </c>
      <c r="C2191" s="1">
        <v>452</v>
      </c>
      <c r="D2191" s="1">
        <v>38</v>
      </c>
      <c r="E2191" s="1">
        <v>6</v>
      </c>
      <c r="F2191" s="1">
        <v>6</v>
      </c>
      <c r="G2191" s="1">
        <v>38.08</v>
      </c>
      <c r="H2191" s="1" t="s">
        <v>106</v>
      </c>
      <c r="I2191" s="1" t="s">
        <v>39</v>
      </c>
      <c r="J2191" s="1">
        <v>21</v>
      </c>
      <c r="K2191" s="1">
        <v>3.84</v>
      </c>
      <c r="L2191" s="4">
        <v>164.96</v>
      </c>
      <c r="M2191" s="1">
        <v>1.73</v>
      </c>
      <c r="N2191" s="1">
        <v>2</v>
      </c>
      <c r="O2191" s="1">
        <v>0.81</v>
      </c>
      <c r="P2191" s="1">
        <v>508</v>
      </c>
      <c r="Q2191" s="1">
        <v>5.55</v>
      </c>
      <c r="R2191" s="1">
        <v>0.47</v>
      </c>
      <c r="S2191" s="2">
        <v>45360</v>
      </c>
      <c r="T2191" s="1">
        <v>179.62</v>
      </c>
      <c r="U2191" s="1">
        <v>0.51700000000000002</v>
      </c>
      <c r="V2191" s="6">
        <f t="shared" si="102"/>
        <v>74561.919999999998</v>
      </c>
      <c r="W2191" s="6" t="str">
        <f t="shared" si="103"/>
        <v>Sufficient</v>
      </c>
      <c r="X2191" s="8" t="str">
        <f t="shared" si="104"/>
        <v>High</v>
      </c>
    </row>
    <row r="2192" spans="1:24">
      <c r="A2192" s="7" t="s">
        <v>2322</v>
      </c>
      <c r="B2192" s="1" t="s">
        <v>29</v>
      </c>
      <c r="C2192" s="1">
        <v>246</v>
      </c>
      <c r="D2192" s="1">
        <v>87</v>
      </c>
      <c r="E2192" s="1">
        <v>11</v>
      </c>
      <c r="F2192" s="1">
        <v>4</v>
      </c>
      <c r="G2192" s="1">
        <v>23.24</v>
      </c>
      <c r="H2192" s="1" t="s">
        <v>137</v>
      </c>
      <c r="I2192" s="1" t="s">
        <v>39</v>
      </c>
      <c r="J2192" s="1">
        <v>156</v>
      </c>
      <c r="K2192" s="1">
        <v>1.0900000000000001</v>
      </c>
      <c r="L2192" s="4">
        <v>173.35</v>
      </c>
      <c r="M2192" s="1">
        <v>0.97</v>
      </c>
      <c r="N2192" s="1">
        <v>0</v>
      </c>
      <c r="O2192" s="1">
        <v>0.96</v>
      </c>
      <c r="P2192" s="1">
        <v>533</v>
      </c>
      <c r="Q2192" s="1">
        <v>14.89</v>
      </c>
      <c r="R2192" s="1">
        <v>0.72</v>
      </c>
      <c r="S2192" s="2">
        <v>45547</v>
      </c>
      <c r="T2192" s="1">
        <v>123.23</v>
      </c>
      <c r="U2192" s="1">
        <v>0.83799999999999997</v>
      </c>
      <c r="V2192" s="6">
        <f t="shared" si="102"/>
        <v>42644.1</v>
      </c>
      <c r="W2192" s="6" t="str">
        <f t="shared" si="103"/>
        <v>Sufficient</v>
      </c>
      <c r="X2192" s="8" t="str">
        <f t="shared" si="104"/>
        <v>Medium</v>
      </c>
    </row>
    <row r="2193" spans="1:24">
      <c r="A2193" s="7" t="s">
        <v>2323</v>
      </c>
      <c r="B2193" s="1" t="s">
        <v>25</v>
      </c>
      <c r="C2193" s="1">
        <v>390</v>
      </c>
      <c r="D2193" s="1">
        <v>34</v>
      </c>
      <c r="E2193" s="1">
        <v>4</v>
      </c>
      <c r="F2193" s="1">
        <v>9</v>
      </c>
      <c r="G2193" s="1">
        <v>11.4</v>
      </c>
      <c r="H2193" s="1" t="s">
        <v>126</v>
      </c>
      <c r="I2193" s="1" t="s">
        <v>27</v>
      </c>
      <c r="J2193" s="1">
        <v>46</v>
      </c>
      <c r="K2193" s="1">
        <v>2.8</v>
      </c>
      <c r="L2193" s="4">
        <v>144.52000000000001</v>
      </c>
      <c r="M2193" s="1">
        <v>1.69</v>
      </c>
      <c r="N2193" s="1">
        <v>1</v>
      </c>
      <c r="O2193" s="1">
        <v>0.87</v>
      </c>
      <c r="P2193" s="1">
        <v>193</v>
      </c>
      <c r="Q2193" s="1">
        <v>12.96</v>
      </c>
      <c r="R2193" s="1">
        <v>0.6</v>
      </c>
      <c r="S2193" s="2">
        <v>45294</v>
      </c>
      <c r="T2193" s="1">
        <v>161.18</v>
      </c>
      <c r="U2193" s="1">
        <v>0.67800000000000005</v>
      </c>
      <c r="V2193" s="6">
        <f t="shared" si="102"/>
        <v>56362.8</v>
      </c>
      <c r="W2193" s="6" t="str">
        <f t="shared" si="103"/>
        <v>Sufficient</v>
      </c>
      <c r="X2193" s="8" t="str">
        <f t="shared" si="104"/>
        <v>High</v>
      </c>
    </row>
    <row r="2194" spans="1:24">
      <c r="A2194" s="7" t="s">
        <v>2324</v>
      </c>
      <c r="B2194" s="1" t="s">
        <v>25</v>
      </c>
      <c r="C2194" s="1">
        <v>158</v>
      </c>
      <c r="D2194" s="1">
        <v>24</v>
      </c>
      <c r="E2194" s="1">
        <v>12</v>
      </c>
      <c r="F2194" s="1">
        <v>4</v>
      </c>
      <c r="G2194" s="1">
        <v>10.89</v>
      </c>
      <c r="H2194" s="1" t="s">
        <v>74</v>
      </c>
      <c r="I2194" s="1" t="s">
        <v>27</v>
      </c>
      <c r="J2194" s="1">
        <v>16</v>
      </c>
      <c r="K2194" s="1">
        <v>3</v>
      </c>
      <c r="L2194" s="4">
        <v>49.72</v>
      </c>
      <c r="M2194" s="1">
        <v>0.6</v>
      </c>
      <c r="N2194" s="1">
        <v>4</v>
      </c>
      <c r="O2194" s="1">
        <v>0.9</v>
      </c>
      <c r="P2194" s="1">
        <v>363</v>
      </c>
      <c r="Q2194" s="1">
        <v>12.73</v>
      </c>
      <c r="R2194" s="1">
        <v>0.84</v>
      </c>
      <c r="S2194" s="2">
        <v>45563</v>
      </c>
      <c r="T2194" s="1">
        <v>137.80000000000001</v>
      </c>
      <c r="U2194" s="1">
        <v>0.77800000000000002</v>
      </c>
      <c r="V2194" s="6">
        <f t="shared" si="102"/>
        <v>7855.76</v>
      </c>
      <c r="W2194" s="6" t="str">
        <f t="shared" si="103"/>
        <v>Sufficient</v>
      </c>
      <c r="X2194" s="8" t="str">
        <f t="shared" si="104"/>
        <v>Medium</v>
      </c>
    </row>
    <row r="2195" spans="1:24">
      <c r="A2195" s="7" t="s">
        <v>2325</v>
      </c>
      <c r="B2195" s="1" t="s">
        <v>29</v>
      </c>
      <c r="C2195" s="1">
        <v>363</v>
      </c>
      <c r="D2195" s="1">
        <v>15</v>
      </c>
      <c r="E2195" s="1">
        <v>13</v>
      </c>
      <c r="F2195" s="1">
        <v>8</v>
      </c>
      <c r="G2195" s="1">
        <v>43.1</v>
      </c>
      <c r="H2195" s="1" t="s">
        <v>274</v>
      </c>
      <c r="I2195" s="1" t="s">
        <v>31</v>
      </c>
      <c r="J2195" s="1">
        <v>64</v>
      </c>
      <c r="K2195" s="1">
        <v>1.26</v>
      </c>
      <c r="L2195" s="4">
        <v>61.69</v>
      </c>
      <c r="M2195" s="1">
        <v>0.35</v>
      </c>
      <c r="N2195" s="1">
        <v>2</v>
      </c>
      <c r="O2195" s="1">
        <v>0.89</v>
      </c>
      <c r="P2195" s="1">
        <v>924</v>
      </c>
      <c r="Q2195" s="1">
        <v>8.19</v>
      </c>
      <c r="R2195" s="1">
        <v>0.25</v>
      </c>
      <c r="S2195" s="2">
        <v>45316</v>
      </c>
      <c r="T2195" s="1">
        <v>154.07</v>
      </c>
      <c r="U2195" s="1">
        <v>0.66200000000000003</v>
      </c>
      <c r="V2195" s="6">
        <f t="shared" si="102"/>
        <v>22393.469999999998</v>
      </c>
      <c r="W2195" s="6" t="str">
        <f t="shared" si="103"/>
        <v>Sufficient</v>
      </c>
      <c r="X2195" s="8" t="str">
        <f t="shared" si="104"/>
        <v>High</v>
      </c>
    </row>
    <row r="2196" spans="1:24">
      <c r="A2196" s="7" t="s">
        <v>2326</v>
      </c>
      <c r="B2196" s="1" t="s">
        <v>25</v>
      </c>
      <c r="C2196" s="1">
        <v>324</v>
      </c>
      <c r="D2196" s="1">
        <v>51</v>
      </c>
      <c r="E2196" s="1">
        <v>3</v>
      </c>
      <c r="F2196" s="1">
        <v>8</v>
      </c>
      <c r="G2196" s="1">
        <v>34.21</v>
      </c>
      <c r="H2196" s="1" t="s">
        <v>61</v>
      </c>
      <c r="I2196" s="1" t="s">
        <v>31</v>
      </c>
      <c r="J2196" s="1">
        <v>37</v>
      </c>
      <c r="K2196" s="1">
        <v>2.42</v>
      </c>
      <c r="L2196" s="4">
        <v>41.72</v>
      </c>
      <c r="M2196" s="1">
        <v>1.1499999999999999</v>
      </c>
      <c r="N2196" s="1">
        <v>9</v>
      </c>
      <c r="O2196" s="1">
        <v>0.81</v>
      </c>
      <c r="P2196" s="1">
        <v>778</v>
      </c>
      <c r="Q2196" s="1">
        <v>7.54</v>
      </c>
      <c r="R2196" s="1">
        <v>0.56000000000000005</v>
      </c>
      <c r="S2196" s="2">
        <v>45575</v>
      </c>
      <c r="T2196" s="1">
        <v>41.49</v>
      </c>
      <c r="U2196" s="1">
        <v>0.48</v>
      </c>
      <c r="V2196" s="6">
        <f t="shared" si="102"/>
        <v>13517.279999999999</v>
      </c>
      <c r="W2196" s="6" t="str">
        <f t="shared" si="103"/>
        <v>Sufficient</v>
      </c>
      <c r="X2196" s="8" t="str">
        <f t="shared" si="104"/>
        <v>High</v>
      </c>
    </row>
    <row r="2197" spans="1:24">
      <c r="A2197" s="7" t="s">
        <v>2327</v>
      </c>
      <c r="B2197" s="1" t="s">
        <v>25</v>
      </c>
      <c r="C2197" s="1">
        <v>168</v>
      </c>
      <c r="D2197" s="1">
        <v>38</v>
      </c>
      <c r="E2197" s="1">
        <v>12</v>
      </c>
      <c r="F2197" s="1">
        <v>3</v>
      </c>
      <c r="G2197" s="1">
        <v>27.76</v>
      </c>
      <c r="H2197" s="1" t="s">
        <v>30</v>
      </c>
      <c r="I2197" s="1" t="s">
        <v>27</v>
      </c>
      <c r="J2197" s="1">
        <v>46</v>
      </c>
      <c r="K2197" s="1">
        <v>3.41</v>
      </c>
      <c r="L2197" s="4">
        <v>44.97</v>
      </c>
      <c r="M2197" s="1">
        <v>1.07</v>
      </c>
      <c r="N2197" s="1">
        <v>5</v>
      </c>
      <c r="O2197" s="1">
        <v>0.72</v>
      </c>
      <c r="P2197" s="1">
        <v>306</v>
      </c>
      <c r="Q2197" s="1">
        <v>1.98</v>
      </c>
      <c r="R2197" s="1">
        <v>0.21</v>
      </c>
      <c r="S2197" s="2">
        <v>45513</v>
      </c>
      <c r="T2197" s="1">
        <v>14.21</v>
      </c>
      <c r="U2197" s="1">
        <v>0.40500000000000003</v>
      </c>
      <c r="V2197" s="6">
        <f t="shared" si="102"/>
        <v>7554.96</v>
      </c>
      <c r="W2197" s="6" t="str">
        <f t="shared" si="103"/>
        <v>Sufficient</v>
      </c>
      <c r="X2197" s="8" t="str">
        <f t="shared" si="104"/>
        <v>Medium</v>
      </c>
    </row>
    <row r="2198" spans="1:24">
      <c r="A2198" s="7" t="s">
        <v>2328</v>
      </c>
      <c r="B2198" s="1" t="s">
        <v>25</v>
      </c>
      <c r="C2198" s="1">
        <v>134</v>
      </c>
      <c r="D2198" s="1">
        <v>88</v>
      </c>
      <c r="E2198" s="1">
        <v>10</v>
      </c>
      <c r="F2198" s="1">
        <v>9</v>
      </c>
      <c r="G2198" s="1">
        <v>20.65</v>
      </c>
      <c r="H2198" s="1" t="s">
        <v>208</v>
      </c>
      <c r="I2198" s="1" t="s">
        <v>27</v>
      </c>
      <c r="J2198" s="1">
        <v>84</v>
      </c>
      <c r="K2198" s="1">
        <v>1.78</v>
      </c>
      <c r="L2198" s="4">
        <v>16.93</v>
      </c>
      <c r="M2198" s="1">
        <v>0.78</v>
      </c>
      <c r="N2198" s="1">
        <v>1</v>
      </c>
      <c r="O2198" s="1">
        <v>0.94</v>
      </c>
      <c r="P2198" s="1">
        <v>688</v>
      </c>
      <c r="Q2198" s="1">
        <v>3.76</v>
      </c>
      <c r="R2198" s="1">
        <v>0.38</v>
      </c>
      <c r="S2198" s="2">
        <v>45591</v>
      </c>
      <c r="T2198" s="1">
        <v>108.65</v>
      </c>
      <c r="U2198" s="1">
        <v>0.61599999999999999</v>
      </c>
      <c r="V2198" s="6">
        <f t="shared" si="102"/>
        <v>2268.62</v>
      </c>
      <c r="W2198" s="6" t="str">
        <f t="shared" si="103"/>
        <v>Sufficient</v>
      </c>
      <c r="X2198" s="8" t="str">
        <f t="shared" si="104"/>
        <v>Medium</v>
      </c>
    </row>
    <row r="2199" spans="1:24">
      <c r="A2199" s="7" t="s">
        <v>2329</v>
      </c>
      <c r="B2199" s="1" t="s">
        <v>41</v>
      </c>
      <c r="C2199" s="1">
        <v>469</v>
      </c>
      <c r="D2199" s="1">
        <v>13</v>
      </c>
      <c r="E2199" s="1">
        <v>11</v>
      </c>
      <c r="F2199" s="1">
        <v>7</v>
      </c>
      <c r="G2199" s="1">
        <v>22.11</v>
      </c>
      <c r="H2199" s="1" t="s">
        <v>470</v>
      </c>
      <c r="I2199" s="1" t="s">
        <v>27</v>
      </c>
      <c r="J2199" s="1">
        <v>123</v>
      </c>
      <c r="K2199" s="1">
        <v>1.99</v>
      </c>
      <c r="L2199" s="4">
        <v>172.89</v>
      </c>
      <c r="M2199" s="1">
        <v>1.36</v>
      </c>
      <c r="N2199" s="1">
        <v>7</v>
      </c>
      <c r="O2199" s="1">
        <v>0.79</v>
      </c>
      <c r="P2199" s="1">
        <v>523</v>
      </c>
      <c r="Q2199" s="1">
        <v>13.53</v>
      </c>
      <c r="R2199" s="1">
        <v>0.82</v>
      </c>
      <c r="S2199" s="2">
        <v>45539</v>
      </c>
      <c r="T2199" s="1">
        <v>83.82</v>
      </c>
      <c r="U2199" s="1">
        <v>0.626</v>
      </c>
      <c r="V2199" s="6">
        <f t="shared" si="102"/>
        <v>81085.409999999989</v>
      </c>
      <c r="W2199" s="6" t="str">
        <f t="shared" si="103"/>
        <v>Sufficient</v>
      </c>
      <c r="X2199" s="8" t="str">
        <f t="shared" si="104"/>
        <v>High</v>
      </c>
    </row>
    <row r="2200" spans="1:24">
      <c r="A2200" s="7" t="s">
        <v>2330</v>
      </c>
      <c r="B2200" s="1" t="s">
        <v>29</v>
      </c>
      <c r="C2200" s="1">
        <v>82</v>
      </c>
      <c r="D2200" s="1">
        <v>91</v>
      </c>
      <c r="E2200" s="1">
        <v>9</v>
      </c>
      <c r="F2200" s="1">
        <v>8</v>
      </c>
      <c r="G2200" s="1">
        <v>3.81</v>
      </c>
      <c r="H2200" s="1" t="s">
        <v>333</v>
      </c>
      <c r="I2200" s="1" t="s">
        <v>31</v>
      </c>
      <c r="J2200" s="1">
        <v>176</v>
      </c>
      <c r="K2200" s="1">
        <v>1.05</v>
      </c>
      <c r="L2200" s="4">
        <v>110.42</v>
      </c>
      <c r="M2200" s="1">
        <v>0.28000000000000003</v>
      </c>
      <c r="N2200" s="1">
        <v>3</v>
      </c>
      <c r="O2200" s="1">
        <v>0.95</v>
      </c>
      <c r="P2200" s="1">
        <v>734</v>
      </c>
      <c r="Q2200" s="1">
        <v>8.36</v>
      </c>
      <c r="R2200" s="1">
        <v>0.28000000000000003</v>
      </c>
      <c r="S2200" s="2">
        <v>45552</v>
      </c>
      <c r="T2200" s="1">
        <v>82.52</v>
      </c>
      <c r="U2200" s="1">
        <v>0.66900000000000004</v>
      </c>
      <c r="V2200" s="6">
        <f t="shared" si="102"/>
        <v>9054.44</v>
      </c>
      <c r="W2200" s="6" t="str">
        <f t="shared" si="103"/>
        <v>Reorder Required</v>
      </c>
      <c r="X2200" s="8" t="str">
        <f t="shared" si="104"/>
        <v>LOW</v>
      </c>
    </row>
    <row r="2201" spans="1:24">
      <c r="A2201" s="7" t="s">
        <v>2331</v>
      </c>
      <c r="B2201" s="1" t="s">
        <v>25</v>
      </c>
      <c r="C2201" s="1">
        <v>123</v>
      </c>
      <c r="D2201" s="1">
        <v>66</v>
      </c>
      <c r="E2201" s="1">
        <v>10</v>
      </c>
      <c r="F2201" s="1">
        <v>5</v>
      </c>
      <c r="G2201" s="1">
        <v>23.29</v>
      </c>
      <c r="H2201" s="1" t="s">
        <v>309</v>
      </c>
      <c r="I2201" s="1" t="s">
        <v>27</v>
      </c>
      <c r="J2201" s="1">
        <v>115</v>
      </c>
      <c r="K2201" s="1">
        <v>2.36</v>
      </c>
      <c r="L2201" s="4">
        <v>72.27</v>
      </c>
      <c r="M2201" s="1">
        <v>1.28</v>
      </c>
      <c r="N2201" s="1">
        <v>2</v>
      </c>
      <c r="O2201" s="1">
        <v>0.88</v>
      </c>
      <c r="P2201" s="1">
        <v>655</v>
      </c>
      <c r="Q2201" s="1">
        <v>14.82</v>
      </c>
      <c r="R2201" s="1">
        <v>0.28000000000000003</v>
      </c>
      <c r="S2201" s="2">
        <v>45382</v>
      </c>
      <c r="T2201" s="1">
        <v>281.76</v>
      </c>
      <c r="U2201" s="1">
        <v>0.66200000000000003</v>
      </c>
      <c r="V2201" s="6">
        <f t="shared" si="102"/>
        <v>8889.2099999999991</v>
      </c>
      <c r="W2201" s="6" t="str">
        <f t="shared" si="103"/>
        <v>Sufficient</v>
      </c>
      <c r="X2201" s="8" t="str">
        <f t="shared" si="104"/>
        <v>Medium</v>
      </c>
    </row>
    <row r="2202" spans="1:24">
      <c r="A2202" s="7" t="s">
        <v>2332</v>
      </c>
      <c r="B2202" s="1" t="s">
        <v>29</v>
      </c>
      <c r="C2202" s="1">
        <v>358</v>
      </c>
      <c r="D2202" s="1">
        <v>58</v>
      </c>
      <c r="E2202" s="1">
        <v>6</v>
      </c>
      <c r="F2202" s="1">
        <v>6</v>
      </c>
      <c r="G2202" s="1">
        <v>39.979999999999997</v>
      </c>
      <c r="H2202" s="1" t="s">
        <v>132</v>
      </c>
      <c r="I2202" s="1" t="s">
        <v>27</v>
      </c>
      <c r="J2202" s="1">
        <v>160</v>
      </c>
      <c r="K2202" s="1">
        <v>3.13</v>
      </c>
      <c r="L2202" s="4">
        <v>65.02</v>
      </c>
      <c r="M2202" s="1">
        <v>0.5</v>
      </c>
      <c r="N2202" s="1">
        <v>4</v>
      </c>
      <c r="O2202" s="1">
        <v>0.81</v>
      </c>
      <c r="P2202" s="1">
        <v>548</v>
      </c>
      <c r="Q2202" s="1">
        <v>9.2899999999999991</v>
      </c>
      <c r="R2202" s="1">
        <v>0.52</v>
      </c>
      <c r="S2202" s="2">
        <v>45646</v>
      </c>
      <c r="T2202" s="1">
        <v>247.51</v>
      </c>
      <c r="U2202" s="1">
        <v>0.66</v>
      </c>
      <c r="V2202" s="6">
        <f t="shared" si="102"/>
        <v>23277.16</v>
      </c>
      <c r="W2202" s="6" t="str">
        <f t="shared" si="103"/>
        <v>Sufficient</v>
      </c>
      <c r="X2202" s="8" t="str">
        <f t="shared" si="104"/>
        <v>High</v>
      </c>
    </row>
    <row r="2203" spans="1:24">
      <c r="A2203" s="7" t="s">
        <v>2333</v>
      </c>
      <c r="B2203" s="1" t="s">
        <v>33</v>
      </c>
      <c r="C2203" s="1">
        <v>378</v>
      </c>
      <c r="D2203" s="1">
        <v>53</v>
      </c>
      <c r="E2203" s="1">
        <v>6</v>
      </c>
      <c r="F2203" s="1">
        <v>5</v>
      </c>
      <c r="G2203" s="1">
        <v>20.010000000000002</v>
      </c>
      <c r="H2203" s="1" t="s">
        <v>258</v>
      </c>
      <c r="I2203" s="1" t="s">
        <v>39</v>
      </c>
      <c r="J2203" s="1">
        <v>119</v>
      </c>
      <c r="K2203" s="1">
        <v>1.02</v>
      </c>
      <c r="L2203" s="4">
        <v>113.49</v>
      </c>
      <c r="M2203" s="1">
        <v>0.35</v>
      </c>
      <c r="N2203" s="1">
        <v>7</v>
      </c>
      <c r="O2203" s="1">
        <v>0.88</v>
      </c>
      <c r="P2203" s="1">
        <v>951</v>
      </c>
      <c r="Q2203" s="1">
        <v>6.28</v>
      </c>
      <c r="R2203" s="1">
        <v>0.82</v>
      </c>
      <c r="S2203" s="2">
        <v>45588</v>
      </c>
      <c r="T2203" s="1">
        <v>13.88</v>
      </c>
      <c r="U2203" s="1">
        <v>0.64900000000000002</v>
      </c>
      <c r="V2203" s="6">
        <f t="shared" si="102"/>
        <v>42899.22</v>
      </c>
      <c r="W2203" s="6" t="str">
        <f t="shared" si="103"/>
        <v>Sufficient</v>
      </c>
      <c r="X2203" s="8" t="str">
        <f t="shared" si="104"/>
        <v>High</v>
      </c>
    </row>
    <row r="2204" spans="1:24">
      <c r="A2204" s="7" t="s">
        <v>2334</v>
      </c>
      <c r="B2204" s="1" t="s">
        <v>33</v>
      </c>
      <c r="C2204" s="1">
        <v>175</v>
      </c>
      <c r="D2204" s="1">
        <v>89</v>
      </c>
      <c r="E2204" s="1">
        <v>4</v>
      </c>
      <c r="F2204" s="1">
        <v>4</v>
      </c>
      <c r="G2204" s="1">
        <v>19.8</v>
      </c>
      <c r="H2204" s="1" t="s">
        <v>333</v>
      </c>
      <c r="I2204" s="1" t="s">
        <v>39</v>
      </c>
      <c r="J2204" s="1">
        <v>93</v>
      </c>
      <c r="K2204" s="1">
        <v>3.27</v>
      </c>
      <c r="L2204" s="4">
        <v>72.069999999999993</v>
      </c>
      <c r="M2204" s="1">
        <v>1.83</v>
      </c>
      <c r="N2204" s="1">
        <v>8</v>
      </c>
      <c r="O2204" s="1">
        <v>0.89</v>
      </c>
      <c r="P2204" s="1">
        <v>268</v>
      </c>
      <c r="Q2204" s="1">
        <v>4.84</v>
      </c>
      <c r="R2204" s="1">
        <v>0.71</v>
      </c>
      <c r="S2204" s="2">
        <v>45380</v>
      </c>
      <c r="T2204" s="1">
        <v>12.53</v>
      </c>
      <c r="U2204" s="1">
        <v>0.442</v>
      </c>
      <c r="V2204" s="6">
        <f t="shared" si="102"/>
        <v>12612.249999999998</v>
      </c>
      <c r="W2204" s="6" t="str">
        <f t="shared" si="103"/>
        <v>Sufficient</v>
      </c>
      <c r="X2204" s="8" t="str">
        <f t="shared" si="104"/>
        <v>Medium</v>
      </c>
    </row>
    <row r="2205" spans="1:24">
      <c r="A2205" s="7" t="s">
        <v>2335</v>
      </c>
      <c r="B2205" s="1" t="s">
        <v>25</v>
      </c>
      <c r="C2205" s="1">
        <v>292</v>
      </c>
      <c r="D2205" s="1">
        <v>84</v>
      </c>
      <c r="E2205" s="1">
        <v>10</v>
      </c>
      <c r="F2205" s="1">
        <v>5</v>
      </c>
      <c r="G2205" s="1">
        <v>1.77</v>
      </c>
      <c r="H2205" s="1" t="s">
        <v>88</v>
      </c>
      <c r="I2205" s="1" t="s">
        <v>31</v>
      </c>
      <c r="J2205" s="1">
        <v>20</v>
      </c>
      <c r="K2205" s="1">
        <v>2.29</v>
      </c>
      <c r="L2205" s="4">
        <v>174.11</v>
      </c>
      <c r="M2205" s="1">
        <v>0.97</v>
      </c>
      <c r="N2205" s="1">
        <v>0</v>
      </c>
      <c r="O2205" s="1">
        <v>0.91</v>
      </c>
      <c r="P2205" s="1">
        <v>613</v>
      </c>
      <c r="Q2205" s="1">
        <v>13.86</v>
      </c>
      <c r="R2205" s="1">
        <v>0.83</v>
      </c>
      <c r="S2205" s="2">
        <v>45357</v>
      </c>
      <c r="T2205" s="1">
        <v>235.3</v>
      </c>
      <c r="U2205" s="1">
        <v>0.83599999999999997</v>
      </c>
      <c r="V2205" s="6">
        <f t="shared" si="102"/>
        <v>50840.12</v>
      </c>
      <c r="W2205" s="6" t="str">
        <f t="shared" si="103"/>
        <v>Sufficient</v>
      </c>
      <c r="X2205" s="8" t="str">
        <f t="shared" si="104"/>
        <v>High</v>
      </c>
    </row>
    <row r="2206" spans="1:24">
      <c r="A2206" s="7" t="s">
        <v>2336</v>
      </c>
      <c r="B2206" s="1" t="s">
        <v>29</v>
      </c>
      <c r="C2206" s="1">
        <v>25</v>
      </c>
      <c r="D2206" s="1">
        <v>23</v>
      </c>
      <c r="E2206" s="1">
        <v>13</v>
      </c>
      <c r="F2206" s="1">
        <v>2</v>
      </c>
      <c r="G2206" s="1">
        <v>23.43</v>
      </c>
      <c r="H2206" s="1" t="s">
        <v>26</v>
      </c>
      <c r="I2206" s="1" t="s">
        <v>39</v>
      </c>
      <c r="J2206" s="1">
        <v>75</v>
      </c>
      <c r="K2206" s="1">
        <v>3.55</v>
      </c>
      <c r="L2206" s="4">
        <v>50.08</v>
      </c>
      <c r="M2206" s="1">
        <v>1.55</v>
      </c>
      <c r="N2206" s="1">
        <v>3</v>
      </c>
      <c r="O2206" s="1">
        <v>0.95</v>
      </c>
      <c r="P2206" s="1">
        <v>580</v>
      </c>
      <c r="Q2206" s="1">
        <v>6.19</v>
      </c>
      <c r="R2206" s="1">
        <v>0.24</v>
      </c>
      <c r="S2206" s="2">
        <v>45345</v>
      </c>
      <c r="T2206" s="1">
        <v>295.61</v>
      </c>
      <c r="U2206" s="1">
        <v>0.50600000000000001</v>
      </c>
      <c r="V2206" s="6">
        <f t="shared" si="102"/>
        <v>1252</v>
      </c>
      <c r="W2206" s="6" t="str">
        <f t="shared" si="103"/>
        <v>Sufficient</v>
      </c>
      <c r="X2206" s="8" t="str">
        <f t="shared" si="104"/>
        <v>LOW</v>
      </c>
    </row>
    <row r="2207" spans="1:24">
      <c r="A2207" s="7" t="s">
        <v>2337</v>
      </c>
      <c r="B2207" s="1" t="s">
        <v>29</v>
      </c>
      <c r="C2207" s="1">
        <v>166</v>
      </c>
      <c r="D2207" s="1">
        <v>12</v>
      </c>
      <c r="E2207" s="1">
        <v>4</v>
      </c>
      <c r="F2207" s="1">
        <v>6</v>
      </c>
      <c r="G2207" s="1">
        <v>2.2400000000000002</v>
      </c>
      <c r="H2207" s="1" t="s">
        <v>143</v>
      </c>
      <c r="I2207" s="1" t="s">
        <v>31</v>
      </c>
      <c r="J2207" s="1">
        <v>22</v>
      </c>
      <c r="K2207" s="1">
        <v>1.92</v>
      </c>
      <c r="L2207" s="4">
        <v>177.64</v>
      </c>
      <c r="M2207" s="1">
        <v>0.27</v>
      </c>
      <c r="N2207" s="1">
        <v>5</v>
      </c>
      <c r="O2207" s="1">
        <v>0.75</v>
      </c>
      <c r="P2207" s="1">
        <v>407</v>
      </c>
      <c r="Q2207" s="1">
        <v>3.05</v>
      </c>
      <c r="R2207" s="1">
        <v>0.65</v>
      </c>
      <c r="S2207" s="2">
        <v>45490</v>
      </c>
      <c r="T2207" s="1">
        <v>144.91</v>
      </c>
      <c r="U2207" s="1">
        <v>0.59399999999999997</v>
      </c>
      <c r="V2207" s="6">
        <f t="shared" si="102"/>
        <v>29488.239999999998</v>
      </c>
      <c r="W2207" s="6" t="str">
        <f t="shared" si="103"/>
        <v>Sufficient</v>
      </c>
      <c r="X2207" s="8" t="str">
        <f t="shared" si="104"/>
        <v>Medium</v>
      </c>
    </row>
    <row r="2208" spans="1:24">
      <c r="A2208" s="7" t="s">
        <v>2338</v>
      </c>
      <c r="B2208" s="1" t="s">
        <v>29</v>
      </c>
      <c r="C2208" s="1">
        <v>203</v>
      </c>
      <c r="D2208" s="1">
        <v>71</v>
      </c>
      <c r="E2208" s="1">
        <v>11</v>
      </c>
      <c r="F2208" s="1">
        <v>5</v>
      </c>
      <c r="G2208" s="1">
        <v>28.95</v>
      </c>
      <c r="H2208" s="1" t="s">
        <v>128</v>
      </c>
      <c r="I2208" s="1" t="s">
        <v>45</v>
      </c>
      <c r="J2208" s="1">
        <v>178</v>
      </c>
      <c r="K2208" s="1">
        <v>3.06</v>
      </c>
      <c r="L2208" s="4">
        <v>136.18</v>
      </c>
      <c r="M2208" s="1">
        <v>0.21</v>
      </c>
      <c r="N2208" s="1">
        <v>5</v>
      </c>
      <c r="O2208" s="1">
        <v>0.98</v>
      </c>
      <c r="P2208" s="1">
        <v>286</v>
      </c>
      <c r="Q2208" s="1">
        <v>4.9000000000000004</v>
      </c>
      <c r="R2208" s="1">
        <v>0.56000000000000005</v>
      </c>
      <c r="S2208" s="2">
        <v>45628</v>
      </c>
      <c r="T2208" s="1">
        <v>135.61000000000001</v>
      </c>
      <c r="U2208" s="1">
        <v>0.65200000000000002</v>
      </c>
      <c r="V2208" s="6">
        <f t="shared" si="102"/>
        <v>27644.54</v>
      </c>
      <c r="W2208" s="6" t="str">
        <f t="shared" si="103"/>
        <v>Sufficient</v>
      </c>
      <c r="X2208" s="8" t="str">
        <f t="shared" si="104"/>
        <v>Medium</v>
      </c>
    </row>
    <row r="2209" spans="1:24">
      <c r="A2209" s="7" t="s">
        <v>2339</v>
      </c>
      <c r="B2209" s="1" t="s">
        <v>41</v>
      </c>
      <c r="C2209" s="1">
        <v>47</v>
      </c>
      <c r="D2209" s="1">
        <v>73</v>
      </c>
      <c r="E2209" s="1">
        <v>6</v>
      </c>
      <c r="F2209" s="1">
        <v>2</v>
      </c>
      <c r="G2209" s="1">
        <v>25.83</v>
      </c>
      <c r="H2209" s="1" t="s">
        <v>153</v>
      </c>
      <c r="I2209" s="1" t="s">
        <v>27</v>
      </c>
      <c r="J2209" s="1">
        <v>24</v>
      </c>
      <c r="K2209" s="1">
        <v>3.26</v>
      </c>
      <c r="L2209" s="4">
        <v>191.76</v>
      </c>
      <c r="M2209" s="1">
        <v>1.04</v>
      </c>
      <c r="N2209" s="1">
        <v>8</v>
      </c>
      <c r="O2209" s="1">
        <v>0.82</v>
      </c>
      <c r="P2209" s="1">
        <v>732</v>
      </c>
      <c r="Q2209" s="1">
        <v>10.039999999999999</v>
      </c>
      <c r="R2209" s="1">
        <v>0.92</v>
      </c>
      <c r="S2209" s="2">
        <v>45599</v>
      </c>
      <c r="T2209" s="1">
        <v>89.99</v>
      </c>
      <c r="U2209" s="1">
        <v>0.61799999999999999</v>
      </c>
      <c r="V2209" s="6">
        <f t="shared" si="102"/>
        <v>9012.7199999999993</v>
      </c>
      <c r="W2209" s="6" t="str">
        <f t="shared" si="103"/>
        <v>Reorder Required</v>
      </c>
      <c r="X2209" s="8" t="str">
        <f t="shared" si="104"/>
        <v>LOW</v>
      </c>
    </row>
    <row r="2210" spans="1:24">
      <c r="A2210" s="7" t="s">
        <v>2340</v>
      </c>
      <c r="B2210" s="1" t="s">
        <v>33</v>
      </c>
      <c r="C2210" s="1">
        <v>469</v>
      </c>
      <c r="D2210" s="1">
        <v>54</v>
      </c>
      <c r="E2210" s="1">
        <v>3</v>
      </c>
      <c r="F2210" s="1">
        <v>3</v>
      </c>
      <c r="G2210" s="1">
        <v>42.16</v>
      </c>
      <c r="H2210" s="1" t="s">
        <v>30</v>
      </c>
      <c r="I2210" s="1" t="s">
        <v>31</v>
      </c>
      <c r="J2210" s="1">
        <v>65</v>
      </c>
      <c r="K2210" s="1">
        <v>3.61</v>
      </c>
      <c r="L2210" s="4">
        <v>12.87</v>
      </c>
      <c r="M2210" s="1">
        <v>0.7</v>
      </c>
      <c r="N2210" s="1">
        <v>0</v>
      </c>
      <c r="O2210" s="1">
        <v>0.96</v>
      </c>
      <c r="P2210" s="1">
        <v>324</v>
      </c>
      <c r="Q2210" s="1">
        <v>2.86</v>
      </c>
      <c r="R2210" s="1">
        <v>0.79</v>
      </c>
      <c r="S2210" s="2">
        <v>45602</v>
      </c>
      <c r="T2210" s="1">
        <v>203.32</v>
      </c>
      <c r="U2210" s="1">
        <v>0.71799999999999997</v>
      </c>
      <c r="V2210" s="6">
        <f t="shared" si="102"/>
        <v>6036.03</v>
      </c>
      <c r="W2210" s="6" t="str">
        <f t="shared" si="103"/>
        <v>Sufficient</v>
      </c>
      <c r="X2210" s="8" t="str">
        <f t="shared" si="104"/>
        <v>High</v>
      </c>
    </row>
    <row r="2211" spans="1:24">
      <c r="A2211" s="7" t="s">
        <v>2341</v>
      </c>
      <c r="B2211" s="1" t="s">
        <v>29</v>
      </c>
      <c r="C2211" s="1">
        <v>57</v>
      </c>
      <c r="D2211" s="1">
        <v>91</v>
      </c>
      <c r="E2211" s="1">
        <v>6</v>
      </c>
      <c r="F2211" s="1">
        <v>5</v>
      </c>
      <c r="G2211" s="1">
        <v>29.51</v>
      </c>
      <c r="H2211" s="1" t="s">
        <v>227</v>
      </c>
      <c r="I2211" s="1" t="s">
        <v>39</v>
      </c>
      <c r="J2211" s="1">
        <v>168</v>
      </c>
      <c r="K2211" s="1">
        <v>3.91</v>
      </c>
      <c r="L2211" s="4">
        <v>21.23</v>
      </c>
      <c r="M2211" s="1">
        <v>0.11</v>
      </c>
      <c r="N2211" s="1">
        <v>4</v>
      </c>
      <c r="O2211" s="1">
        <v>0.77</v>
      </c>
      <c r="P2211" s="1">
        <v>856</v>
      </c>
      <c r="Q2211" s="1">
        <v>2.2799999999999998</v>
      </c>
      <c r="R2211" s="1">
        <v>0.54</v>
      </c>
      <c r="S2211" s="2">
        <v>45456</v>
      </c>
      <c r="T2211" s="1">
        <v>146.78</v>
      </c>
      <c r="U2211" s="1">
        <v>0.60099999999999998</v>
      </c>
      <c r="V2211" s="6">
        <f t="shared" si="102"/>
        <v>1210.1100000000001</v>
      </c>
      <c r="W2211" s="6" t="str">
        <f t="shared" si="103"/>
        <v>Reorder Required</v>
      </c>
      <c r="X2211" s="8" t="str">
        <f t="shared" si="104"/>
        <v>LOW</v>
      </c>
    </row>
    <row r="2212" spans="1:24">
      <c r="A2212" s="7" t="s">
        <v>2342</v>
      </c>
      <c r="B2212" s="1" t="s">
        <v>29</v>
      </c>
      <c r="C2212" s="1">
        <v>138</v>
      </c>
      <c r="D2212" s="1">
        <v>67</v>
      </c>
      <c r="E2212" s="1">
        <v>5</v>
      </c>
      <c r="F2212" s="1">
        <v>6</v>
      </c>
      <c r="G2212" s="1">
        <v>16.850000000000001</v>
      </c>
      <c r="H2212" s="1" t="s">
        <v>266</v>
      </c>
      <c r="I2212" s="1" t="s">
        <v>45</v>
      </c>
      <c r="J2212" s="1">
        <v>62</v>
      </c>
      <c r="K2212" s="1">
        <v>1.1100000000000001</v>
      </c>
      <c r="L2212" s="4">
        <v>105.17</v>
      </c>
      <c r="M2212" s="1">
        <v>0.45</v>
      </c>
      <c r="N2212" s="1">
        <v>9</v>
      </c>
      <c r="O2212" s="1">
        <v>0.71</v>
      </c>
      <c r="P2212" s="1">
        <v>925</v>
      </c>
      <c r="Q2212" s="1">
        <v>7.41</v>
      </c>
      <c r="R2212" s="1">
        <v>0.64</v>
      </c>
      <c r="S2212" s="2">
        <v>45550</v>
      </c>
      <c r="T2212" s="1">
        <v>58.58</v>
      </c>
      <c r="U2212" s="1">
        <v>0.54400000000000004</v>
      </c>
      <c r="V2212" s="6">
        <f t="shared" si="102"/>
        <v>14513.460000000001</v>
      </c>
      <c r="W2212" s="6" t="str">
        <f t="shared" si="103"/>
        <v>Sufficient</v>
      </c>
      <c r="X2212" s="8" t="str">
        <f t="shared" si="104"/>
        <v>Medium</v>
      </c>
    </row>
    <row r="2213" spans="1:24">
      <c r="A2213" s="7" t="s">
        <v>2343</v>
      </c>
      <c r="B2213" s="1" t="s">
        <v>41</v>
      </c>
      <c r="C2213" s="1">
        <v>312</v>
      </c>
      <c r="D2213" s="1">
        <v>29</v>
      </c>
      <c r="E2213" s="1">
        <v>14</v>
      </c>
      <c r="F2213" s="1">
        <v>2</v>
      </c>
      <c r="G2213" s="1">
        <v>26.3</v>
      </c>
      <c r="H2213" s="1" t="s">
        <v>130</v>
      </c>
      <c r="I2213" s="1" t="s">
        <v>39</v>
      </c>
      <c r="J2213" s="1">
        <v>70</v>
      </c>
      <c r="K2213" s="1">
        <v>4.84</v>
      </c>
      <c r="L2213" s="4">
        <v>183.35</v>
      </c>
      <c r="M2213" s="1">
        <v>0.52</v>
      </c>
      <c r="N2213" s="1">
        <v>0</v>
      </c>
      <c r="O2213" s="1">
        <v>0.87</v>
      </c>
      <c r="P2213" s="1">
        <v>721</v>
      </c>
      <c r="Q2213" s="1">
        <v>2.17</v>
      </c>
      <c r="R2213" s="1">
        <v>0.54</v>
      </c>
      <c r="S2213" s="2">
        <v>45488</v>
      </c>
      <c r="T2213" s="1">
        <v>149.6</v>
      </c>
      <c r="U2213" s="1">
        <v>0.65900000000000003</v>
      </c>
      <c r="V2213" s="6">
        <f t="shared" si="102"/>
        <v>57205.2</v>
      </c>
      <c r="W2213" s="6" t="str">
        <f t="shared" si="103"/>
        <v>Sufficient</v>
      </c>
      <c r="X2213" s="8" t="str">
        <f t="shared" si="104"/>
        <v>High</v>
      </c>
    </row>
    <row r="2214" spans="1:24">
      <c r="A2214" s="7" t="s">
        <v>2344</v>
      </c>
      <c r="B2214" s="1" t="s">
        <v>41</v>
      </c>
      <c r="C2214" s="1">
        <v>390</v>
      </c>
      <c r="D2214" s="1">
        <v>67</v>
      </c>
      <c r="E2214" s="1">
        <v>8</v>
      </c>
      <c r="F2214" s="1">
        <v>5</v>
      </c>
      <c r="G2214" s="1">
        <v>35.29</v>
      </c>
      <c r="H2214" s="1" t="s">
        <v>327</v>
      </c>
      <c r="I2214" s="1" t="s">
        <v>31</v>
      </c>
      <c r="J2214" s="1">
        <v>137</v>
      </c>
      <c r="K2214" s="1">
        <v>4.3</v>
      </c>
      <c r="L2214" s="4">
        <v>148.85</v>
      </c>
      <c r="M2214" s="1">
        <v>0.65</v>
      </c>
      <c r="N2214" s="1">
        <v>5</v>
      </c>
      <c r="O2214" s="1">
        <v>0.8</v>
      </c>
      <c r="P2214" s="1">
        <v>801</v>
      </c>
      <c r="Q2214" s="1">
        <v>6.5</v>
      </c>
      <c r="R2214" s="1">
        <v>0.55000000000000004</v>
      </c>
      <c r="S2214" s="2">
        <v>45506</v>
      </c>
      <c r="T2214" s="1">
        <v>119.15</v>
      </c>
      <c r="U2214" s="1">
        <v>0.59199999999999997</v>
      </c>
      <c r="V2214" s="6">
        <f t="shared" si="102"/>
        <v>58051.5</v>
      </c>
      <c r="W2214" s="6" t="str">
        <f t="shared" si="103"/>
        <v>Sufficient</v>
      </c>
      <c r="X2214" s="8" t="str">
        <f t="shared" si="104"/>
        <v>High</v>
      </c>
    </row>
    <row r="2215" spans="1:24">
      <c r="A2215" s="7" t="s">
        <v>2345</v>
      </c>
      <c r="B2215" s="1" t="s">
        <v>29</v>
      </c>
      <c r="C2215" s="1">
        <v>263</v>
      </c>
      <c r="D2215" s="1">
        <v>98</v>
      </c>
      <c r="E2215" s="1">
        <v>9</v>
      </c>
      <c r="F2215" s="1">
        <v>3</v>
      </c>
      <c r="G2215" s="1">
        <v>5.6</v>
      </c>
      <c r="H2215" s="1" t="s">
        <v>141</v>
      </c>
      <c r="I2215" s="1" t="s">
        <v>45</v>
      </c>
      <c r="J2215" s="1">
        <v>51</v>
      </c>
      <c r="K2215" s="1">
        <v>3.03</v>
      </c>
      <c r="L2215" s="4">
        <v>128.21</v>
      </c>
      <c r="M2215" s="1">
        <v>1.77</v>
      </c>
      <c r="N2215" s="1">
        <v>8</v>
      </c>
      <c r="O2215" s="1">
        <v>1</v>
      </c>
      <c r="P2215" s="1">
        <v>626</v>
      </c>
      <c r="Q2215" s="1">
        <v>5.52</v>
      </c>
      <c r="R2215" s="1">
        <v>0.71</v>
      </c>
      <c r="S2215" s="2">
        <v>45603</v>
      </c>
      <c r="T2215" s="1">
        <v>268.04000000000002</v>
      </c>
      <c r="U2215" s="1">
        <v>0.47899999999999998</v>
      </c>
      <c r="V2215" s="6">
        <f t="shared" si="102"/>
        <v>33719.230000000003</v>
      </c>
      <c r="W2215" s="6" t="str">
        <f t="shared" si="103"/>
        <v>Sufficient</v>
      </c>
      <c r="X2215" s="8" t="str">
        <f t="shared" si="104"/>
        <v>High</v>
      </c>
    </row>
    <row r="2216" spans="1:24">
      <c r="A2216" s="7" t="s">
        <v>2346</v>
      </c>
      <c r="B2216" s="1" t="s">
        <v>66</v>
      </c>
      <c r="C2216" s="1">
        <v>87</v>
      </c>
      <c r="D2216" s="1">
        <v>66</v>
      </c>
      <c r="E2216" s="1">
        <v>10</v>
      </c>
      <c r="F2216" s="1">
        <v>5</v>
      </c>
      <c r="G2216" s="1">
        <v>31.43</v>
      </c>
      <c r="H2216" s="1" t="s">
        <v>252</v>
      </c>
      <c r="I2216" s="1" t="s">
        <v>39</v>
      </c>
      <c r="J2216" s="1">
        <v>38</v>
      </c>
      <c r="K2216" s="1">
        <v>4.51</v>
      </c>
      <c r="L2216" s="4">
        <v>16</v>
      </c>
      <c r="M2216" s="1">
        <v>0.9</v>
      </c>
      <c r="N2216" s="1">
        <v>3</v>
      </c>
      <c r="O2216" s="1">
        <v>0.73</v>
      </c>
      <c r="P2216" s="1">
        <v>266</v>
      </c>
      <c r="Q2216" s="1">
        <v>6.48</v>
      </c>
      <c r="R2216" s="1">
        <v>0.37</v>
      </c>
      <c r="S2216" s="2">
        <v>45646</v>
      </c>
      <c r="T2216" s="1">
        <v>233.76</v>
      </c>
      <c r="U2216" s="1">
        <v>0.55600000000000005</v>
      </c>
      <c r="V2216" s="6">
        <f t="shared" si="102"/>
        <v>1392</v>
      </c>
      <c r="W2216" s="6" t="str">
        <f t="shared" si="103"/>
        <v>Sufficient</v>
      </c>
      <c r="X2216" s="8" t="str">
        <f t="shared" si="104"/>
        <v>LOW</v>
      </c>
    </row>
    <row r="2217" spans="1:24">
      <c r="A2217" s="7" t="s">
        <v>2347</v>
      </c>
      <c r="B2217" s="1" t="s">
        <v>29</v>
      </c>
      <c r="C2217" s="1">
        <v>233</v>
      </c>
      <c r="D2217" s="1">
        <v>86</v>
      </c>
      <c r="E2217" s="1">
        <v>4</v>
      </c>
      <c r="F2217" s="1">
        <v>2</v>
      </c>
      <c r="G2217" s="1">
        <v>45.91</v>
      </c>
      <c r="H2217" s="1" t="s">
        <v>147</v>
      </c>
      <c r="I2217" s="1" t="s">
        <v>45</v>
      </c>
      <c r="J2217" s="1">
        <v>164</v>
      </c>
      <c r="K2217" s="1">
        <v>2.2200000000000002</v>
      </c>
      <c r="L2217" s="4">
        <v>77.290000000000006</v>
      </c>
      <c r="M2217" s="1">
        <v>1.39</v>
      </c>
      <c r="N2217" s="1">
        <v>9</v>
      </c>
      <c r="O2217" s="1">
        <v>0.71</v>
      </c>
      <c r="P2217" s="1">
        <v>608</v>
      </c>
      <c r="Q2217" s="1">
        <v>7.83</v>
      </c>
      <c r="R2217" s="1">
        <v>0.47</v>
      </c>
      <c r="S2217" s="2">
        <v>45419</v>
      </c>
      <c r="T2217" s="1">
        <v>213.36</v>
      </c>
      <c r="U2217" s="1">
        <v>0.42099999999999999</v>
      </c>
      <c r="V2217" s="6">
        <f t="shared" si="102"/>
        <v>18008.57</v>
      </c>
      <c r="W2217" s="6" t="str">
        <f t="shared" si="103"/>
        <v>Sufficient</v>
      </c>
      <c r="X2217" s="8" t="str">
        <f t="shared" si="104"/>
        <v>Medium</v>
      </c>
    </row>
    <row r="2218" spans="1:24">
      <c r="A2218" s="7" t="s">
        <v>2348</v>
      </c>
      <c r="B2218" s="1" t="s">
        <v>29</v>
      </c>
      <c r="C2218" s="1">
        <v>237</v>
      </c>
      <c r="D2218" s="1">
        <v>77</v>
      </c>
      <c r="E2218" s="1">
        <v>8</v>
      </c>
      <c r="F2218" s="1">
        <v>5</v>
      </c>
      <c r="G2218" s="1">
        <v>15.66</v>
      </c>
      <c r="H2218" s="1" t="s">
        <v>333</v>
      </c>
      <c r="I2218" s="1" t="s">
        <v>27</v>
      </c>
      <c r="J2218" s="1">
        <v>53</v>
      </c>
      <c r="K2218" s="1">
        <v>0.65</v>
      </c>
      <c r="L2218" s="4">
        <v>75.709999999999994</v>
      </c>
      <c r="M2218" s="1">
        <v>0.13</v>
      </c>
      <c r="N2218" s="1">
        <v>9</v>
      </c>
      <c r="O2218" s="1">
        <v>0.71</v>
      </c>
      <c r="P2218" s="1">
        <v>446</v>
      </c>
      <c r="Q2218" s="1">
        <v>3.59</v>
      </c>
      <c r="R2218" s="1">
        <v>0.42</v>
      </c>
      <c r="S2218" s="2">
        <v>45432</v>
      </c>
      <c r="T2218" s="1">
        <v>104.88</v>
      </c>
      <c r="U2218" s="1">
        <v>0.48099999999999998</v>
      </c>
      <c r="V2218" s="6">
        <f t="shared" si="102"/>
        <v>17943.269999999997</v>
      </c>
      <c r="W2218" s="6" t="str">
        <f t="shared" si="103"/>
        <v>Sufficient</v>
      </c>
      <c r="X2218" s="8" t="str">
        <f t="shared" si="104"/>
        <v>Medium</v>
      </c>
    </row>
    <row r="2219" spans="1:24">
      <c r="A2219" s="7" t="s">
        <v>2349</v>
      </c>
      <c r="B2219" s="1" t="s">
        <v>41</v>
      </c>
      <c r="C2219" s="1">
        <v>196</v>
      </c>
      <c r="D2219" s="1">
        <v>87</v>
      </c>
      <c r="E2219" s="1">
        <v>8</v>
      </c>
      <c r="F2219" s="1">
        <v>6</v>
      </c>
      <c r="G2219" s="1">
        <v>31.7</v>
      </c>
      <c r="H2219" s="1" t="s">
        <v>81</v>
      </c>
      <c r="I2219" s="1" t="s">
        <v>27</v>
      </c>
      <c r="J2219" s="1">
        <v>142</v>
      </c>
      <c r="K2219" s="1">
        <v>3.77</v>
      </c>
      <c r="L2219" s="4">
        <v>113</v>
      </c>
      <c r="M2219" s="1">
        <v>1.65</v>
      </c>
      <c r="N2219" s="1">
        <v>8</v>
      </c>
      <c r="O2219" s="1">
        <v>0.77</v>
      </c>
      <c r="P2219" s="1">
        <v>123</v>
      </c>
      <c r="Q2219" s="1">
        <v>7.19</v>
      </c>
      <c r="R2219" s="1">
        <v>0.84</v>
      </c>
      <c r="S2219" s="2">
        <v>45495</v>
      </c>
      <c r="T2219" s="1">
        <v>50.49</v>
      </c>
      <c r="U2219" s="1">
        <v>0.49299999999999999</v>
      </c>
      <c r="V2219" s="6">
        <f t="shared" si="102"/>
        <v>22148</v>
      </c>
      <c r="W2219" s="6" t="str">
        <f t="shared" si="103"/>
        <v>Sufficient</v>
      </c>
      <c r="X2219" s="8" t="str">
        <f t="shared" si="104"/>
        <v>Medium</v>
      </c>
    </row>
    <row r="2220" spans="1:24">
      <c r="A2220" s="7" t="s">
        <v>2350</v>
      </c>
      <c r="B2220" s="1" t="s">
        <v>41</v>
      </c>
      <c r="C2220" s="1">
        <v>318</v>
      </c>
      <c r="D2220" s="1">
        <v>61</v>
      </c>
      <c r="E2220" s="1">
        <v>12</v>
      </c>
      <c r="F2220" s="1">
        <v>4</v>
      </c>
      <c r="G2220" s="1">
        <v>41.25</v>
      </c>
      <c r="H2220" s="1" t="s">
        <v>233</v>
      </c>
      <c r="I2220" s="1" t="s">
        <v>45</v>
      </c>
      <c r="J2220" s="1">
        <v>122</v>
      </c>
      <c r="K2220" s="1">
        <v>4.75</v>
      </c>
      <c r="L2220" s="4">
        <v>58.99</v>
      </c>
      <c r="M2220" s="1">
        <v>0.56000000000000005</v>
      </c>
      <c r="N2220" s="1">
        <v>2</v>
      </c>
      <c r="O2220" s="1">
        <v>0.87</v>
      </c>
      <c r="P2220" s="1">
        <v>725</v>
      </c>
      <c r="Q2220" s="1">
        <v>6.06</v>
      </c>
      <c r="R2220" s="1">
        <v>0.95</v>
      </c>
      <c r="S2220" s="2">
        <v>45467</v>
      </c>
      <c r="T2220" s="1">
        <v>260.76</v>
      </c>
      <c r="U2220" s="1">
        <v>0.749</v>
      </c>
      <c r="V2220" s="6">
        <f t="shared" si="102"/>
        <v>18758.82</v>
      </c>
      <c r="W2220" s="6" t="str">
        <f t="shared" si="103"/>
        <v>Sufficient</v>
      </c>
      <c r="X2220" s="8" t="str">
        <f t="shared" si="104"/>
        <v>High</v>
      </c>
    </row>
    <row r="2221" spans="1:24">
      <c r="A2221" s="7" t="s">
        <v>2351</v>
      </c>
      <c r="B2221" s="1" t="s">
        <v>29</v>
      </c>
      <c r="C2221" s="1">
        <v>183</v>
      </c>
      <c r="D2221" s="1">
        <v>46</v>
      </c>
      <c r="E2221" s="1">
        <v>14</v>
      </c>
      <c r="F2221" s="1">
        <v>9</v>
      </c>
      <c r="G2221" s="1">
        <v>26.08</v>
      </c>
      <c r="H2221" s="1" t="s">
        <v>139</v>
      </c>
      <c r="I2221" s="1" t="s">
        <v>39</v>
      </c>
      <c r="J2221" s="1">
        <v>115</v>
      </c>
      <c r="K2221" s="1">
        <v>1.23</v>
      </c>
      <c r="L2221" s="4">
        <v>60.76</v>
      </c>
      <c r="M2221" s="1">
        <v>0.69</v>
      </c>
      <c r="N2221" s="1">
        <v>6</v>
      </c>
      <c r="O2221" s="1">
        <v>0.85</v>
      </c>
      <c r="P2221" s="1">
        <v>759</v>
      </c>
      <c r="Q2221" s="1">
        <v>12.14</v>
      </c>
      <c r="R2221" s="1">
        <v>0.53</v>
      </c>
      <c r="S2221" s="2">
        <v>45442</v>
      </c>
      <c r="T2221" s="1">
        <v>109.4</v>
      </c>
      <c r="U2221" s="1">
        <v>0.64900000000000002</v>
      </c>
      <c r="V2221" s="6">
        <f t="shared" si="102"/>
        <v>11119.08</v>
      </c>
      <c r="W2221" s="6" t="str">
        <f t="shared" si="103"/>
        <v>Sufficient</v>
      </c>
      <c r="X2221" s="8" t="str">
        <f t="shared" si="104"/>
        <v>Medium</v>
      </c>
    </row>
    <row r="2222" spans="1:24">
      <c r="A2222" s="7" t="s">
        <v>2352</v>
      </c>
      <c r="B2222" s="1" t="s">
        <v>29</v>
      </c>
      <c r="C2222" s="1">
        <v>77</v>
      </c>
      <c r="D2222" s="1">
        <v>17</v>
      </c>
      <c r="E2222" s="1">
        <v>7</v>
      </c>
      <c r="F2222" s="1">
        <v>9</v>
      </c>
      <c r="G2222" s="1">
        <v>36.18</v>
      </c>
      <c r="H2222" s="1" t="s">
        <v>61</v>
      </c>
      <c r="I2222" s="1" t="s">
        <v>39</v>
      </c>
      <c r="J2222" s="1">
        <v>47</v>
      </c>
      <c r="K2222" s="1">
        <v>3.4</v>
      </c>
      <c r="L2222" s="4">
        <v>127.96</v>
      </c>
      <c r="M2222" s="1">
        <v>0.19</v>
      </c>
      <c r="N2222" s="1">
        <v>4</v>
      </c>
      <c r="O2222" s="1">
        <v>0.81</v>
      </c>
      <c r="P2222" s="1">
        <v>972</v>
      </c>
      <c r="Q2222" s="1">
        <v>10.73</v>
      </c>
      <c r="R2222" s="1">
        <v>0.26</v>
      </c>
      <c r="S2222" s="2">
        <v>45523</v>
      </c>
      <c r="T2222" s="1">
        <v>181.96</v>
      </c>
      <c r="U2222" s="1">
        <v>0.65800000000000003</v>
      </c>
      <c r="V2222" s="6">
        <f t="shared" si="102"/>
        <v>9852.92</v>
      </c>
      <c r="W2222" s="6" t="str">
        <f t="shared" si="103"/>
        <v>Sufficient</v>
      </c>
      <c r="X2222" s="8" t="str">
        <f t="shared" si="104"/>
        <v>LOW</v>
      </c>
    </row>
    <row r="2223" spans="1:24">
      <c r="A2223" s="7" t="s">
        <v>2353</v>
      </c>
      <c r="B2223" s="1" t="s">
        <v>29</v>
      </c>
      <c r="C2223" s="1">
        <v>288</v>
      </c>
      <c r="D2223" s="1">
        <v>53</v>
      </c>
      <c r="E2223" s="1">
        <v>12</v>
      </c>
      <c r="F2223" s="1">
        <v>2</v>
      </c>
      <c r="G2223" s="1">
        <v>16.239999999999998</v>
      </c>
      <c r="H2223" s="1" t="s">
        <v>95</v>
      </c>
      <c r="I2223" s="1" t="s">
        <v>39</v>
      </c>
      <c r="J2223" s="1">
        <v>124</v>
      </c>
      <c r="K2223" s="1">
        <v>4.16</v>
      </c>
      <c r="L2223" s="4">
        <v>189.47</v>
      </c>
      <c r="M2223" s="1">
        <v>0.88</v>
      </c>
      <c r="N2223" s="1">
        <v>9</v>
      </c>
      <c r="O2223" s="1">
        <v>0.73</v>
      </c>
      <c r="P2223" s="1">
        <v>377</v>
      </c>
      <c r="Q2223" s="1">
        <v>13.22</v>
      </c>
      <c r="R2223" s="1">
        <v>0.27</v>
      </c>
      <c r="S2223" s="2">
        <v>45360</v>
      </c>
      <c r="T2223" s="1">
        <v>181.34</v>
      </c>
      <c r="U2223" s="1">
        <v>0.50800000000000001</v>
      </c>
      <c r="V2223" s="6">
        <f t="shared" si="102"/>
        <v>54567.360000000001</v>
      </c>
      <c r="W2223" s="6" t="str">
        <f t="shared" si="103"/>
        <v>Sufficient</v>
      </c>
      <c r="X2223" s="8" t="str">
        <f t="shared" si="104"/>
        <v>High</v>
      </c>
    </row>
    <row r="2224" spans="1:24">
      <c r="A2224" s="7" t="s">
        <v>2354</v>
      </c>
      <c r="B2224" s="1" t="s">
        <v>41</v>
      </c>
      <c r="C2224" s="1">
        <v>327</v>
      </c>
      <c r="D2224" s="1">
        <v>14</v>
      </c>
      <c r="E2224" s="1">
        <v>12</v>
      </c>
      <c r="F2224" s="1">
        <v>2</v>
      </c>
      <c r="G2224" s="1">
        <v>16</v>
      </c>
      <c r="H2224" s="1" t="s">
        <v>558</v>
      </c>
      <c r="I2224" s="1" t="s">
        <v>27</v>
      </c>
      <c r="J2224" s="1">
        <v>139</v>
      </c>
      <c r="K2224" s="1">
        <v>4.57</v>
      </c>
      <c r="L2224" s="4">
        <v>135.43</v>
      </c>
      <c r="M2224" s="1">
        <v>1.72</v>
      </c>
      <c r="N2224" s="1">
        <v>0</v>
      </c>
      <c r="O2224" s="1">
        <v>0.77</v>
      </c>
      <c r="P2224" s="1">
        <v>457</v>
      </c>
      <c r="Q2224" s="1">
        <v>10.37</v>
      </c>
      <c r="R2224" s="1">
        <v>0.52</v>
      </c>
      <c r="S2224" s="2">
        <v>45362</v>
      </c>
      <c r="T2224" s="1">
        <v>279.14</v>
      </c>
      <c r="U2224" s="1">
        <v>0.624</v>
      </c>
      <c r="V2224" s="6">
        <f t="shared" si="102"/>
        <v>44285.61</v>
      </c>
      <c r="W2224" s="6" t="str">
        <f t="shared" si="103"/>
        <v>Sufficient</v>
      </c>
      <c r="X2224" s="8" t="str">
        <f t="shared" si="104"/>
        <v>High</v>
      </c>
    </row>
    <row r="2225" spans="1:24">
      <c r="A2225" s="7" t="s">
        <v>2355</v>
      </c>
      <c r="B2225" s="1" t="s">
        <v>29</v>
      </c>
      <c r="C2225" s="1">
        <v>77</v>
      </c>
      <c r="D2225" s="1">
        <v>78</v>
      </c>
      <c r="E2225" s="1">
        <v>9</v>
      </c>
      <c r="F2225" s="1">
        <v>2</v>
      </c>
      <c r="G2225" s="1">
        <v>33.71</v>
      </c>
      <c r="H2225" s="1" t="s">
        <v>117</v>
      </c>
      <c r="I2225" s="1" t="s">
        <v>31</v>
      </c>
      <c r="J2225" s="1">
        <v>118</v>
      </c>
      <c r="K2225" s="1">
        <v>1.74</v>
      </c>
      <c r="L2225" s="4">
        <v>136.94</v>
      </c>
      <c r="M2225" s="1">
        <v>0.82</v>
      </c>
      <c r="N2225" s="1">
        <v>6</v>
      </c>
      <c r="O2225" s="1">
        <v>0.76</v>
      </c>
      <c r="P2225" s="1">
        <v>197</v>
      </c>
      <c r="Q2225" s="1">
        <v>2.7</v>
      </c>
      <c r="R2225" s="1">
        <v>0.52</v>
      </c>
      <c r="S2225" s="2">
        <v>45503</v>
      </c>
      <c r="T2225" s="1">
        <v>59.8</v>
      </c>
      <c r="U2225" s="1">
        <v>0.49</v>
      </c>
      <c r="V2225" s="6">
        <f t="shared" si="102"/>
        <v>10544.38</v>
      </c>
      <c r="W2225" s="6" t="str">
        <f t="shared" si="103"/>
        <v>Reorder Required</v>
      </c>
      <c r="X2225" s="8" t="str">
        <f t="shared" si="104"/>
        <v>LOW</v>
      </c>
    </row>
    <row r="2226" spans="1:24">
      <c r="A2226" s="7" t="s">
        <v>2356</v>
      </c>
      <c r="B2226" s="1" t="s">
        <v>29</v>
      </c>
      <c r="C2226" s="1">
        <v>307</v>
      </c>
      <c r="D2226" s="1">
        <v>40</v>
      </c>
      <c r="E2226" s="1">
        <v>5</v>
      </c>
      <c r="F2226" s="1">
        <v>2</v>
      </c>
      <c r="G2226" s="1">
        <v>35.57</v>
      </c>
      <c r="H2226" s="1" t="s">
        <v>333</v>
      </c>
      <c r="I2226" s="1" t="s">
        <v>31</v>
      </c>
      <c r="J2226" s="1">
        <v>93</v>
      </c>
      <c r="K2226" s="1">
        <v>1.08</v>
      </c>
      <c r="L2226" s="4">
        <v>197.38</v>
      </c>
      <c r="M2226" s="1">
        <v>1.83</v>
      </c>
      <c r="N2226" s="1">
        <v>7</v>
      </c>
      <c r="O2226" s="1">
        <v>0.92</v>
      </c>
      <c r="P2226" s="1">
        <v>135</v>
      </c>
      <c r="Q2226" s="1">
        <v>8.1</v>
      </c>
      <c r="R2226" s="1">
        <v>0.32</v>
      </c>
      <c r="S2226" s="2">
        <v>45600</v>
      </c>
      <c r="T2226" s="1">
        <v>233.78</v>
      </c>
      <c r="U2226" s="1">
        <v>0.433</v>
      </c>
      <c r="V2226" s="6">
        <f t="shared" si="102"/>
        <v>60595.659999999996</v>
      </c>
      <c r="W2226" s="6" t="str">
        <f t="shared" si="103"/>
        <v>Sufficient</v>
      </c>
      <c r="X2226" s="8" t="str">
        <f t="shared" si="104"/>
        <v>High</v>
      </c>
    </row>
    <row r="2227" spans="1:24">
      <c r="A2227" s="7" t="s">
        <v>2357</v>
      </c>
      <c r="B2227" s="1" t="s">
        <v>25</v>
      </c>
      <c r="C2227" s="1">
        <v>484</v>
      </c>
      <c r="D2227" s="1">
        <v>54</v>
      </c>
      <c r="E2227" s="1">
        <v>6</v>
      </c>
      <c r="F2227" s="1">
        <v>5</v>
      </c>
      <c r="G2227" s="1">
        <v>46.91</v>
      </c>
      <c r="H2227" s="1" t="s">
        <v>147</v>
      </c>
      <c r="I2227" s="1" t="s">
        <v>45</v>
      </c>
      <c r="J2227" s="1">
        <v>172</v>
      </c>
      <c r="K2227" s="1">
        <v>1.62</v>
      </c>
      <c r="L2227" s="4">
        <v>39.159999999999997</v>
      </c>
      <c r="M2227" s="1">
        <v>1.75</v>
      </c>
      <c r="N2227" s="1">
        <v>5</v>
      </c>
      <c r="O2227" s="1">
        <v>0.93</v>
      </c>
      <c r="P2227" s="1">
        <v>570</v>
      </c>
      <c r="Q2227" s="1">
        <v>11.39</v>
      </c>
      <c r="R2227" s="1">
        <v>0.85</v>
      </c>
      <c r="S2227" s="2">
        <v>45650</v>
      </c>
      <c r="T2227" s="1">
        <v>144.15</v>
      </c>
      <c r="U2227" s="1">
        <v>0.63300000000000001</v>
      </c>
      <c r="V2227" s="6">
        <f t="shared" si="102"/>
        <v>18953.439999999999</v>
      </c>
      <c r="W2227" s="6" t="str">
        <f t="shared" si="103"/>
        <v>Sufficient</v>
      </c>
      <c r="X2227" s="8" t="str">
        <f t="shared" si="104"/>
        <v>High</v>
      </c>
    </row>
    <row r="2228" spans="1:24">
      <c r="A2228" s="7" t="s">
        <v>2358</v>
      </c>
      <c r="B2228" s="1" t="s">
        <v>66</v>
      </c>
      <c r="C2228" s="1">
        <v>124</v>
      </c>
      <c r="D2228" s="1">
        <v>18</v>
      </c>
      <c r="E2228" s="1">
        <v>12</v>
      </c>
      <c r="F2228" s="1">
        <v>6</v>
      </c>
      <c r="G2228" s="1">
        <v>12.02</v>
      </c>
      <c r="H2228" s="1" t="s">
        <v>88</v>
      </c>
      <c r="I2228" s="1" t="s">
        <v>39</v>
      </c>
      <c r="J2228" s="1">
        <v>55</v>
      </c>
      <c r="K2228" s="1">
        <v>3.1</v>
      </c>
      <c r="L2228" s="4">
        <v>16.43</v>
      </c>
      <c r="M2228" s="1">
        <v>0.22</v>
      </c>
      <c r="N2228" s="1">
        <v>0</v>
      </c>
      <c r="O2228" s="1">
        <v>0.93</v>
      </c>
      <c r="P2228" s="1">
        <v>552</v>
      </c>
      <c r="Q2228" s="1">
        <v>12.78</v>
      </c>
      <c r="R2228" s="1">
        <v>0.6</v>
      </c>
      <c r="S2228" s="2">
        <v>45554</v>
      </c>
      <c r="T2228" s="1">
        <v>60.68</v>
      </c>
      <c r="U2228" s="1">
        <v>0.85399999999999998</v>
      </c>
      <c r="V2228" s="6">
        <f t="shared" si="102"/>
        <v>2037.32</v>
      </c>
      <c r="W2228" s="6" t="str">
        <f t="shared" si="103"/>
        <v>Sufficient</v>
      </c>
      <c r="X2228" s="8" t="str">
        <f t="shared" si="104"/>
        <v>Medium</v>
      </c>
    </row>
    <row r="2229" spans="1:24">
      <c r="A2229" s="7" t="s">
        <v>2359</v>
      </c>
      <c r="B2229" s="1" t="s">
        <v>33</v>
      </c>
      <c r="C2229" s="1">
        <v>247</v>
      </c>
      <c r="D2229" s="1">
        <v>41</v>
      </c>
      <c r="E2229" s="1">
        <v>11</v>
      </c>
      <c r="F2229" s="1">
        <v>9</v>
      </c>
      <c r="G2229" s="1">
        <v>23.94</v>
      </c>
      <c r="H2229" s="1" t="s">
        <v>440</v>
      </c>
      <c r="I2229" s="1" t="s">
        <v>45</v>
      </c>
      <c r="J2229" s="1">
        <v>101</v>
      </c>
      <c r="K2229" s="1">
        <v>4.63</v>
      </c>
      <c r="L2229" s="4">
        <v>151.65</v>
      </c>
      <c r="M2229" s="1">
        <v>0.68</v>
      </c>
      <c r="N2229" s="1">
        <v>8</v>
      </c>
      <c r="O2229" s="1">
        <v>0.99</v>
      </c>
      <c r="P2229" s="1">
        <v>814</v>
      </c>
      <c r="Q2229" s="1">
        <v>3.54</v>
      </c>
      <c r="R2229" s="1">
        <v>0.28999999999999998</v>
      </c>
      <c r="S2229" s="2">
        <v>45445</v>
      </c>
      <c r="T2229" s="1">
        <v>252.34</v>
      </c>
      <c r="U2229" s="1">
        <v>0.47499999999999998</v>
      </c>
      <c r="V2229" s="6">
        <f t="shared" si="102"/>
        <v>37457.550000000003</v>
      </c>
      <c r="W2229" s="6" t="str">
        <f t="shared" si="103"/>
        <v>Sufficient</v>
      </c>
      <c r="X2229" s="8" t="str">
        <f t="shared" si="104"/>
        <v>Medium</v>
      </c>
    </row>
    <row r="2230" spans="1:24">
      <c r="A2230" s="7" t="s">
        <v>2360</v>
      </c>
      <c r="B2230" s="1" t="s">
        <v>66</v>
      </c>
      <c r="C2230" s="1">
        <v>266</v>
      </c>
      <c r="D2230" s="1">
        <v>42</v>
      </c>
      <c r="E2230" s="1">
        <v>6</v>
      </c>
      <c r="F2230" s="1">
        <v>3</v>
      </c>
      <c r="G2230" s="1">
        <v>13.28</v>
      </c>
      <c r="H2230" s="1" t="s">
        <v>176</v>
      </c>
      <c r="I2230" s="1" t="s">
        <v>31</v>
      </c>
      <c r="J2230" s="1">
        <v>114</v>
      </c>
      <c r="K2230" s="1">
        <v>3.12</v>
      </c>
      <c r="L2230" s="4">
        <v>93.37</v>
      </c>
      <c r="M2230" s="1">
        <v>1.83</v>
      </c>
      <c r="N2230" s="1">
        <v>6</v>
      </c>
      <c r="O2230" s="1">
        <v>0.97</v>
      </c>
      <c r="P2230" s="1">
        <v>281</v>
      </c>
      <c r="Q2230" s="1">
        <v>4.13</v>
      </c>
      <c r="R2230" s="1">
        <v>0.28000000000000003</v>
      </c>
      <c r="S2230" s="2">
        <v>45651</v>
      </c>
      <c r="T2230" s="1">
        <v>247.84</v>
      </c>
      <c r="U2230" s="1">
        <v>0.40200000000000002</v>
      </c>
      <c r="V2230" s="6">
        <f t="shared" si="102"/>
        <v>24836.420000000002</v>
      </c>
      <c r="W2230" s="6" t="str">
        <f t="shared" si="103"/>
        <v>Sufficient</v>
      </c>
      <c r="X2230" s="8" t="str">
        <f t="shared" si="104"/>
        <v>High</v>
      </c>
    </row>
    <row r="2231" spans="1:24">
      <c r="A2231" s="7" t="s">
        <v>2361</v>
      </c>
      <c r="B2231" s="1" t="s">
        <v>25</v>
      </c>
      <c r="C2231" s="1">
        <v>207</v>
      </c>
      <c r="D2231" s="1">
        <v>76</v>
      </c>
      <c r="E2231" s="1">
        <v>5</v>
      </c>
      <c r="F2231" s="1">
        <v>9</v>
      </c>
      <c r="G2231" s="1">
        <v>4.92</v>
      </c>
      <c r="H2231" s="1" t="s">
        <v>176</v>
      </c>
      <c r="I2231" s="1" t="s">
        <v>31</v>
      </c>
      <c r="J2231" s="1">
        <v>81</v>
      </c>
      <c r="K2231" s="1">
        <v>4.6399999999999997</v>
      </c>
      <c r="L2231" s="4">
        <v>91.48</v>
      </c>
      <c r="M2231" s="1">
        <v>0.16</v>
      </c>
      <c r="N2231" s="1">
        <v>5</v>
      </c>
      <c r="O2231" s="1">
        <v>0.85</v>
      </c>
      <c r="P2231" s="1">
        <v>937</v>
      </c>
      <c r="Q2231" s="1">
        <v>13.07</v>
      </c>
      <c r="R2231" s="1">
        <v>0.56000000000000005</v>
      </c>
      <c r="S2231" s="2">
        <v>45572</v>
      </c>
      <c r="T2231" s="1">
        <v>21.65</v>
      </c>
      <c r="U2231" s="1">
        <v>0.74</v>
      </c>
      <c r="V2231" s="6">
        <f t="shared" si="102"/>
        <v>18936.36</v>
      </c>
      <c r="W2231" s="6" t="str">
        <f t="shared" si="103"/>
        <v>Sufficient</v>
      </c>
      <c r="X2231" s="8" t="str">
        <f t="shared" si="104"/>
        <v>Medium</v>
      </c>
    </row>
    <row r="2232" spans="1:24">
      <c r="A2232" s="7" t="s">
        <v>2362</v>
      </c>
      <c r="B2232" s="1" t="s">
        <v>33</v>
      </c>
      <c r="C2232" s="1">
        <v>102</v>
      </c>
      <c r="D2232" s="1">
        <v>39</v>
      </c>
      <c r="E2232" s="1">
        <v>4</v>
      </c>
      <c r="F2232" s="1">
        <v>6</v>
      </c>
      <c r="G2232" s="1">
        <v>20.76</v>
      </c>
      <c r="H2232" s="1" t="s">
        <v>135</v>
      </c>
      <c r="I2232" s="1" t="s">
        <v>39</v>
      </c>
      <c r="J2232" s="1">
        <v>148</v>
      </c>
      <c r="K2232" s="1">
        <v>3.97</v>
      </c>
      <c r="L2232" s="4">
        <v>52.81</v>
      </c>
      <c r="M2232" s="1">
        <v>1.56</v>
      </c>
      <c r="N2232" s="1">
        <v>3</v>
      </c>
      <c r="O2232" s="1">
        <v>0.82</v>
      </c>
      <c r="P2232" s="1">
        <v>547</v>
      </c>
      <c r="Q2232" s="1">
        <v>7.8</v>
      </c>
      <c r="R2232" s="1">
        <v>0.28999999999999998</v>
      </c>
      <c r="S2232" s="2">
        <v>45452</v>
      </c>
      <c r="T2232" s="1">
        <v>215.74</v>
      </c>
      <c r="U2232" s="1">
        <v>0.51</v>
      </c>
      <c r="V2232" s="6">
        <f t="shared" si="102"/>
        <v>5386.62</v>
      </c>
      <c r="W2232" s="6" t="str">
        <f t="shared" si="103"/>
        <v>Sufficient</v>
      </c>
      <c r="X2232" s="8" t="str">
        <f t="shared" si="104"/>
        <v>Medium</v>
      </c>
    </row>
    <row r="2233" spans="1:24">
      <c r="A2233" s="7" t="s">
        <v>2363</v>
      </c>
      <c r="B2233" s="1" t="s">
        <v>29</v>
      </c>
      <c r="C2233" s="1">
        <v>205</v>
      </c>
      <c r="D2233" s="1">
        <v>85</v>
      </c>
      <c r="E2233" s="1">
        <v>7</v>
      </c>
      <c r="F2233" s="1">
        <v>2</v>
      </c>
      <c r="G2233" s="1">
        <v>19.329999999999998</v>
      </c>
      <c r="H2233" s="1" t="s">
        <v>274</v>
      </c>
      <c r="I2233" s="1" t="s">
        <v>45</v>
      </c>
      <c r="J2233" s="1">
        <v>38</v>
      </c>
      <c r="K2233" s="1">
        <v>3.19</v>
      </c>
      <c r="L2233" s="4">
        <v>106.3</v>
      </c>
      <c r="M2233" s="1">
        <v>1.82</v>
      </c>
      <c r="N2233" s="1">
        <v>2</v>
      </c>
      <c r="O2233" s="1">
        <v>0.97</v>
      </c>
      <c r="P2233" s="1">
        <v>472</v>
      </c>
      <c r="Q2233" s="1">
        <v>7.33</v>
      </c>
      <c r="R2233" s="1">
        <v>0.65</v>
      </c>
      <c r="S2233" s="2">
        <v>45656</v>
      </c>
      <c r="T2233" s="1">
        <v>54.52</v>
      </c>
      <c r="U2233" s="1">
        <v>0.6</v>
      </c>
      <c r="V2233" s="6">
        <f t="shared" si="102"/>
        <v>21791.5</v>
      </c>
      <c r="W2233" s="6" t="str">
        <f t="shared" si="103"/>
        <v>Sufficient</v>
      </c>
      <c r="X2233" s="8" t="str">
        <f t="shared" si="104"/>
        <v>Medium</v>
      </c>
    </row>
    <row r="2234" spans="1:24">
      <c r="A2234" s="7" t="s">
        <v>2364</v>
      </c>
      <c r="B2234" s="1" t="s">
        <v>25</v>
      </c>
      <c r="C2234" s="1">
        <v>271</v>
      </c>
      <c r="D2234" s="1">
        <v>38</v>
      </c>
      <c r="E2234" s="1">
        <v>6</v>
      </c>
      <c r="F2234" s="1">
        <v>7</v>
      </c>
      <c r="G2234" s="1">
        <v>14.25</v>
      </c>
      <c r="H2234" s="1" t="s">
        <v>145</v>
      </c>
      <c r="I2234" s="1" t="s">
        <v>39</v>
      </c>
      <c r="J2234" s="1">
        <v>56</v>
      </c>
      <c r="K2234" s="1">
        <v>0.6</v>
      </c>
      <c r="L2234" s="4">
        <v>94.01</v>
      </c>
      <c r="M2234" s="1">
        <v>1.56</v>
      </c>
      <c r="N2234" s="1">
        <v>3</v>
      </c>
      <c r="O2234" s="1">
        <v>0.88</v>
      </c>
      <c r="P2234" s="1">
        <v>516</v>
      </c>
      <c r="Q2234" s="1">
        <v>7.92</v>
      </c>
      <c r="R2234" s="1">
        <v>0.51</v>
      </c>
      <c r="S2234" s="2">
        <v>45575</v>
      </c>
      <c r="T2234" s="1">
        <v>187</v>
      </c>
      <c r="U2234" s="1">
        <v>0.56799999999999995</v>
      </c>
      <c r="V2234" s="6">
        <f t="shared" si="102"/>
        <v>25476.710000000003</v>
      </c>
      <c r="W2234" s="6" t="str">
        <f t="shared" si="103"/>
        <v>Sufficient</v>
      </c>
      <c r="X2234" s="8" t="str">
        <f t="shared" si="104"/>
        <v>High</v>
      </c>
    </row>
    <row r="2235" spans="1:24">
      <c r="A2235" s="7" t="s">
        <v>2365</v>
      </c>
      <c r="B2235" s="1" t="s">
        <v>29</v>
      </c>
      <c r="C2235" s="1">
        <v>374</v>
      </c>
      <c r="D2235" s="1">
        <v>12</v>
      </c>
      <c r="E2235" s="1">
        <v>10</v>
      </c>
      <c r="F2235" s="1">
        <v>5</v>
      </c>
      <c r="G2235" s="1">
        <v>15.55</v>
      </c>
      <c r="H2235" s="1" t="s">
        <v>153</v>
      </c>
      <c r="I2235" s="1" t="s">
        <v>31</v>
      </c>
      <c r="J2235" s="1">
        <v>120</v>
      </c>
      <c r="K2235" s="1">
        <v>2</v>
      </c>
      <c r="L2235" s="4">
        <v>75.64</v>
      </c>
      <c r="M2235" s="1">
        <v>1.51</v>
      </c>
      <c r="N2235" s="1">
        <v>0</v>
      </c>
      <c r="O2235" s="1">
        <v>0.79</v>
      </c>
      <c r="P2235" s="1">
        <v>296</v>
      </c>
      <c r="Q2235" s="1">
        <v>3.43</v>
      </c>
      <c r="R2235" s="1">
        <v>0.94</v>
      </c>
      <c r="S2235" s="2">
        <v>45615</v>
      </c>
      <c r="T2235" s="1">
        <v>196.7</v>
      </c>
      <c r="U2235" s="1">
        <v>0.64100000000000001</v>
      </c>
      <c r="V2235" s="6">
        <f t="shared" si="102"/>
        <v>28289.360000000001</v>
      </c>
      <c r="W2235" s="6" t="str">
        <f t="shared" si="103"/>
        <v>Sufficient</v>
      </c>
      <c r="X2235" s="8" t="str">
        <f t="shared" si="104"/>
        <v>High</v>
      </c>
    </row>
    <row r="2236" spans="1:24">
      <c r="A2236" s="7" t="s">
        <v>2366</v>
      </c>
      <c r="B2236" s="1" t="s">
        <v>41</v>
      </c>
      <c r="C2236" s="1">
        <v>257</v>
      </c>
      <c r="D2236" s="1">
        <v>99</v>
      </c>
      <c r="E2236" s="1">
        <v>9</v>
      </c>
      <c r="F2236" s="1">
        <v>7</v>
      </c>
      <c r="G2236" s="1">
        <v>18.66</v>
      </c>
      <c r="H2236" s="1" t="s">
        <v>274</v>
      </c>
      <c r="I2236" s="1" t="s">
        <v>31</v>
      </c>
      <c r="J2236" s="1">
        <v>16</v>
      </c>
      <c r="K2236" s="1">
        <v>0.76</v>
      </c>
      <c r="L2236" s="4">
        <v>94.12</v>
      </c>
      <c r="M2236" s="1">
        <v>1.7</v>
      </c>
      <c r="N2236" s="1">
        <v>8</v>
      </c>
      <c r="O2236" s="1">
        <v>0.87</v>
      </c>
      <c r="P2236" s="1">
        <v>419</v>
      </c>
      <c r="Q2236" s="1">
        <v>9.7899999999999991</v>
      </c>
      <c r="R2236" s="1">
        <v>0.54</v>
      </c>
      <c r="S2236" s="2">
        <v>45403</v>
      </c>
      <c r="T2236" s="1">
        <v>202.92</v>
      </c>
      <c r="U2236" s="1">
        <v>0.48299999999999998</v>
      </c>
      <c r="V2236" s="6">
        <f t="shared" si="102"/>
        <v>24188.84</v>
      </c>
      <c r="W2236" s="6" t="str">
        <f t="shared" si="103"/>
        <v>Sufficient</v>
      </c>
      <c r="X2236" s="8" t="str">
        <f t="shared" si="104"/>
        <v>High</v>
      </c>
    </row>
    <row r="2237" spans="1:24">
      <c r="A2237" s="7" t="s">
        <v>2367</v>
      </c>
      <c r="B2237" s="1" t="s">
        <v>25</v>
      </c>
      <c r="C2237" s="1">
        <v>379</v>
      </c>
      <c r="D2237" s="1">
        <v>66</v>
      </c>
      <c r="E2237" s="1">
        <v>8</v>
      </c>
      <c r="F2237" s="1">
        <v>5</v>
      </c>
      <c r="G2237" s="1">
        <v>49.45</v>
      </c>
      <c r="H2237" s="1" t="s">
        <v>55</v>
      </c>
      <c r="I2237" s="1" t="s">
        <v>39</v>
      </c>
      <c r="J2237" s="1">
        <v>126</v>
      </c>
      <c r="K2237" s="1">
        <v>1.95</v>
      </c>
      <c r="L2237" s="4">
        <v>82.93</v>
      </c>
      <c r="M2237" s="1">
        <v>1.37</v>
      </c>
      <c r="N2237" s="1">
        <v>1</v>
      </c>
      <c r="O2237" s="1">
        <v>1</v>
      </c>
      <c r="P2237" s="1">
        <v>562</v>
      </c>
      <c r="Q2237" s="1">
        <v>12.31</v>
      </c>
      <c r="R2237" s="1">
        <v>0.69</v>
      </c>
      <c r="S2237" s="2">
        <v>45394</v>
      </c>
      <c r="T2237" s="1">
        <v>44.83</v>
      </c>
      <c r="U2237" s="1">
        <v>0.745</v>
      </c>
      <c r="V2237" s="6">
        <f t="shared" si="102"/>
        <v>31430.47</v>
      </c>
      <c r="W2237" s="6" t="str">
        <f t="shared" si="103"/>
        <v>Sufficient</v>
      </c>
      <c r="X2237" s="8" t="str">
        <f t="shared" si="104"/>
        <v>High</v>
      </c>
    </row>
    <row r="2238" spans="1:24">
      <c r="A2238" s="7" t="s">
        <v>2368</v>
      </c>
      <c r="B2238" s="1" t="s">
        <v>41</v>
      </c>
      <c r="C2238" s="1">
        <v>203</v>
      </c>
      <c r="D2238" s="1">
        <v>39</v>
      </c>
      <c r="E2238" s="1">
        <v>13</v>
      </c>
      <c r="F2238" s="1">
        <v>2</v>
      </c>
      <c r="G2238" s="1">
        <v>39.36</v>
      </c>
      <c r="H2238" s="1" t="s">
        <v>72</v>
      </c>
      <c r="I2238" s="1" t="s">
        <v>45</v>
      </c>
      <c r="J2238" s="1">
        <v>73</v>
      </c>
      <c r="K2238" s="1">
        <v>0.78</v>
      </c>
      <c r="L2238" s="4">
        <v>188.58</v>
      </c>
      <c r="M2238" s="1">
        <v>0.9</v>
      </c>
      <c r="N2238" s="1">
        <v>1</v>
      </c>
      <c r="O2238" s="1">
        <v>0.95</v>
      </c>
      <c r="P2238" s="1">
        <v>828</v>
      </c>
      <c r="Q2238" s="1">
        <v>12.72</v>
      </c>
      <c r="R2238" s="1">
        <v>0.85</v>
      </c>
      <c r="S2238" s="2">
        <v>45399</v>
      </c>
      <c r="T2238" s="1">
        <v>183.51</v>
      </c>
      <c r="U2238" s="1">
        <v>0.82</v>
      </c>
      <c r="V2238" s="6">
        <f t="shared" si="102"/>
        <v>38281.740000000005</v>
      </c>
      <c r="W2238" s="6" t="str">
        <f t="shared" si="103"/>
        <v>Sufficient</v>
      </c>
      <c r="X2238" s="8" t="str">
        <f t="shared" si="104"/>
        <v>Medium</v>
      </c>
    </row>
    <row r="2239" spans="1:24">
      <c r="A2239" s="7" t="s">
        <v>2369</v>
      </c>
      <c r="B2239" s="1" t="s">
        <v>25</v>
      </c>
      <c r="C2239" s="1">
        <v>303</v>
      </c>
      <c r="D2239" s="1">
        <v>18</v>
      </c>
      <c r="E2239" s="1">
        <v>14</v>
      </c>
      <c r="F2239" s="1">
        <v>5</v>
      </c>
      <c r="G2239" s="1">
        <v>4.5</v>
      </c>
      <c r="H2239" s="1" t="s">
        <v>72</v>
      </c>
      <c r="I2239" s="1" t="s">
        <v>27</v>
      </c>
      <c r="J2239" s="1">
        <v>91</v>
      </c>
      <c r="K2239" s="1">
        <v>1.26</v>
      </c>
      <c r="L2239" s="4">
        <v>196.25</v>
      </c>
      <c r="M2239" s="1">
        <v>0.22</v>
      </c>
      <c r="N2239" s="1">
        <v>2</v>
      </c>
      <c r="O2239" s="1">
        <v>0.78</v>
      </c>
      <c r="P2239" s="1">
        <v>154</v>
      </c>
      <c r="Q2239" s="1">
        <v>1.43</v>
      </c>
      <c r="R2239" s="1">
        <v>0.44</v>
      </c>
      <c r="S2239" s="2">
        <v>45611</v>
      </c>
      <c r="T2239" s="1">
        <v>38.96</v>
      </c>
      <c r="U2239" s="1">
        <v>0.60099999999999998</v>
      </c>
      <c r="V2239" s="6">
        <f t="shared" si="102"/>
        <v>59463.75</v>
      </c>
      <c r="W2239" s="6" t="str">
        <f t="shared" si="103"/>
        <v>Sufficient</v>
      </c>
      <c r="X2239" s="8" t="str">
        <f t="shared" si="104"/>
        <v>High</v>
      </c>
    </row>
    <row r="2240" spans="1:24">
      <c r="A2240" s="7" t="s">
        <v>2370</v>
      </c>
      <c r="B2240" s="1" t="s">
        <v>25</v>
      </c>
      <c r="C2240" s="1">
        <v>404</v>
      </c>
      <c r="D2240" s="1">
        <v>35</v>
      </c>
      <c r="E2240" s="1">
        <v>4</v>
      </c>
      <c r="F2240" s="1">
        <v>2</v>
      </c>
      <c r="G2240" s="1">
        <v>43.75</v>
      </c>
      <c r="H2240" s="1" t="s">
        <v>137</v>
      </c>
      <c r="I2240" s="1" t="s">
        <v>39</v>
      </c>
      <c r="J2240" s="1">
        <v>73</v>
      </c>
      <c r="K2240" s="1">
        <v>2.35</v>
      </c>
      <c r="L2240" s="4">
        <v>169.58</v>
      </c>
      <c r="M2240" s="1">
        <v>1.6</v>
      </c>
      <c r="N2240" s="1">
        <v>0</v>
      </c>
      <c r="O2240" s="1">
        <v>0.99</v>
      </c>
      <c r="P2240" s="1">
        <v>283</v>
      </c>
      <c r="Q2240" s="1">
        <v>11.01</v>
      </c>
      <c r="R2240" s="1">
        <v>0.61</v>
      </c>
      <c r="S2240" s="2">
        <v>45440</v>
      </c>
      <c r="T2240" s="1">
        <v>226.21</v>
      </c>
      <c r="U2240" s="1">
        <v>0.70699999999999996</v>
      </c>
      <c r="V2240" s="6">
        <f t="shared" si="102"/>
        <v>68510.320000000007</v>
      </c>
      <c r="W2240" s="6" t="str">
        <f t="shared" si="103"/>
        <v>Sufficient</v>
      </c>
      <c r="X2240" s="8" t="str">
        <f t="shared" si="104"/>
        <v>High</v>
      </c>
    </row>
    <row r="2241" spans="1:24">
      <c r="A2241" s="7" t="s">
        <v>2371</v>
      </c>
      <c r="B2241" s="1" t="s">
        <v>41</v>
      </c>
      <c r="C2241" s="1">
        <v>445</v>
      </c>
      <c r="D2241" s="1">
        <v>11</v>
      </c>
      <c r="E2241" s="1">
        <v>5</v>
      </c>
      <c r="F2241" s="1">
        <v>6</v>
      </c>
      <c r="G2241" s="1">
        <v>32.03</v>
      </c>
      <c r="H2241" s="1" t="s">
        <v>327</v>
      </c>
      <c r="I2241" s="1" t="s">
        <v>31</v>
      </c>
      <c r="J2241" s="1">
        <v>101</v>
      </c>
      <c r="K2241" s="1">
        <v>2.82</v>
      </c>
      <c r="L2241" s="4">
        <v>198.18</v>
      </c>
      <c r="M2241" s="1">
        <v>1.82</v>
      </c>
      <c r="N2241" s="1">
        <v>9</v>
      </c>
      <c r="O2241" s="1">
        <v>0.99</v>
      </c>
      <c r="P2241" s="1">
        <v>507</v>
      </c>
      <c r="Q2241" s="1">
        <v>2.2799999999999998</v>
      </c>
      <c r="R2241" s="1">
        <v>0.3</v>
      </c>
      <c r="S2241" s="2">
        <v>45643</v>
      </c>
      <c r="T2241" s="1">
        <v>28.49</v>
      </c>
      <c r="U2241" s="1">
        <v>0.32600000000000001</v>
      </c>
      <c r="V2241" s="6">
        <f t="shared" si="102"/>
        <v>88190.1</v>
      </c>
      <c r="W2241" s="6" t="str">
        <f t="shared" si="103"/>
        <v>Sufficient</v>
      </c>
      <c r="X2241" s="8" t="str">
        <f t="shared" si="104"/>
        <v>High</v>
      </c>
    </row>
    <row r="2242" spans="1:24">
      <c r="A2242" s="7" t="s">
        <v>2372</v>
      </c>
      <c r="B2242" s="1" t="s">
        <v>33</v>
      </c>
      <c r="C2242" s="1">
        <v>229</v>
      </c>
      <c r="D2242" s="1">
        <v>71</v>
      </c>
      <c r="E2242" s="1">
        <v>12</v>
      </c>
      <c r="F2242" s="1">
        <v>8</v>
      </c>
      <c r="G2242" s="1">
        <v>44.64</v>
      </c>
      <c r="H2242" s="1" t="s">
        <v>269</v>
      </c>
      <c r="I2242" s="1" t="s">
        <v>27</v>
      </c>
      <c r="J2242" s="1">
        <v>21</v>
      </c>
      <c r="K2242" s="1">
        <v>1.48</v>
      </c>
      <c r="L2242" s="4">
        <v>60.49</v>
      </c>
      <c r="M2242" s="1">
        <v>1.07</v>
      </c>
      <c r="N2242" s="1">
        <v>2</v>
      </c>
      <c r="O2242" s="1">
        <v>0.77</v>
      </c>
      <c r="P2242" s="1">
        <v>306</v>
      </c>
      <c r="Q2242" s="1">
        <v>14.54</v>
      </c>
      <c r="R2242" s="1">
        <v>0.55000000000000004</v>
      </c>
      <c r="S2242" s="2">
        <v>45468</v>
      </c>
      <c r="T2242" s="1">
        <v>229.77</v>
      </c>
      <c r="U2242" s="1">
        <v>0.71099999999999997</v>
      </c>
      <c r="V2242" s="6">
        <f t="shared" si="102"/>
        <v>13852.210000000001</v>
      </c>
      <c r="W2242" s="6" t="str">
        <f t="shared" si="103"/>
        <v>Sufficient</v>
      </c>
      <c r="X2242" s="8" t="str">
        <f t="shared" si="104"/>
        <v>Medium</v>
      </c>
    </row>
    <row r="2243" spans="1:24">
      <c r="A2243" s="7" t="s">
        <v>2373</v>
      </c>
      <c r="B2243" s="1" t="s">
        <v>66</v>
      </c>
      <c r="C2243" s="1">
        <v>323</v>
      </c>
      <c r="D2243" s="1">
        <v>12</v>
      </c>
      <c r="E2243" s="1">
        <v>11</v>
      </c>
      <c r="F2243" s="1">
        <v>4</v>
      </c>
      <c r="G2243" s="1">
        <v>17.739999999999998</v>
      </c>
      <c r="H2243" s="1" t="s">
        <v>350</v>
      </c>
      <c r="I2243" s="1" t="s">
        <v>39</v>
      </c>
      <c r="J2243" s="1">
        <v>21</v>
      </c>
      <c r="K2243" s="1">
        <v>3.8</v>
      </c>
      <c r="L2243" s="4">
        <v>170.16</v>
      </c>
      <c r="M2243" s="1">
        <v>1.1100000000000001</v>
      </c>
      <c r="N2243" s="1">
        <v>3</v>
      </c>
      <c r="O2243" s="1">
        <v>0.97</v>
      </c>
      <c r="P2243" s="1">
        <v>524</v>
      </c>
      <c r="Q2243" s="1">
        <v>7.75</v>
      </c>
      <c r="R2243" s="1">
        <v>0.5</v>
      </c>
      <c r="S2243" s="2">
        <v>45636</v>
      </c>
      <c r="T2243" s="1">
        <v>266.20999999999998</v>
      </c>
      <c r="U2243" s="1">
        <v>0.626</v>
      </c>
      <c r="V2243" s="6">
        <f t="shared" si="102"/>
        <v>54961.68</v>
      </c>
      <c r="W2243" s="6" t="str">
        <f t="shared" si="103"/>
        <v>Sufficient</v>
      </c>
      <c r="X2243" s="8" t="str">
        <f t="shared" si="104"/>
        <v>High</v>
      </c>
    </row>
    <row r="2244" spans="1:24">
      <c r="A2244" s="7" t="s">
        <v>2374</v>
      </c>
      <c r="B2244" s="1" t="s">
        <v>29</v>
      </c>
      <c r="C2244" s="1">
        <v>315</v>
      </c>
      <c r="D2244" s="1">
        <v>55</v>
      </c>
      <c r="E2244" s="1">
        <v>11</v>
      </c>
      <c r="F2244" s="1">
        <v>5</v>
      </c>
      <c r="G2244" s="1">
        <v>23.76</v>
      </c>
      <c r="H2244" s="1" t="s">
        <v>124</v>
      </c>
      <c r="I2244" s="1" t="s">
        <v>27</v>
      </c>
      <c r="J2244" s="1">
        <v>45</v>
      </c>
      <c r="K2244" s="1">
        <v>3.16</v>
      </c>
      <c r="L2244" s="4">
        <v>87.26</v>
      </c>
      <c r="M2244" s="1">
        <v>0.87</v>
      </c>
      <c r="N2244" s="1">
        <v>8</v>
      </c>
      <c r="O2244" s="1">
        <v>0.96</v>
      </c>
      <c r="P2244" s="1">
        <v>642</v>
      </c>
      <c r="Q2244" s="1">
        <v>11.86</v>
      </c>
      <c r="R2244" s="1">
        <v>0.54</v>
      </c>
      <c r="S2244" s="2">
        <v>45359</v>
      </c>
      <c r="T2244" s="1">
        <v>96.58</v>
      </c>
      <c r="U2244" s="1">
        <v>0.61099999999999999</v>
      </c>
      <c r="V2244" s="6">
        <f t="shared" ref="V2244:V2307" si="105">C2244*L2244</f>
        <v>27486.9</v>
      </c>
      <c r="W2244" s="6" t="str">
        <f t="shared" ref="W2244:W2307" si="106">IF(C2244&lt;=D2244,"Reorder Required","Sufficient")</f>
        <v>Sufficient</v>
      </c>
      <c r="X2244" s="8" t="str">
        <f t="shared" ref="X2244:X2307" si="107">IF(C2244&lt;100,"LOW",IF(C2244&lt;250,"Medium","High"))</f>
        <v>High</v>
      </c>
    </row>
    <row r="2245" spans="1:24">
      <c r="A2245" s="7" t="s">
        <v>2375</v>
      </c>
      <c r="B2245" s="1" t="s">
        <v>25</v>
      </c>
      <c r="C2245" s="1">
        <v>116</v>
      </c>
      <c r="D2245" s="1">
        <v>77</v>
      </c>
      <c r="E2245" s="1">
        <v>7</v>
      </c>
      <c r="F2245" s="1">
        <v>2</v>
      </c>
      <c r="G2245" s="1">
        <v>44.92</v>
      </c>
      <c r="H2245" s="1" t="s">
        <v>26</v>
      </c>
      <c r="I2245" s="1" t="s">
        <v>39</v>
      </c>
      <c r="J2245" s="1">
        <v>38</v>
      </c>
      <c r="K2245" s="1">
        <v>3.61</v>
      </c>
      <c r="L2245" s="4">
        <v>151.77000000000001</v>
      </c>
      <c r="M2245" s="1">
        <v>1.73</v>
      </c>
      <c r="N2245" s="1">
        <v>4</v>
      </c>
      <c r="O2245" s="1">
        <v>0.71</v>
      </c>
      <c r="P2245" s="1">
        <v>684</v>
      </c>
      <c r="Q2245" s="1">
        <v>9.7100000000000009</v>
      </c>
      <c r="R2245" s="1">
        <v>0.28999999999999998</v>
      </c>
      <c r="S2245" s="2">
        <v>45655</v>
      </c>
      <c r="T2245" s="1">
        <v>235.7</v>
      </c>
      <c r="U2245" s="1">
        <v>0.47599999999999998</v>
      </c>
      <c r="V2245" s="6">
        <f t="shared" si="105"/>
        <v>17605.32</v>
      </c>
      <c r="W2245" s="6" t="str">
        <f t="shared" si="106"/>
        <v>Sufficient</v>
      </c>
      <c r="X2245" s="8" t="str">
        <f t="shared" si="107"/>
        <v>Medium</v>
      </c>
    </row>
    <row r="2246" spans="1:24">
      <c r="A2246" s="7" t="s">
        <v>2376</v>
      </c>
      <c r="B2246" s="1" t="s">
        <v>29</v>
      </c>
      <c r="C2246" s="1">
        <v>466</v>
      </c>
      <c r="D2246" s="1">
        <v>34</v>
      </c>
      <c r="E2246" s="1">
        <v>5</v>
      </c>
      <c r="F2246" s="1">
        <v>7</v>
      </c>
      <c r="G2246" s="1">
        <v>14.36</v>
      </c>
      <c r="H2246" s="1" t="s">
        <v>269</v>
      </c>
      <c r="I2246" s="1" t="s">
        <v>31</v>
      </c>
      <c r="J2246" s="1">
        <v>148</v>
      </c>
      <c r="K2246" s="1">
        <v>3.8</v>
      </c>
      <c r="L2246" s="4">
        <v>48.26</v>
      </c>
      <c r="M2246" s="1">
        <v>0.13</v>
      </c>
      <c r="N2246" s="1">
        <v>5</v>
      </c>
      <c r="O2246" s="1">
        <v>0.9</v>
      </c>
      <c r="P2246" s="1">
        <v>221</v>
      </c>
      <c r="Q2246" s="1">
        <v>14.33</v>
      </c>
      <c r="R2246" s="1">
        <v>0.52</v>
      </c>
      <c r="S2246" s="2">
        <v>45624</v>
      </c>
      <c r="T2246" s="1">
        <v>131.08000000000001</v>
      </c>
      <c r="U2246" s="1">
        <v>0.76200000000000001</v>
      </c>
      <c r="V2246" s="6">
        <f t="shared" si="105"/>
        <v>22489.16</v>
      </c>
      <c r="W2246" s="6" t="str">
        <f t="shared" si="106"/>
        <v>Sufficient</v>
      </c>
      <c r="X2246" s="8" t="str">
        <f t="shared" si="107"/>
        <v>High</v>
      </c>
    </row>
    <row r="2247" spans="1:24">
      <c r="A2247" s="7" t="s">
        <v>2377</v>
      </c>
      <c r="B2247" s="1" t="s">
        <v>41</v>
      </c>
      <c r="C2247" s="1">
        <v>479</v>
      </c>
      <c r="D2247" s="1">
        <v>60</v>
      </c>
      <c r="E2247" s="1">
        <v>4</v>
      </c>
      <c r="F2247" s="1">
        <v>2</v>
      </c>
      <c r="G2247" s="1">
        <v>45.86</v>
      </c>
      <c r="H2247" s="1" t="s">
        <v>171</v>
      </c>
      <c r="I2247" s="1" t="s">
        <v>39</v>
      </c>
      <c r="J2247" s="1">
        <v>94</v>
      </c>
      <c r="K2247" s="1">
        <v>3.77</v>
      </c>
      <c r="L2247" s="4">
        <v>164.27</v>
      </c>
      <c r="M2247" s="1">
        <v>1.29</v>
      </c>
      <c r="N2247" s="1">
        <v>0</v>
      </c>
      <c r="O2247" s="1">
        <v>0.79</v>
      </c>
      <c r="P2247" s="1">
        <v>868</v>
      </c>
      <c r="Q2247" s="1">
        <v>14.63</v>
      </c>
      <c r="R2247" s="1">
        <v>0.9</v>
      </c>
      <c r="S2247" s="2">
        <v>45383</v>
      </c>
      <c r="T2247" s="1">
        <v>241.34</v>
      </c>
      <c r="U2247" s="1">
        <v>0.80400000000000005</v>
      </c>
      <c r="V2247" s="6">
        <f t="shared" si="105"/>
        <v>78685.33</v>
      </c>
      <c r="W2247" s="6" t="str">
        <f t="shared" si="106"/>
        <v>Sufficient</v>
      </c>
      <c r="X2247" s="8" t="str">
        <f t="shared" si="107"/>
        <v>High</v>
      </c>
    </row>
    <row r="2248" spans="1:24">
      <c r="A2248" s="7" t="s">
        <v>2378</v>
      </c>
      <c r="B2248" s="1" t="s">
        <v>29</v>
      </c>
      <c r="C2248" s="1">
        <v>475</v>
      </c>
      <c r="D2248" s="1">
        <v>22</v>
      </c>
      <c r="E2248" s="1">
        <v>10</v>
      </c>
      <c r="F2248" s="1">
        <v>7</v>
      </c>
      <c r="G2248" s="1">
        <v>41.6</v>
      </c>
      <c r="H2248" s="1" t="s">
        <v>276</v>
      </c>
      <c r="I2248" s="1" t="s">
        <v>27</v>
      </c>
      <c r="J2248" s="1">
        <v>83</v>
      </c>
      <c r="K2248" s="1">
        <v>4.71</v>
      </c>
      <c r="L2248" s="4">
        <v>25.86</v>
      </c>
      <c r="M2248" s="1">
        <v>1.82</v>
      </c>
      <c r="N2248" s="1">
        <v>2</v>
      </c>
      <c r="O2248" s="1">
        <v>0.9</v>
      </c>
      <c r="P2248" s="1">
        <v>322</v>
      </c>
      <c r="Q2248" s="1">
        <v>4.9000000000000004</v>
      </c>
      <c r="R2248" s="1">
        <v>0.95</v>
      </c>
      <c r="S2248" s="2">
        <v>45549</v>
      </c>
      <c r="T2248" s="1">
        <v>209.01</v>
      </c>
      <c r="U2248" s="1">
        <v>0.61299999999999999</v>
      </c>
      <c r="V2248" s="6">
        <f t="shared" si="105"/>
        <v>12283.5</v>
      </c>
      <c r="W2248" s="6" t="str">
        <f t="shared" si="106"/>
        <v>Sufficient</v>
      </c>
      <c r="X2248" s="8" t="str">
        <f t="shared" si="107"/>
        <v>High</v>
      </c>
    </row>
    <row r="2249" spans="1:24">
      <c r="A2249" s="7" t="s">
        <v>2379</v>
      </c>
      <c r="B2249" s="1" t="s">
        <v>41</v>
      </c>
      <c r="C2249" s="1">
        <v>491</v>
      </c>
      <c r="D2249" s="1">
        <v>53</v>
      </c>
      <c r="E2249" s="1">
        <v>8</v>
      </c>
      <c r="F2249" s="1">
        <v>9</v>
      </c>
      <c r="G2249" s="1">
        <v>49.05</v>
      </c>
      <c r="H2249" s="1" t="s">
        <v>238</v>
      </c>
      <c r="I2249" s="1" t="s">
        <v>45</v>
      </c>
      <c r="J2249" s="1">
        <v>56</v>
      </c>
      <c r="K2249" s="1">
        <v>1.57</v>
      </c>
      <c r="L2249" s="4">
        <v>61.41</v>
      </c>
      <c r="M2249" s="1">
        <v>0.3</v>
      </c>
      <c r="N2249" s="1">
        <v>6</v>
      </c>
      <c r="O2249" s="1">
        <v>0.97</v>
      </c>
      <c r="P2249" s="1">
        <v>920</v>
      </c>
      <c r="Q2249" s="1">
        <v>7.76</v>
      </c>
      <c r="R2249" s="1">
        <v>0.39</v>
      </c>
      <c r="S2249" s="2">
        <v>45569</v>
      </c>
      <c r="T2249" s="1">
        <v>93.85</v>
      </c>
      <c r="U2249" s="1">
        <v>0.625</v>
      </c>
      <c r="V2249" s="6">
        <f t="shared" si="105"/>
        <v>30152.309999999998</v>
      </c>
      <c r="W2249" s="6" t="str">
        <f t="shared" si="106"/>
        <v>Sufficient</v>
      </c>
      <c r="X2249" s="8" t="str">
        <f t="shared" si="107"/>
        <v>High</v>
      </c>
    </row>
    <row r="2250" spans="1:24">
      <c r="A2250" s="7" t="s">
        <v>2380</v>
      </c>
      <c r="B2250" s="1" t="s">
        <v>29</v>
      </c>
      <c r="C2250" s="1">
        <v>227</v>
      </c>
      <c r="D2250" s="1">
        <v>44</v>
      </c>
      <c r="E2250" s="1">
        <v>12</v>
      </c>
      <c r="F2250" s="1">
        <v>5</v>
      </c>
      <c r="G2250" s="1">
        <v>16.89</v>
      </c>
      <c r="H2250" s="1" t="s">
        <v>327</v>
      </c>
      <c r="I2250" s="1" t="s">
        <v>31</v>
      </c>
      <c r="J2250" s="1">
        <v>170</v>
      </c>
      <c r="K2250" s="1">
        <v>1.72</v>
      </c>
      <c r="L2250" s="4">
        <v>166.17</v>
      </c>
      <c r="M2250" s="1">
        <v>1.92</v>
      </c>
      <c r="N2250" s="1">
        <v>6</v>
      </c>
      <c r="O2250" s="1">
        <v>0.85</v>
      </c>
      <c r="P2250" s="1">
        <v>808</v>
      </c>
      <c r="Q2250" s="1">
        <v>8.06</v>
      </c>
      <c r="R2250" s="1">
        <v>0.44</v>
      </c>
      <c r="S2250" s="2">
        <v>45647</v>
      </c>
      <c r="T2250" s="1">
        <v>66.180000000000007</v>
      </c>
      <c r="U2250" s="1">
        <v>0.45300000000000001</v>
      </c>
      <c r="V2250" s="6">
        <f t="shared" si="105"/>
        <v>37720.589999999997</v>
      </c>
      <c r="W2250" s="6" t="str">
        <f t="shared" si="106"/>
        <v>Sufficient</v>
      </c>
      <c r="X2250" s="8" t="str">
        <f t="shared" si="107"/>
        <v>Medium</v>
      </c>
    </row>
    <row r="2251" spans="1:24">
      <c r="A2251" s="7" t="s">
        <v>2381</v>
      </c>
      <c r="B2251" s="1" t="s">
        <v>66</v>
      </c>
      <c r="C2251" s="1">
        <v>389</v>
      </c>
      <c r="D2251" s="1">
        <v>64</v>
      </c>
      <c r="E2251" s="1">
        <v>13</v>
      </c>
      <c r="F2251" s="1">
        <v>3</v>
      </c>
      <c r="G2251" s="1">
        <v>12.55</v>
      </c>
      <c r="H2251" s="1" t="s">
        <v>117</v>
      </c>
      <c r="I2251" s="1" t="s">
        <v>31</v>
      </c>
      <c r="J2251" s="1">
        <v>90</v>
      </c>
      <c r="K2251" s="1">
        <v>0.92</v>
      </c>
      <c r="L2251" s="4">
        <v>151.96</v>
      </c>
      <c r="M2251" s="1">
        <v>1.94</v>
      </c>
      <c r="N2251" s="1">
        <v>9</v>
      </c>
      <c r="O2251" s="1">
        <v>0.82</v>
      </c>
      <c r="P2251" s="1">
        <v>924</v>
      </c>
      <c r="Q2251" s="1">
        <v>3.49</v>
      </c>
      <c r="R2251" s="1">
        <v>0.21</v>
      </c>
      <c r="S2251" s="2">
        <v>45618</v>
      </c>
      <c r="T2251" s="1">
        <v>275.27999999999997</v>
      </c>
      <c r="U2251" s="1">
        <v>0.27900000000000003</v>
      </c>
      <c r="V2251" s="6">
        <f t="shared" si="105"/>
        <v>59112.44</v>
      </c>
      <c r="W2251" s="6" t="str">
        <f t="shared" si="106"/>
        <v>Sufficient</v>
      </c>
      <c r="X2251" s="8" t="str">
        <f t="shared" si="107"/>
        <v>High</v>
      </c>
    </row>
    <row r="2252" spans="1:24">
      <c r="A2252" s="7" t="s">
        <v>2382</v>
      </c>
      <c r="B2252" s="1" t="s">
        <v>66</v>
      </c>
      <c r="C2252" s="1">
        <v>407</v>
      </c>
      <c r="D2252" s="1">
        <v>96</v>
      </c>
      <c r="E2252" s="1">
        <v>14</v>
      </c>
      <c r="F2252" s="1">
        <v>7</v>
      </c>
      <c r="G2252" s="1">
        <v>17.21</v>
      </c>
      <c r="H2252" s="1" t="s">
        <v>153</v>
      </c>
      <c r="I2252" s="1" t="s">
        <v>27</v>
      </c>
      <c r="J2252" s="1">
        <v>130</v>
      </c>
      <c r="K2252" s="1">
        <v>3.17</v>
      </c>
      <c r="L2252" s="4">
        <v>105.24</v>
      </c>
      <c r="M2252" s="1">
        <v>1.87</v>
      </c>
      <c r="N2252" s="1">
        <v>0</v>
      </c>
      <c r="O2252" s="1">
        <v>0.98</v>
      </c>
      <c r="P2252" s="1">
        <v>937</v>
      </c>
      <c r="Q2252" s="1">
        <v>13.66</v>
      </c>
      <c r="R2252" s="1">
        <v>0.28999999999999998</v>
      </c>
      <c r="S2252" s="2">
        <v>45457</v>
      </c>
      <c r="T2252" s="1">
        <v>253.3</v>
      </c>
      <c r="U2252" s="1">
        <v>0.64900000000000002</v>
      </c>
      <c r="V2252" s="6">
        <f t="shared" si="105"/>
        <v>42832.68</v>
      </c>
      <c r="W2252" s="6" t="str">
        <f t="shared" si="106"/>
        <v>Sufficient</v>
      </c>
      <c r="X2252" s="8" t="str">
        <f t="shared" si="107"/>
        <v>High</v>
      </c>
    </row>
    <row r="2253" spans="1:24">
      <c r="A2253" s="7" t="s">
        <v>2383</v>
      </c>
      <c r="B2253" s="1" t="s">
        <v>66</v>
      </c>
      <c r="C2253" s="1">
        <v>441</v>
      </c>
      <c r="D2253" s="1">
        <v>18</v>
      </c>
      <c r="E2253" s="1">
        <v>9</v>
      </c>
      <c r="F2253" s="1">
        <v>2</v>
      </c>
      <c r="G2253" s="1">
        <v>47.78</v>
      </c>
      <c r="H2253" s="1" t="s">
        <v>119</v>
      </c>
      <c r="I2253" s="1" t="s">
        <v>39</v>
      </c>
      <c r="J2253" s="1">
        <v>52</v>
      </c>
      <c r="K2253" s="1">
        <v>2.2799999999999998</v>
      </c>
      <c r="L2253" s="4">
        <v>137.83000000000001</v>
      </c>
      <c r="M2253" s="1">
        <v>0.98</v>
      </c>
      <c r="N2253" s="1">
        <v>8</v>
      </c>
      <c r="O2253" s="1">
        <v>0.99</v>
      </c>
      <c r="P2253" s="1">
        <v>243</v>
      </c>
      <c r="Q2253" s="1">
        <v>5.89</v>
      </c>
      <c r="R2253" s="1">
        <v>0.48</v>
      </c>
      <c r="S2253" s="2">
        <v>45655</v>
      </c>
      <c r="T2253" s="1">
        <v>201.37</v>
      </c>
      <c r="U2253" s="1">
        <v>0.51500000000000001</v>
      </c>
      <c r="V2253" s="6">
        <f t="shared" si="105"/>
        <v>60783.030000000006</v>
      </c>
      <c r="W2253" s="6" t="str">
        <f t="shared" si="106"/>
        <v>Sufficient</v>
      </c>
      <c r="X2253" s="8" t="str">
        <f t="shared" si="107"/>
        <v>High</v>
      </c>
    </row>
    <row r="2254" spans="1:24">
      <c r="A2254" s="7" t="s">
        <v>2384</v>
      </c>
      <c r="B2254" s="1" t="s">
        <v>66</v>
      </c>
      <c r="C2254" s="1">
        <v>430</v>
      </c>
      <c r="D2254" s="1">
        <v>11</v>
      </c>
      <c r="E2254" s="1">
        <v>3</v>
      </c>
      <c r="F2254" s="1">
        <v>5</v>
      </c>
      <c r="G2254" s="1">
        <v>17.32</v>
      </c>
      <c r="H2254" s="1" t="s">
        <v>333</v>
      </c>
      <c r="I2254" s="1" t="s">
        <v>39</v>
      </c>
      <c r="J2254" s="1">
        <v>155</v>
      </c>
      <c r="K2254" s="1">
        <v>2.73</v>
      </c>
      <c r="L2254" s="4">
        <v>45.26</v>
      </c>
      <c r="M2254" s="1">
        <v>0.83</v>
      </c>
      <c r="N2254" s="1">
        <v>0</v>
      </c>
      <c r="O2254" s="1">
        <v>0.72</v>
      </c>
      <c r="P2254" s="1">
        <v>161</v>
      </c>
      <c r="Q2254" s="1">
        <v>2.2200000000000002</v>
      </c>
      <c r="R2254" s="1">
        <v>0.75</v>
      </c>
      <c r="S2254" s="2">
        <v>45351</v>
      </c>
      <c r="T2254" s="1">
        <v>111.32</v>
      </c>
      <c r="U2254" s="1">
        <v>0.64100000000000001</v>
      </c>
      <c r="V2254" s="6">
        <f t="shared" si="105"/>
        <v>19461.8</v>
      </c>
      <c r="W2254" s="6" t="str">
        <f t="shared" si="106"/>
        <v>Sufficient</v>
      </c>
      <c r="X2254" s="8" t="str">
        <f t="shared" si="107"/>
        <v>High</v>
      </c>
    </row>
    <row r="2255" spans="1:24">
      <c r="A2255" s="7" t="s">
        <v>2385</v>
      </c>
      <c r="B2255" s="1" t="s">
        <v>66</v>
      </c>
      <c r="C2255" s="1">
        <v>156</v>
      </c>
      <c r="D2255" s="1">
        <v>70</v>
      </c>
      <c r="E2255" s="1">
        <v>3</v>
      </c>
      <c r="F2255" s="1">
        <v>2</v>
      </c>
      <c r="G2255" s="1">
        <v>28.7</v>
      </c>
      <c r="H2255" s="1" t="s">
        <v>126</v>
      </c>
      <c r="I2255" s="1" t="s">
        <v>39</v>
      </c>
      <c r="J2255" s="1">
        <v>83</v>
      </c>
      <c r="K2255" s="1">
        <v>1.26</v>
      </c>
      <c r="L2255" s="4">
        <v>136.88</v>
      </c>
      <c r="M2255" s="1">
        <v>1.44</v>
      </c>
      <c r="N2255" s="1">
        <v>6</v>
      </c>
      <c r="O2255" s="1">
        <v>0.98</v>
      </c>
      <c r="P2255" s="1">
        <v>72</v>
      </c>
      <c r="Q2255" s="1">
        <v>3.16</v>
      </c>
      <c r="R2255" s="1">
        <v>0.43</v>
      </c>
      <c r="S2255" s="2">
        <v>45472</v>
      </c>
      <c r="T2255" s="1">
        <v>158.03</v>
      </c>
      <c r="U2255" s="1">
        <v>0.46</v>
      </c>
      <c r="V2255" s="6">
        <f t="shared" si="105"/>
        <v>21353.279999999999</v>
      </c>
      <c r="W2255" s="6" t="str">
        <f t="shared" si="106"/>
        <v>Sufficient</v>
      </c>
      <c r="X2255" s="8" t="str">
        <f t="shared" si="107"/>
        <v>Medium</v>
      </c>
    </row>
    <row r="2256" spans="1:24">
      <c r="A2256" s="7" t="s">
        <v>2386</v>
      </c>
      <c r="B2256" s="1" t="s">
        <v>66</v>
      </c>
      <c r="C2256" s="1">
        <v>386</v>
      </c>
      <c r="D2256" s="1">
        <v>50</v>
      </c>
      <c r="E2256" s="1">
        <v>12</v>
      </c>
      <c r="F2256" s="1">
        <v>3</v>
      </c>
      <c r="G2256" s="1">
        <v>20.78</v>
      </c>
      <c r="H2256" s="1" t="s">
        <v>156</v>
      </c>
      <c r="I2256" s="1" t="s">
        <v>31</v>
      </c>
      <c r="J2256" s="1">
        <v>62</v>
      </c>
      <c r="K2256" s="1">
        <v>3.42</v>
      </c>
      <c r="L2256" s="4">
        <v>11.52</v>
      </c>
      <c r="M2256" s="1">
        <v>0.71</v>
      </c>
      <c r="N2256" s="1">
        <v>1</v>
      </c>
      <c r="O2256" s="1">
        <v>0.72</v>
      </c>
      <c r="P2256" s="1">
        <v>986</v>
      </c>
      <c r="Q2256" s="1">
        <v>8.19</v>
      </c>
      <c r="R2256" s="1">
        <v>0.26</v>
      </c>
      <c r="S2256" s="2">
        <v>45579</v>
      </c>
      <c r="T2256" s="1">
        <v>171.78</v>
      </c>
      <c r="U2256" s="1">
        <v>0.61399999999999999</v>
      </c>
      <c r="V2256" s="6">
        <f t="shared" si="105"/>
        <v>4446.72</v>
      </c>
      <c r="W2256" s="6" t="str">
        <f t="shared" si="106"/>
        <v>Sufficient</v>
      </c>
      <c r="X2256" s="8" t="str">
        <f t="shared" si="107"/>
        <v>High</v>
      </c>
    </row>
    <row r="2257" spans="1:24">
      <c r="A2257" s="7" t="s">
        <v>2387</v>
      </c>
      <c r="B2257" s="1" t="s">
        <v>41</v>
      </c>
      <c r="C2257" s="1">
        <v>419</v>
      </c>
      <c r="D2257" s="1">
        <v>53</v>
      </c>
      <c r="E2257" s="1">
        <v>4</v>
      </c>
      <c r="F2257" s="1">
        <v>4</v>
      </c>
      <c r="G2257" s="1">
        <v>20.41</v>
      </c>
      <c r="H2257" s="1" t="s">
        <v>141</v>
      </c>
      <c r="I2257" s="1" t="s">
        <v>31</v>
      </c>
      <c r="J2257" s="1">
        <v>48</v>
      </c>
      <c r="K2257" s="1">
        <v>3.29</v>
      </c>
      <c r="L2257" s="4">
        <v>168.31</v>
      </c>
      <c r="M2257" s="1">
        <v>0.23</v>
      </c>
      <c r="N2257" s="1">
        <v>8</v>
      </c>
      <c r="O2257" s="1">
        <v>0.8</v>
      </c>
      <c r="P2257" s="1">
        <v>943</v>
      </c>
      <c r="Q2257" s="1">
        <v>13.34</v>
      </c>
      <c r="R2257" s="1">
        <v>0.78</v>
      </c>
      <c r="S2257" s="2">
        <v>45537</v>
      </c>
      <c r="T2257" s="1">
        <v>34.96</v>
      </c>
      <c r="U2257" s="1">
        <v>0.71099999999999997</v>
      </c>
      <c r="V2257" s="6">
        <f t="shared" si="105"/>
        <v>70521.89</v>
      </c>
      <c r="W2257" s="6" t="str">
        <f t="shared" si="106"/>
        <v>Sufficient</v>
      </c>
      <c r="X2257" s="8" t="str">
        <f t="shared" si="107"/>
        <v>High</v>
      </c>
    </row>
    <row r="2258" spans="1:24">
      <c r="A2258" s="7" t="s">
        <v>2388</v>
      </c>
      <c r="B2258" s="1" t="s">
        <v>25</v>
      </c>
      <c r="C2258" s="1">
        <v>203</v>
      </c>
      <c r="D2258" s="1">
        <v>73</v>
      </c>
      <c r="E2258" s="1">
        <v>12</v>
      </c>
      <c r="F2258" s="1">
        <v>8</v>
      </c>
      <c r="G2258" s="1">
        <v>10.48</v>
      </c>
      <c r="H2258" s="1" t="s">
        <v>50</v>
      </c>
      <c r="I2258" s="1" t="s">
        <v>27</v>
      </c>
      <c r="J2258" s="1">
        <v>116</v>
      </c>
      <c r="K2258" s="1">
        <v>1.69</v>
      </c>
      <c r="L2258" s="4">
        <v>108.09</v>
      </c>
      <c r="M2258" s="1">
        <v>1.81</v>
      </c>
      <c r="N2258" s="1">
        <v>8</v>
      </c>
      <c r="O2258" s="1">
        <v>0.93</v>
      </c>
      <c r="P2258" s="1">
        <v>364</v>
      </c>
      <c r="Q2258" s="1">
        <v>9.8000000000000007</v>
      </c>
      <c r="R2258" s="1">
        <v>0.56999999999999995</v>
      </c>
      <c r="S2258" s="2">
        <v>45590</v>
      </c>
      <c r="T2258" s="1">
        <v>291.95</v>
      </c>
      <c r="U2258" s="1">
        <v>0.49</v>
      </c>
      <c r="V2258" s="6">
        <f t="shared" si="105"/>
        <v>21942.27</v>
      </c>
      <c r="W2258" s="6" t="str">
        <f t="shared" si="106"/>
        <v>Sufficient</v>
      </c>
      <c r="X2258" s="8" t="str">
        <f t="shared" si="107"/>
        <v>Medium</v>
      </c>
    </row>
    <row r="2259" spans="1:24">
      <c r="A2259" s="7" t="s">
        <v>2389</v>
      </c>
      <c r="B2259" s="1" t="s">
        <v>29</v>
      </c>
      <c r="C2259" s="1">
        <v>95</v>
      </c>
      <c r="D2259" s="1">
        <v>40</v>
      </c>
      <c r="E2259" s="1">
        <v>5</v>
      </c>
      <c r="F2259" s="1">
        <v>8</v>
      </c>
      <c r="G2259" s="1">
        <v>27.32</v>
      </c>
      <c r="H2259" s="1" t="s">
        <v>159</v>
      </c>
      <c r="I2259" s="1" t="s">
        <v>39</v>
      </c>
      <c r="J2259" s="1">
        <v>171</v>
      </c>
      <c r="K2259" s="1">
        <v>2.59</v>
      </c>
      <c r="L2259" s="4">
        <v>189.34</v>
      </c>
      <c r="M2259" s="1">
        <v>1.31</v>
      </c>
      <c r="N2259" s="1">
        <v>8</v>
      </c>
      <c r="O2259" s="1">
        <v>0.93</v>
      </c>
      <c r="P2259" s="1">
        <v>251</v>
      </c>
      <c r="Q2259" s="1">
        <v>4.01</v>
      </c>
      <c r="R2259" s="1">
        <v>0.62</v>
      </c>
      <c r="S2259" s="2">
        <v>45584</v>
      </c>
      <c r="T2259" s="1">
        <v>36.630000000000003</v>
      </c>
      <c r="U2259" s="1">
        <v>0.47199999999999998</v>
      </c>
      <c r="V2259" s="6">
        <f t="shared" si="105"/>
        <v>17987.3</v>
      </c>
      <c r="W2259" s="6" t="str">
        <f t="shared" si="106"/>
        <v>Sufficient</v>
      </c>
      <c r="X2259" s="8" t="str">
        <f t="shared" si="107"/>
        <v>LOW</v>
      </c>
    </row>
    <row r="2260" spans="1:24">
      <c r="A2260" s="7" t="s">
        <v>2390</v>
      </c>
      <c r="B2260" s="1" t="s">
        <v>66</v>
      </c>
      <c r="C2260" s="1">
        <v>306</v>
      </c>
      <c r="D2260" s="1">
        <v>56</v>
      </c>
      <c r="E2260" s="1">
        <v>14</v>
      </c>
      <c r="F2260" s="1">
        <v>3</v>
      </c>
      <c r="G2260" s="1">
        <v>42.62</v>
      </c>
      <c r="H2260" s="1" t="s">
        <v>244</v>
      </c>
      <c r="I2260" s="1" t="s">
        <v>39</v>
      </c>
      <c r="J2260" s="1">
        <v>46</v>
      </c>
      <c r="K2260" s="1">
        <v>4.5199999999999996</v>
      </c>
      <c r="L2260" s="4">
        <v>100.85</v>
      </c>
      <c r="M2260" s="1">
        <v>0.49</v>
      </c>
      <c r="N2260" s="1">
        <v>3</v>
      </c>
      <c r="O2260" s="1">
        <v>0.92</v>
      </c>
      <c r="P2260" s="1">
        <v>550</v>
      </c>
      <c r="Q2260" s="1">
        <v>5.16</v>
      </c>
      <c r="R2260" s="1">
        <v>0.46</v>
      </c>
      <c r="S2260" s="2">
        <v>45633</v>
      </c>
      <c r="T2260" s="1">
        <v>219.29</v>
      </c>
      <c r="U2260" s="1">
        <v>0.63600000000000001</v>
      </c>
      <c r="V2260" s="6">
        <f t="shared" si="105"/>
        <v>30860.1</v>
      </c>
      <c r="W2260" s="6" t="str">
        <f t="shared" si="106"/>
        <v>Sufficient</v>
      </c>
      <c r="X2260" s="8" t="str">
        <f t="shared" si="107"/>
        <v>High</v>
      </c>
    </row>
    <row r="2261" spans="1:24">
      <c r="A2261" s="7" t="s">
        <v>2391</v>
      </c>
      <c r="B2261" s="1" t="s">
        <v>41</v>
      </c>
      <c r="C2261" s="1">
        <v>491</v>
      </c>
      <c r="D2261" s="1">
        <v>11</v>
      </c>
      <c r="E2261" s="1">
        <v>3</v>
      </c>
      <c r="F2261" s="1">
        <v>6</v>
      </c>
      <c r="G2261" s="1">
        <v>3.42</v>
      </c>
      <c r="H2261" s="1" t="s">
        <v>36</v>
      </c>
      <c r="I2261" s="1" t="s">
        <v>27</v>
      </c>
      <c r="J2261" s="1">
        <v>178</v>
      </c>
      <c r="K2261" s="1">
        <v>3.98</v>
      </c>
      <c r="L2261" s="4">
        <v>92.29</v>
      </c>
      <c r="M2261" s="1">
        <v>0.13</v>
      </c>
      <c r="N2261" s="1">
        <v>5</v>
      </c>
      <c r="O2261" s="1">
        <v>0.71</v>
      </c>
      <c r="P2261" s="1">
        <v>667</v>
      </c>
      <c r="Q2261" s="1">
        <v>14.66</v>
      </c>
      <c r="R2261" s="1">
        <v>0.69</v>
      </c>
      <c r="S2261" s="2">
        <v>45655</v>
      </c>
      <c r="T2261" s="1">
        <v>152.91</v>
      </c>
      <c r="U2261" s="1">
        <v>0.76200000000000001</v>
      </c>
      <c r="V2261" s="6">
        <f t="shared" si="105"/>
        <v>45314.390000000007</v>
      </c>
      <c r="W2261" s="6" t="str">
        <f t="shared" si="106"/>
        <v>Sufficient</v>
      </c>
      <c r="X2261" s="8" t="str">
        <f t="shared" si="107"/>
        <v>High</v>
      </c>
    </row>
    <row r="2262" spans="1:24">
      <c r="A2262" s="7" t="s">
        <v>2392</v>
      </c>
      <c r="B2262" s="1" t="s">
        <v>41</v>
      </c>
      <c r="C2262" s="1">
        <v>394</v>
      </c>
      <c r="D2262" s="1">
        <v>91</v>
      </c>
      <c r="E2262" s="1">
        <v>7</v>
      </c>
      <c r="F2262" s="1">
        <v>5</v>
      </c>
      <c r="G2262" s="1">
        <v>44.57</v>
      </c>
      <c r="H2262" s="1" t="s">
        <v>256</v>
      </c>
      <c r="I2262" s="1" t="s">
        <v>31</v>
      </c>
      <c r="J2262" s="1">
        <v>106</v>
      </c>
      <c r="K2262" s="1">
        <v>1.52</v>
      </c>
      <c r="L2262" s="4">
        <v>95.51</v>
      </c>
      <c r="M2262" s="1">
        <v>1.47</v>
      </c>
      <c r="N2262" s="1">
        <v>1</v>
      </c>
      <c r="O2262" s="1">
        <v>0.74</v>
      </c>
      <c r="P2262" s="1">
        <v>655</v>
      </c>
      <c r="Q2262" s="1">
        <v>1.74</v>
      </c>
      <c r="R2262" s="1">
        <v>0.91</v>
      </c>
      <c r="S2262" s="2">
        <v>45505</v>
      </c>
      <c r="T2262" s="1">
        <v>230.36</v>
      </c>
      <c r="U2262" s="1">
        <v>0.58599999999999997</v>
      </c>
      <c r="V2262" s="6">
        <f t="shared" si="105"/>
        <v>37630.94</v>
      </c>
      <c r="W2262" s="6" t="str">
        <f t="shared" si="106"/>
        <v>Sufficient</v>
      </c>
      <c r="X2262" s="8" t="str">
        <f t="shared" si="107"/>
        <v>High</v>
      </c>
    </row>
    <row r="2263" spans="1:24">
      <c r="A2263" s="7" t="s">
        <v>2393</v>
      </c>
      <c r="B2263" s="1" t="s">
        <v>41</v>
      </c>
      <c r="C2263" s="1">
        <v>161</v>
      </c>
      <c r="D2263" s="1">
        <v>86</v>
      </c>
      <c r="E2263" s="1">
        <v>5</v>
      </c>
      <c r="F2263" s="1">
        <v>3</v>
      </c>
      <c r="G2263" s="1">
        <v>33.61</v>
      </c>
      <c r="H2263" s="1" t="s">
        <v>394</v>
      </c>
      <c r="I2263" s="1" t="s">
        <v>31</v>
      </c>
      <c r="J2263" s="1">
        <v>58</v>
      </c>
      <c r="K2263" s="1">
        <v>4.45</v>
      </c>
      <c r="L2263" s="4">
        <v>78.349999999999994</v>
      </c>
      <c r="M2263" s="1">
        <v>1.72</v>
      </c>
      <c r="N2263" s="1">
        <v>2</v>
      </c>
      <c r="O2263" s="1">
        <v>0.98</v>
      </c>
      <c r="P2263" s="1">
        <v>74</v>
      </c>
      <c r="Q2263" s="1">
        <v>14.92</v>
      </c>
      <c r="R2263" s="1">
        <v>0.64</v>
      </c>
      <c r="S2263" s="2">
        <v>45637</v>
      </c>
      <c r="T2263" s="1">
        <v>85.67</v>
      </c>
      <c r="U2263" s="1">
        <v>0.71099999999999997</v>
      </c>
      <c r="V2263" s="6">
        <f t="shared" si="105"/>
        <v>12614.349999999999</v>
      </c>
      <c r="W2263" s="6" t="str">
        <f t="shared" si="106"/>
        <v>Sufficient</v>
      </c>
      <c r="X2263" s="8" t="str">
        <f t="shared" si="107"/>
        <v>Medium</v>
      </c>
    </row>
    <row r="2264" spans="1:24">
      <c r="A2264" s="7" t="s">
        <v>2394</v>
      </c>
      <c r="B2264" s="1" t="s">
        <v>25</v>
      </c>
      <c r="C2264" s="1">
        <v>256</v>
      </c>
      <c r="D2264" s="1">
        <v>78</v>
      </c>
      <c r="E2264" s="1">
        <v>3</v>
      </c>
      <c r="F2264" s="1">
        <v>4</v>
      </c>
      <c r="G2264" s="1">
        <v>31.22</v>
      </c>
      <c r="H2264" s="1" t="s">
        <v>47</v>
      </c>
      <c r="I2264" s="1" t="s">
        <v>45</v>
      </c>
      <c r="J2264" s="1">
        <v>137</v>
      </c>
      <c r="K2264" s="1">
        <v>0.8</v>
      </c>
      <c r="L2264" s="4">
        <v>41.67</v>
      </c>
      <c r="M2264" s="1">
        <v>0.87</v>
      </c>
      <c r="N2264" s="1">
        <v>5</v>
      </c>
      <c r="O2264" s="1">
        <v>0.72</v>
      </c>
      <c r="P2264" s="1">
        <v>706</v>
      </c>
      <c r="Q2264" s="1">
        <v>13.68</v>
      </c>
      <c r="R2264" s="1">
        <v>0.67</v>
      </c>
      <c r="S2264" s="2">
        <v>45565</v>
      </c>
      <c r="T2264" s="1">
        <v>124.58</v>
      </c>
      <c r="U2264" s="1">
        <v>0.67300000000000004</v>
      </c>
      <c r="V2264" s="6">
        <f t="shared" si="105"/>
        <v>10667.52</v>
      </c>
      <c r="W2264" s="6" t="str">
        <f t="shared" si="106"/>
        <v>Sufficient</v>
      </c>
      <c r="X2264" s="8" t="str">
        <f t="shared" si="107"/>
        <v>High</v>
      </c>
    </row>
    <row r="2265" spans="1:24">
      <c r="A2265" s="7" t="s">
        <v>2395</v>
      </c>
      <c r="B2265" s="1" t="s">
        <v>29</v>
      </c>
      <c r="C2265" s="1">
        <v>44</v>
      </c>
      <c r="D2265" s="1">
        <v>67</v>
      </c>
      <c r="E2265" s="1">
        <v>10</v>
      </c>
      <c r="F2265" s="1">
        <v>2</v>
      </c>
      <c r="G2265" s="1">
        <v>31.67</v>
      </c>
      <c r="H2265" s="1" t="s">
        <v>124</v>
      </c>
      <c r="I2265" s="1" t="s">
        <v>45</v>
      </c>
      <c r="J2265" s="1">
        <v>19</v>
      </c>
      <c r="K2265" s="1">
        <v>2.36</v>
      </c>
      <c r="L2265" s="4">
        <v>169.99</v>
      </c>
      <c r="M2265" s="1">
        <v>0.25</v>
      </c>
      <c r="N2265" s="1">
        <v>0</v>
      </c>
      <c r="O2265" s="1">
        <v>0.72</v>
      </c>
      <c r="P2265" s="1">
        <v>557</v>
      </c>
      <c r="Q2265" s="1">
        <v>10.5</v>
      </c>
      <c r="R2265" s="1">
        <v>0.5</v>
      </c>
      <c r="S2265" s="2">
        <v>45438</v>
      </c>
      <c r="T2265" s="1">
        <v>162.4</v>
      </c>
      <c r="U2265" s="1">
        <v>0.75900000000000001</v>
      </c>
      <c r="V2265" s="6">
        <f t="shared" si="105"/>
        <v>7479.56</v>
      </c>
      <c r="W2265" s="6" t="str">
        <f t="shared" si="106"/>
        <v>Reorder Required</v>
      </c>
      <c r="X2265" s="8" t="str">
        <f t="shared" si="107"/>
        <v>LOW</v>
      </c>
    </row>
    <row r="2266" spans="1:24">
      <c r="A2266" s="7" t="s">
        <v>2396</v>
      </c>
      <c r="B2266" s="1" t="s">
        <v>25</v>
      </c>
      <c r="C2266" s="1">
        <v>309</v>
      </c>
      <c r="D2266" s="1">
        <v>53</v>
      </c>
      <c r="E2266" s="1">
        <v>14</v>
      </c>
      <c r="F2266" s="1">
        <v>5</v>
      </c>
      <c r="G2266" s="1">
        <v>15.52</v>
      </c>
      <c r="H2266" s="1" t="s">
        <v>117</v>
      </c>
      <c r="I2266" s="1" t="s">
        <v>39</v>
      </c>
      <c r="J2266" s="1">
        <v>49</v>
      </c>
      <c r="K2266" s="1">
        <v>0.86</v>
      </c>
      <c r="L2266" s="4">
        <v>83.93</v>
      </c>
      <c r="M2266" s="1">
        <v>1.33</v>
      </c>
      <c r="N2266" s="1">
        <v>6</v>
      </c>
      <c r="O2266" s="1">
        <v>0.95</v>
      </c>
      <c r="P2266" s="1">
        <v>415</v>
      </c>
      <c r="Q2266" s="1">
        <v>14.2</v>
      </c>
      <c r="R2266" s="1">
        <v>0.27</v>
      </c>
      <c r="S2266" s="2">
        <v>45508</v>
      </c>
      <c r="T2266" s="1">
        <v>45.01</v>
      </c>
      <c r="U2266" s="1">
        <v>0.57999999999999996</v>
      </c>
      <c r="V2266" s="6">
        <f t="shared" si="105"/>
        <v>25934.370000000003</v>
      </c>
      <c r="W2266" s="6" t="str">
        <f t="shared" si="106"/>
        <v>Sufficient</v>
      </c>
      <c r="X2266" s="8" t="str">
        <f t="shared" si="107"/>
        <v>High</v>
      </c>
    </row>
    <row r="2267" spans="1:24">
      <c r="A2267" s="7" t="s">
        <v>2397</v>
      </c>
      <c r="B2267" s="1" t="s">
        <v>33</v>
      </c>
      <c r="C2267" s="1">
        <v>86</v>
      </c>
      <c r="D2267" s="1">
        <v>83</v>
      </c>
      <c r="E2267" s="1">
        <v>13</v>
      </c>
      <c r="F2267" s="1">
        <v>9</v>
      </c>
      <c r="G2267" s="1">
        <v>21.34</v>
      </c>
      <c r="H2267" s="1" t="s">
        <v>55</v>
      </c>
      <c r="I2267" s="1" t="s">
        <v>31</v>
      </c>
      <c r="J2267" s="1">
        <v>155</v>
      </c>
      <c r="K2267" s="1">
        <v>4.66</v>
      </c>
      <c r="L2267" s="4">
        <v>110.53</v>
      </c>
      <c r="M2267" s="1">
        <v>0.66</v>
      </c>
      <c r="N2267" s="1">
        <v>1</v>
      </c>
      <c r="O2267" s="1">
        <v>0.89</v>
      </c>
      <c r="P2267" s="1">
        <v>580</v>
      </c>
      <c r="Q2267" s="1">
        <v>3.13</v>
      </c>
      <c r="R2267" s="1">
        <v>0.54</v>
      </c>
      <c r="S2267" s="2">
        <v>45298</v>
      </c>
      <c r="T2267" s="1">
        <v>257.02999999999997</v>
      </c>
      <c r="U2267" s="1">
        <v>0.64200000000000002</v>
      </c>
      <c r="V2267" s="6">
        <f t="shared" si="105"/>
        <v>9505.58</v>
      </c>
      <c r="W2267" s="6" t="str">
        <f t="shared" si="106"/>
        <v>Sufficient</v>
      </c>
      <c r="X2267" s="8" t="str">
        <f t="shared" si="107"/>
        <v>LOW</v>
      </c>
    </row>
    <row r="2268" spans="1:24">
      <c r="A2268" s="7" t="s">
        <v>2398</v>
      </c>
      <c r="B2268" s="1" t="s">
        <v>41</v>
      </c>
      <c r="C2268" s="1">
        <v>269</v>
      </c>
      <c r="D2268" s="1">
        <v>65</v>
      </c>
      <c r="E2268" s="1">
        <v>8</v>
      </c>
      <c r="F2268" s="1">
        <v>7</v>
      </c>
      <c r="G2268" s="1">
        <v>40.17</v>
      </c>
      <c r="H2268" s="1" t="s">
        <v>103</v>
      </c>
      <c r="I2268" s="1" t="s">
        <v>39</v>
      </c>
      <c r="J2268" s="1">
        <v>162</v>
      </c>
      <c r="K2268" s="1">
        <v>0.68</v>
      </c>
      <c r="L2268" s="4">
        <v>13.78</v>
      </c>
      <c r="M2268" s="1">
        <v>0.37</v>
      </c>
      <c r="N2268" s="1">
        <v>7</v>
      </c>
      <c r="O2268" s="1">
        <v>0.81</v>
      </c>
      <c r="P2268" s="1">
        <v>771</v>
      </c>
      <c r="Q2268" s="1">
        <v>14.2</v>
      </c>
      <c r="R2268" s="1">
        <v>0.94</v>
      </c>
      <c r="S2268" s="2">
        <v>45559</v>
      </c>
      <c r="T2268" s="1">
        <v>297.55</v>
      </c>
      <c r="U2268" s="1">
        <v>0.76200000000000001</v>
      </c>
      <c r="V2268" s="6">
        <f t="shared" si="105"/>
        <v>3706.8199999999997</v>
      </c>
      <c r="W2268" s="6" t="str">
        <f t="shared" si="106"/>
        <v>Sufficient</v>
      </c>
      <c r="X2268" s="8" t="str">
        <f t="shared" si="107"/>
        <v>High</v>
      </c>
    </row>
    <row r="2269" spans="1:24">
      <c r="A2269" s="7" t="s">
        <v>2399</v>
      </c>
      <c r="B2269" s="1" t="s">
        <v>33</v>
      </c>
      <c r="C2269" s="1">
        <v>427</v>
      </c>
      <c r="D2269" s="1">
        <v>52</v>
      </c>
      <c r="E2269" s="1">
        <v>11</v>
      </c>
      <c r="F2269" s="1">
        <v>3</v>
      </c>
      <c r="G2269" s="1">
        <v>16.010000000000002</v>
      </c>
      <c r="H2269" s="1" t="s">
        <v>183</v>
      </c>
      <c r="I2269" s="1" t="s">
        <v>31</v>
      </c>
      <c r="J2269" s="1">
        <v>115</v>
      </c>
      <c r="K2269" s="1">
        <v>1.18</v>
      </c>
      <c r="L2269" s="4">
        <v>21.45</v>
      </c>
      <c r="M2269" s="1">
        <v>1.07</v>
      </c>
      <c r="N2269" s="1">
        <v>4</v>
      </c>
      <c r="O2269" s="1">
        <v>0.75</v>
      </c>
      <c r="P2269" s="1">
        <v>643</v>
      </c>
      <c r="Q2269" s="1">
        <v>3.98</v>
      </c>
      <c r="R2269" s="1">
        <v>0.74</v>
      </c>
      <c r="S2269" s="2">
        <v>45346</v>
      </c>
      <c r="T2269" s="1">
        <v>131.1</v>
      </c>
      <c r="U2269" s="1">
        <v>0.56399999999999995</v>
      </c>
      <c r="V2269" s="6">
        <f t="shared" si="105"/>
        <v>9159.15</v>
      </c>
      <c r="W2269" s="6" t="str">
        <f t="shared" si="106"/>
        <v>Sufficient</v>
      </c>
      <c r="X2269" s="8" t="str">
        <f t="shared" si="107"/>
        <v>High</v>
      </c>
    </row>
    <row r="2270" spans="1:24">
      <c r="A2270" s="7" t="s">
        <v>2400</v>
      </c>
      <c r="B2270" s="1" t="s">
        <v>66</v>
      </c>
      <c r="C2270" s="1">
        <v>137</v>
      </c>
      <c r="D2270" s="1">
        <v>98</v>
      </c>
      <c r="E2270" s="1">
        <v>5</v>
      </c>
      <c r="F2270" s="1">
        <v>9</v>
      </c>
      <c r="G2270" s="1">
        <v>24.03</v>
      </c>
      <c r="H2270" s="1" t="s">
        <v>304</v>
      </c>
      <c r="I2270" s="1" t="s">
        <v>45</v>
      </c>
      <c r="J2270" s="1">
        <v>50</v>
      </c>
      <c r="K2270" s="1">
        <v>4.62</v>
      </c>
      <c r="L2270" s="4">
        <v>123.46</v>
      </c>
      <c r="M2270" s="1">
        <v>1.02</v>
      </c>
      <c r="N2270" s="1">
        <v>6</v>
      </c>
      <c r="O2270" s="1">
        <v>0.97</v>
      </c>
      <c r="P2270" s="1">
        <v>95</v>
      </c>
      <c r="Q2270" s="1">
        <v>8.65</v>
      </c>
      <c r="R2270" s="1">
        <v>0.59</v>
      </c>
      <c r="S2270" s="2">
        <v>45304</v>
      </c>
      <c r="T2270" s="1">
        <v>119.28</v>
      </c>
      <c r="U2270" s="1">
        <v>0.60499999999999998</v>
      </c>
      <c r="V2270" s="6">
        <f t="shared" si="105"/>
        <v>16914.02</v>
      </c>
      <c r="W2270" s="6" t="str">
        <f t="shared" si="106"/>
        <v>Sufficient</v>
      </c>
      <c r="X2270" s="8" t="str">
        <f t="shared" si="107"/>
        <v>Medium</v>
      </c>
    </row>
    <row r="2271" spans="1:24">
      <c r="A2271" s="7" t="s">
        <v>2401</v>
      </c>
      <c r="B2271" s="1" t="s">
        <v>66</v>
      </c>
      <c r="C2271" s="1">
        <v>92</v>
      </c>
      <c r="D2271" s="1">
        <v>43</v>
      </c>
      <c r="E2271" s="1">
        <v>11</v>
      </c>
      <c r="F2271" s="1">
        <v>9</v>
      </c>
      <c r="G2271" s="1">
        <v>1.96</v>
      </c>
      <c r="H2271" s="1" t="s">
        <v>208</v>
      </c>
      <c r="I2271" s="1" t="s">
        <v>27</v>
      </c>
      <c r="J2271" s="1">
        <v>173</v>
      </c>
      <c r="K2271" s="1">
        <v>3.12</v>
      </c>
      <c r="L2271" s="4">
        <v>177.05</v>
      </c>
      <c r="M2271" s="1">
        <v>1.08</v>
      </c>
      <c r="N2271" s="1">
        <v>7</v>
      </c>
      <c r="O2271" s="1">
        <v>1</v>
      </c>
      <c r="P2271" s="1">
        <v>84</v>
      </c>
      <c r="Q2271" s="1">
        <v>7.84</v>
      </c>
      <c r="R2271" s="1">
        <v>0.7</v>
      </c>
      <c r="S2271" s="2">
        <v>45487</v>
      </c>
      <c r="T2271" s="1">
        <v>182.28</v>
      </c>
      <c r="U2271" s="1">
        <v>0.59699999999999998</v>
      </c>
      <c r="V2271" s="6">
        <f t="shared" si="105"/>
        <v>16288.6</v>
      </c>
      <c r="W2271" s="6" t="str">
        <f t="shared" si="106"/>
        <v>Sufficient</v>
      </c>
      <c r="X2271" s="8" t="str">
        <f t="shared" si="107"/>
        <v>LOW</v>
      </c>
    </row>
    <row r="2272" spans="1:24">
      <c r="A2272" s="7" t="s">
        <v>2402</v>
      </c>
      <c r="B2272" s="1" t="s">
        <v>25</v>
      </c>
      <c r="C2272" s="1">
        <v>301</v>
      </c>
      <c r="D2272" s="1">
        <v>39</v>
      </c>
      <c r="E2272" s="1">
        <v>11</v>
      </c>
      <c r="F2272" s="1">
        <v>4</v>
      </c>
      <c r="G2272" s="1">
        <v>36.94</v>
      </c>
      <c r="H2272" s="1" t="s">
        <v>181</v>
      </c>
      <c r="I2272" s="1" t="s">
        <v>31</v>
      </c>
      <c r="J2272" s="1">
        <v>11</v>
      </c>
      <c r="K2272" s="1">
        <v>4.08</v>
      </c>
      <c r="L2272" s="4">
        <v>103.75</v>
      </c>
      <c r="M2272" s="1">
        <v>1.67</v>
      </c>
      <c r="N2272" s="1">
        <v>2</v>
      </c>
      <c r="O2272" s="1">
        <v>0.71</v>
      </c>
      <c r="P2272" s="1">
        <v>251</v>
      </c>
      <c r="Q2272" s="1">
        <v>8.17</v>
      </c>
      <c r="R2272" s="1">
        <v>0.65</v>
      </c>
      <c r="S2272" s="2">
        <v>45366</v>
      </c>
      <c r="T2272" s="1">
        <v>209.71</v>
      </c>
      <c r="U2272" s="1">
        <v>0.57399999999999995</v>
      </c>
      <c r="V2272" s="6">
        <f t="shared" si="105"/>
        <v>31228.75</v>
      </c>
      <c r="W2272" s="6" t="str">
        <f t="shared" si="106"/>
        <v>Sufficient</v>
      </c>
      <c r="X2272" s="8" t="str">
        <f t="shared" si="107"/>
        <v>High</v>
      </c>
    </row>
    <row r="2273" spans="1:24">
      <c r="A2273" s="7" t="s">
        <v>2403</v>
      </c>
      <c r="B2273" s="1" t="s">
        <v>29</v>
      </c>
      <c r="C2273" s="1">
        <v>423</v>
      </c>
      <c r="D2273" s="1">
        <v>80</v>
      </c>
      <c r="E2273" s="1">
        <v>14</v>
      </c>
      <c r="F2273" s="1">
        <v>9</v>
      </c>
      <c r="G2273" s="1">
        <v>21.47</v>
      </c>
      <c r="H2273" s="1" t="s">
        <v>195</v>
      </c>
      <c r="I2273" s="1" t="s">
        <v>45</v>
      </c>
      <c r="J2273" s="1">
        <v>62</v>
      </c>
      <c r="K2273" s="1">
        <v>0.56999999999999995</v>
      </c>
      <c r="L2273" s="4">
        <v>41.35</v>
      </c>
      <c r="M2273" s="1">
        <v>1.02</v>
      </c>
      <c r="N2273" s="1">
        <v>5</v>
      </c>
      <c r="O2273" s="1">
        <v>0.87</v>
      </c>
      <c r="P2273" s="1">
        <v>584</v>
      </c>
      <c r="Q2273" s="1">
        <v>4.74</v>
      </c>
      <c r="R2273" s="1">
        <v>0.93</v>
      </c>
      <c r="S2273" s="2">
        <v>45319</v>
      </c>
      <c r="T2273" s="1">
        <v>261.89</v>
      </c>
      <c r="U2273" s="1">
        <v>0.621</v>
      </c>
      <c r="V2273" s="6">
        <f t="shared" si="105"/>
        <v>17491.05</v>
      </c>
      <c r="W2273" s="6" t="str">
        <f t="shared" si="106"/>
        <v>Sufficient</v>
      </c>
      <c r="X2273" s="8" t="str">
        <f t="shared" si="107"/>
        <v>High</v>
      </c>
    </row>
    <row r="2274" spans="1:24">
      <c r="A2274" s="7" t="s">
        <v>2404</v>
      </c>
      <c r="B2274" s="1" t="s">
        <v>33</v>
      </c>
      <c r="C2274" s="1">
        <v>467</v>
      </c>
      <c r="D2274" s="1">
        <v>79</v>
      </c>
      <c r="E2274" s="1">
        <v>14</v>
      </c>
      <c r="F2274" s="1">
        <v>3</v>
      </c>
      <c r="G2274" s="1">
        <v>26.74</v>
      </c>
      <c r="H2274" s="1" t="s">
        <v>85</v>
      </c>
      <c r="I2274" s="1" t="s">
        <v>45</v>
      </c>
      <c r="J2274" s="1">
        <v>156</v>
      </c>
      <c r="K2274" s="1">
        <v>2.39</v>
      </c>
      <c r="L2274" s="4">
        <v>32.06</v>
      </c>
      <c r="M2274" s="1">
        <v>1.81</v>
      </c>
      <c r="N2274" s="1">
        <v>8</v>
      </c>
      <c r="O2274" s="1">
        <v>0.78</v>
      </c>
      <c r="P2274" s="1">
        <v>414</v>
      </c>
      <c r="Q2274" s="1">
        <v>11.93</v>
      </c>
      <c r="R2274" s="1">
        <v>0.38</v>
      </c>
      <c r="S2274" s="2">
        <v>45635</v>
      </c>
      <c r="T2274" s="1">
        <v>118.14</v>
      </c>
      <c r="U2274" s="1">
        <v>0.45</v>
      </c>
      <c r="V2274" s="6">
        <f t="shared" si="105"/>
        <v>14972.02</v>
      </c>
      <c r="W2274" s="6" t="str">
        <f t="shared" si="106"/>
        <v>Sufficient</v>
      </c>
      <c r="X2274" s="8" t="str">
        <f t="shared" si="107"/>
        <v>High</v>
      </c>
    </row>
    <row r="2275" spans="1:24">
      <c r="A2275" s="7" t="s">
        <v>2405</v>
      </c>
      <c r="B2275" s="1" t="s">
        <v>29</v>
      </c>
      <c r="C2275" s="1">
        <v>379</v>
      </c>
      <c r="D2275" s="1">
        <v>64</v>
      </c>
      <c r="E2275" s="1">
        <v>3</v>
      </c>
      <c r="F2275" s="1">
        <v>6</v>
      </c>
      <c r="G2275" s="1">
        <v>6.62</v>
      </c>
      <c r="H2275" s="1" t="s">
        <v>459</v>
      </c>
      <c r="I2275" s="1" t="s">
        <v>31</v>
      </c>
      <c r="J2275" s="1">
        <v>35</v>
      </c>
      <c r="K2275" s="1">
        <v>4.93</v>
      </c>
      <c r="L2275" s="4">
        <v>180.96</v>
      </c>
      <c r="M2275" s="1">
        <v>1.7</v>
      </c>
      <c r="N2275" s="1">
        <v>3</v>
      </c>
      <c r="O2275" s="1">
        <v>0.95</v>
      </c>
      <c r="P2275" s="1">
        <v>519</v>
      </c>
      <c r="Q2275" s="1">
        <v>11.4</v>
      </c>
      <c r="R2275" s="1">
        <v>0.91</v>
      </c>
      <c r="S2275" s="2">
        <v>45320</v>
      </c>
      <c r="T2275" s="1">
        <v>231.8</v>
      </c>
      <c r="U2275" s="1">
        <v>0.69399999999999995</v>
      </c>
      <c r="V2275" s="6">
        <f t="shared" si="105"/>
        <v>68583.839999999997</v>
      </c>
      <c r="W2275" s="6" t="str">
        <f t="shared" si="106"/>
        <v>Sufficient</v>
      </c>
      <c r="X2275" s="8" t="str">
        <f t="shared" si="107"/>
        <v>High</v>
      </c>
    </row>
    <row r="2276" spans="1:24">
      <c r="A2276" s="7" t="s">
        <v>2406</v>
      </c>
      <c r="B2276" s="1" t="s">
        <v>25</v>
      </c>
      <c r="C2276" s="1">
        <v>29</v>
      </c>
      <c r="D2276" s="1">
        <v>76</v>
      </c>
      <c r="E2276" s="1">
        <v>5</v>
      </c>
      <c r="F2276" s="1">
        <v>8</v>
      </c>
      <c r="G2276" s="1">
        <v>49.59</v>
      </c>
      <c r="H2276" s="1" t="s">
        <v>141</v>
      </c>
      <c r="I2276" s="1" t="s">
        <v>39</v>
      </c>
      <c r="J2276" s="1">
        <v>63</v>
      </c>
      <c r="K2276" s="1">
        <v>3.11</v>
      </c>
      <c r="L2276" s="4">
        <v>143.31</v>
      </c>
      <c r="M2276" s="1">
        <v>1.34</v>
      </c>
      <c r="N2276" s="1">
        <v>9</v>
      </c>
      <c r="O2276" s="1">
        <v>0.8</v>
      </c>
      <c r="P2276" s="1">
        <v>349</v>
      </c>
      <c r="Q2276" s="1">
        <v>14.36</v>
      </c>
      <c r="R2276" s="1">
        <v>0.75</v>
      </c>
      <c r="S2276" s="2">
        <v>45394</v>
      </c>
      <c r="T2276" s="1">
        <v>79.62</v>
      </c>
      <c r="U2276" s="1">
        <v>0.58699999999999997</v>
      </c>
      <c r="V2276" s="6">
        <f t="shared" si="105"/>
        <v>4155.99</v>
      </c>
      <c r="W2276" s="6" t="str">
        <f t="shared" si="106"/>
        <v>Reorder Required</v>
      </c>
      <c r="X2276" s="8" t="str">
        <f t="shared" si="107"/>
        <v>LOW</v>
      </c>
    </row>
    <row r="2277" spans="1:24">
      <c r="A2277" s="7" t="s">
        <v>2407</v>
      </c>
      <c r="B2277" s="1" t="s">
        <v>66</v>
      </c>
      <c r="C2277" s="1">
        <v>230</v>
      </c>
      <c r="D2277" s="1">
        <v>22</v>
      </c>
      <c r="E2277" s="1">
        <v>8</v>
      </c>
      <c r="F2277" s="1">
        <v>8</v>
      </c>
      <c r="G2277" s="1">
        <v>15.82</v>
      </c>
      <c r="H2277" s="1" t="s">
        <v>440</v>
      </c>
      <c r="I2277" s="1" t="s">
        <v>31</v>
      </c>
      <c r="J2277" s="1">
        <v>60</v>
      </c>
      <c r="K2277" s="1">
        <v>4.32</v>
      </c>
      <c r="L2277" s="4">
        <v>193.58</v>
      </c>
      <c r="M2277" s="1">
        <v>0.21</v>
      </c>
      <c r="N2277" s="1">
        <v>6</v>
      </c>
      <c r="O2277" s="1">
        <v>0.91</v>
      </c>
      <c r="P2277" s="1">
        <v>826</v>
      </c>
      <c r="Q2277" s="1">
        <v>8.1</v>
      </c>
      <c r="R2277" s="1">
        <v>0.3</v>
      </c>
      <c r="S2277" s="2">
        <v>45428</v>
      </c>
      <c r="T2277" s="1">
        <v>207.33</v>
      </c>
      <c r="U2277" s="1">
        <v>0.60899999999999999</v>
      </c>
      <c r="V2277" s="6">
        <f t="shared" si="105"/>
        <v>44523.4</v>
      </c>
      <c r="W2277" s="6" t="str">
        <f t="shared" si="106"/>
        <v>Sufficient</v>
      </c>
      <c r="X2277" s="8" t="str">
        <f t="shared" si="107"/>
        <v>Medium</v>
      </c>
    </row>
    <row r="2278" spans="1:24">
      <c r="A2278" s="7" t="s">
        <v>2408</v>
      </c>
      <c r="B2278" s="1" t="s">
        <v>29</v>
      </c>
      <c r="C2278" s="1">
        <v>342</v>
      </c>
      <c r="D2278" s="1">
        <v>12</v>
      </c>
      <c r="E2278" s="1">
        <v>10</v>
      </c>
      <c r="F2278" s="1">
        <v>5</v>
      </c>
      <c r="G2278" s="1">
        <v>32.11</v>
      </c>
      <c r="H2278" s="1" t="s">
        <v>47</v>
      </c>
      <c r="I2278" s="1" t="s">
        <v>45</v>
      </c>
      <c r="J2278" s="1">
        <v>162</v>
      </c>
      <c r="K2278" s="1">
        <v>4.84</v>
      </c>
      <c r="L2278" s="4">
        <v>25.65</v>
      </c>
      <c r="M2278" s="1">
        <v>1.74</v>
      </c>
      <c r="N2278" s="1">
        <v>0</v>
      </c>
      <c r="O2278" s="1">
        <v>0.86</v>
      </c>
      <c r="P2278" s="1">
        <v>465</v>
      </c>
      <c r="Q2278" s="1">
        <v>8.67</v>
      </c>
      <c r="R2278" s="1">
        <v>0.5</v>
      </c>
      <c r="S2278" s="2">
        <v>45374</v>
      </c>
      <c r="T2278" s="1">
        <v>145.36000000000001</v>
      </c>
      <c r="U2278" s="1">
        <v>0.61399999999999999</v>
      </c>
      <c r="V2278" s="6">
        <f t="shared" si="105"/>
        <v>8772.2999999999993</v>
      </c>
      <c r="W2278" s="6" t="str">
        <f t="shared" si="106"/>
        <v>Sufficient</v>
      </c>
      <c r="X2278" s="8" t="str">
        <f t="shared" si="107"/>
        <v>High</v>
      </c>
    </row>
    <row r="2279" spans="1:24">
      <c r="A2279" s="7" t="s">
        <v>2409</v>
      </c>
      <c r="B2279" s="1" t="s">
        <v>29</v>
      </c>
      <c r="C2279" s="1">
        <v>171</v>
      </c>
      <c r="D2279" s="1">
        <v>35</v>
      </c>
      <c r="E2279" s="1">
        <v>6</v>
      </c>
      <c r="F2279" s="1">
        <v>2</v>
      </c>
      <c r="G2279" s="1">
        <v>29.48</v>
      </c>
      <c r="H2279" s="1" t="s">
        <v>153</v>
      </c>
      <c r="I2279" s="1" t="s">
        <v>31</v>
      </c>
      <c r="J2279" s="1">
        <v>123</v>
      </c>
      <c r="K2279" s="1">
        <v>3.58</v>
      </c>
      <c r="L2279" s="4">
        <v>181.5</v>
      </c>
      <c r="M2279" s="1">
        <v>1.82</v>
      </c>
      <c r="N2279" s="1">
        <v>6</v>
      </c>
      <c r="O2279" s="1">
        <v>0.86</v>
      </c>
      <c r="P2279" s="1">
        <v>395</v>
      </c>
      <c r="Q2279" s="1">
        <v>13.65</v>
      </c>
      <c r="R2279" s="1">
        <v>0.55000000000000004</v>
      </c>
      <c r="S2279" s="2">
        <v>45438</v>
      </c>
      <c r="T2279" s="1">
        <v>201.89</v>
      </c>
      <c r="U2279" s="1">
        <v>0.56200000000000006</v>
      </c>
      <c r="V2279" s="6">
        <f t="shared" si="105"/>
        <v>31036.5</v>
      </c>
      <c r="W2279" s="6" t="str">
        <f t="shared" si="106"/>
        <v>Sufficient</v>
      </c>
      <c r="X2279" s="8" t="str">
        <f t="shared" si="107"/>
        <v>Medium</v>
      </c>
    </row>
    <row r="2280" spans="1:24">
      <c r="A2280" s="7" t="s">
        <v>2410</v>
      </c>
      <c r="B2280" s="1" t="s">
        <v>66</v>
      </c>
      <c r="C2280" s="1">
        <v>24</v>
      </c>
      <c r="D2280" s="1">
        <v>66</v>
      </c>
      <c r="E2280" s="1">
        <v>7</v>
      </c>
      <c r="F2280" s="1">
        <v>4</v>
      </c>
      <c r="G2280" s="1">
        <v>39.47</v>
      </c>
      <c r="H2280" s="1" t="s">
        <v>81</v>
      </c>
      <c r="I2280" s="1" t="s">
        <v>27</v>
      </c>
      <c r="J2280" s="1">
        <v>26</v>
      </c>
      <c r="K2280" s="1">
        <v>1.97</v>
      </c>
      <c r="L2280" s="4">
        <v>170.67</v>
      </c>
      <c r="M2280" s="1">
        <v>0.81</v>
      </c>
      <c r="N2280" s="1">
        <v>8</v>
      </c>
      <c r="O2280" s="1">
        <v>0.96</v>
      </c>
      <c r="P2280" s="1">
        <v>398</v>
      </c>
      <c r="Q2280" s="1">
        <v>13.87</v>
      </c>
      <c r="R2280" s="1">
        <v>0.27</v>
      </c>
      <c r="S2280" s="2">
        <v>45641</v>
      </c>
      <c r="T2280" s="1">
        <v>120.14</v>
      </c>
      <c r="U2280" s="1">
        <v>0.59</v>
      </c>
      <c r="V2280" s="6">
        <f t="shared" si="105"/>
        <v>4096.08</v>
      </c>
      <c r="W2280" s="6" t="str">
        <f t="shared" si="106"/>
        <v>Reorder Required</v>
      </c>
      <c r="X2280" s="8" t="str">
        <f t="shared" si="107"/>
        <v>LOW</v>
      </c>
    </row>
    <row r="2281" spans="1:24">
      <c r="A2281" s="7" t="s">
        <v>2411</v>
      </c>
      <c r="B2281" s="1" t="s">
        <v>33</v>
      </c>
      <c r="C2281" s="1">
        <v>214</v>
      </c>
      <c r="D2281" s="1">
        <v>33</v>
      </c>
      <c r="E2281" s="1">
        <v>11</v>
      </c>
      <c r="F2281" s="1">
        <v>3</v>
      </c>
      <c r="G2281" s="1">
        <v>15.4</v>
      </c>
      <c r="H2281" s="1" t="s">
        <v>208</v>
      </c>
      <c r="I2281" s="1" t="s">
        <v>39</v>
      </c>
      <c r="J2281" s="1">
        <v>129</v>
      </c>
      <c r="K2281" s="1">
        <v>1.89</v>
      </c>
      <c r="L2281" s="4">
        <v>179.71</v>
      </c>
      <c r="M2281" s="1">
        <v>1.1000000000000001</v>
      </c>
      <c r="N2281" s="1">
        <v>9</v>
      </c>
      <c r="O2281" s="1">
        <v>0.84</v>
      </c>
      <c r="P2281" s="1">
        <v>748</v>
      </c>
      <c r="Q2281" s="1">
        <v>10.09</v>
      </c>
      <c r="R2281" s="1">
        <v>0.64</v>
      </c>
      <c r="S2281" s="2">
        <v>45420</v>
      </c>
      <c r="T2281" s="1">
        <v>95.36</v>
      </c>
      <c r="U2281" s="1">
        <v>0.54100000000000004</v>
      </c>
      <c r="V2281" s="6">
        <f t="shared" si="105"/>
        <v>38457.94</v>
      </c>
      <c r="W2281" s="6" t="str">
        <f t="shared" si="106"/>
        <v>Sufficient</v>
      </c>
      <c r="X2281" s="8" t="str">
        <f t="shared" si="107"/>
        <v>Medium</v>
      </c>
    </row>
    <row r="2282" spans="1:24">
      <c r="A2282" s="7" t="s">
        <v>2412</v>
      </c>
      <c r="B2282" s="1" t="s">
        <v>66</v>
      </c>
      <c r="C2282" s="1">
        <v>461</v>
      </c>
      <c r="D2282" s="1">
        <v>62</v>
      </c>
      <c r="E2282" s="1">
        <v>8</v>
      </c>
      <c r="F2282" s="1">
        <v>5</v>
      </c>
      <c r="G2282" s="1">
        <v>38.04</v>
      </c>
      <c r="H2282" s="1" t="s">
        <v>128</v>
      </c>
      <c r="I2282" s="1" t="s">
        <v>31</v>
      </c>
      <c r="J2282" s="1">
        <v>55</v>
      </c>
      <c r="K2282" s="1">
        <v>0.82</v>
      </c>
      <c r="L2282" s="4">
        <v>11.09</v>
      </c>
      <c r="M2282" s="1">
        <v>0.63</v>
      </c>
      <c r="N2282" s="1">
        <v>7</v>
      </c>
      <c r="O2282" s="1">
        <v>0.95</v>
      </c>
      <c r="P2282" s="1">
        <v>859</v>
      </c>
      <c r="Q2282" s="1">
        <v>12.49</v>
      </c>
      <c r="R2282" s="1">
        <v>0.41</v>
      </c>
      <c r="S2282" s="2">
        <v>45366</v>
      </c>
      <c r="T2282" s="1">
        <v>150.94</v>
      </c>
      <c r="U2282" s="1">
        <v>0.63600000000000001</v>
      </c>
      <c r="V2282" s="6">
        <f t="shared" si="105"/>
        <v>5112.49</v>
      </c>
      <c r="W2282" s="6" t="str">
        <f t="shared" si="106"/>
        <v>Sufficient</v>
      </c>
      <c r="X2282" s="8" t="str">
        <f t="shared" si="107"/>
        <v>High</v>
      </c>
    </row>
    <row r="2283" spans="1:24">
      <c r="A2283" s="7" t="s">
        <v>2413</v>
      </c>
      <c r="B2283" s="1" t="s">
        <v>29</v>
      </c>
      <c r="C2283" s="1">
        <v>302</v>
      </c>
      <c r="D2283" s="1">
        <v>79</v>
      </c>
      <c r="E2283" s="1">
        <v>14</v>
      </c>
      <c r="F2283" s="1">
        <v>3</v>
      </c>
      <c r="G2283" s="1">
        <v>19.739999999999998</v>
      </c>
      <c r="H2283" s="1" t="s">
        <v>63</v>
      </c>
      <c r="I2283" s="1" t="s">
        <v>45</v>
      </c>
      <c r="J2283" s="1">
        <v>64</v>
      </c>
      <c r="K2283" s="1">
        <v>2.42</v>
      </c>
      <c r="L2283" s="4">
        <v>150.96</v>
      </c>
      <c r="M2283" s="1">
        <v>0.13</v>
      </c>
      <c r="N2283" s="1">
        <v>3</v>
      </c>
      <c r="O2283" s="1">
        <v>0.81</v>
      </c>
      <c r="P2283" s="1">
        <v>239</v>
      </c>
      <c r="Q2283" s="1">
        <v>8.07</v>
      </c>
      <c r="R2283" s="1">
        <v>0.56999999999999995</v>
      </c>
      <c r="S2283" s="2">
        <v>45323</v>
      </c>
      <c r="T2283" s="1">
        <v>269.58</v>
      </c>
      <c r="U2283" s="1">
        <v>0.71099999999999997</v>
      </c>
      <c r="V2283" s="6">
        <f t="shared" si="105"/>
        <v>45589.920000000006</v>
      </c>
      <c r="W2283" s="6" t="str">
        <f t="shared" si="106"/>
        <v>Sufficient</v>
      </c>
      <c r="X2283" s="8" t="str">
        <f t="shared" si="107"/>
        <v>High</v>
      </c>
    </row>
    <row r="2284" spans="1:24">
      <c r="A2284" s="7" t="s">
        <v>2414</v>
      </c>
      <c r="B2284" s="1" t="s">
        <v>33</v>
      </c>
      <c r="C2284" s="1">
        <v>483</v>
      </c>
      <c r="D2284" s="1">
        <v>52</v>
      </c>
      <c r="E2284" s="1">
        <v>9</v>
      </c>
      <c r="F2284" s="1">
        <v>5</v>
      </c>
      <c r="G2284" s="1">
        <v>21.15</v>
      </c>
      <c r="H2284" s="1" t="s">
        <v>139</v>
      </c>
      <c r="I2284" s="1" t="s">
        <v>45</v>
      </c>
      <c r="J2284" s="1">
        <v>59</v>
      </c>
      <c r="K2284" s="1">
        <v>4.62</v>
      </c>
      <c r="L2284" s="4">
        <v>114.3</v>
      </c>
      <c r="M2284" s="1">
        <v>1.01</v>
      </c>
      <c r="N2284" s="1">
        <v>2</v>
      </c>
      <c r="O2284" s="1">
        <v>0.75</v>
      </c>
      <c r="P2284" s="1">
        <v>452</v>
      </c>
      <c r="Q2284" s="1">
        <v>6.43</v>
      </c>
      <c r="R2284" s="1">
        <v>0.55000000000000004</v>
      </c>
      <c r="S2284" s="2">
        <v>45645</v>
      </c>
      <c r="T2284" s="1">
        <v>205.71</v>
      </c>
      <c r="U2284" s="1">
        <v>0.60499999999999998</v>
      </c>
      <c r="V2284" s="6">
        <f t="shared" si="105"/>
        <v>55206.9</v>
      </c>
      <c r="W2284" s="6" t="str">
        <f t="shared" si="106"/>
        <v>Sufficient</v>
      </c>
      <c r="X2284" s="8" t="str">
        <f t="shared" si="107"/>
        <v>High</v>
      </c>
    </row>
    <row r="2285" spans="1:24">
      <c r="A2285" s="7" t="s">
        <v>2415</v>
      </c>
      <c r="B2285" s="1" t="s">
        <v>33</v>
      </c>
      <c r="C2285" s="1">
        <v>132</v>
      </c>
      <c r="D2285" s="1">
        <v>69</v>
      </c>
      <c r="E2285" s="1">
        <v>9</v>
      </c>
      <c r="F2285" s="1">
        <v>8</v>
      </c>
      <c r="G2285" s="1">
        <v>33.96</v>
      </c>
      <c r="H2285" s="1" t="s">
        <v>79</v>
      </c>
      <c r="I2285" s="1" t="s">
        <v>39</v>
      </c>
      <c r="J2285" s="1">
        <v>84</v>
      </c>
      <c r="K2285" s="1">
        <v>2.65</v>
      </c>
      <c r="L2285" s="4">
        <v>118.9</v>
      </c>
      <c r="M2285" s="1">
        <v>0.35</v>
      </c>
      <c r="N2285" s="1">
        <v>6</v>
      </c>
      <c r="O2285" s="1">
        <v>0.84</v>
      </c>
      <c r="P2285" s="1">
        <v>801</v>
      </c>
      <c r="Q2285" s="1">
        <v>13.1</v>
      </c>
      <c r="R2285" s="1">
        <v>0.62</v>
      </c>
      <c r="S2285" s="2">
        <v>45443</v>
      </c>
      <c r="T2285" s="1">
        <v>187.38</v>
      </c>
      <c r="U2285" s="1">
        <v>0.71199999999999997</v>
      </c>
      <c r="V2285" s="6">
        <f t="shared" si="105"/>
        <v>15694.800000000001</v>
      </c>
      <c r="W2285" s="6" t="str">
        <f t="shared" si="106"/>
        <v>Sufficient</v>
      </c>
      <c r="X2285" s="8" t="str">
        <f t="shared" si="107"/>
        <v>Medium</v>
      </c>
    </row>
    <row r="2286" spans="1:24">
      <c r="A2286" s="7" t="s">
        <v>2416</v>
      </c>
      <c r="B2286" s="1" t="s">
        <v>66</v>
      </c>
      <c r="C2286" s="1">
        <v>290</v>
      </c>
      <c r="D2286" s="1">
        <v>67</v>
      </c>
      <c r="E2286" s="1">
        <v>6</v>
      </c>
      <c r="F2286" s="1">
        <v>9</v>
      </c>
      <c r="G2286" s="1">
        <v>39.43</v>
      </c>
      <c r="H2286" s="1" t="s">
        <v>124</v>
      </c>
      <c r="I2286" s="1" t="s">
        <v>31</v>
      </c>
      <c r="J2286" s="1">
        <v>20</v>
      </c>
      <c r="K2286" s="1">
        <v>4.5999999999999996</v>
      </c>
      <c r="L2286" s="4">
        <v>99.15</v>
      </c>
      <c r="M2286" s="1">
        <v>0.45</v>
      </c>
      <c r="N2286" s="1">
        <v>0</v>
      </c>
      <c r="O2286" s="1">
        <v>0.85</v>
      </c>
      <c r="P2286" s="1">
        <v>398</v>
      </c>
      <c r="Q2286" s="1">
        <v>11.88</v>
      </c>
      <c r="R2286" s="1">
        <v>0.88</v>
      </c>
      <c r="S2286" s="2">
        <v>45396</v>
      </c>
      <c r="T2286" s="1">
        <v>218.76</v>
      </c>
      <c r="U2286" s="1">
        <v>0.85899999999999999</v>
      </c>
      <c r="V2286" s="6">
        <f t="shared" si="105"/>
        <v>28753.5</v>
      </c>
      <c r="W2286" s="6" t="str">
        <f t="shared" si="106"/>
        <v>Sufficient</v>
      </c>
      <c r="X2286" s="8" t="str">
        <f t="shared" si="107"/>
        <v>High</v>
      </c>
    </row>
    <row r="2287" spans="1:24">
      <c r="A2287" s="7" t="s">
        <v>2417</v>
      </c>
      <c r="B2287" s="1" t="s">
        <v>29</v>
      </c>
      <c r="C2287" s="1">
        <v>182</v>
      </c>
      <c r="D2287" s="1">
        <v>58</v>
      </c>
      <c r="E2287" s="1">
        <v>6</v>
      </c>
      <c r="F2287" s="1">
        <v>6</v>
      </c>
      <c r="G2287" s="1">
        <v>33.68</v>
      </c>
      <c r="H2287" s="1" t="s">
        <v>79</v>
      </c>
      <c r="I2287" s="1" t="s">
        <v>45</v>
      </c>
      <c r="J2287" s="1">
        <v>149</v>
      </c>
      <c r="K2287" s="1">
        <v>4.18</v>
      </c>
      <c r="L2287" s="4">
        <v>151.11000000000001</v>
      </c>
      <c r="M2287" s="1">
        <v>1.01</v>
      </c>
      <c r="N2287" s="1">
        <v>7</v>
      </c>
      <c r="O2287" s="1">
        <v>0.84</v>
      </c>
      <c r="P2287" s="1">
        <v>422</v>
      </c>
      <c r="Q2287" s="1">
        <v>4.3899999999999997</v>
      </c>
      <c r="R2287" s="1">
        <v>0.82</v>
      </c>
      <c r="S2287" s="2">
        <v>45569</v>
      </c>
      <c r="T2287" s="1">
        <v>221.44</v>
      </c>
      <c r="U2287" s="1">
        <v>0.55000000000000004</v>
      </c>
      <c r="V2287" s="6">
        <f t="shared" si="105"/>
        <v>27502.020000000004</v>
      </c>
      <c r="W2287" s="6" t="str">
        <f t="shared" si="106"/>
        <v>Sufficient</v>
      </c>
      <c r="X2287" s="8" t="str">
        <f t="shared" si="107"/>
        <v>Medium</v>
      </c>
    </row>
    <row r="2288" spans="1:24">
      <c r="A2288" s="7" t="s">
        <v>2418</v>
      </c>
      <c r="B2288" s="1" t="s">
        <v>25</v>
      </c>
      <c r="C2288" s="1">
        <v>479</v>
      </c>
      <c r="D2288" s="1">
        <v>51</v>
      </c>
      <c r="E2288" s="1">
        <v>6</v>
      </c>
      <c r="F2288" s="1">
        <v>3</v>
      </c>
      <c r="G2288" s="1">
        <v>45.09</v>
      </c>
      <c r="H2288" s="1" t="s">
        <v>124</v>
      </c>
      <c r="I2288" s="1" t="s">
        <v>39</v>
      </c>
      <c r="J2288" s="1">
        <v>177</v>
      </c>
      <c r="K2288" s="1">
        <v>4.93</v>
      </c>
      <c r="L2288" s="4">
        <v>199.97</v>
      </c>
      <c r="M2288" s="1">
        <v>1.75</v>
      </c>
      <c r="N2288" s="1">
        <v>0</v>
      </c>
      <c r="O2288" s="1">
        <v>0.94</v>
      </c>
      <c r="P2288" s="1">
        <v>688</v>
      </c>
      <c r="Q2288" s="1">
        <v>1.67</v>
      </c>
      <c r="R2288" s="1">
        <v>0.9</v>
      </c>
      <c r="S2288" s="2">
        <v>45308</v>
      </c>
      <c r="T2288" s="1">
        <v>95.48</v>
      </c>
      <c r="U2288" s="1">
        <v>0.61499999999999999</v>
      </c>
      <c r="V2288" s="6">
        <f t="shared" si="105"/>
        <v>95785.63</v>
      </c>
      <c r="W2288" s="6" t="str">
        <f t="shared" si="106"/>
        <v>Sufficient</v>
      </c>
      <c r="X2288" s="8" t="str">
        <f t="shared" si="107"/>
        <v>High</v>
      </c>
    </row>
    <row r="2289" spans="1:24">
      <c r="A2289" s="7" t="s">
        <v>2419</v>
      </c>
      <c r="B2289" s="1" t="s">
        <v>29</v>
      </c>
      <c r="C2289" s="1">
        <v>124</v>
      </c>
      <c r="D2289" s="1">
        <v>85</v>
      </c>
      <c r="E2289" s="1">
        <v>13</v>
      </c>
      <c r="F2289" s="1">
        <v>6</v>
      </c>
      <c r="G2289" s="1">
        <v>14.97</v>
      </c>
      <c r="H2289" s="1" t="s">
        <v>214</v>
      </c>
      <c r="I2289" s="1" t="s">
        <v>27</v>
      </c>
      <c r="J2289" s="1">
        <v>57</v>
      </c>
      <c r="K2289" s="1">
        <v>4.76</v>
      </c>
      <c r="L2289" s="4">
        <v>145</v>
      </c>
      <c r="M2289" s="1">
        <v>1.7</v>
      </c>
      <c r="N2289" s="1">
        <v>6</v>
      </c>
      <c r="O2289" s="1">
        <v>0.87</v>
      </c>
      <c r="P2289" s="1">
        <v>554</v>
      </c>
      <c r="Q2289" s="1">
        <v>8.92</v>
      </c>
      <c r="R2289" s="1">
        <v>0.66</v>
      </c>
      <c r="S2289" s="2">
        <v>45475</v>
      </c>
      <c r="T2289" s="1">
        <v>77.489999999999995</v>
      </c>
      <c r="U2289" s="1">
        <v>0.53500000000000003</v>
      </c>
      <c r="V2289" s="6">
        <f t="shared" si="105"/>
        <v>17980</v>
      </c>
      <c r="W2289" s="6" t="str">
        <f t="shared" si="106"/>
        <v>Sufficient</v>
      </c>
      <c r="X2289" s="8" t="str">
        <f t="shared" si="107"/>
        <v>Medium</v>
      </c>
    </row>
    <row r="2290" spans="1:24">
      <c r="A2290" s="7" t="s">
        <v>2420</v>
      </c>
      <c r="B2290" s="1" t="s">
        <v>41</v>
      </c>
      <c r="C2290" s="1">
        <v>200</v>
      </c>
      <c r="D2290" s="1">
        <v>75</v>
      </c>
      <c r="E2290" s="1">
        <v>7</v>
      </c>
      <c r="F2290" s="1">
        <v>7</v>
      </c>
      <c r="G2290" s="1">
        <v>45.13</v>
      </c>
      <c r="H2290" s="1" t="s">
        <v>331</v>
      </c>
      <c r="I2290" s="1" t="s">
        <v>39</v>
      </c>
      <c r="J2290" s="1">
        <v>130</v>
      </c>
      <c r="K2290" s="1">
        <v>3.68</v>
      </c>
      <c r="L2290" s="4">
        <v>138.83000000000001</v>
      </c>
      <c r="M2290" s="1">
        <v>1.93</v>
      </c>
      <c r="N2290" s="1">
        <v>5</v>
      </c>
      <c r="O2290" s="1">
        <v>0.97</v>
      </c>
      <c r="P2290" s="1">
        <v>340</v>
      </c>
      <c r="Q2290" s="1">
        <v>12.78</v>
      </c>
      <c r="R2290" s="1">
        <v>0.69</v>
      </c>
      <c r="S2290" s="2">
        <v>45523</v>
      </c>
      <c r="T2290" s="1">
        <v>157.65</v>
      </c>
      <c r="U2290" s="1">
        <v>0.60899999999999999</v>
      </c>
      <c r="V2290" s="6">
        <f t="shared" si="105"/>
        <v>27766.000000000004</v>
      </c>
      <c r="W2290" s="6" t="str">
        <f t="shared" si="106"/>
        <v>Sufficient</v>
      </c>
      <c r="X2290" s="8" t="str">
        <f t="shared" si="107"/>
        <v>Medium</v>
      </c>
    </row>
    <row r="2291" spans="1:24">
      <c r="A2291" s="7" t="s">
        <v>2421</v>
      </c>
      <c r="B2291" s="1" t="s">
        <v>25</v>
      </c>
      <c r="C2291" s="1">
        <v>63</v>
      </c>
      <c r="D2291" s="1">
        <v>20</v>
      </c>
      <c r="E2291" s="1">
        <v>7</v>
      </c>
      <c r="F2291" s="1">
        <v>7</v>
      </c>
      <c r="G2291" s="1">
        <v>7.41</v>
      </c>
      <c r="H2291" s="1" t="s">
        <v>252</v>
      </c>
      <c r="I2291" s="1" t="s">
        <v>31</v>
      </c>
      <c r="J2291" s="1">
        <v>65</v>
      </c>
      <c r="K2291" s="1">
        <v>4.42</v>
      </c>
      <c r="L2291" s="4">
        <v>134.34</v>
      </c>
      <c r="M2291" s="1">
        <v>1.02</v>
      </c>
      <c r="N2291" s="1">
        <v>9</v>
      </c>
      <c r="O2291" s="1">
        <v>0.85</v>
      </c>
      <c r="P2291" s="1">
        <v>953</v>
      </c>
      <c r="Q2291" s="1">
        <v>4.46</v>
      </c>
      <c r="R2291" s="1">
        <v>0.54</v>
      </c>
      <c r="S2291" s="2">
        <v>45344</v>
      </c>
      <c r="T2291" s="1">
        <v>52.87</v>
      </c>
      <c r="U2291" s="1">
        <v>0.45500000000000002</v>
      </c>
      <c r="V2291" s="6">
        <f t="shared" si="105"/>
        <v>8463.42</v>
      </c>
      <c r="W2291" s="6" t="str">
        <f t="shared" si="106"/>
        <v>Sufficient</v>
      </c>
      <c r="X2291" s="8" t="str">
        <f t="shared" si="107"/>
        <v>LOW</v>
      </c>
    </row>
    <row r="2292" spans="1:24">
      <c r="A2292" s="7" t="s">
        <v>2422</v>
      </c>
      <c r="B2292" s="1" t="s">
        <v>33</v>
      </c>
      <c r="C2292" s="1">
        <v>301</v>
      </c>
      <c r="D2292" s="1">
        <v>99</v>
      </c>
      <c r="E2292" s="1">
        <v>10</v>
      </c>
      <c r="F2292" s="1">
        <v>9</v>
      </c>
      <c r="G2292" s="1">
        <v>33.32</v>
      </c>
      <c r="H2292" s="1" t="s">
        <v>229</v>
      </c>
      <c r="I2292" s="1" t="s">
        <v>31</v>
      </c>
      <c r="J2292" s="1">
        <v>17</v>
      </c>
      <c r="K2292" s="1">
        <v>3.87</v>
      </c>
      <c r="L2292" s="4">
        <v>142.09</v>
      </c>
      <c r="M2292" s="1">
        <v>1.1499999999999999</v>
      </c>
      <c r="N2292" s="1">
        <v>7</v>
      </c>
      <c r="O2292" s="1">
        <v>0.77</v>
      </c>
      <c r="P2292" s="1">
        <v>160</v>
      </c>
      <c r="Q2292" s="1">
        <v>11.74</v>
      </c>
      <c r="R2292" s="1">
        <v>0.77</v>
      </c>
      <c r="S2292" s="2">
        <v>45607</v>
      </c>
      <c r="T2292" s="1">
        <v>147.66999999999999</v>
      </c>
      <c r="U2292" s="1">
        <v>0.61</v>
      </c>
      <c r="V2292" s="6">
        <f t="shared" si="105"/>
        <v>42769.090000000004</v>
      </c>
      <c r="W2292" s="6" t="str">
        <f t="shared" si="106"/>
        <v>Sufficient</v>
      </c>
      <c r="X2292" s="8" t="str">
        <f t="shared" si="107"/>
        <v>High</v>
      </c>
    </row>
    <row r="2293" spans="1:24">
      <c r="A2293" s="7" t="s">
        <v>2423</v>
      </c>
      <c r="B2293" s="1" t="s">
        <v>25</v>
      </c>
      <c r="C2293" s="1">
        <v>194</v>
      </c>
      <c r="D2293" s="1">
        <v>27</v>
      </c>
      <c r="E2293" s="1">
        <v>11</v>
      </c>
      <c r="F2293" s="1">
        <v>8</v>
      </c>
      <c r="G2293" s="1">
        <v>27.83</v>
      </c>
      <c r="H2293" s="1" t="s">
        <v>55</v>
      </c>
      <c r="I2293" s="1" t="s">
        <v>45</v>
      </c>
      <c r="J2293" s="1">
        <v>23</v>
      </c>
      <c r="K2293" s="1">
        <v>3.67</v>
      </c>
      <c r="L2293" s="4">
        <v>75</v>
      </c>
      <c r="M2293" s="1">
        <v>1.66</v>
      </c>
      <c r="N2293" s="1">
        <v>5</v>
      </c>
      <c r="O2293" s="1">
        <v>0.74</v>
      </c>
      <c r="P2293" s="1">
        <v>604</v>
      </c>
      <c r="Q2293" s="1">
        <v>6.8</v>
      </c>
      <c r="R2293" s="1">
        <v>0.36</v>
      </c>
      <c r="S2293" s="2">
        <v>45637</v>
      </c>
      <c r="T2293" s="1">
        <v>210.98</v>
      </c>
      <c r="U2293" s="1">
        <v>0.44500000000000001</v>
      </c>
      <c r="V2293" s="6">
        <f t="shared" si="105"/>
        <v>14550</v>
      </c>
      <c r="W2293" s="6" t="str">
        <f t="shared" si="106"/>
        <v>Sufficient</v>
      </c>
      <c r="X2293" s="8" t="str">
        <f t="shared" si="107"/>
        <v>Medium</v>
      </c>
    </row>
    <row r="2294" spans="1:24">
      <c r="A2294" s="7" t="s">
        <v>2424</v>
      </c>
      <c r="B2294" s="1" t="s">
        <v>33</v>
      </c>
      <c r="C2294" s="1">
        <v>181</v>
      </c>
      <c r="D2294" s="1">
        <v>94</v>
      </c>
      <c r="E2294" s="1">
        <v>4</v>
      </c>
      <c r="F2294" s="1">
        <v>4</v>
      </c>
      <c r="G2294" s="1">
        <v>25.24</v>
      </c>
      <c r="H2294" s="1" t="s">
        <v>350</v>
      </c>
      <c r="I2294" s="1" t="s">
        <v>27</v>
      </c>
      <c r="J2294" s="1">
        <v>123</v>
      </c>
      <c r="K2294" s="1">
        <v>3.72</v>
      </c>
      <c r="L2294" s="4">
        <v>70.84</v>
      </c>
      <c r="M2294" s="1">
        <v>1.43</v>
      </c>
      <c r="N2294" s="1">
        <v>4</v>
      </c>
      <c r="O2294" s="1">
        <v>0.96</v>
      </c>
      <c r="P2294" s="1">
        <v>552</v>
      </c>
      <c r="Q2294" s="1">
        <v>5.7</v>
      </c>
      <c r="R2294" s="1">
        <v>0.57999999999999996</v>
      </c>
      <c r="S2294" s="2">
        <v>45579</v>
      </c>
      <c r="T2294" s="1">
        <v>12.15</v>
      </c>
      <c r="U2294" s="1">
        <v>0.56100000000000005</v>
      </c>
      <c r="V2294" s="6">
        <f t="shared" si="105"/>
        <v>12822.04</v>
      </c>
      <c r="W2294" s="6" t="str">
        <f t="shared" si="106"/>
        <v>Sufficient</v>
      </c>
      <c r="X2294" s="8" t="str">
        <f t="shared" si="107"/>
        <v>Medium</v>
      </c>
    </row>
    <row r="2295" spans="1:24">
      <c r="A2295" s="7" t="s">
        <v>2425</v>
      </c>
      <c r="B2295" s="1" t="s">
        <v>33</v>
      </c>
      <c r="C2295" s="1">
        <v>490</v>
      </c>
      <c r="D2295" s="1">
        <v>61</v>
      </c>
      <c r="E2295" s="1">
        <v>13</v>
      </c>
      <c r="F2295" s="1">
        <v>6</v>
      </c>
      <c r="G2295" s="1">
        <v>16.23</v>
      </c>
      <c r="H2295" s="1" t="s">
        <v>276</v>
      </c>
      <c r="I2295" s="1" t="s">
        <v>31</v>
      </c>
      <c r="J2295" s="1">
        <v>63</v>
      </c>
      <c r="K2295" s="1">
        <v>3.74</v>
      </c>
      <c r="L2295" s="4">
        <v>159.02000000000001</v>
      </c>
      <c r="M2295" s="1">
        <v>0.45</v>
      </c>
      <c r="N2295" s="1">
        <v>8</v>
      </c>
      <c r="O2295" s="1">
        <v>0.72</v>
      </c>
      <c r="P2295" s="1">
        <v>350</v>
      </c>
      <c r="Q2295" s="1">
        <v>3.42</v>
      </c>
      <c r="R2295" s="1">
        <v>0.77</v>
      </c>
      <c r="S2295" s="2">
        <v>45406</v>
      </c>
      <c r="T2295" s="1">
        <v>42.23</v>
      </c>
      <c r="U2295" s="1">
        <v>0.53900000000000003</v>
      </c>
      <c r="V2295" s="6">
        <f t="shared" si="105"/>
        <v>77919.8</v>
      </c>
      <c r="W2295" s="6" t="str">
        <f t="shared" si="106"/>
        <v>Sufficient</v>
      </c>
      <c r="X2295" s="8" t="str">
        <f t="shared" si="107"/>
        <v>High</v>
      </c>
    </row>
    <row r="2296" spans="1:24">
      <c r="A2296" s="7" t="s">
        <v>2426</v>
      </c>
      <c r="B2296" s="1" t="s">
        <v>25</v>
      </c>
      <c r="C2296" s="1">
        <v>370</v>
      </c>
      <c r="D2296" s="1">
        <v>55</v>
      </c>
      <c r="E2296" s="1">
        <v>9</v>
      </c>
      <c r="F2296" s="1">
        <v>5</v>
      </c>
      <c r="G2296" s="1">
        <v>25.68</v>
      </c>
      <c r="H2296" s="1" t="s">
        <v>63</v>
      </c>
      <c r="I2296" s="1" t="s">
        <v>45</v>
      </c>
      <c r="J2296" s="1">
        <v>26</v>
      </c>
      <c r="K2296" s="1">
        <v>2.21</v>
      </c>
      <c r="L2296" s="4">
        <v>20.09</v>
      </c>
      <c r="M2296" s="1">
        <v>0.86</v>
      </c>
      <c r="N2296" s="1">
        <v>3</v>
      </c>
      <c r="O2296" s="1">
        <v>0.74</v>
      </c>
      <c r="P2296" s="1">
        <v>695</v>
      </c>
      <c r="Q2296" s="1">
        <v>14.08</v>
      </c>
      <c r="R2296" s="1">
        <v>0.82</v>
      </c>
      <c r="S2296" s="2">
        <v>45623</v>
      </c>
      <c r="T2296" s="1">
        <v>289.02</v>
      </c>
      <c r="U2296" s="1">
        <v>0.754</v>
      </c>
      <c r="V2296" s="6">
        <f t="shared" si="105"/>
        <v>7433.3</v>
      </c>
      <c r="W2296" s="6" t="str">
        <f t="shared" si="106"/>
        <v>Sufficient</v>
      </c>
      <c r="X2296" s="8" t="str">
        <f t="shared" si="107"/>
        <v>High</v>
      </c>
    </row>
    <row r="2297" spans="1:24">
      <c r="A2297" s="7" t="s">
        <v>2427</v>
      </c>
      <c r="B2297" s="1" t="s">
        <v>33</v>
      </c>
      <c r="C2297" s="1">
        <v>453</v>
      </c>
      <c r="D2297" s="1">
        <v>53</v>
      </c>
      <c r="E2297" s="1">
        <v>3</v>
      </c>
      <c r="F2297" s="1">
        <v>4</v>
      </c>
      <c r="G2297" s="1">
        <v>8.93</v>
      </c>
      <c r="H2297" s="1" t="s">
        <v>256</v>
      </c>
      <c r="I2297" s="1" t="s">
        <v>39</v>
      </c>
      <c r="J2297" s="1">
        <v>142</v>
      </c>
      <c r="K2297" s="1">
        <v>2.41</v>
      </c>
      <c r="L2297" s="4">
        <v>154.26</v>
      </c>
      <c r="M2297" s="1">
        <v>1.87</v>
      </c>
      <c r="N2297" s="1">
        <v>6</v>
      </c>
      <c r="O2297" s="1">
        <v>0.72</v>
      </c>
      <c r="P2297" s="1">
        <v>62</v>
      </c>
      <c r="Q2297" s="1">
        <v>4.16</v>
      </c>
      <c r="R2297" s="1">
        <v>0.4</v>
      </c>
      <c r="S2297" s="2">
        <v>45579</v>
      </c>
      <c r="T2297" s="1">
        <v>279.10000000000002</v>
      </c>
      <c r="U2297" s="1">
        <v>0.372</v>
      </c>
      <c r="V2297" s="6">
        <f t="shared" si="105"/>
        <v>69879.78</v>
      </c>
      <c r="W2297" s="6" t="str">
        <f t="shared" si="106"/>
        <v>Sufficient</v>
      </c>
      <c r="X2297" s="8" t="str">
        <f t="shared" si="107"/>
        <v>High</v>
      </c>
    </row>
    <row r="2298" spans="1:24">
      <c r="A2298" s="7" t="s">
        <v>2428</v>
      </c>
      <c r="B2298" s="1" t="s">
        <v>33</v>
      </c>
      <c r="C2298" s="1">
        <v>359</v>
      </c>
      <c r="D2298" s="1">
        <v>31</v>
      </c>
      <c r="E2298" s="1">
        <v>3</v>
      </c>
      <c r="F2298" s="1">
        <v>3</v>
      </c>
      <c r="G2298" s="1">
        <v>19.100000000000001</v>
      </c>
      <c r="H2298" s="1" t="s">
        <v>183</v>
      </c>
      <c r="I2298" s="1" t="s">
        <v>39</v>
      </c>
      <c r="J2298" s="1">
        <v>140</v>
      </c>
      <c r="K2298" s="1">
        <v>1.82</v>
      </c>
      <c r="L2298" s="4">
        <v>164.63</v>
      </c>
      <c r="M2298" s="1">
        <v>0.38</v>
      </c>
      <c r="N2298" s="1">
        <v>5</v>
      </c>
      <c r="O2298" s="1">
        <v>0.83</v>
      </c>
      <c r="P2298" s="1">
        <v>572</v>
      </c>
      <c r="Q2298" s="1">
        <v>4.91</v>
      </c>
      <c r="R2298" s="1">
        <v>0.35</v>
      </c>
      <c r="S2298" s="2">
        <v>45491</v>
      </c>
      <c r="T2298" s="1">
        <v>131.19999999999999</v>
      </c>
      <c r="U2298" s="1">
        <v>0.56299999999999994</v>
      </c>
      <c r="V2298" s="6">
        <f t="shared" si="105"/>
        <v>59102.17</v>
      </c>
      <c r="W2298" s="6" t="str">
        <f t="shared" si="106"/>
        <v>Sufficient</v>
      </c>
      <c r="X2298" s="8" t="str">
        <f t="shared" si="107"/>
        <v>High</v>
      </c>
    </row>
    <row r="2299" spans="1:24">
      <c r="A2299" s="7" t="s">
        <v>2429</v>
      </c>
      <c r="B2299" s="1" t="s">
        <v>41</v>
      </c>
      <c r="C2299" s="1">
        <v>159</v>
      </c>
      <c r="D2299" s="1">
        <v>62</v>
      </c>
      <c r="E2299" s="1">
        <v>6</v>
      </c>
      <c r="F2299" s="1">
        <v>3</v>
      </c>
      <c r="G2299" s="1">
        <v>5.84</v>
      </c>
      <c r="H2299" s="1" t="s">
        <v>149</v>
      </c>
      <c r="I2299" s="1" t="s">
        <v>31</v>
      </c>
      <c r="J2299" s="1">
        <v>18</v>
      </c>
      <c r="K2299" s="1">
        <v>1.17</v>
      </c>
      <c r="L2299" s="4">
        <v>109.1</v>
      </c>
      <c r="M2299" s="1">
        <v>0.5</v>
      </c>
      <c r="N2299" s="1">
        <v>9</v>
      </c>
      <c r="O2299" s="1">
        <v>0.86</v>
      </c>
      <c r="P2299" s="1">
        <v>151</v>
      </c>
      <c r="Q2299" s="1">
        <v>5.64</v>
      </c>
      <c r="R2299" s="1">
        <v>0.43</v>
      </c>
      <c r="S2299" s="2">
        <v>45413</v>
      </c>
      <c r="T2299" s="1">
        <v>181.11</v>
      </c>
      <c r="U2299" s="1">
        <v>0.503</v>
      </c>
      <c r="V2299" s="6">
        <f t="shared" si="105"/>
        <v>17346.899999999998</v>
      </c>
      <c r="W2299" s="6" t="str">
        <f t="shared" si="106"/>
        <v>Sufficient</v>
      </c>
      <c r="X2299" s="8" t="str">
        <f t="shared" si="107"/>
        <v>Medium</v>
      </c>
    </row>
    <row r="2300" spans="1:24">
      <c r="A2300" s="7" t="s">
        <v>2430</v>
      </c>
      <c r="B2300" s="1" t="s">
        <v>29</v>
      </c>
      <c r="C2300" s="1">
        <v>490</v>
      </c>
      <c r="D2300" s="1">
        <v>68</v>
      </c>
      <c r="E2300" s="1">
        <v>12</v>
      </c>
      <c r="F2300" s="1">
        <v>5</v>
      </c>
      <c r="G2300" s="1">
        <v>29.02</v>
      </c>
      <c r="H2300" s="1" t="s">
        <v>470</v>
      </c>
      <c r="I2300" s="1" t="s">
        <v>27</v>
      </c>
      <c r="J2300" s="1">
        <v>131</v>
      </c>
      <c r="K2300" s="1">
        <v>2.56</v>
      </c>
      <c r="L2300" s="4">
        <v>182.93</v>
      </c>
      <c r="M2300" s="1">
        <v>0.86</v>
      </c>
      <c r="N2300" s="1">
        <v>5</v>
      </c>
      <c r="O2300" s="1">
        <v>0.71</v>
      </c>
      <c r="P2300" s="1">
        <v>246</v>
      </c>
      <c r="Q2300" s="1">
        <v>4.99</v>
      </c>
      <c r="R2300" s="1">
        <v>0.94</v>
      </c>
      <c r="S2300" s="2">
        <v>45553</v>
      </c>
      <c r="T2300" s="1">
        <v>55.03</v>
      </c>
      <c r="U2300" s="1">
        <v>0.61099999999999999</v>
      </c>
      <c r="V2300" s="6">
        <f t="shared" si="105"/>
        <v>89635.7</v>
      </c>
      <c r="W2300" s="6" t="str">
        <f t="shared" si="106"/>
        <v>Sufficient</v>
      </c>
      <c r="X2300" s="8" t="str">
        <f t="shared" si="107"/>
        <v>High</v>
      </c>
    </row>
    <row r="2301" spans="1:24">
      <c r="A2301" s="7" t="s">
        <v>2431</v>
      </c>
      <c r="B2301" s="1" t="s">
        <v>29</v>
      </c>
      <c r="C2301" s="1">
        <v>151</v>
      </c>
      <c r="D2301" s="1">
        <v>39</v>
      </c>
      <c r="E2301" s="1">
        <v>9</v>
      </c>
      <c r="F2301" s="1">
        <v>2</v>
      </c>
      <c r="G2301" s="1">
        <v>5.69</v>
      </c>
      <c r="H2301" s="1" t="s">
        <v>117</v>
      </c>
      <c r="I2301" s="1" t="s">
        <v>45</v>
      </c>
      <c r="J2301" s="1">
        <v>123</v>
      </c>
      <c r="K2301" s="1">
        <v>4.55</v>
      </c>
      <c r="L2301" s="4">
        <v>99.89</v>
      </c>
      <c r="M2301" s="1">
        <v>1.89</v>
      </c>
      <c r="N2301" s="1">
        <v>4</v>
      </c>
      <c r="O2301" s="1">
        <v>0.85</v>
      </c>
      <c r="P2301" s="1">
        <v>440</v>
      </c>
      <c r="Q2301" s="1">
        <v>3.28</v>
      </c>
      <c r="R2301" s="1">
        <v>0.3</v>
      </c>
      <c r="S2301" s="2">
        <v>45648</v>
      </c>
      <c r="T2301" s="1">
        <v>105.99</v>
      </c>
      <c r="U2301" s="1">
        <v>0.40500000000000003</v>
      </c>
      <c r="V2301" s="6">
        <f t="shared" si="105"/>
        <v>15083.39</v>
      </c>
      <c r="W2301" s="6" t="str">
        <f t="shared" si="106"/>
        <v>Sufficient</v>
      </c>
      <c r="X2301" s="8" t="str">
        <f t="shared" si="107"/>
        <v>Medium</v>
      </c>
    </row>
    <row r="2302" spans="1:24">
      <c r="A2302" s="7" t="s">
        <v>2432</v>
      </c>
      <c r="B2302" s="1" t="s">
        <v>41</v>
      </c>
      <c r="C2302" s="1">
        <v>106</v>
      </c>
      <c r="D2302" s="1">
        <v>17</v>
      </c>
      <c r="E2302" s="1">
        <v>4</v>
      </c>
      <c r="F2302" s="1">
        <v>9</v>
      </c>
      <c r="G2302" s="1">
        <v>8.86</v>
      </c>
      <c r="H2302" s="1" t="s">
        <v>208</v>
      </c>
      <c r="I2302" s="1" t="s">
        <v>31</v>
      </c>
      <c r="J2302" s="1">
        <v>29</v>
      </c>
      <c r="K2302" s="1">
        <v>3.43</v>
      </c>
      <c r="L2302" s="4">
        <v>43.84</v>
      </c>
      <c r="M2302" s="1">
        <v>0.32</v>
      </c>
      <c r="N2302" s="1">
        <v>1</v>
      </c>
      <c r="O2302" s="1">
        <v>0.82</v>
      </c>
      <c r="P2302" s="1">
        <v>104</v>
      </c>
      <c r="Q2302" s="1">
        <v>5.96</v>
      </c>
      <c r="R2302" s="1">
        <v>0.96</v>
      </c>
      <c r="S2302" s="2">
        <v>45439</v>
      </c>
      <c r="T2302" s="1">
        <v>239.95</v>
      </c>
      <c r="U2302" s="1">
        <v>0.78300000000000003</v>
      </c>
      <c r="V2302" s="6">
        <f t="shared" si="105"/>
        <v>4647.04</v>
      </c>
      <c r="W2302" s="6" t="str">
        <f t="shared" si="106"/>
        <v>Sufficient</v>
      </c>
      <c r="X2302" s="8" t="str">
        <f t="shared" si="107"/>
        <v>Medium</v>
      </c>
    </row>
    <row r="2303" spans="1:24">
      <c r="A2303" s="7" t="s">
        <v>2433</v>
      </c>
      <c r="B2303" s="1" t="s">
        <v>25</v>
      </c>
      <c r="C2303" s="1">
        <v>195</v>
      </c>
      <c r="D2303" s="1">
        <v>66</v>
      </c>
      <c r="E2303" s="1">
        <v>13</v>
      </c>
      <c r="F2303" s="1">
        <v>2</v>
      </c>
      <c r="G2303" s="1">
        <v>5.19</v>
      </c>
      <c r="H2303" s="1" t="s">
        <v>258</v>
      </c>
      <c r="I2303" s="1" t="s">
        <v>45</v>
      </c>
      <c r="J2303" s="1">
        <v>92</v>
      </c>
      <c r="K2303" s="1">
        <v>0.75</v>
      </c>
      <c r="L2303" s="4">
        <v>78.67</v>
      </c>
      <c r="M2303" s="1">
        <v>1.38</v>
      </c>
      <c r="N2303" s="1">
        <v>3</v>
      </c>
      <c r="O2303" s="1">
        <v>0.93</v>
      </c>
      <c r="P2303" s="1">
        <v>232</v>
      </c>
      <c r="Q2303" s="1">
        <v>7.6</v>
      </c>
      <c r="R2303" s="1">
        <v>1</v>
      </c>
      <c r="S2303" s="2">
        <v>45646</v>
      </c>
      <c r="T2303" s="1">
        <v>258.23</v>
      </c>
      <c r="U2303" s="1">
        <v>0.68899999999999995</v>
      </c>
      <c r="V2303" s="6">
        <f t="shared" si="105"/>
        <v>15340.65</v>
      </c>
      <c r="W2303" s="6" t="str">
        <f t="shared" si="106"/>
        <v>Sufficient</v>
      </c>
      <c r="X2303" s="8" t="str">
        <f t="shared" si="107"/>
        <v>Medium</v>
      </c>
    </row>
    <row r="2304" spans="1:24">
      <c r="A2304" s="7" t="s">
        <v>2434</v>
      </c>
      <c r="B2304" s="1" t="s">
        <v>66</v>
      </c>
      <c r="C2304" s="1">
        <v>202</v>
      </c>
      <c r="D2304" s="1">
        <v>82</v>
      </c>
      <c r="E2304" s="1">
        <v>4</v>
      </c>
      <c r="F2304" s="1">
        <v>9</v>
      </c>
      <c r="G2304" s="1">
        <v>19.68</v>
      </c>
      <c r="H2304" s="1" t="s">
        <v>83</v>
      </c>
      <c r="I2304" s="1" t="s">
        <v>39</v>
      </c>
      <c r="J2304" s="1">
        <v>30</v>
      </c>
      <c r="K2304" s="1">
        <v>4.1500000000000004</v>
      </c>
      <c r="L2304" s="4">
        <v>182.11</v>
      </c>
      <c r="M2304" s="1">
        <v>0.35</v>
      </c>
      <c r="N2304" s="1">
        <v>0</v>
      </c>
      <c r="O2304" s="1">
        <v>0.95</v>
      </c>
      <c r="P2304" s="1">
        <v>68</v>
      </c>
      <c r="Q2304" s="1">
        <v>8.7200000000000006</v>
      </c>
      <c r="R2304" s="1">
        <v>0.83</v>
      </c>
      <c r="S2304" s="2">
        <v>45632</v>
      </c>
      <c r="T2304" s="1">
        <v>127.53</v>
      </c>
      <c r="U2304" s="1">
        <v>0.83699999999999997</v>
      </c>
      <c r="V2304" s="6">
        <f t="shared" si="105"/>
        <v>36786.22</v>
      </c>
      <c r="W2304" s="6" t="str">
        <f t="shared" si="106"/>
        <v>Sufficient</v>
      </c>
      <c r="X2304" s="8" t="str">
        <f t="shared" si="107"/>
        <v>Medium</v>
      </c>
    </row>
    <row r="2305" spans="1:24">
      <c r="A2305" s="7" t="s">
        <v>2435</v>
      </c>
      <c r="B2305" s="1" t="s">
        <v>66</v>
      </c>
      <c r="C2305" s="1">
        <v>387</v>
      </c>
      <c r="D2305" s="1">
        <v>29</v>
      </c>
      <c r="E2305" s="1">
        <v>3</v>
      </c>
      <c r="F2305" s="1">
        <v>3</v>
      </c>
      <c r="G2305" s="1">
        <v>42.26</v>
      </c>
      <c r="H2305" s="1" t="s">
        <v>394</v>
      </c>
      <c r="I2305" s="1" t="s">
        <v>45</v>
      </c>
      <c r="J2305" s="1">
        <v>42</v>
      </c>
      <c r="K2305" s="1">
        <v>4.71</v>
      </c>
      <c r="L2305" s="4">
        <v>198.81</v>
      </c>
      <c r="M2305" s="1">
        <v>1.1000000000000001</v>
      </c>
      <c r="N2305" s="1">
        <v>8</v>
      </c>
      <c r="O2305" s="1">
        <v>0.91</v>
      </c>
      <c r="P2305" s="1">
        <v>412</v>
      </c>
      <c r="Q2305" s="1">
        <v>3.19</v>
      </c>
      <c r="R2305" s="1">
        <v>0.81</v>
      </c>
      <c r="S2305" s="2">
        <v>45316</v>
      </c>
      <c r="T2305" s="1">
        <v>100.21</v>
      </c>
      <c r="U2305" s="1">
        <v>0.51700000000000002</v>
      </c>
      <c r="V2305" s="6">
        <f t="shared" si="105"/>
        <v>76939.47</v>
      </c>
      <c r="W2305" s="6" t="str">
        <f t="shared" si="106"/>
        <v>Sufficient</v>
      </c>
      <c r="X2305" s="8" t="str">
        <f t="shared" si="107"/>
        <v>High</v>
      </c>
    </row>
    <row r="2306" spans="1:24">
      <c r="A2306" s="7" t="s">
        <v>2436</v>
      </c>
      <c r="B2306" s="1" t="s">
        <v>66</v>
      </c>
      <c r="C2306" s="1">
        <v>148</v>
      </c>
      <c r="D2306" s="1">
        <v>34</v>
      </c>
      <c r="E2306" s="1">
        <v>12</v>
      </c>
      <c r="F2306" s="1">
        <v>9</v>
      </c>
      <c r="G2306" s="1">
        <v>45.44</v>
      </c>
      <c r="H2306" s="1" t="s">
        <v>178</v>
      </c>
      <c r="I2306" s="1" t="s">
        <v>39</v>
      </c>
      <c r="J2306" s="1">
        <v>142</v>
      </c>
      <c r="K2306" s="1">
        <v>4.2300000000000004</v>
      </c>
      <c r="L2306" s="4">
        <v>90.15</v>
      </c>
      <c r="M2306" s="1">
        <v>1.1200000000000001</v>
      </c>
      <c r="N2306" s="1">
        <v>8</v>
      </c>
      <c r="O2306" s="1">
        <v>0.84</v>
      </c>
      <c r="P2306" s="1">
        <v>823</v>
      </c>
      <c r="Q2306" s="1">
        <v>11.91</v>
      </c>
      <c r="R2306" s="1">
        <v>0.96</v>
      </c>
      <c r="S2306" s="2">
        <v>45487</v>
      </c>
      <c r="T2306" s="1">
        <v>207.69</v>
      </c>
      <c r="U2306" s="1">
        <v>0.64700000000000002</v>
      </c>
      <c r="V2306" s="6">
        <f t="shared" si="105"/>
        <v>13342.2</v>
      </c>
      <c r="W2306" s="6" t="str">
        <f t="shared" si="106"/>
        <v>Sufficient</v>
      </c>
      <c r="X2306" s="8" t="str">
        <f t="shared" si="107"/>
        <v>Medium</v>
      </c>
    </row>
    <row r="2307" spans="1:24">
      <c r="A2307" s="7" t="s">
        <v>2437</v>
      </c>
      <c r="B2307" s="1" t="s">
        <v>41</v>
      </c>
      <c r="C2307" s="1">
        <v>265</v>
      </c>
      <c r="D2307" s="1">
        <v>28</v>
      </c>
      <c r="E2307" s="1">
        <v>4</v>
      </c>
      <c r="F2307" s="1">
        <v>8</v>
      </c>
      <c r="G2307" s="1">
        <v>4.5199999999999996</v>
      </c>
      <c r="H2307" s="1" t="s">
        <v>132</v>
      </c>
      <c r="I2307" s="1" t="s">
        <v>27</v>
      </c>
      <c r="J2307" s="1">
        <v>161</v>
      </c>
      <c r="K2307" s="1">
        <v>3.77</v>
      </c>
      <c r="L2307" s="4">
        <v>41.7</v>
      </c>
      <c r="M2307" s="1">
        <v>0.18</v>
      </c>
      <c r="N2307" s="1">
        <v>7</v>
      </c>
      <c r="O2307" s="1">
        <v>0.76</v>
      </c>
      <c r="P2307" s="1">
        <v>522</v>
      </c>
      <c r="Q2307" s="1">
        <v>5.36</v>
      </c>
      <c r="R2307" s="1">
        <v>0.43</v>
      </c>
      <c r="S2307" s="2">
        <v>45490</v>
      </c>
      <c r="T2307" s="1">
        <v>218.19</v>
      </c>
      <c r="U2307" s="1">
        <v>0.55100000000000005</v>
      </c>
      <c r="V2307" s="6">
        <f t="shared" si="105"/>
        <v>11050.5</v>
      </c>
      <c r="W2307" s="6" t="str">
        <f t="shared" si="106"/>
        <v>Sufficient</v>
      </c>
      <c r="X2307" s="8" t="str">
        <f t="shared" si="107"/>
        <v>High</v>
      </c>
    </row>
    <row r="2308" spans="1:24">
      <c r="A2308" s="7" t="s">
        <v>2438</v>
      </c>
      <c r="B2308" s="1" t="s">
        <v>41</v>
      </c>
      <c r="C2308" s="1">
        <v>108</v>
      </c>
      <c r="D2308" s="1">
        <v>14</v>
      </c>
      <c r="E2308" s="1">
        <v>9</v>
      </c>
      <c r="F2308" s="1">
        <v>8</v>
      </c>
      <c r="G2308" s="1">
        <v>32.090000000000003</v>
      </c>
      <c r="H2308" s="1" t="s">
        <v>171</v>
      </c>
      <c r="I2308" s="1" t="s">
        <v>27</v>
      </c>
      <c r="J2308" s="1">
        <v>35</v>
      </c>
      <c r="K2308" s="1">
        <v>1.18</v>
      </c>
      <c r="L2308" s="4">
        <v>64.400000000000006</v>
      </c>
      <c r="M2308" s="1">
        <v>1.91</v>
      </c>
      <c r="N2308" s="1">
        <v>3</v>
      </c>
      <c r="O2308" s="1">
        <v>0.95</v>
      </c>
      <c r="P2308" s="1">
        <v>58</v>
      </c>
      <c r="Q2308" s="1">
        <v>13.85</v>
      </c>
      <c r="R2308" s="1">
        <v>0.3</v>
      </c>
      <c r="S2308" s="2">
        <v>45505</v>
      </c>
      <c r="T2308" s="1">
        <v>295.3</v>
      </c>
      <c r="U2308" s="1">
        <v>0.58399999999999996</v>
      </c>
      <c r="V2308" s="6">
        <f t="shared" ref="V2308:V2371" si="108">C2308*L2308</f>
        <v>6955.2000000000007</v>
      </c>
      <c r="W2308" s="6" t="str">
        <f t="shared" ref="W2308:W2371" si="109">IF(C2308&lt;=D2308,"Reorder Required","Sufficient")</f>
        <v>Sufficient</v>
      </c>
      <c r="X2308" s="8" t="str">
        <f t="shared" ref="X2308:X2371" si="110">IF(C2308&lt;100,"LOW",IF(C2308&lt;250,"Medium","High"))</f>
        <v>Medium</v>
      </c>
    </row>
    <row r="2309" spans="1:24">
      <c r="A2309" s="7" t="s">
        <v>2439</v>
      </c>
      <c r="B2309" s="1" t="s">
        <v>33</v>
      </c>
      <c r="C2309" s="1">
        <v>85</v>
      </c>
      <c r="D2309" s="1">
        <v>84</v>
      </c>
      <c r="E2309" s="1">
        <v>11</v>
      </c>
      <c r="F2309" s="1">
        <v>5</v>
      </c>
      <c r="G2309" s="1">
        <v>34.53</v>
      </c>
      <c r="H2309" s="1" t="s">
        <v>294</v>
      </c>
      <c r="I2309" s="1" t="s">
        <v>39</v>
      </c>
      <c r="J2309" s="1">
        <v>117</v>
      </c>
      <c r="K2309" s="1">
        <v>2.0699999999999998</v>
      </c>
      <c r="L2309" s="4">
        <v>115.13</v>
      </c>
      <c r="M2309" s="1">
        <v>1.63</v>
      </c>
      <c r="N2309" s="1">
        <v>4</v>
      </c>
      <c r="O2309" s="1">
        <v>0.8</v>
      </c>
      <c r="P2309" s="1">
        <v>709</v>
      </c>
      <c r="Q2309" s="1">
        <v>5.61</v>
      </c>
      <c r="R2309" s="1">
        <v>0.86</v>
      </c>
      <c r="S2309" s="2">
        <v>45642</v>
      </c>
      <c r="T2309" s="1">
        <v>212.23</v>
      </c>
      <c r="U2309" s="1">
        <v>0.56399999999999995</v>
      </c>
      <c r="V2309" s="6">
        <f t="shared" si="108"/>
        <v>9786.0499999999993</v>
      </c>
      <c r="W2309" s="6" t="str">
        <f t="shared" si="109"/>
        <v>Sufficient</v>
      </c>
      <c r="X2309" s="8" t="str">
        <f t="shared" si="110"/>
        <v>LOW</v>
      </c>
    </row>
    <row r="2310" spans="1:24">
      <c r="A2310" s="7" t="s">
        <v>2440</v>
      </c>
      <c r="B2310" s="1" t="s">
        <v>66</v>
      </c>
      <c r="C2310" s="1">
        <v>177</v>
      </c>
      <c r="D2310" s="1">
        <v>88</v>
      </c>
      <c r="E2310" s="1">
        <v>8</v>
      </c>
      <c r="F2310" s="1">
        <v>2</v>
      </c>
      <c r="G2310" s="1">
        <v>27.15</v>
      </c>
      <c r="H2310" s="1" t="s">
        <v>216</v>
      </c>
      <c r="I2310" s="1" t="s">
        <v>31</v>
      </c>
      <c r="J2310" s="1">
        <v>98</v>
      </c>
      <c r="K2310" s="1">
        <v>3.04</v>
      </c>
      <c r="L2310" s="4">
        <v>118.7</v>
      </c>
      <c r="M2310" s="1">
        <v>0.68</v>
      </c>
      <c r="N2310" s="1">
        <v>0</v>
      </c>
      <c r="O2310" s="1">
        <v>0.81</v>
      </c>
      <c r="P2310" s="1">
        <v>74</v>
      </c>
      <c r="Q2310" s="1">
        <v>13.08</v>
      </c>
      <c r="R2310" s="1">
        <v>0.34</v>
      </c>
      <c r="S2310" s="2">
        <v>45452</v>
      </c>
      <c r="T2310" s="1">
        <v>79.650000000000006</v>
      </c>
      <c r="U2310" s="1">
        <v>0.73599999999999999</v>
      </c>
      <c r="V2310" s="6">
        <f t="shared" si="108"/>
        <v>21009.9</v>
      </c>
      <c r="W2310" s="6" t="str">
        <f t="shared" si="109"/>
        <v>Sufficient</v>
      </c>
      <c r="X2310" s="8" t="str">
        <f t="shared" si="110"/>
        <v>Medium</v>
      </c>
    </row>
    <row r="2311" spans="1:24">
      <c r="A2311" s="7" t="s">
        <v>2441</v>
      </c>
      <c r="B2311" s="1" t="s">
        <v>25</v>
      </c>
      <c r="C2311" s="1">
        <v>406</v>
      </c>
      <c r="D2311" s="1">
        <v>81</v>
      </c>
      <c r="E2311" s="1">
        <v>12</v>
      </c>
      <c r="F2311" s="1">
        <v>6</v>
      </c>
      <c r="G2311" s="1">
        <v>33.68</v>
      </c>
      <c r="H2311" s="1" t="s">
        <v>238</v>
      </c>
      <c r="I2311" s="1" t="s">
        <v>39</v>
      </c>
      <c r="J2311" s="1">
        <v>101</v>
      </c>
      <c r="K2311" s="1">
        <v>0.85</v>
      </c>
      <c r="L2311" s="4">
        <v>129.71</v>
      </c>
      <c r="M2311" s="1">
        <v>0.35</v>
      </c>
      <c r="N2311" s="1">
        <v>3</v>
      </c>
      <c r="O2311" s="1">
        <v>0.97</v>
      </c>
      <c r="P2311" s="1">
        <v>355</v>
      </c>
      <c r="Q2311" s="1">
        <v>5.94</v>
      </c>
      <c r="R2311" s="1">
        <v>0.24</v>
      </c>
      <c r="S2311" s="2">
        <v>45574</v>
      </c>
      <c r="T2311" s="1">
        <v>27.4</v>
      </c>
      <c r="U2311" s="1">
        <v>0.626</v>
      </c>
      <c r="V2311" s="6">
        <f t="shared" si="108"/>
        <v>52662.26</v>
      </c>
      <c r="W2311" s="6" t="str">
        <f t="shared" si="109"/>
        <v>Sufficient</v>
      </c>
      <c r="X2311" s="8" t="str">
        <f t="shared" si="110"/>
        <v>High</v>
      </c>
    </row>
    <row r="2312" spans="1:24">
      <c r="A2312" s="7" t="s">
        <v>2442</v>
      </c>
      <c r="B2312" s="1" t="s">
        <v>25</v>
      </c>
      <c r="C2312" s="1">
        <v>397</v>
      </c>
      <c r="D2312" s="1">
        <v>92</v>
      </c>
      <c r="E2312" s="1">
        <v>4</v>
      </c>
      <c r="F2312" s="1">
        <v>3</v>
      </c>
      <c r="G2312" s="1">
        <v>12.45</v>
      </c>
      <c r="H2312" s="1" t="s">
        <v>370</v>
      </c>
      <c r="I2312" s="1" t="s">
        <v>45</v>
      </c>
      <c r="J2312" s="1">
        <v>42</v>
      </c>
      <c r="K2312" s="1">
        <v>0.98</v>
      </c>
      <c r="L2312" s="4">
        <v>168.72</v>
      </c>
      <c r="M2312" s="1">
        <v>0.76</v>
      </c>
      <c r="N2312" s="1">
        <v>3</v>
      </c>
      <c r="O2312" s="1">
        <v>0.99</v>
      </c>
      <c r="P2312" s="1">
        <v>633</v>
      </c>
      <c r="Q2312" s="1">
        <v>8.08</v>
      </c>
      <c r="R2312" s="1">
        <v>0.36</v>
      </c>
      <c r="S2312" s="2">
        <v>45319</v>
      </c>
      <c r="T2312" s="1">
        <v>84.71</v>
      </c>
      <c r="U2312" s="1">
        <v>0.64200000000000002</v>
      </c>
      <c r="V2312" s="6">
        <f t="shared" si="108"/>
        <v>66981.84</v>
      </c>
      <c r="W2312" s="6" t="str">
        <f t="shared" si="109"/>
        <v>Sufficient</v>
      </c>
      <c r="X2312" s="8" t="str">
        <f t="shared" si="110"/>
        <v>High</v>
      </c>
    </row>
    <row r="2313" spans="1:24">
      <c r="A2313" s="7" t="s">
        <v>2443</v>
      </c>
      <c r="B2313" s="1" t="s">
        <v>66</v>
      </c>
      <c r="C2313" s="1">
        <v>168</v>
      </c>
      <c r="D2313" s="1">
        <v>96</v>
      </c>
      <c r="E2313" s="1">
        <v>14</v>
      </c>
      <c r="F2313" s="1">
        <v>7</v>
      </c>
      <c r="G2313" s="1">
        <v>24.99</v>
      </c>
      <c r="H2313" s="1" t="s">
        <v>269</v>
      </c>
      <c r="I2313" s="1" t="s">
        <v>45</v>
      </c>
      <c r="J2313" s="1">
        <v>27</v>
      </c>
      <c r="K2313" s="1">
        <v>4.7</v>
      </c>
      <c r="L2313" s="4">
        <v>145.13</v>
      </c>
      <c r="M2313" s="1">
        <v>1.8</v>
      </c>
      <c r="N2313" s="1">
        <v>4</v>
      </c>
      <c r="O2313" s="1">
        <v>0.97</v>
      </c>
      <c r="P2313" s="1">
        <v>483</v>
      </c>
      <c r="Q2313" s="1">
        <v>6.21</v>
      </c>
      <c r="R2313" s="1">
        <v>0.55000000000000004</v>
      </c>
      <c r="S2313" s="2">
        <v>45298</v>
      </c>
      <c r="T2313" s="1">
        <v>75.73</v>
      </c>
      <c r="U2313" s="1">
        <v>0.52700000000000002</v>
      </c>
      <c r="V2313" s="6">
        <f t="shared" si="108"/>
        <v>24381.84</v>
      </c>
      <c r="W2313" s="6" t="str">
        <f t="shared" si="109"/>
        <v>Sufficient</v>
      </c>
      <c r="X2313" s="8" t="str">
        <f t="shared" si="110"/>
        <v>Medium</v>
      </c>
    </row>
    <row r="2314" spans="1:24">
      <c r="A2314" s="7" t="s">
        <v>2444</v>
      </c>
      <c r="B2314" s="1" t="s">
        <v>66</v>
      </c>
      <c r="C2314" s="1">
        <v>492</v>
      </c>
      <c r="D2314" s="1">
        <v>36</v>
      </c>
      <c r="E2314" s="1">
        <v>12</v>
      </c>
      <c r="F2314" s="1">
        <v>6</v>
      </c>
      <c r="G2314" s="1">
        <v>20.149999999999999</v>
      </c>
      <c r="H2314" s="1" t="s">
        <v>103</v>
      </c>
      <c r="I2314" s="1" t="s">
        <v>45</v>
      </c>
      <c r="J2314" s="1">
        <v>27</v>
      </c>
      <c r="K2314" s="1">
        <v>3.66</v>
      </c>
      <c r="L2314" s="4">
        <v>59.56</v>
      </c>
      <c r="M2314" s="1">
        <v>0.35</v>
      </c>
      <c r="N2314" s="1">
        <v>1</v>
      </c>
      <c r="O2314" s="1">
        <v>1</v>
      </c>
      <c r="P2314" s="1">
        <v>471</v>
      </c>
      <c r="Q2314" s="1">
        <v>6.42</v>
      </c>
      <c r="R2314" s="1">
        <v>0.6</v>
      </c>
      <c r="S2314" s="2">
        <v>45420</v>
      </c>
      <c r="T2314" s="1">
        <v>36.92</v>
      </c>
      <c r="U2314" s="1">
        <v>0.751</v>
      </c>
      <c r="V2314" s="6">
        <f t="shared" si="108"/>
        <v>29303.52</v>
      </c>
      <c r="W2314" s="6" t="str">
        <f t="shared" si="109"/>
        <v>Sufficient</v>
      </c>
      <c r="X2314" s="8" t="str">
        <f t="shared" si="110"/>
        <v>High</v>
      </c>
    </row>
    <row r="2315" spans="1:24">
      <c r="A2315" s="7" t="s">
        <v>2445</v>
      </c>
      <c r="B2315" s="1" t="s">
        <v>66</v>
      </c>
      <c r="C2315" s="1">
        <v>359</v>
      </c>
      <c r="D2315" s="1">
        <v>49</v>
      </c>
      <c r="E2315" s="1">
        <v>12</v>
      </c>
      <c r="F2315" s="1">
        <v>5</v>
      </c>
      <c r="G2315" s="1">
        <v>5.4</v>
      </c>
      <c r="H2315" s="1" t="s">
        <v>440</v>
      </c>
      <c r="I2315" s="1" t="s">
        <v>31</v>
      </c>
      <c r="J2315" s="1">
        <v>175</v>
      </c>
      <c r="K2315" s="1">
        <v>1.74</v>
      </c>
      <c r="L2315" s="4">
        <v>85.06</v>
      </c>
      <c r="M2315" s="1">
        <v>0.76</v>
      </c>
      <c r="N2315" s="1">
        <v>1</v>
      </c>
      <c r="O2315" s="1">
        <v>0.96</v>
      </c>
      <c r="P2315" s="1">
        <v>883</v>
      </c>
      <c r="Q2315" s="1">
        <v>9.66</v>
      </c>
      <c r="R2315" s="1">
        <v>0.25</v>
      </c>
      <c r="S2315" s="2">
        <v>45395</v>
      </c>
      <c r="T2315" s="1">
        <v>138.87</v>
      </c>
      <c r="U2315" s="1">
        <v>0.67500000000000004</v>
      </c>
      <c r="V2315" s="6">
        <f t="shared" si="108"/>
        <v>30536.54</v>
      </c>
      <c r="W2315" s="6" t="str">
        <f t="shared" si="109"/>
        <v>Sufficient</v>
      </c>
      <c r="X2315" s="8" t="str">
        <f t="shared" si="110"/>
        <v>High</v>
      </c>
    </row>
    <row r="2316" spans="1:24">
      <c r="A2316" s="7" t="s">
        <v>2446</v>
      </c>
      <c r="B2316" s="1" t="s">
        <v>41</v>
      </c>
      <c r="C2316" s="1">
        <v>452</v>
      </c>
      <c r="D2316" s="1">
        <v>35</v>
      </c>
      <c r="E2316" s="1">
        <v>11</v>
      </c>
      <c r="F2316" s="1">
        <v>7</v>
      </c>
      <c r="G2316" s="1">
        <v>31.65</v>
      </c>
      <c r="H2316" s="1" t="s">
        <v>227</v>
      </c>
      <c r="I2316" s="1" t="s">
        <v>27</v>
      </c>
      <c r="J2316" s="1">
        <v>42</v>
      </c>
      <c r="K2316" s="1">
        <v>1.97</v>
      </c>
      <c r="L2316" s="4">
        <v>169.57</v>
      </c>
      <c r="M2316" s="1">
        <v>1.04</v>
      </c>
      <c r="N2316" s="1">
        <v>1</v>
      </c>
      <c r="O2316" s="1">
        <v>0.91</v>
      </c>
      <c r="P2316" s="1">
        <v>106</v>
      </c>
      <c r="Q2316" s="1">
        <v>10.7</v>
      </c>
      <c r="R2316" s="1">
        <v>0.55000000000000004</v>
      </c>
      <c r="S2316" s="2">
        <v>45609</v>
      </c>
      <c r="T2316" s="1">
        <v>93.56</v>
      </c>
      <c r="U2316" s="1">
        <v>0.71099999999999997</v>
      </c>
      <c r="V2316" s="6">
        <f t="shared" si="108"/>
        <v>76645.64</v>
      </c>
      <c r="W2316" s="6" t="str">
        <f t="shared" si="109"/>
        <v>Sufficient</v>
      </c>
      <c r="X2316" s="8" t="str">
        <f t="shared" si="110"/>
        <v>High</v>
      </c>
    </row>
    <row r="2317" spans="1:24">
      <c r="A2317" s="7" t="s">
        <v>2447</v>
      </c>
      <c r="B2317" s="1" t="s">
        <v>41</v>
      </c>
      <c r="C2317" s="1">
        <v>135</v>
      </c>
      <c r="D2317" s="1">
        <v>36</v>
      </c>
      <c r="E2317" s="1">
        <v>9</v>
      </c>
      <c r="F2317" s="1">
        <v>6</v>
      </c>
      <c r="G2317" s="1">
        <v>25.27</v>
      </c>
      <c r="H2317" s="1" t="s">
        <v>200</v>
      </c>
      <c r="I2317" s="1" t="s">
        <v>27</v>
      </c>
      <c r="J2317" s="1">
        <v>36</v>
      </c>
      <c r="K2317" s="1">
        <v>2.23</v>
      </c>
      <c r="L2317" s="4">
        <v>130.34</v>
      </c>
      <c r="M2317" s="1">
        <v>0.16</v>
      </c>
      <c r="N2317" s="1">
        <v>7</v>
      </c>
      <c r="O2317" s="1">
        <v>0.79</v>
      </c>
      <c r="P2317" s="1">
        <v>583</v>
      </c>
      <c r="Q2317" s="1">
        <v>13.19</v>
      </c>
      <c r="R2317" s="1">
        <v>0.68</v>
      </c>
      <c r="S2317" s="2">
        <v>45518</v>
      </c>
      <c r="T2317" s="1">
        <v>278.27999999999997</v>
      </c>
      <c r="U2317" s="1">
        <v>0.71399999999999997</v>
      </c>
      <c r="V2317" s="6">
        <f t="shared" si="108"/>
        <v>17595.900000000001</v>
      </c>
      <c r="W2317" s="6" t="str">
        <f t="shared" si="109"/>
        <v>Sufficient</v>
      </c>
      <c r="X2317" s="8" t="str">
        <f t="shared" si="110"/>
        <v>Medium</v>
      </c>
    </row>
    <row r="2318" spans="1:24">
      <c r="A2318" s="7" t="s">
        <v>2448</v>
      </c>
      <c r="B2318" s="1" t="s">
        <v>41</v>
      </c>
      <c r="C2318" s="1">
        <v>233</v>
      </c>
      <c r="D2318" s="1">
        <v>71</v>
      </c>
      <c r="E2318" s="1">
        <v>13</v>
      </c>
      <c r="F2318" s="1">
        <v>2</v>
      </c>
      <c r="G2318" s="1">
        <v>14.48</v>
      </c>
      <c r="H2318" s="1" t="s">
        <v>227</v>
      </c>
      <c r="I2318" s="1" t="s">
        <v>45</v>
      </c>
      <c r="J2318" s="1">
        <v>58</v>
      </c>
      <c r="K2318" s="1">
        <v>0.84</v>
      </c>
      <c r="L2318" s="4">
        <v>41.62</v>
      </c>
      <c r="M2318" s="1">
        <v>0.61</v>
      </c>
      <c r="N2318" s="1">
        <v>1</v>
      </c>
      <c r="O2318" s="1">
        <v>0.99</v>
      </c>
      <c r="P2318" s="1">
        <v>873</v>
      </c>
      <c r="Q2318" s="1">
        <v>8.9700000000000006</v>
      </c>
      <c r="R2318" s="1">
        <v>0.95</v>
      </c>
      <c r="S2318" s="2">
        <v>45407</v>
      </c>
      <c r="T2318" s="1">
        <v>127.13</v>
      </c>
      <c r="U2318" s="1">
        <v>0.82699999999999996</v>
      </c>
      <c r="V2318" s="6">
        <f t="shared" si="108"/>
        <v>9697.4599999999991</v>
      </c>
      <c r="W2318" s="6" t="str">
        <f t="shared" si="109"/>
        <v>Sufficient</v>
      </c>
      <c r="X2318" s="8" t="str">
        <f t="shared" si="110"/>
        <v>Medium</v>
      </c>
    </row>
    <row r="2319" spans="1:24">
      <c r="A2319" s="7" t="s">
        <v>2449</v>
      </c>
      <c r="B2319" s="1" t="s">
        <v>29</v>
      </c>
      <c r="C2319" s="1">
        <v>488</v>
      </c>
      <c r="D2319" s="1">
        <v>92</v>
      </c>
      <c r="E2319" s="1">
        <v>3</v>
      </c>
      <c r="F2319" s="1">
        <v>9</v>
      </c>
      <c r="G2319" s="1">
        <v>24.21</v>
      </c>
      <c r="H2319" s="1" t="s">
        <v>171</v>
      </c>
      <c r="I2319" s="1" t="s">
        <v>31</v>
      </c>
      <c r="J2319" s="1">
        <v>152</v>
      </c>
      <c r="K2319" s="1">
        <v>3.83</v>
      </c>
      <c r="L2319" s="4">
        <v>71.849999999999994</v>
      </c>
      <c r="M2319" s="1">
        <v>1.23</v>
      </c>
      <c r="N2319" s="1">
        <v>5</v>
      </c>
      <c r="O2319" s="1">
        <v>0.96</v>
      </c>
      <c r="P2319" s="1">
        <v>597</v>
      </c>
      <c r="Q2319" s="1">
        <v>4.04</v>
      </c>
      <c r="R2319" s="1">
        <v>0.38</v>
      </c>
      <c r="S2319" s="2">
        <v>45616</v>
      </c>
      <c r="T2319" s="1">
        <v>264.22000000000003</v>
      </c>
      <c r="U2319" s="1">
        <v>0.499</v>
      </c>
      <c r="V2319" s="6">
        <f t="shared" si="108"/>
        <v>35062.799999999996</v>
      </c>
      <c r="W2319" s="6" t="str">
        <f t="shared" si="109"/>
        <v>Sufficient</v>
      </c>
      <c r="X2319" s="8" t="str">
        <f t="shared" si="110"/>
        <v>High</v>
      </c>
    </row>
    <row r="2320" spans="1:24">
      <c r="A2320" s="7" t="s">
        <v>2450</v>
      </c>
      <c r="B2320" s="1" t="s">
        <v>25</v>
      </c>
      <c r="C2320" s="1">
        <v>465</v>
      </c>
      <c r="D2320" s="1">
        <v>59</v>
      </c>
      <c r="E2320" s="1">
        <v>14</v>
      </c>
      <c r="F2320" s="1">
        <v>8</v>
      </c>
      <c r="G2320" s="1">
        <v>38.99</v>
      </c>
      <c r="H2320" s="1" t="s">
        <v>372</v>
      </c>
      <c r="I2320" s="1" t="s">
        <v>45</v>
      </c>
      <c r="J2320" s="1">
        <v>117</v>
      </c>
      <c r="K2320" s="1">
        <v>1.3</v>
      </c>
      <c r="L2320" s="4">
        <v>160.31</v>
      </c>
      <c r="M2320" s="1">
        <v>0.72</v>
      </c>
      <c r="N2320" s="1">
        <v>1</v>
      </c>
      <c r="O2320" s="1">
        <v>0.77</v>
      </c>
      <c r="P2320" s="1">
        <v>228</v>
      </c>
      <c r="Q2320" s="1">
        <v>14.85</v>
      </c>
      <c r="R2320" s="1">
        <v>0.37</v>
      </c>
      <c r="S2320" s="2">
        <v>45652</v>
      </c>
      <c r="T2320" s="1">
        <v>98.95</v>
      </c>
      <c r="U2320" s="1">
        <v>0.73399999999999999</v>
      </c>
      <c r="V2320" s="6">
        <f t="shared" si="108"/>
        <v>74544.149999999994</v>
      </c>
      <c r="W2320" s="6" t="str">
        <f t="shared" si="109"/>
        <v>Sufficient</v>
      </c>
      <c r="X2320" s="8" t="str">
        <f t="shared" si="110"/>
        <v>High</v>
      </c>
    </row>
    <row r="2321" spans="1:24">
      <c r="A2321" s="7" t="s">
        <v>2451</v>
      </c>
      <c r="B2321" s="1" t="s">
        <v>25</v>
      </c>
      <c r="C2321" s="1">
        <v>391</v>
      </c>
      <c r="D2321" s="1">
        <v>51</v>
      </c>
      <c r="E2321" s="1">
        <v>11</v>
      </c>
      <c r="F2321" s="1">
        <v>2</v>
      </c>
      <c r="G2321" s="1">
        <v>40.28</v>
      </c>
      <c r="H2321" s="1" t="s">
        <v>178</v>
      </c>
      <c r="I2321" s="1" t="s">
        <v>27</v>
      </c>
      <c r="J2321" s="1">
        <v>77</v>
      </c>
      <c r="K2321" s="1">
        <v>4.12</v>
      </c>
      <c r="L2321" s="4">
        <v>42.7</v>
      </c>
      <c r="M2321" s="1">
        <v>1.75</v>
      </c>
      <c r="N2321" s="1">
        <v>7</v>
      </c>
      <c r="O2321" s="1">
        <v>0.85</v>
      </c>
      <c r="P2321" s="1">
        <v>117</v>
      </c>
      <c r="Q2321" s="1">
        <v>10.57</v>
      </c>
      <c r="R2321" s="1">
        <v>0.51</v>
      </c>
      <c r="S2321" s="2">
        <v>45655</v>
      </c>
      <c r="T2321" s="1">
        <v>251.13</v>
      </c>
      <c r="U2321" s="1">
        <v>0.498</v>
      </c>
      <c r="V2321" s="6">
        <f t="shared" si="108"/>
        <v>16695.7</v>
      </c>
      <c r="W2321" s="6" t="str">
        <f t="shared" si="109"/>
        <v>Sufficient</v>
      </c>
      <c r="X2321" s="8" t="str">
        <f t="shared" si="110"/>
        <v>High</v>
      </c>
    </row>
    <row r="2322" spans="1:24">
      <c r="A2322" s="7" t="s">
        <v>2452</v>
      </c>
      <c r="B2322" s="1" t="s">
        <v>33</v>
      </c>
      <c r="C2322" s="1">
        <v>313</v>
      </c>
      <c r="D2322" s="1">
        <v>38</v>
      </c>
      <c r="E2322" s="1">
        <v>4</v>
      </c>
      <c r="F2322" s="1">
        <v>7</v>
      </c>
      <c r="G2322" s="1">
        <v>32.83</v>
      </c>
      <c r="H2322" s="1" t="s">
        <v>135</v>
      </c>
      <c r="I2322" s="1" t="s">
        <v>39</v>
      </c>
      <c r="J2322" s="1">
        <v>108</v>
      </c>
      <c r="K2322" s="1">
        <v>4.3099999999999996</v>
      </c>
      <c r="L2322" s="4">
        <v>141.30000000000001</v>
      </c>
      <c r="M2322" s="1">
        <v>1.88</v>
      </c>
      <c r="N2322" s="1">
        <v>0</v>
      </c>
      <c r="O2322" s="1">
        <v>0.72</v>
      </c>
      <c r="P2322" s="1">
        <v>545</v>
      </c>
      <c r="Q2322" s="1">
        <v>6.25</v>
      </c>
      <c r="R2322" s="1">
        <v>0.99</v>
      </c>
      <c r="S2322" s="2">
        <v>45623</v>
      </c>
      <c r="T2322" s="1">
        <v>141.81</v>
      </c>
      <c r="U2322" s="1">
        <v>0.63700000000000001</v>
      </c>
      <c r="V2322" s="6">
        <f t="shared" si="108"/>
        <v>44226.9</v>
      </c>
      <c r="W2322" s="6" t="str">
        <f t="shared" si="109"/>
        <v>Sufficient</v>
      </c>
      <c r="X2322" s="8" t="str">
        <f t="shared" si="110"/>
        <v>High</v>
      </c>
    </row>
    <row r="2323" spans="1:24">
      <c r="A2323" s="7" t="s">
        <v>2453</v>
      </c>
      <c r="B2323" s="1" t="s">
        <v>41</v>
      </c>
      <c r="C2323" s="1">
        <v>272</v>
      </c>
      <c r="D2323" s="1">
        <v>48</v>
      </c>
      <c r="E2323" s="1">
        <v>6</v>
      </c>
      <c r="F2323" s="1">
        <v>9</v>
      </c>
      <c r="G2323" s="1">
        <v>23.92</v>
      </c>
      <c r="H2323" s="1" t="s">
        <v>126</v>
      </c>
      <c r="I2323" s="1" t="s">
        <v>45</v>
      </c>
      <c r="J2323" s="1">
        <v>28</v>
      </c>
      <c r="K2323" s="1">
        <v>3.37</v>
      </c>
      <c r="L2323" s="4">
        <v>117.07</v>
      </c>
      <c r="M2323" s="1">
        <v>0.94</v>
      </c>
      <c r="N2323" s="1">
        <v>1</v>
      </c>
      <c r="O2323" s="1">
        <v>0.99</v>
      </c>
      <c r="P2323" s="1">
        <v>50</v>
      </c>
      <c r="Q2323" s="1">
        <v>14.55</v>
      </c>
      <c r="R2323" s="1">
        <v>0.47</v>
      </c>
      <c r="S2323" s="2">
        <v>45480</v>
      </c>
      <c r="T2323" s="1">
        <v>19.38</v>
      </c>
      <c r="U2323" s="1">
        <v>0.77200000000000002</v>
      </c>
      <c r="V2323" s="6">
        <f t="shared" si="108"/>
        <v>31843.039999999997</v>
      </c>
      <c r="W2323" s="6" t="str">
        <f t="shared" si="109"/>
        <v>Sufficient</v>
      </c>
      <c r="X2323" s="8" t="str">
        <f t="shared" si="110"/>
        <v>High</v>
      </c>
    </row>
    <row r="2324" spans="1:24">
      <c r="A2324" s="7" t="s">
        <v>2454</v>
      </c>
      <c r="B2324" s="1" t="s">
        <v>29</v>
      </c>
      <c r="C2324" s="1">
        <v>162</v>
      </c>
      <c r="D2324" s="1">
        <v>69</v>
      </c>
      <c r="E2324" s="1">
        <v>11</v>
      </c>
      <c r="F2324" s="1">
        <v>9</v>
      </c>
      <c r="G2324" s="1">
        <v>29.21</v>
      </c>
      <c r="H2324" s="1" t="s">
        <v>61</v>
      </c>
      <c r="I2324" s="1" t="s">
        <v>45</v>
      </c>
      <c r="J2324" s="1">
        <v>34</v>
      </c>
      <c r="K2324" s="1">
        <v>3.96</v>
      </c>
      <c r="L2324" s="4">
        <v>38.020000000000003</v>
      </c>
      <c r="M2324" s="1">
        <v>1.1100000000000001</v>
      </c>
      <c r="N2324" s="1">
        <v>4</v>
      </c>
      <c r="O2324" s="1">
        <v>0.87</v>
      </c>
      <c r="P2324" s="1">
        <v>97</v>
      </c>
      <c r="Q2324" s="1">
        <v>14.42</v>
      </c>
      <c r="R2324" s="1">
        <v>0.24</v>
      </c>
      <c r="S2324" s="2">
        <v>45593</v>
      </c>
      <c r="T2324" s="1">
        <v>151.22</v>
      </c>
      <c r="U2324" s="1">
        <v>0.623</v>
      </c>
      <c r="V2324" s="6">
        <f t="shared" si="108"/>
        <v>6159.2400000000007</v>
      </c>
      <c r="W2324" s="6" t="str">
        <f t="shared" si="109"/>
        <v>Sufficient</v>
      </c>
      <c r="X2324" s="8" t="str">
        <f t="shared" si="110"/>
        <v>Medium</v>
      </c>
    </row>
    <row r="2325" spans="1:24">
      <c r="A2325" s="7" t="s">
        <v>2455</v>
      </c>
      <c r="B2325" s="1" t="s">
        <v>29</v>
      </c>
      <c r="C2325" s="1">
        <v>269</v>
      </c>
      <c r="D2325" s="1">
        <v>50</v>
      </c>
      <c r="E2325" s="1">
        <v>6</v>
      </c>
      <c r="F2325" s="1">
        <v>9</v>
      </c>
      <c r="G2325" s="1">
        <v>19.87</v>
      </c>
      <c r="H2325" s="1" t="s">
        <v>135</v>
      </c>
      <c r="I2325" s="1" t="s">
        <v>45</v>
      </c>
      <c r="J2325" s="1">
        <v>113</v>
      </c>
      <c r="K2325" s="1">
        <v>1.27</v>
      </c>
      <c r="L2325" s="4">
        <v>140.88999999999999</v>
      </c>
      <c r="M2325" s="1">
        <v>1.3</v>
      </c>
      <c r="N2325" s="1">
        <v>5</v>
      </c>
      <c r="O2325" s="1">
        <v>0.77</v>
      </c>
      <c r="P2325" s="1">
        <v>466</v>
      </c>
      <c r="Q2325" s="1">
        <v>2.11</v>
      </c>
      <c r="R2325" s="1">
        <v>0.41</v>
      </c>
      <c r="S2325" s="2">
        <v>45571</v>
      </c>
      <c r="T2325" s="1">
        <v>75.760000000000005</v>
      </c>
      <c r="U2325" s="1">
        <v>0.434</v>
      </c>
      <c r="V2325" s="6">
        <f t="shared" si="108"/>
        <v>37899.409999999996</v>
      </c>
      <c r="W2325" s="6" t="str">
        <f t="shared" si="109"/>
        <v>Sufficient</v>
      </c>
      <c r="X2325" s="8" t="str">
        <f t="shared" si="110"/>
        <v>High</v>
      </c>
    </row>
    <row r="2326" spans="1:24">
      <c r="A2326" s="7" t="s">
        <v>2456</v>
      </c>
      <c r="B2326" s="1" t="s">
        <v>25</v>
      </c>
      <c r="C2326" s="1">
        <v>385</v>
      </c>
      <c r="D2326" s="1">
        <v>42</v>
      </c>
      <c r="E2326" s="1">
        <v>5</v>
      </c>
      <c r="F2326" s="1">
        <v>4</v>
      </c>
      <c r="G2326" s="1">
        <v>7.2</v>
      </c>
      <c r="H2326" s="1" t="s">
        <v>294</v>
      </c>
      <c r="I2326" s="1" t="s">
        <v>27</v>
      </c>
      <c r="J2326" s="1">
        <v>85</v>
      </c>
      <c r="K2326" s="1">
        <v>3.09</v>
      </c>
      <c r="L2326" s="4">
        <v>37.049999999999997</v>
      </c>
      <c r="M2326" s="1">
        <v>1.36</v>
      </c>
      <c r="N2326" s="1">
        <v>8</v>
      </c>
      <c r="O2326" s="1">
        <v>0.79</v>
      </c>
      <c r="P2326" s="1">
        <v>713</v>
      </c>
      <c r="Q2326" s="1">
        <v>1.28</v>
      </c>
      <c r="R2326" s="1">
        <v>0.65</v>
      </c>
      <c r="S2326" s="2">
        <v>45600</v>
      </c>
      <c r="T2326" s="1">
        <v>99.16</v>
      </c>
      <c r="U2326" s="1">
        <v>0.40899999999999997</v>
      </c>
      <c r="V2326" s="6">
        <f t="shared" si="108"/>
        <v>14264.249999999998</v>
      </c>
      <c r="W2326" s="6" t="str">
        <f t="shared" si="109"/>
        <v>Sufficient</v>
      </c>
      <c r="X2326" s="8" t="str">
        <f t="shared" si="110"/>
        <v>High</v>
      </c>
    </row>
    <row r="2327" spans="1:24">
      <c r="A2327" s="7" t="s">
        <v>2457</v>
      </c>
      <c r="B2327" s="1" t="s">
        <v>41</v>
      </c>
      <c r="C2327" s="1">
        <v>455</v>
      </c>
      <c r="D2327" s="1">
        <v>92</v>
      </c>
      <c r="E2327" s="1">
        <v>3</v>
      </c>
      <c r="F2327" s="1">
        <v>8</v>
      </c>
      <c r="G2327" s="1">
        <v>19.899999999999999</v>
      </c>
      <c r="H2327" s="1" t="s">
        <v>74</v>
      </c>
      <c r="I2327" s="1" t="s">
        <v>31</v>
      </c>
      <c r="J2327" s="1">
        <v>85</v>
      </c>
      <c r="K2327" s="1">
        <v>3.55</v>
      </c>
      <c r="L2327" s="4">
        <v>85.7</v>
      </c>
      <c r="M2327" s="1">
        <v>0.22</v>
      </c>
      <c r="N2327" s="1">
        <v>5</v>
      </c>
      <c r="O2327" s="1">
        <v>0.99</v>
      </c>
      <c r="P2327" s="1">
        <v>994</v>
      </c>
      <c r="Q2327" s="1">
        <v>1.62</v>
      </c>
      <c r="R2327" s="1">
        <v>0.53</v>
      </c>
      <c r="S2327" s="2">
        <v>45392</v>
      </c>
      <c r="T2327" s="1">
        <v>208.46</v>
      </c>
      <c r="U2327" s="1">
        <v>0.60399999999999998</v>
      </c>
      <c r="V2327" s="6">
        <f t="shared" si="108"/>
        <v>38993.5</v>
      </c>
      <c r="W2327" s="6" t="str">
        <f t="shared" si="109"/>
        <v>Sufficient</v>
      </c>
      <c r="X2327" s="8" t="str">
        <f t="shared" si="110"/>
        <v>High</v>
      </c>
    </row>
    <row r="2328" spans="1:24">
      <c r="A2328" s="7" t="s">
        <v>2458</v>
      </c>
      <c r="B2328" s="1" t="s">
        <v>33</v>
      </c>
      <c r="C2328" s="1">
        <v>482</v>
      </c>
      <c r="D2328" s="1">
        <v>92</v>
      </c>
      <c r="E2328" s="1">
        <v>9</v>
      </c>
      <c r="F2328" s="1">
        <v>3</v>
      </c>
      <c r="G2328" s="1">
        <v>26.99</v>
      </c>
      <c r="H2328" s="1" t="s">
        <v>440</v>
      </c>
      <c r="I2328" s="1" t="s">
        <v>39</v>
      </c>
      <c r="J2328" s="1">
        <v>115</v>
      </c>
      <c r="K2328" s="1">
        <v>3.48</v>
      </c>
      <c r="L2328" s="4">
        <v>68.63</v>
      </c>
      <c r="M2328" s="1">
        <v>0.2</v>
      </c>
      <c r="N2328" s="1">
        <v>7</v>
      </c>
      <c r="O2328" s="1">
        <v>0.88</v>
      </c>
      <c r="P2328" s="1">
        <v>246</v>
      </c>
      <c r="Q2328" s="1">
        <v>10.59</v>
      </c>
      <c r="R2328" s="1">
        <v>0.82</v>
      </c>
      <c r="S2328" s="2">
        <v>45391</v>
      </c>
      <c r="T2328" s="1">
        <v>163.56</v>
      </c>
      <c r="U2328" s="1">
        <v>0.72099999999999997</v>
      </c>
      <c r="V2328" s="6">
        <f t="shared" si="108"/>
        <v>33079.659999999996</v>
      </c>
      <c r="W2328" s="6" t="str">
        <f t="shared" si="109"/>
        <v>Sufficient</v>
      </c>
      <c r="X2328" s="8" t="str">
        <f t="shared" si="110"/>
        <v>High</v>
      </c>
    </row>
    <row r="2329" spans="1:24">
      <c r="A2329" s="7" t="s">
        <v>2459</v>
      </c>
      <c r="B2329" s="1" t="s">
        <v>41</v>
      </c>
      <c r="C2329" s="1">
        <v>321</v>
      </c>
      <c r="D2329" s="1">
        <v>25</v>
      </c>
      <c r="E2329" s="1">
        <v>8</v>
      </c>
      <c r="F2329" s="1">
        <v>7</v>
      </c>
      <c r="G2329" s="1">
        <v>30.34</v>
      </c>
      <c r="H2329" s="1" t="s">
        <v>55</v>
      </c>
      <c r="I2329" s="1" t="s">
        <v>39</v>
      </c>
      <c r="J2329" s="1">
        <v>162</v>
      </c>
      <c r="K2329" s="1">
        <v>1.03</v>
      </c>
      <c r="L2329" s="4">
        <v>141.1</v>
      </c>
      <c r="M2329" s="1">
        <v>1.74</v>
      </c>
      <c r="N2329" s="1">
        <v>6</v>
      </c>
      <c r="O2329" s="1">
        <v>0.83</v>
      </c>
      <c r="P2329" s="1">
        <v>619</v>
      </c>
      <c r="Q2329" s="1">
        <v>10.95</v>
      </c>
      <c r="R2329" s="1">
        <v>0.69</v>
      </c>
      <c r="S2329" s="2">
        <v>45442</v>
      </c>
      <c r="T2329" s="1">
        <v>267.7</v>
      </c>
      <c r="U2329" s="1">
        <v>0.55600000000000005</v>
      </c>
      <c r="V2329" s="6">
        <f t="shared" si="108"/>
        <v>45293.1</v>
      </c>
      <c r="W2329" s="6" t="str">
        <f t="shared" si="109"/>
        <v>Sufficient</v>
      </c>
      <c r="X2329" s="8" t="str">
        <f t="shared" si="110"/>
        <v>High</v>
      </c>
    </row>
    <row r="2330" spans="1:24">
      <c r="A2330" s="7" t="s">
        <v>2460</v>
      </c>
      <c r="B2330" s="1" t="s">
        <v>66</v>
      </c>
      <c r="C2330" s="1">
        <v>44</v>
      </c>
      <c r="D2330" s="1">
        <v>32</v>
      </c>
      <c r="E2330" s="1">
        <v>12</v>
      </c>
      <c r="F2330" s="1">
        <v>5</v>
      </c>
      <c r="G2330" s="1">
        <v>46.85</v>
      </c>
      <c r="H2330" s="1" t="s">
        <v>139</v>
      </c>
      <c r="I2330" s="1" t="s">
        <v>39</v>
      </c>
      <c r="J2330" s="1">
        <v>42</v>
      </c>
      <c r="K2330" s="1">
        <v>2.0499999999999998</v>
      </c>
      <c r="L2330" s="4">
        <v>158.65</v>
      </c>
      <c r="M2330" s="1">
        <v>0.52</v>
      </c>
      <c r="N2330" s="1">
        <v>0</v>
      </c>
      <c r="O2330" s="1">
        <v>0.85</v>
      </c>
      <c r="P2330" s="1">
        <v>97</v>
      </c>
      <c r="Q2330" s="1">
        <v>11.14</v>
      </c>
      <c r="R2330" s="1">
        <v>0.65</v>
      </c>
      <c r="S2330" s="2">
        <v>45521</v>
      </c>
      <c r="T2330" s="1">
        <v>281.43</v>
      </c>
      <c r="U2330" s="1">
        <v>0.79700000000000004</v>
      </c>
      <c r="V2330" s="6">
        <f t="shared" si="108"/>
        <v>6980.6</v>
      </c>
      <c r="W2330" s="6" t="str">
        <f t="shared" si="109"/>
        <v>Sufficient</v>
      </c>
      <c r="X2330" s="8" t="str">
        <f t="shared" si="110"/>
        <v>LOW</v>
      </c>
    </row>
    <row r="2331" spans="1:24">
      <c r="A2331" s="7" t="s">
        <v>2461</v>
      </c>
      <c r="B2331" s="1" t="s">
        <v>41</v>
      </c>
      <c r="C2331" s="1">
        <v>296</v>
      </c>
      <c r="D2331" s="1">
        <v>16</v>
      </c>
      <c r="E2331" s="1">
        <v>6</v>
      </c>
      <c r="F2331" s="1">
        <v>3</v>
      </c>
      <c r="G2331" s="1">
        <v>39.090000000000003</v>
      </c>
      <c r="H2331" s="1" t="s">
        <v>205</v>
      </c>
      <c r="I2331" s="1" t="s">
        <v>45</v>
      </c>
      <c r="J2331" s="1">
        <v>46</v>
      </c>
      <c r="K2331" s="1">
        <v>1.96</v>
      </c>
      <c r="L2331" s="4">
        <v>41.98</v>
      </c>
      <c r="M2331" s="1">
        <v>1.21</v>
      </c>
      <c r="N2331" s="1">
        <v>1</v>
      </c>
      <c r="O2331" s="1">
        <v>0.73</v>
      </c>
      <c r="P2331" s="1">
        <v>404</v>
      </c>
      <c r="Q2331" s="1">
        <v>9.82</v>
      </c>
      <c r="R2331" s="1">
        <v>0.46</v>
      </c>
      <c r="S2331" s="2">
        <v>45382</v>
      </c>
      <c r="T2331" s="1">
        <v>210.38</v>
      </c>
      <c r="U2331" s="1">
        <v>0.628</v>
      </c>
      <c r="V2331" s="6">
        <f t="shared" si="108"/>
        <v>12426.08</v>
      </c>
      <c r="W2331" s="6" t="str">
        <f t="shared" si="109"/>
        <v>Sufficient</v>
      </c>
      <c r="X2331" s="8" t="str">
        <f t="shared" si="110"/>
        <v>High</v>
      </c>
    </row>
    <row r="2332" spans="1:24">
      <c r="A2332" s="7" t="s">
        <v>2462</v>
      </c>
      <c r="B2332" s="1" t="s">
        <v>66</v>
      </c>
      <c r="C2332" s="1">
        <v>491</v>
      </c>
      <c r="D2332" s="1">
        <v>35</v>
      </c>
      <c r="E2332" s="1">
        <v>8</v>
      </c>
      <c r="F2332" s="1">
        <v>6</v>
      </c>
      <c r="G2332" s="1">
        <v>8.4499999999999993</v>
      </c>
      <c r="H2332" s="1" t="s">
        <v>50</v>
      </c>
      <c r="I2332" s="1" t="s">
        <v>27</v>
      </c>
      <c r="J2332" s="1">
        <v>101</v>
      </c>
      <c r="K2332" s="1">
        <v>3.08</v>
      </c>
      <c r="L2332" s="4">
        <v>164.28</v>
      </c>
      <c r="M2332" s="1">
        <v>1.29</v>
      </c>
      <c r="N2332" s="1">
        <v>3</v>
      </c>
      <c r="O2332" s="1">
        <v>0.72</v>
      </c>
      <c r="P2332" s="1">
        <v>283</v>
      </c>
      <c r="Q2332" s="1">
        <v>5</v>
      </c>
      <c r="R2332" s="1">
        <v>0.64</v>
      </c>
      <c r="S2332" s="2">
        <v>45641</v>
      </c>
      <c r="T2332" s="1">
        <v>260.43</v>
      </c>
      <c r="U2332" s="1">
        <v>0.55000000000000004</v>
      </c>
      <c r="V2332" s="6">
        <f t="shared" si="108"/>
        <v>80661.48</v>
      </c>
      <c r="W2332" s="6" t="str">
        <f t="shared" si="109"/>
        <v>Sufficient</v>
      </c>
      <c r="X2332" s="8" t="str">
        <f t="shared" si="110"/>
        <v>High</v>
      </c>
    </row>
    <row r="2333" spans="1:24">
      <c r="A2333" s="7" t="s">
        <v>2463</v>
      </c>
      <c r="B2333" s="1" t="s">
        <v>66</v>
      </c>
      <c r="C2333" s="1">
        <v>396</v>
      </c>
      <c r="D2333" s="1">
        <v>21</v>
      </c>
      <c r="E2333" s="1">
        <v>8</v>
      </c>
      <c r="F2333" s="1">
        <v>8</v>
      </c>
      <c r="G2333" s="1">
        <v>9.5299999999999994</v>
      </c>
      <c r="H2333" s="1" t="s">
        <v>135</v>
      </c>
      <c r="I2333" s="1" t="s">
        <v>39</v>
      </c>
      <c r="J2333" s="1">
        <v>133</v>
      </c>
      <c r="K2333" s="1">
        <v>3.94</v>
      </c>
      <c r="L2333" s="4">
        <v>11.37</v>
      </c>
      <c r="M2333" s="1">
        <v>0.41</v>
      </c>
      <c r="N2333" s="1">
        <v>0</v>
      </c>
      <c r="O2333" s="1">
        <v>0.88</v>
      </c>
      <c r="P2333" s="1">
        <v>486</v>
      </c>
      <c r="Q2333" s="1">
        <v>3.34</v>
      </c>
      <c r="R2333" s="1">
        <v>0.69</v>
      </c>
      <c r="S2333" s="2">
        <v>45330</v>
      </c>
      <c r="T2333" s="1">
        <v>66.569999999999993</v>
      </c>
      <c r="U2333" s="1">
        <v>0.71799999999999997</v>
      </c>
      <c r="V2333" s="6">
        <f t="shared" si="108"/>
        <v>4502.5199999999995</v>
      </c>
      <c r="W2333" s="6" t="str">
        <f t="shared" si="109"/>
        <v>Sufficient</v>
      </c>
      <c r="X2333" s="8" t="str">
        <f t="shared" si="110"/>
        <v>High</v>
      </c>
    </row>
    <row r="2334" spans="1:24">
      <c r="A2334" s="7" t="s">
        <v>2464</v>
      </c>
      <c r="B2334" s="1" t="s">
        <v>33</v>
      </c>
      <c r="C2334" s="1">
        <v>397</v>
      </c>
      <c r="D2334" s="1">
        <v>81</v>
      </c>
      <c r="E2334" s="1">
        <v>6</v>
      </c>
      <c r="F2334" s="1">
        <v>5</v>
      </c>
      <c r="G2334" s="1">
        <v>5.92</v>
      </c>
      <c r="H2334" s="1" t="s">
        <v>205</v>
      </c>
      <c r="I2334" s="1" t="s">
        <v>45</v>
      </c>
      <c r="J2334" s="1">
        <v>52</v>
      </c>
      <c r="K2334" s="1">
        <v>3.07</v>
      </c>
      <c r="L2334" s="4">
        <v>110.71</v>
      </c>
      <c r="M2334" s="1">
        <v>1.55</v>
      </c>
      <c r="N2334" s="1">
        <v>7</v>
      </c>
      <c r="O2334" s="1">
        <v>0.85</v>
      </c>
      <c r="P2334" s="1">
        <v>749</v>
      </c>
      <c r="Q2334" s="1">
        <v>13.99</v>
      </c>
      <c r="R2334" s="1">
        <v>0.34</v>
      </c>
      <c r="S2334" s="2">
        <v>45387</v>
      </c>
      <c r="T2334" s="1">
        <v>32.99</v>
      </c>
      <c r="U2334" s="1">
        <v>0.53</v>
      </c>
      <c r="V2334" s="6">
        <f t="shared" si="108"/>
        <v>43951.869999999995</v>
      </c>
      <c r="W2334" s="6" t="str">
        <f t="shared" si="109"/>
        <v>Sufficient</v>
      </c>
      <c r="X2334" s="8" t="str">
        <f t="shared" si="110"/>
        <v>High</v>
      </c>
    </row>
    <row r="2335" spans="1:24">
      <c r="A2335" s="7" t="s">
        <v>2465</v>
      </c>
      <c r="B2335" s="1" t="s">
        <v>25</v>
      </c>
      <c r="C2335" s="1">
        <v>408</v>
      </c>
      <c r="D2335" s="1">
        <v>14</v>
      </c>
      <c r="E2335" s="1">
        <v>8</v>
      </c>
      <c r="F2335" s="1">
        <v>5</v>
      </c>
      <c r="G2335" s="1">
        <v>37.17</v>
      </c>
      <c r="H2335" s="1" t="s">
        <v>156</v>
      </c>
      <c r="I2335" s="1" t="s">
        <v>31</v>
      </c>
      <c r="J2335" s="1">
        <v>135</v>
      </c>
      <c r="K2335" s="1">
        <v>3.9</v>
      </c>
      <c r="L2335" s="4">
        <v>108.19</v>
      </c>
      <c r="M2335" s="1">
        <v>1.75</v>
      </c>
      <c r="N2335" s="1">
        <v>3</v>
      </c>
      <c r="O2335" s="1">
        <v>0.81</v>
      </c>
      <c r="P2335" s="1">
        <v>943</v>
      </c>
      <c r="Q2335" s="1">
        <v>13.78</v>
      </c>
      <c r="R2335" s="1">
        <v>0.79</v>
      </c>
      <c r="S2335" s="2">
        <v>45380</v>
      </c>
      <c r="T2335" s="1">
        <v>106.56</v>
      </c>
      <c r="U2335" s="1">
        <v>0.66900000000000004</v>
      </c>
      <c r="V2335" s="6">
        <f t="shared" si="108"/>
        <v>44141.52</v>
      </c>
      <c r="W2335" s="6" t="str">
        <f t="shared" si="109"/>
        <v>Sufficient</v>
      </c>
      <c r="X2335" s="8" t="str">
        <f t="shared" si="110"/>
        <v>High</v>
      </c>
    </row>
    <row r="2336" spans="1:24">
      <c r="A2336" s="7" t="s">
        <v>2466</v>
      </c>
      <c r="B2336" s="1" t="s">
        <v>41</v>
      </c>
      <c r="C2336" s="1">
        <v>89</v>
      </c>
      <c r="D2336" s="1">
        <v>78</v>
      </c>
      <c r="E2336" s="1">
        <v>12</v>
      </c>
      <c r="F2336" s="1">
        <v>2</v>
      </c>
      <c r="G2336" s="1">
        <v>35.6</v>
      </c>
      <c r="H2336" s="1" t="s">
        <v>139</v>
      </c>
      <c r="I2336" s="1" t="s">
        <v>45</v>
      </c>
      <c r="J2336" s="1">
        <v>18</v>
      </c>
      <c r="K2336" s="1">
        <v>0.95</v>
      </c>
      <c r="L2336" s="4">
        <v>128.53</v>
      </c>
      <c r="M2336" s="1">
        <v>0.64</v>
      </c>
      <c r="N2336" s="1">
        <v>6</v>
      </c>
      <c r="O2336" s="1">
        <v>0.87</v>
      </c>
      <c r="P2336" s="1">
        <v>675</v>
      </c>
      <c r="Q2336" s="1">
        <v>4.3899999999999997</v>
      </c>
      <c r="R2336" s="1">
        <v>0.51</v>
      </c>
      <c r="S2336" s="2">
        <v>45555</v>
      </c>
      <c r="T2336" s="1">
        <v>104.46</v>
      </c>
      <c r="U2336" s="1">
        <v>0.55100000000000005</v>
      </c>
      <c r="V2336" s="6">
        <f t="shared" si="108"/>
        <v>11439.17</v>
      </c>
      <c r="W2336" s="6" t="str">
        <f t="shared" si="109"/>
        <v>Sufficient</v>
      </c>
      <c r="X2336" s="8" t="str">
        <f t="shared" si="110"/>
        <v>LOW</v>
      </c>
    </row>
    <row r="2337" spans="1:24">
      <c r="A2337" s="7" t="s">
        <v>2467</v>
      </c>
      <c r="B2337" s="1" t="s">
        <v>66</v>
      </c>
      <c r="C2337" s="1">
        <v>132</v>
      </c>
      <c r="D2337" s="1">
        <v>58</v>
      </c>
      <c r="E2337" s="1">
        <v>13</v>
      </c>
      <c r="F2337" s="1">
        <v>6</v>
      </c>
      <c r="G2337" s="1">
        <v>49.33</v>
      </c>
      <c r="H2337" s="1" t="s">
        <v>331</v>
      </c>
      <c r="I2337" s="1" t="s">
        <v>39</v>
      </c>
      <c r="J2337" s="1">
        <v>23</v>
      </c>
      <c r="K2337" s="1">
        <v>4.45</v>
      </c>
      <c r="L2337" s="4">
        <v>55.54</v>
      </c>
      <c r="M2337" s="1">
        <v>1.77</v>
      </c>
      <c r="N2337" s="1">
        <v>6</v>
      </c>
      <c r="O2337" s="1">
        <v>0.72</v>
      </c>
      <c r="P2337" s="1">
        <v>139</v>
      </c>
      <c r="Q2337" s="1">
        <v>3.35</v>
      </c>
      <c r="R2337" s="1">
        <v>0.79</v>
      </c>
      <c r="S2337" s="2">
        <v>45353</v>
      </c>
      <c r="T2337" s="1">
        <v>202.88</v>
      </c>
      <c r="U2337" s="1">
        <v>0.45</v>
      </c>
      <c r="V2337" s="6">
        <f t="shared" si="108"/>
        <v>7331.28</v>
      </c>
      <c r="W2337" s="6" t="str">
        <f t="shared" si="109"/>
        <v>Sufficient</v>
      </c>
      <c r="X2337" s="8" t="str">
        <f t="shared" si="110"/>
        <v>Medium</v>
      </c>
    </row>
    <row r="2338" spans="1:24">
      <c r="A2338" s="7" t="s">
        <v>2468</v>
      </c>
      <c r="B2338" s="1" t="s">
        <v>41</v>
      </c>
      <c r="C2338" s="1">
        <v>382</v>
      </c>
      <c r="D2338" s="1">
        <v>35</v>
      </c>
      <c r="E2338" s="1">
        <v>10</v>
      </c>
      <c r="F2338" s="1">
        <v>2</v>
      </c>
      <c r="G2338" s="1">
        <v>26.58</v>
      </c>
      <c r="H2338" s="1" t="s">
        <v>91</v>
      </c>
      <c r="I2338" s="1" t="s">
        <v>39</v>
      </c>
      <c r="J2338" s="1">
        <v>140</v>
      </c>
      <c r="K2338" s="1">
        <v>2.91</v>
      </c>
      <c r="L2338" s="4">
        <v>11.87</v>
      </c>
      <c r="M2338" s="1">
        <v>0.25</v>
      </c>
      <c r="N2338" s="1">
        <v>7</v>
      </c>
      <c r="O2338" s="1">
        <v>0.98</v>
      </c>
      <c r="P2338" s="1">
        <v>418</v>
      </c>
      <c r="Q2338" s="1">
        <v>6.25</v>
      </c>
      <c r="R2338" s="1">
        <v>0.34</v>
      </c>
      <c r="S2338" s="2">
        <v>45485</v>
      </c>
      <c r="T2338" s="1">
        <v>253.7</v>
      </c>
      <c r="U2338" s="1">
        <v>0.58199999999999996</v>
      </c>
      <c r="V2338" s="6">
        <f t="shared" si="108"/>
        <v>4534.34</v>
      </c>
      <c r="W2338" s="6" t="str">
        <f t="shared" si="109"/>
        <v>Sufficient</v>
      </c>
      <c r="X2338" s="8" t="str">
        <f t="shared" si="110"/>
        <v>High</v>
      </c>
    </row>
    <row r="2339" spans="1:24">
      <c r="A2339" s="7" t="s">
        <v>2469</v>
      </c>
      <c r="B2339" s="1" t="s">
        <v>25</v>
      </c>
      <c r="C2339" s="1">
        <v>131</v>
      </c>
      <c r="D2339" s="1">
        <v>14</v>
      </c>
      <c r="E2339" s="1">
        <v>5</v>
      </c>
      <c r="F2339" s="1">
        <v>2</v>
      </c>
      <c r="G2339" s="1">
        <v>41.49</v>
      </c>
      <c r="H2339" s="1" t="s">
        <v>74</v>
      </c>
      <c r="I2339" s="1" t="s">
        <v>31</v>
      </c>
      <c r="J2339" s="1">
        <v>78</v>
      </c>
      <c r="K2339" s="1">
        <v>0.67</v>
      </c>
      <c r="L2339" s="4">
        <v>96.4</v>
      </c>
      <c r="M2339" s="1">
        <v>1.62</v>
      </c>
      <c r="N2339" s="1">
        <v>8</v>
      </c>
      <c r="O2339" s="1">
        <v>0.79</v>
      </c>
      <c r="P2339" s="1">
        <v>988</v>
      </c>
      <c r="Q2339" s="1">
        <v>1.68</v>
      </c>
      <c r="R2339" s="1">
        <v>0.73</v>
      </c>
      <c r="S2339" s="2">
        <v>45312</v>
      </c>
      <c r="T2339" s="1">
        <v>96.1</v>
      </c>
      <c r="U2339" s="1">
        <v>0.40400000000000003</v>
      </c>
      <c r="V2339" s="6">
        <f t="shared" si="108"/>
        <v>12628.400000000001</v>
      </c>
      <c r="W2339" s="6" t="str">
        <f t="shared" si="109"/>
        <v>Sufficient</v>
      </c>
      <c r="X2339" s="8" t="str">
        <f t="shared" si="110"/>
        <v>Medium</v>
      </c>
    </row>
    <row r="2340" spans="1:24">
      <c r="A2340" s="7" t="s">
        <v>2470</v>
      </c>
      <c r="B2340" s="1" t="s">
        <v>25</v>
      </c>
      <c r="C2340" s="1">
        <v>383</v>
      </c>
      <c r="D2340" s="1">
        <v>31</v>
      </c>
      <c r="E2340" s="1">
        <v>6</v>
      </c>
      <c r="F2340" s="1">
        <v>9</v>
      </c>
      <c r="G2340" s="1">
        <v>29.25</v>
      </c>
      <c r="H2340" s="1" t="s">
        <v>81</v>
      </c>
      <c r="I2340" s="1" t="s">
        <v>27</v>
      </c>
      <c r="J2340" s="1">
        <v>35</v>
      </c>
      <c r="K2340" s="1">
        <v>3.39</v>
      </c>
      <c r="L2340" s="4">
        <v>23.57</v>
      </c>
      <c r="M2340" s="1">
        <v>1.32</v>
      </c>
      <c r="N2340" s="1">
        <v>8</v>
      </c>
      <c r="O2340" s="1">
        <v>0.72</v>
      </c>
      <c r="P2340" s="1">
        <v>218</v>
      </c>
      <c r="Q2340" s="1">
        <v>3.27</v>
      </c>
      <c r="R2340" s="1">
        <v>0.22</v>
      </c>
      <c r="S2340" s="2">
        <v>45511</v>
      </c>
      <c r="T2340" s="1">
        <v>133.18</v>
      </c>
      <c r="U2340" s="1">
        <v>0.34</v>
      </c>
      <c r="V2340" s="6">
        <f t="shared" si="108"/>
        <v>9027.31</v>
      </c>
      <c r="W2340" s="6" t="str">
        <f t="shared" si="109"/>
        <v>Sufficient</v>
      </c>
      <c r="X2340" s="8" t="str">
        <f t="shared" si="110"/>
        <v>High</v>
      </c>
    </row>
    <row r="2341" spans="1:24">
      <c r="A2341" s="7" t="s">
        <v>2471</v>
      </c>
      <c r="B2341" s="1" t="s">
        <v>29</v>
      </c>
      <c r="C2341" s="1">
        <v>322</v>
      </c>
      <c r="D2341" s="1">
        <v>88</v>
      </c>
      <c r="E2341" s="1">
        <v>12</v>
      </c>
      <c r="F2341" s="1">
        <v>8</v>
      </c>
      <c r="G2341" s="1">
        <v>43.83</v>
      </c>
      <c r="H2341" s="1" t="s">
        <v>61</v>
      </c>
      <c r="I2341" s="1" t="s">
        <v>31</v>
      </c>
      <c r="J2341" s="1">
        <v>136</v>
      </c>
      <c r="K2341" s="1">
        <v>2.83</v>
      </c>
      <c r="L2341" s="4">
        <v>179.52</v>
      </c>
      <c r="M2341" s="1">
        <v>1.21</v>
      </c>
      <c r="N2341" s="1">
        <v>6</v>
      </c>
      <c r="O2341" s="1">
        <v>0.75</v>
      </c>
      <c r="P2341" s="1">
        <v>412</v>
      </c>
      <c r="Q2341" s="1">
        <v>6.32</v>
      </c>
      <c r="R2341" s="1">
        <v>0.33</v>
      </c>
      <c r="S2341" s="2">
        <v>45434</v>
      </c>
      <c r="T2341" s="1">
        <v>40.44</v>
      </c>
      <c r="U2341" s="1">
        <v>0.45900000000000002</v>
      </c>
      <c r="V2341" s="6">
        <f t="shared" si="108"/>
        <v>57805.440000000002</v>
      </c>
      <c r="W2341" s="6" t="str">
        <f t="shared" si="109"/>
        <v>Sufficient</v>
      </c>
      <c r="X2341" s="8" t="str">
        <f t="shared" si="110"/>
        <v>High</v>
      </c>
    </row>
    <row r="2342" spans="1:24">
      <c r="A2342" s="7" t="s">
        <v>2472</v>
      </c>
      <c r="B2342" s="1" t="s">
        <v>25</v>
      </c>
      <c r="C2342" s="1">
        <v>490</v>
      </c>
      <c r="D2342" s="1">
        <v>22</v>
      </c>
      <c r="E2342" s="1">
        <v>14</v>
      </c>
      <c r="F2342" s="1">
        <v>4</v>
      </c>
      <c r="G2342" s="1">
        <v>36.33</v>
      </c>
      <c r="H2342" s="1" t="s">
        <v>189</v>
      </c>
      <c r="I2342" s="1" t="s">
        <v>31</v>
      </c>
      <c r="J2342" s="1">
        <v>62</v>
      </c>
      <c r="K2342" s="1">
        <v>1.49</v>
      </c>
      <c r="L2342" s="4">
        <v>43</v>
      </c>
      <c r="M2342" s="1">
        <v>0.54</v>
      </c>
      <c r="N2342" s="1">
        <v>8</v>
      </c>
      <c r="O2342" s="1">
        <v>0.73</v>
      </c>
      <c r="P2342" s="1">
        <v>971</v>
      </c>
      <c r="Q2342" s="1">
        <v>4.34</v>
      </c>
      <c r="R2342" s="1">
        <v>0.91</v>
      </c>
      <c r="S2342" s="2">
        <v>45576</v>
      </c>
      <c r="T2342" s="1">
        <v>129.69</v>
      </c>
      <c r="U2342" s="1">
        <v>0.57199999999999995</v>
      </c>
      <c r="V2342" s="6">
        <f t="shared" si="108"/>
        <v>21070</v>
      </c>
      <c r="W2342" s="6" t="str">
        <f t="shared" si="109"/>
        <v>Sufficient</v>
      </c>
      <c r="X2342" s="8" t="str">
        <f t="shared" si="110"/>
        <v>High</v>
      </c>
    </row>
    <row r="2343" spans="1:24">
      <c r="A2343" s="7" t="s">
        <v>2473</v>
      </c>
      <c r="B2343" s="1" t="s">
        <v>33</v>
      </c>
      <c r="C2343" s="1">
        <v>471</v>
      </c>
      <c r="D2343" s="1">
        <v>37</v>
      </c>
      <c r="E2343" s="1">
        <v>3</v>
      </c>
      <c r="F2343" s="1">
        <v>2</v>
      </c>
      <c r="G2343" s="1">
        <v>32.5</v>
      </c>
      <c r="H2343" s="1" t="s">
        <v>200</v>
      </c>
      <c r="I2343" s="1" t="s">
        <v>39</v>
      </c>
      <c r="J2343" s="1">
        <v>50</v>
      </c>
      <c r="K2343" s="1">
        <v>3.94</v>
      </c>
      <c r="L2343" s="4">
        <v>90.79</v>
      </c>
      <c r="M2343" s="1">
        <v>0.79</v>
      </c>
      <c r="N2343" s="1">
        <v>4</v>
      </c>
      <c r="O2343" s="1">
        <v>0.75</v>
      </c>
      <c r="P2343" s="1">
        <v>922</v>
      </c>
      <c r="Q2343" s="1">
        <v>11.32</v>
      </c>
      <c r="R2343" s="1">
        <v>0.56999999999999995</v>
      </c>
      <c r="S2343" s="2">
        <v>45427</v>
      </c>
      <c r="T2343" s="1">
        <v>72.180000000000007</v>
      </c>
      <c r="U2343" s="1">
        <v>0.65600000000000003</v>
      </c>
      <c r="V2343" s="6">
        <f t="shared" si="108"/>
        <v>42762.090000000004</v>
      </c>
      <c r="W2343" s="6" t="str">
        <f t="shared" si="109"/>
        <v>Sufficient</v>
      </c>
      <c r="X2343" s="8" t="str">
        <f t="shared" si="110"/>
        <v>High</v>
      </c>
    </row>
    <row r="2344" spans="1:24">
      <c r="A2344" s="7" t="s">
        <v>2474</v>
      </c>
      <c r="B2344" s="1" t="s">
        <v>66</v>
      </c>
      <c r="C2344" s="1">
        <v>110</v>
      </c>
      <c r="D2344" s="1">
        <v>42</v>
      </c>
      <c r="E2344" s="1">
        <v>6</v>
      </c>
      <c r="F2344" s="1">
        <v>3</v>
      </c>
      <c r="G2344" s="1">
        <v>28.69</v>
      </c>
      <c r="H2344" s="1" t="s">
        <v>370</v>
      </c>
      <c r="I2344" s="1" t="s">
        <v>39</v>
      </c>
      <c r="J2344" s="1">
        <v>91</v>
      </c>
      <c r="K2344" s="1">
        <v>4.7</v>
      </c>
      <c r="L2344" s="4">
        <v>92.46</v>
      </c>
      <c r="M2344" s="1">
        <v>1.83</v>
      </c>
      <c r="N2344" s="1">
        <v>9</v>
      </c>
      <c r="O2344" s="1">
        <v>0.83</v>
      </c>
      <c r="P2344" s="1">
        <v>226</v>
      </c>
      <c r="Q2344" s="1">
        <v>13.67</v>
      </c>
      <c r="R2344" s="1">
        <v>0.61</v>
      </c>
      <c r="S2344" s="2">
        <v>45358</v>
      </c>
      <c r="T2344" s="1">
        <v>120.91</v>
      </c>
      <c r="U2344" s="1">
        <v>0.50700000000000001</v>
      </c>
      <c r="V2344" s="6">
        <f t="shared" si="108"/>
        <v>10170.599999999999</v>
      </c>
      <c r="W2344" s="6" t="str">
        <f t="shared" si="109"/>
        <v>Sufficient</v>
      </c>
      <c r="X2344" s="8" t="str">
        <f t="shared" si="110"/>
        <v>Medium</v>
      </c>
    </row>
    <row r="2345" spans="1:24">
      <c r="A2345" s="7" t="s">
        <v>2475</v>
      </c>
      <c r="B2345" s="1" t="s">
        <v>29</v>
      </c>
      <c r="C2345" s="1">
        <v>37</v>
      </c>
      <c r="D2345" s="1">
        <v>32</v>
      </c>
      <c r="E2345" s="1">
        <v>13</v>
      </c>
      <c r="F2345" s="1">
        <v>5</v>
      </c>
      <c r="G2345" s="1">
        <v>36.43</v>
      </c>
      <c r="H2345" s="1" t="s">
        <v>119</v>
      </c>
      <c r="I2345" s="1" t="s">
        <v>27</v>
      </c>
      <c r="J2345" s="1">
        <v>111</v>
      </c>
      <c r="K2345" s="1">
        <v>1.95</v>
      </c>
      <c r="L2345" s="4">
        <v>115.04</v>
      </c>
      <c r="M2345" s="1">
        <v>0.98</v>
      </c>
      <c r="N2345" s="1">
        <v>3</v>
      </c>
      <c r="O2345" s="1">
        <v>0.92</v>
      </c>
      <c r="P2345" s="1">
        <v>549</v>
      </c>
      <c r="Q2345" s="1">
        <v>13.73</v>
      </c>
      <c r="R2345" s="1">
        <v>0.93</v>
      </c>
      <c r="S2345" s="2">
        <v>45374</v>
      </c>
      <c r="T2345" s="1">
        <v>87.24</v>
      </c>
      <c r="U2345" s="1">
        <v>0.79500000000000004</v>
      </c>
      <c r="V2345" s="6">
        <f t="shared" si="108"/>
        <v>4256.4800000000005</v>
      </c>
      <c r="W2345" s="6" t="str">
        <f t="shared" si="109"/>
        <v>Sufficient</v>
      </c>
      <c r="X2345" s="8" t="str">
        <f t="shared" si="110"/>
        <v>LOW</v>
      </c>
    </row>
    <row r="2346" spans="1:24">
      <c r="A2346" s="7" t="s">
        <v>2476</v>
      </c>
      <c r="B2346" s="1" t="s">
        <v>33</v>
      </c>
      <c r="C2346" s="1">
        <v>168</v>
      </c>
      <c r="D2346" s="1">
        <v>27</v>
      </c>
      <c r="E2346" s="1">
        <v>12</v>
      </c>
      <c r="F2346" s="1">
        <v>8</v>
      </c>
      <c r="G2346" s="1">
        <v>21.56</v>
      </c>
      <c r="H2346" s="1" t="s">
        <v>91</v>
      </c>
      <c r="I2346" s="1" t="s">
        <v>39</v>
      </c>
      <c r="J2346" s="1">
        <v>30</v>
      </c>
      <c r="K2346" s="1">
        <v>2.72</v>
      </c>
      <c r="L2346" s="4">
        <v>158.68</v>
      </c>
      <c r="M2346" s="1">
        <v>1.23</v>
      </c>
      <c r="N2346" s="1">
        <v>2</v>
      </c>
      <c r="O2346" s="1">
        <v>0.78</v>
      </c>
      <c r="P2346" s="1">
        <v>753</v>
      </c>
      <c r="Q2346" s="1">
        <v>9.4600000000000009</v>
      </c>
      <c r="R2346" s="1">
        <v>0.59</v>
      </c>
      <c r="S2346" s="2">
        <v>45591</v>
      </c>
      <c r="T2346" s="1">
        <v>244.53</v>
      </c>
      <c r="U2346" s="1">
        <v>0.63700000000000001</v>
      </c>
      <c r="V2346" s="6">
        <f t="shared" si="108"/>
        <v>26658.240000000002</v>
      </c>
      <c r="W2346" s="6" t="str">
        <f t="shared" si="109"/>
        <v>Sufficient</v>
      </c>
      <c r="X2346" s="8" t="str">
        <f t="shared" si="110"/>
        <v>Medium</v>
      </c>
    </row>
    <row r="2347" spans="1:24">
      <c r="A2347" s="7" t="s">
        <v>2477</v>
      </c>
      <c r="B2347" s="1" t="s">
        <v>41</v>
      </c>
      <c r="C2347" s="1">
        <v>495</v>
      </c>
      <c r="D2347" s="1">
        <v>39</v>
      </c>
      <c r="E2347" s="1">
        <v>12</v>
      </c>
      <c r="F2347" s="1">
        <v>2</v>
      </c>
      <c r="G2347" s="1">
        <v>5.73</v>
      </c>
      <c r="H2347" s="1" t="s">
        <v>124</v>
      </c>
      <c r="I2347" s="1" t="s">
        <v>31</v>
      </c>
      <c r="J2347" s="1">
        <v>130</v>
      </c>
      <c r="K2347" s="1">
        <v>1.08</v>
      </c>
      <c r="L2347" s="4">
        <v>99.71</v>
      </c>
      <c r="M2347" s="1">
        <v>1.88</v>
      </c>
      <c r="N2347" s="1">
        <v>5</v>
      </c>
      <c r="O2347" s="1">
        <v>0.83</v>
      </c>
      <c r="P2347" s="1">
        <v>182</v>
      </c>
      <c r="Q2347" s="1">
        <v>10.85</v>
      </c>
      <c r="R2347" s="1">
        <v>0.72</v>
      </c>
      <c r="S2347" s="2">
        <v>45422</v>
      </c>
      <c r="T2347" s="1">
        <v>11.18</v>
      </c>
      <c r="U2347" s="1">
        <v>0.56699999999999995</v>
      </c>
      <c r="V2347" s="6">
        <f t="shared" si="108"/>
        <v>49356.45</v>
      </c>
      <c r="W2347" s="6" t="str">
        <f t="shared" si="109"/>
        <v>Sufficient</v>
      </c>
      <c r="X2347" s="8" t="str">
        <f t="shared" si="110"/>
        <v>High</v>
      </c>
    </row>
    <row r="2348" spans="1:24">
      <c r="A2348" s="7" t="s">
        <v>2478</v>
      </c>
      <c r="B2348" s="1" t="s">
        <v>66</v>
      </c>
      <c r="C2348" s="1">
        <v>246</v>
      </c>
      <c r="D2348" s="1">
        <v>35</v>
      </c>
      <c r="E2348" s="1">
        <v>14</v>
      </c>
      <c r="F2348" s="1">
        <v>7</v>
      </c>
      <c r="G2348" s="1">
        <v>2.96</v>
      </c>
      <c r="H2348" s="1" t="s">
        <v>126</v>
      </c>
      <c r="I2348" s="1" t="s">
        <v>31</v>
      </c>
      <c r="J2348" s="1">
        <v>48</v>
      </c>
      <c r="K2348" s="1">
        <v>4.68</v>
      </c>
      <c r="L2348" s="4">
        <v>14.89</v>
      </c>
      <c r="M2348" s="1">
        <v>0.99</v>
      </c>
      <c r="N2348" s="1">
        <v>9</v>
      </c>
      <c r="O2348" s="1">
        <v>0.98</v>
      </c>
      <c r="P2348" s="1">
        <v>221</v>
      </c>
      <c r="Q2348" s="1">
        <v>7.92</v>
      </c>
      <c r="R2348" s="1">
        <v>0.38</v>
      </c>
      <c r="S2348" s="2">
        <v>45294</v>
      </c>
      <c r="T2348" s="1">
        <v>108.23</v>
      </c>
      <c r="U2348" s="1">
        <v>0.499</v>
      </c>
      <c r="V2348" s="6">
        <f t="shared" si="108"/>
        <v>3662.94</v>
      </c>
      <c r="W2348" s="6" t="str">
        <f t="shared" si="109"/>
        <v>Sufficient</v>
      </c>
      <c r="X2348" s="8" t="str">
        <f t="shared" si="110"/>
        <v>Medium</v>
      </c>
    </row>
    <row r="2349" spans="1:24">
      <c r="A2349" s="7" t="s">
        <v>2479</v>
      </c>
      <c r="B2349" s="1" t="s">
        <v>25</v>
      </c>
      <c r="C2349" s="1">
        <v>233</v>
      </c>
      <c r="D2349" s="1">
        <v>25</v>
      </c>
      <c r="E2349" s="1">
        <v>11</v>
      </c>
      <c r="F2349" s="1">
        <v>3</v>
      </c>
      <c r="G2349" s="1">
        <v>24.47</v>
      </c>
      <c r="H2349" s="1" t="s">
        <v>117</v>
      </c>
      <c r="I2349" s="1" t="s">
        <v>27</v>
      </c>
      <c r="J2349" s="1">
        <v>160</v>
      </c>
      <c r="K2349" s="1">
        <v>1.93</v>
      </c>
      <c r="L2349" s="4">
        <v>156.51</v>
      </c>
      <c r="M2349" s="1">
        <v>0.84</v>
      </c>
      <c r="N2349" s="1">
        <v>8</v>
      </c>
      <c r="O2349" s="1">
        <v>0.79</v>
      </c>
      <c r="P2349" s="1">
        <v>579</v>
      </c>
      <c r="Q2349" s="1">
        <v>3.05</v>
      </c>
      <c r="R2349" s="1">
        <v>0.27</v>
      </c>
      <c r="S2349" s="2">
        <v>45461</v>
      </c>
      <c r="T2349" s="1">
        <v>291.08</v>
      </c>
      <c r="U2349" s="1">
        <v>0.40899999999999997</v>
      </c>
      <c r="V2349" s="6">
        <f t="shared" si="108"/>
        <v>36466.829999999994</v>
      </c>
      <c r="W2349" s="6" t="str">
        <f t="shared" si="109"/>
        <v>Sufficient</v>
      </c>
      <c r="X2349" s="8" t="str">
        <f t="shared" si="110"/>
        <v>Medium</v>
      </c>
    </row>
    <row r="2350" spans="1:24">
      <c r="A2350" s="7" t="s">
        <v>2480</v>
      </c>
      <c r="B2350" s="1" t="s">
        <v>66</v>
      </c>
      <c r="C2350" s="1">
        <v>379</v>
      </c>
      <c r="D2350" s="1">
        <v>86</v>
      </c>
      <c r="E2350" s="1">
        <v>10</v>
      </c>
      <c r="F2350" s="1">
        <v>6</v>
      </c>
      <c r="G2350" s="1">
        <v>30.37</v>
      </c>
      <c r="H2350" s="1" t="s">
        <v>558</v>
      </c>
      <c r="I2350" s="1" t="s">
        <v>39</v>
      </c>
      <c r="J2350" s="1">
        <v>78</v>
      </c>
      <c r="K2350" s="1">
        <v>1.38</v>
      </c>
      <c r="L2350" s="4">
        <v>25.61</v>
      </c>
      <c r="M2350" s="1">
        <v>1.8</v>
      </c>
      <c r="N2350" s="1">
        <v>3</v>
      </c>
      <c r="O2350" s="1">
        <v>0.94</v>
      </c>
      <c r="P2350" s="1">
        <v>812</v>
      </c>
      <c r="Q2350" s="1">
        <v>9.89</v>
      </c>
      <c r="R2350" s="1">
        <v>0.48</v>
      </c>
      <c r="S2350" s="2">
        <v>45530</v>
      </c>
      <c r="T2350" s="1">
        <v>206.91</v>
      </c>
      <c r="U2350" s="1">
        <v>0.57599999999999996</v>
      </c>
      <c r="V2350" s="6">
        <f t="shared" si="108"/>
        <v>9706.19</v>
      </c>
      <c r="W2350" s="6" t="str">
        <f t="shared" si="109"/>
        <v>Sufficient</v>
      </c>
      <c r="X2350" s="8" t="str">
        <f t="shared" si="110"/>
        <v>High</v>
      </c>
    </row>
    <row r="2351" spans="1:24">
      <c r="A2351" s="7" t="s">
        <v>2481</v>
      </c>
      <c r="B2351" s="1" t="s">
        <v>41</v>
      </c>
      <c r="C2351" s="1">
        <v>170</v>
      </c>
      <c r="D2351" s="1">
        <v>48</v>
      </c>
      <c r="E2351" s="1">
        <v>13</v>
      </c>
      <c r="F2351" s="1">
        <v>5</v>
      </c>
      <c r="G2351" s="1">
        <v>4.8600000000000003</v>
      </c>
      <c r="H2351" s="1" t="s">
        <v>294</v>
      </c>
      <c r="I2351" s="1" t="s">
        <v>39</v>
      </c>
      <c r="J2351" s="1">
        <v>84</v>
      </c>
      <c r="K2351" s="1">
        <v>2.65</v>
      </c>
      <c r="L2351" s="4">
        <v>131.9</v>
      </c>
      <c r="M2351" s="1">
        <v>1.83</v>
      </c>
      <c r="N2351" s="1">
        <v>1</v>
      </c>
      <c r="O2351" s="1">
        <v>0.75</v>
      </c>
      <c r="P2351" s="1">
        <v>490</v>
      </c>
      <c r="Q2351" s="1">
        <v>5.9</v>
      </c>
      <c r="R2351" s="1">
        <v>0.84</v>
      </c>
      <c r="S2351" s="2">
        <v>45655</v>
      </c>
      <c r="T2351" s="1">
        <v>233.93</v>
      </c>
      <c r="U2351" s="1">
        <v>0.59399999999999997</v>
      </c>
      <c r="V2351" s="6">
        <f t="shared" si="108"/>
        <v>22423</v>
      </c>
      <c r="W2351" s="6" t="str">
        <f t="shared" si="109"/>
        <v>Sufficient</v>
      </c>
      <c r="X2351" s="8" t="str">
        <f t="shared" si="110"/>
        <v>Medium</v>
      </c>
    </row>
    <row r="2352" spans="1:24">
      <c r="A2352" s="7" t="s">
        <v>2482</v>
      </c>
      <c r="B2352" s="1" t="s">
        <v>29</v>
      </c>
      <c r="C2352" s="1">
        <v>211</v>
      </c>
      <c r="D2352" s="1">
        <v>42</v>
      </c>
      <c r="E2352" s="1">
        <v>6</v>
      </c>
      <c r="F2352" s="1">
        <v>8</v>
      </c>
      <c r="G2352" s="1">
        <v>15.06</v>
      </c>
      <c r="H2352" s="1" t="s">
        <v>38</v>
      </c>
      <c r="I2352" s="1" t="s">
        <v>31</v>
      </c>
      <c r="J2352" s="1">
        <v>166</v>
      </c>
      <c r="K2352" s="1">
        <v>0.69</v>
      </c>
      <c r="L2352" s="4">
        <v>162.65</v>
      </c>
      <c r="M2352" s="1">
        <v>0.77</v>
      </c>
      <c r="N2352" s="1">
        <v>2</v>
      </c>
      <c r="O2352" s="1">
        <v>0.75</v>
      </c>
      <c r="P2352" s="1">
        <v>161</v>
      </c>
      <c r="Q2352" s="1">
        <v>1.08</v>
      </c>
      <c r="R2352" s="1">
        <v>0.56000000000000005</v>
      </c>
      <c r="S2352" s="2">
        <v>45371</v>
      </c>
      <c r="T2352" s="1">
        <v>259.36</v>
      </c>
      <c r="U2352" s="1">
        <v>0.55900000000000005</v>
      </c>
      <c r="V2352" s="6">
        <f t="shared" si="108"/>
        <v>34319.15</v>
      </c>
      <c r="W2352" s="6" t="str">
        <f t="shared" si="109"/>
        <v>Sufficient</v>
      </c>
      <c r="X2352" s="8" t="str">
        <f t="shared" si="110"/>
        <v>Medium</v>
      </c>
    </row>
    <row r="2353" spans="1:24">
      <c r="A2353" s="7" t="s">
        <v>2483</v>
      </c>
      <c r="B2353" s="1" t="s">
        <v>29</v>
      </c>
      <c r="C2353" s="1">
        <v>470</v>
      </c>
      <c r="D2353" s="1">
        <v>35</v>
      </c>
      <c r="E2353" s="1">
        <v>14</v>
      </c>
      <c r="F2353" s="1">
        <v>7</v>
      </c>
      <c r="G2353" s="1">
        <v>16.78</v>
      </c>
      <c r="H2353" s="1" t="s">
        <v>26</v>
      </c>
      <c r="I2353" s="1" t="s">
        <v>31</v>
      </c>
      <c r="J2353" s="1">
        <v>71</v>
      </c>
      <c r="K2353" s="1">
        <v>1.64</v>
      </c>
      <c r="L2353" s="4">
        <v>63.71</v>
      </c>
      <c r="M2353" s="1">
        <v>1.22</v>
      </c>
      <c r="N2353" s="1">
        <v>2</v>
      </c>
      <c r="O2353" s="1">
        <v>0.84</v>
      </c>
      <c r="P2353" s="1">
        <v>89</v>
      </c>
      <c r="Q2353" s="1">
        <v>9.0500000000000007</v>
      </c>
      <c r="R2353" s="1">
        <v>0.33</v>
      </c>
      <c r="S2353" s="2">
        <v>45312</v>
      </c>
      <c r="T2353" s="1">
        <v>114.93</v>
      </c>
      <c r="U2353" s="1">
        <v>0.59299999999999997</v>
      </c>
      <c r="V2353" s="6">
        <f t="shared" si="108"/>
        <v>29943.7</v>
      </c>
      <c r="W2353" s="6" t="str">
        <f t="shared" si="109"/>
        <v>Sufficient</v>
      </c>
      <c r="X2353" s="8" t="str">
        <f t="shared" si="110"/>
        <v>High</v>
      </c>
    </row>
    <row r="2354" spans="1:24">
      <c r="A2354" s="7" t="s">
        <v>2484</v>
      </c>
      <c r="B2354" s="1" t="s">
        <v>29</v>
      </c>
      <c r="C2354" s="1">
        <v>59</v>
      </c>
      <c r="D2354" s="1">
        <v>57</v>
      </c>
      <c r="E2354" s="1">
        <v>9</v>
      </c>
      <c r="F2354" s="1">
        <v>8</v>
      </c>
      <c r="G2354" s="1">
        <v>28.58</v>
      </c>
      <c r="H2354" s="1" t="s">
        <v>210</v>
      </c>
      <c r="I2354" s="1" t="s">
        <v>39</v>
      </c>
      <c r="J2354" s="1">
        <v>54</v>
      </c>
      <c r="K2354" s="1">
        <v>0.8</v>
      </c>
      <c r="L2354" s="4">
        <v>95.33</v>
      </c>
      <c r="M2354" s="1">
        <v>1.93</v>
      </c>
      <c r="N2354" s="1">
        <v>1</v>
      </c>
      <c r="O2354" s="1">
        <v>0.77</v>
      </c>
      <c r="P2354" s="1">
        <v>151</v>
      </c>
      <c r="Q2354" s="1">
        <v>3.78</v>
      </c>
      <c r="R2354" s="1">
        <v>0.64</v>
      </c>
      <c r="S2354" s="2">
        <v>45370</v>
      </c>
      <c r="T2354" s="1">
        <v>29.12</v>
      </c>
      <c r="U2354" s="1">
        <v>0.51900000000000002</v>
      </c>
      <c r="V2354" s="6">
        <f t="shared" si="108"/>
        <v>5624.47</v>
      </c>
      <c r="W2354" s="6" t="str">
        <f t="shared" si="109"/>
        <v>Sufficient</v>
      </c>
      <c r="X2354" s="8" t="str">
        <f t="shared" si="110"/>
        <v>LOW</v>
      </c>
    </row>
    <row r="2355" spans="1:24">
      <c r="A2355" s="7" t="s">
        <v>2485</v>
      </c>
      <c r="B2355" s="1" t="s">
        <v>25</v>
      </c>
      <c r="C2355" s="1">
        <v>261</v>
      </c>
      <c r="D2355" s="1">
        <v>74</v>
      </c>
      <c r="E2355" s="1">
        <v>12</v>
      </c>
      <c r="F2355" s="1">
        <v>8</v>
      </c>
      <c r="G2355" s="1">
        <v>14.65</v>
      </c>
      <c r="H2355" s="1" t="s">
        <v>185</v>
      </c>
      <c r="I2355" s="1" t="s">
        <v>45</v>
      </c>
      <c r="J2355" s="1">
        <v>36</v>
      </c>
      <c r="K2355" s="1">
        <v>1.07</v>
      </c>
      <c r="L2355" s="4">
        <v>12.72</v>
      </c>
      <c r="M2355" s="1">
        <v>0.21</v>
      </c>
      <c r="N2355" s="1">
        <v>8</v>
      </c>
      <c r="O2355" s="1">
        <v>0.97</v>
      </c>
      <c r="P2355" s="1">
        <v>418</v>
      </c>
      <c r="Q2355" s="1">
        <v>13.41</v>
      </c>
      <c r="R2355" s="1">
        <v>0.41</v>
      </c>
      <c r="S2355" s="2">
        <v>45457</v>
      </c>
      <c r="T2355" s="1">
        <v>129.1</v>
      </c>
      <c r="U2355" s="1">
        <v>0.67400000000000004</v>
      </c>
      <c r="V2355" s="6">
        <f t="shared" si="108"/>
        <v>3319.92</v>
      </c>
      <c r="W2355" s="6" t="str">
        <f t="shared" si="109"/>
        <v>Sufficient</v>
      </c>
      <c r="X2355" s="8" t="str">
        <f t="shared" si="110"/>
        <v>High</v>
      </c>
    </row>
    <row r="2356" spans="1:24">
      <c r="A2356" s="7" t="s">
        <v>2486</v>
      </c>
      <c r="B2356" s="1" t="s">
        <v>33</v>
      </c>
      <c r="C2356" s="1">
        <v>157</v>
      </c>
      <c r="D2356" s="1">
        <v>47</v>
      </c>
      <c r="E2356" s="1">
        <v>5</v>
      </c>
      <c r="F2356" s="1">
        <v>7</v>
      </c>
      <c r="G2356" s="1">
        <v>5.69</v>
      </c>
      <c r="H2356" s="1" t="s">
        <v>176</v>
      </c>
      <c r="I2356" s="1" t="s">
        <v>31</v>
      </c>
      <c r="J2356" s="1">
        <v>125</v>
      </c>
      <c r="K2356" s="1">
        <v>1</v>
      </c>
      <c r="L2356" s="4">
        <v>162.74</v>
      </c>
      <c r="M2356" s="1">
        <v>0.18</v>
      </c>
      <c r="N2356" s="1">
        <v>3</v>
      </c>
      <c r="O2356" s="1">
        <v>0.72</v>
      </c>
      <c r="P2356" s="1">
        <v>223</v>
      </c>
      <c r="Q2356" s="1">
        <v>14.08</v>
      </c>
      <c r="R2356" s="1">
        <v>0.96</v>
      </c>
      <c r="S2356" s="2">
        <v>45597</v>
      </c>
      <c r="T2356" s="1">
        <v>199.28</v>
      </c>
      <c r="U2356" s="1">
        <v>0.84599999999999997</v>
      </c>
      <c r="V2356" s="6">
        <f t="shared" si="108"/>
        <v>25550.18</v>
      </c>
      <c r="W2356" s="6" t="str">
        <f t="shared" si="109"/>
        <v>Sufficient</v>
      </c>
      <c r="X2356" s="8" t="str">
        <f t="shared" si="110"/>
        <v>Medium</v>
      </c>
    </row>
    <row r="2357" spans="1:24">
      <c r="A2357" s="7" t="s">
        <v>2487</v>
      </c>
      <c r="B2357" s="1" t="s">
        <v>33</v>
      </c>
      <c r="C2357" s="1">
        <v>364</v>
      </c>
      <c r="D2357" s="1">
        <v>11</v>
      </c>
      <c r="E2357" s="1">
        <v>11</v>
      </c>
      <c r="F2357" s="1">
        <v>6</v>
      </c>
      <c r="G2357" s="1">
        <v>9.08</v>
      </c>
      <c r="H2357" s="1" t="s">
        <v>26</v>
      </c>
      <c r="I2357" s="1" t="s">
        <v>31</v>
      </c>
      <c r="J2357" s="1">
        <v>171</v>
      </c>
      <c r="K2357" s="1">
        <v>4.43</v>
      </c>
      <c r="L2357" s="4">
        <v>143.62</v>
      </c>
      <c r="M2357" s="1">
        <v>1.08</v>
      </c>
      <c r="N2357" s="1">
        <v>2</v>
      </c>
      <c r="O2357" s="1">
        <v>0.88</v>
      </c>
      <c r="P2357" s="1">
        <v>875</v>
      </c>
      <c r="Q2357" s="1">
        <v>3.27</v>
      </c>
      <c r="R2357" s="1">
        <v>0.66</v>
      </c>
      <c r="S2357" s="2">
        <v>45318</v>
      </c>
      <c r="T2357" s="1">
        <v>117.53</v>
      </c>
      <c r="U2357" s="1">
        <v>0.60399999999999998</v>
      </c>
      <c r="V2357" s="6">
        <f t="shared" si="108"/>
        <v>52277.68</v>
      </c>
      <c r="W2357" s="6" t="str">
        <f t="shared" si="109"/>
        <v>Sufficient</v>
      </c>
      <c r="X2357" s="8" t="str">
        <f t="shared" si="110"/>
        <v>High</v>
      </c>
    </row>
    <row r="2358" spans="1:24">
      <c r="A2358" s="7" t="s">
        <v>2488</v>
      </c>
      <c r="B2358" s="1" t="s">
        <v>66</v>
      </c>
      <c r="C2358" s="1">
        <v>199</v>
      </c>
      <c r="D2358" s="1">
        <v>15</v>
      </c>
      <c r="E2358" s="1">
        <v>12</v>
      </c>
      <c r="F2358" s="1">
        <v>7</v>
      </c>
      <c r="G2358" s="1">
        <v>9.52</v>
      </c>
      <c r="H2358" s="1" t="s">
        <v>216</v>
      </c>
      <c r="I2358" s="1" t="s">
        <v>31</v>
      </c>
      <c r="J2358" s="1">
        <v>151</v>
      </c>
      <c r="K2358" s="1">
        <v>4.6900000000000004</v>
      </c>
      <c r="L2358" s="4">
        <v>53.96</v>
      </c>
      <c r="M2358" s="1">
        <v>0.65</v>
      </c>
      <c r="N2358" s="1">
        <v>9</v>
      </c>
      <c r="O2358" s="1">
        <v>0.88</v>
      </c>
      <c r="P2358" s="1">
        <v>390</v>
      </c>
      <c r="Q2358" s="1">
        <v>1.41</v>
      </c>
      <c r="R2358" s="1">
        <v>0.99</v>
      </c>
      <c r="S2358" s="2">
        <v>45612</v>
      </c>
      <c r="T2358" s="1">
        <v>140.01</v>
      </c>
      <c r="U2358" s="1">
        <v>0.54800000000000004</v>
      </c>
      <c r="V2358" s="6">
        <f t="shared" si="108"/>
        <v>10738.04</v>
      </c>
      <c r="W2358" s="6" t="str">
        <f t="shared" si="109"/>
        <v>Sufficient</v>
      </c>
      <c r="X2358" s="8" t="str">
        <f t="shared" si="110"/>
        <v>Medium</v>
      </c>
    </row>
    <row r="2359" spans="1:24">
      <c r="A2359" s="7" t="s">
        <v>2489</v>
      </c>
      <c r="B2359" s="1" t="s">
        <v>25</v>
      </c>
      <c r="C2359" s="1">
        <v>219</v>
      </c>
      <c r="D2359" s="1">
        <v>55</v>
      </c>
      <c r="E2359" s="1">
        <v>6</v>
      </c>
      <c r="F2359" s="1">
        <v>3</v>
      </c>
      <c r="G2359" s="1">
        <v>42.29</v>
      </c>
      <c r="H2359" s="1" t="s">
        <v>145</v>
      </c>
      <c r="I2359" s="1" t="s">
        <v>27</v>
      </c>
      <c r="J2359" s="1">
        <v>50</v>
      </c>
      <c r="K2359" s="1">
        <v>2.64</v>
      </c>
      <c r="L2359" s="4">
        <v>84.14</v>
      </c>
      <c r="M2359" s="1">
        <v>1.21</v>
      </c>
      <c r="N2359" s="1">
        <v>5</v>
      </c>
      <c r="O2359" s="1">
        <v>0.72</v>
      </c>
      <c r="P2359" s="1">
        <v>969</v>
      </c>
      <c r="Q2359" s="1">
        <v>1.06</v>
      </c>
      <c r="R2359" s="1">
        <v>0.23</v>
      </c>
      <c r="S2359" s="2">
        <v>45607</v>
      </c>
      <c r="T2359" s="1">
        <v>249.4</v>
      </c>
      <c r="U2359" s="1">
        <v>0.38300000000000001</v>
      </c>
      <c r="V2359" s="6">
        <f t="shared" si="108"/>
        <v>18426.66</v>
      </c>
      <c r="W2359" s="6" t="str">
        <f t="shared" si="109"/>
        <v>Sufficient</v>
      </c>
      <c r="X2359" s="8" t="str">
        <f t="shared" si="110"/>
        <v>Medium</v>
      </c>
    </row>
    <row r="2360" spans="1:24">
      <c r="A2360" s="7" t="s">
        <v>2490</v>
      </c>
      <c r="B2360" s="1" t="s">
        <v>29</v>
      </c>
      <c r="C2360" s="1">
        <v>222</v>
      </c>
      <c r="D2360" s="1">
        <v>59</v>
      </c>
      <c r="E2360" s="1">
        <v>4</v>
      </c>
      <c r="F2360" s="1">
        <v>9</v>
      </c>
      <c r="G2360" s="1">
        <v>14.93</v>
      </c>
      <c r="H2360" s="1" t="s">
        <v>252</v>
      </c>
      <c r="I2360" s="1" t="s">
        <v>39</v>
      </c>
      <c r="J2360" s="1">
        <v>115</v>
      </c>
      <c r="K2360" s="1">
        <v>3.34</v>
      </c>
      <c r="L2360" s="4">
        <v>142.11000000000001</v>
      </c>
      <c r="M2360" s="1">
        <v>1.48</v>
      </c>
      <c r="N2360" s="1">
        <v>7</v>
      </c>
      <c r="O2360" s="1">
        <v>0.92</v>
      </c>
      <c r="P2360" s="1">
        <v>973</v>
      </c>
      <c r="Q2360" s="1">
        <v>13.78</v>
      </c>
      <c r="R2360" s="1">
        <v>0.21</v>
      </c>
      <c r="S2360" s="2">
        <v>45630</v>
      </c>
      <c r="T2360" s="1">
        <v>20.51</v>
      </c>
      <c r="U2360" s="1">
        <v>0.52200000000000002</v>
      </c>
      <c r="V2360" s="6">
        <f t="shared" si="108"/>
        <v>31548.420000000002</v>
      </c>
      <c r="W2360" s="6" t="str">
        <f t="shared" si="109"/>
        <v>Sufficient</v>
      </c>
      <c r="X2360" s="8" t="str">
        <f t="shared" si="110"/>
        <v>Medium</v>
      </c>
    </row>
    <row r="2361" spans="1:24">
      <c r="A2361" s="7" t="s">
        <v>2491</v>
      </c>
      <c r="B2361" s="1" t="s">
        <v>29</v>
      </c>
      <c r="C2361" s="1">
        <v>80</v>
      </c>
      <c r="D2361" s="1">
        <v>47</v>
      </c>
      <c r="E2361" s="1">
        <v>12</v>
      </c>
      <c r="F2361" s="1">
        <v>8</v>
      </c>
      <c r="G2361" s="1">
        <v>36.020000000000003</v>
      </c>
      <c r="H2361" s="1" t="s">
        <v>238</v>
      </c>
      <c r="I2361" s="1" t="s">
        <v>39</v>
      </c>
      <c r="J2361" s="1">
        <v>83</v>
      </c>
      <c r="K2361" s="1">
        <v>3.63</v>
      </c>
      <c r="L2361" s="4">
        <v>78.05</v>
      </c>
      <c r="M2361" s="1">
        <v>0.23</v>
      </c>
      <c r="N2361" s="1">
        <v>7</v>
      </c>
      <c r="O2361" s="1">
        <v>0.84</v>
      </c>
      <c r="P2361" s="1">
        <v>863</v>
      </c>
      <c r="Q2361" s="1">
        <v>3.13</v>
      </c>
      <c r="R2361" s="1">
        <v>0.57999999999999996</v>
      </c>
      <c r="S2361" s="2">
        <v>45446</v>
      </c>
      <c r="T2361" s="1">
        <v>107.07</v>
      </c>
      <c r="U2361" s="1">
        <v>0.56299999999999994</v>
      </c>
      <c r="V2361" s="6">
        <f t="shared" si="108"/>
        <v>6244</v>
      </c>
      <c r="W2361" s="6" t="str">
        <f t="shared" si="109"/>
        <v>Sufficient</v>
      </c>
      <c r="X2361" s="8" t="str">
        <f t="shared" si="110"/>
        <v>LOW</v>
      </c>
    </row>
    <row r="2362" spans="1:24">
      <c r="A2362" s="7" t="s">
        <v>2492</v>
      </c>
      <c r="B2362" s="1" t="s">
        <v>41</v>
      </c>
      <c r="C2362" s="1">
        <v>211</v>
      </c>
      <c r="D2362" s="1">
        <v>97</v>
      </c>
      <c r="E2362" s="1">
        <v>7</v>
      </c>
      <c r="F2362" s="1">
        <v>6</v>
      </c>
      <c r="G2362" s="1">
        <v>28.82</v>
      </c>
      <c r="H2362" s="1" t="s">
        <v>52</v>
      </c>
      <c r="I2362" s="1" t="s">
        <v>39</v>
      </c>
      <c r="J2362" s="1">
        <v>69</v>
      </c>
      <c r="K2362" s="1">
        <v>2.2599999999999998</v>
      </c>
      <c r="L2362" s="4">
        <v>40.86</v>
      </c>
      <c r="M2362" s="1">
        <v>1.78</v>
      </c>
      <c r="N2362" s="1">
        <v>9</v>
      </c>
      <c r="O2362" s="1">
        <v>0.92</v>
      </c>
      <c r="P2362" s="1">
        <v>245</v>
      </c>
      <c r="Q2362" s="1">
        <v>7.09</v>
      </c>
      <c r="R2362" s="1">
        <v>0.89</v>
      </c>
      <c r="S2362" s="2">
        <v>45543</v>
      </c>
      <c r="T2362" s="1">
        <v>151.63999999999999</v>
      </c>
      <c r="U2362" s="1">
        <v>0.499</v>
      </c>
      <c r="V2362" s="6">
        <f t="shared" si="108"/>
        <v>8621.4599999999991</v>
      </c>
      <c r="W2362" s="6" t="str">
        <f t="shared" si="109"/>
        <v>Sufficient</v>
      </c>
      <c r="X2362" s="8" t="str">
        <f t="shared" si="110"/>
        <v>Medium</v>
      </c>
    </row>
    <row r="2363" spans="1:24">
      <c r="A2363" s="7" t="s">
        <v>2493</v>
      </c>
      <c r="B2363" s="1" t="s">
        <v>41</v>
      </c>
      <c r="C2363" s="1">
        <v>24</v>
      </c>
      <c r="D2363" s="1">
        <v>27</v>
      </c>
      <c r="E2363" s="1">
        <v>4</v>
      </c>
      <c r="F2363" s="1">
        <v>8</v>
      </c>
      <c r="G2363" s="1">
        <v>48.87</v>
      </c>
      <c r="H2363" s="1" t="s">
        <v>99</v>
      </c>
      <c r="I2363" s="1" t="s">
        <v>31</v>
      </c>
      <c r="J2363" s="1">
        <v>51</v>
      </c>
      <c r="K2363" s="1">
        <v>2.17</v>
      </c>
      <c r="L2363" s="4">
        <v>108.52</v>
      </c>
      <c r="M2363" s="1">
        <v>0.63</v>
      </c>
      <c r="N2363" s="1">
        <v>5</v>
      </c>
      <c r="O2363" s="1">
        <v>0.95</v>
      </c>
      <c r="P2363" s="1">
        <v>633</v>
      </c>
      <c r="Q2363" s="1">
        <v>1.8</v>
      </c>
      <c r="R2363" s="1">
        <v>0.62</v>
      </c>
      <c r="S2363" s="2">
        <v>45585</v>
      </c>
      <c r="T2363" s="1">
        <v>96.76</v>
      </c>
      <c r="U2363" s="1">
        <v>0.57499999999999996</v>
      </c>
      <c r="V2363" s="6">
        <f t="shared" si="108"/>
        <v>2604.48</v>
      </c>
      <c r="W2363" s="6" t="str">
        <f t="shared" si="109"/>
        <v>Reorder Required</v>
      </c>
      <c r="X2363" s="8" t="str">
        <f t="shared" si="110"/>
        <v>LOW</v>
      </c>
    </row>
    <row r="2364" spans="1:24">
      <c r="A2364" s="7" t="s">
        <v>2494</v>
      </c>
      <c r="B2364" s="1" t="s">
        <v>29</v>
      </c>
      <c r="C2364" s="1">
        <v>397</v>
      </c>
      <c r="D2364" s="1">
        <v>36</v>
      </c>
      <c r="E2364" s="1">
        <v>12</v>
      </c>
      <c r="F2364" s="1">
        <v>7</v>
      </c>
      <c r="G2364" s="1">
        <v>14.37</v>
      </c>
      <c r="H2364" s="1" t="s">
        <v>34</v>
      </c>
      <c r="I2364" s="1" t="s">
        <v>39</v>
      </c>
      <c r="J2364" s="1">
        <v>131</v>
      </c>
      <c r="K2364" s="1">
        <v>3.54</v>
      </c>
      <c r="L2364" s="4">
        <v>147.47999999999999</v>
      </c>
      <c r="M2364" s="1">
        <v>0.82</v>
      </c>
      <c r="N2364" s="1">
        <v>4</v>
      </c>
      <c r="O2364" s="1">
        <v>0.8</v>
      </c>
      <c r="P2364" s="1">
        <v>231</v>
      </c>
      <c r="Q2364" s="1">
        <v>6.23</v>
      </c>
      <c r="R2364" s="1">
        <v>0.9</v>
      </c>
      <c r="S2364" s="2">
        <v>45573</v>
      </c>
      <c r="T2364" s="1">
        <v>139.29</v>
      </c>
      <c r="U2364" s="1">
        <v>0.66100000000000003</v>
      </c>
      <c r="V2364" s="6">
        <f t="shared" si="108"/>
        <v>58549.56</v>
      </c>
      <c r="W2364" s="6" t="str">
        <f t="shared" si="109"/>
        <v>Sufficient</v>
      </c>
      <c r="X2364" s="8" t="str">
        <f t="shared" si="110"/>
        <v>High</v>
      </c>
    </row>
    <row r="2365" spans="1:24">
      <c r="A2365" s="7" t="s">
        <v>2495</v>
      </c>
      <c r="B2365" s="1" t="s">
        <v>29</v>
      </c>
      <c r="C2365" s="1">
        <v>256</v>
      </c>
      <c r="D2365" s="1">
        <v>50</v>
      </c>
      <c r="E2365" s="1">
        <v>8</v>
      </c>
      <c r="F2365" s="1">
        <v>6</v>
      </c>
      <c r="G2365" s="1">
        <v>8.76</v>
      </c>
      <c r="H2365" s="1" t="s">
        <v>233</v>
      </c>
      <c r="I2365" s="1" t="s">
        <v>39</v>
      </c>
      <c r="J2365" s="1">
        <v>20</v>
      </c>
      <c r="K2365" s="1">
        <v>2.2000000000000002</v>
      </c>
      <c r="L2365" s="4">
        <v>70.95</v>
      </c>
      <c r="M2365" s="1">
        <v>0.74</v>
      </c>
      <c r="N2365" s="1">
        <v>6</v>
      </c>
      <c r="O2365" s="1">
        <v>0.85</v>
      </c>
      <c r="P2365" s="1">
        <v>802</v>
      </c>
      <c r="Q2365" s="1">
        <v>12</v>
      </c>
      <c r="R2365" s="1">
        <v>0.3</v>
      </c>
      <c r="S2365" s="2">
        <v>45475</v>
      </c>
      <c r="T2365" s="1">
        <v>126.51</v>
      </c>
      <c r="U2365" s="1">
        <v>0.59599999999999997</v>
      </c>
      <c r="V2365" s="6">
        <f t="shared" si="108"/>
        <v>18163.2</v>
      </c>
      <c r="W2365" s="6" t="str">
        <f t="shared" si="109"/>
        <v>Sufficient</v>
      </c>
      <c r="X2365" s="8" t="str">
        <f t="shared" si="110"/>
        <v>High</v>
      </c>
    </row>
    <row r="2366" spans="1:24">
      <c r="A2366" s="7" t="s">
        <v>2496</v>
      </c>
      <c r="B2366" s="1" t="s">
        <v>25</v>
      </c>
      <c r="C2366" s="1">
        <v>200</v>
      </c>
      <c r="D2366" s="1">
        <v>81</v>
      </c>
      <c r="E2366" s="1">
        <v>13</v>
      </c>
      <c r="F2366" s="1">
        <v>6</v>
      </c>
      <c r="G2366" s="1">
        <v>3.55</v>
      </c>
      <c r="H2366" s="1" t="s">
        <v>74</v>
      </c>
      <c r="I2366" s="1" t="s">
        <v>39</v>
      </c>
      <c r="J2366" s="1">
        <v>172</v>
      </c>
      <c r="K2366" s="1">
        <v>3.11</v>
      </c>
      <c r="L2366" s="4">
        <v>33.14</v>
      </c>
      <c r="M2366" s="1">
        <v>1.7</v>
      </c>
      <c r="N2366" s="1">
        <v>2</v>
      </c>
      <c r="O2366" s="1">
        <v>0.78</v>
      </c>
      <c r="P2366" s="1">
        <v>850</v>
      </c>
      <c r="Q2366" s="1">
        <v>6.69</v>
      </c>
      <c r="R2366" s="1">
        <v>0.76</v>
      </c>
      <c r="S2366" s="2">
        <v>45329</v>
      </c>
      <c r="T2366" s="1">
        <v>277.93</v>
      </c>
      <c r="U2366" s="1">
        <v>0.58699999999999997</v>
      </c>
      <c r="V2366" s="6">
        <f t="shared" si="108"/>
        <v>6628</v>
      </c>
      <c r="W2366" s="6" t="str">
        <f t="shared" si="109"/>
        <v>Sufficient</v>
      </c>
      <c r="X2366" s="8" t="str">
        <f t="shared" si="110"/>
        <v>Medium</v>
      </c>
    </row>
    <row r="2367" spans="1:24">
      <c r="A2367" s="7" t="s">
        <v>2497</v>
      </c>
      <c r="B2367" s="1" t="s">
        <v>33</v>
      </c>
      <c r="C2367" s="1">
        <v>330</v>
      </c>
      <c r="D2367" s="1">
        <v>83</v>
      </c>
      <c r="E2367" s="1">
        <v>12</v>
      </c>
      <c r="F2367" s="1">
        <v>2</v>
      </c>
      <c r="G2367" s="1">
        <v>12.81</v>
      </c>
      <c r="H2367" s="1" t="s">
        <v>52</v>
      </c>
      <c r="I2367" s="1" t="s">
        <v>27</v>
      </c>
      <c r="J2367" s="1">
        <v>156</v>
      </c>
      <c r="K2367" s="1">
        <v>2.82</v>
      </c>
      <c r="L2367" s="4">
        <v>167.61</v>
      </c>
      <c r="M2367" s="1">
        <v>0.42</v>
      </c>
      <c r="N2367" s="1">
        <v>9</v>
      </c>
      <c r="O2367" s="1">
        <v>0.76</v>
      </c>
      <c r="P2367" s="1">
        <v>372</v>
      </c>
      <c r="Q2367" s="1">
        <v>11.86</v>
      </c>
      <c r="R2367" s="1">
        <v>0.73</v>
      </c>
      <c r="S2367" s="2">
        <v>45654</v>
      </c>
      <c r="T2367" s="1">
        <v>153.01</v>
      </c>
      <c r="U2367" s="1">
        <v>0.63400000000000001</v>
      </c>
      <c r="V2367" s="6">
        <f t="shared" si="108"/>
        <v>55311.3</v>
      </c>
      <c r="W2367" s="6" t="str">
        <f t="shared" si="109"/>
        <v>Sufficient</v>
      </c>
      <c r="X2367" s="8" t="str">
        <f t="shared" si="110"/>
        <v>High</v>
      </c>
    </row>
    <row r="2368" spans="1:24">
      <c r="A2368" s="7" t="s">
        <v>2498</v>
      </c>
      <c r="B2368" s="1" t="s">
        <v>41</v>
      </c>
      <c r="C2368" s="1">
        <v>56</v>
      </c>
      <c r="D2368" s="1">
        <v>26</v>
      </c>
      <c r="E2368" s="1">
        <v>3</v>
      </c>
      <c r="F2368" s="1">
        <v>2</v>
      </c>
      <c r="G2368" s="1">
        <v>34.520000000000003</v>
      </c>
      <c r="H2368" s="1" t="s">
        <v>370</v>
      </c>
      <c r="I2368" s="1" t="s">
        <v>27</v>
      </c>
      <c r="J2368" s="1">
        <v>127</v>
      </c>
      <c r="K2368" s="1">
        <v>2.86</v>
      </c>
      <c r="L2368" s="4">
        <v>58.03</v>
      </c>
      <c r="M2368" s="1">
        <v>0.15</v>
      </c>
      <c r="N2368" s="1">
        <v>1</v>
      </c>
      <c r="O2368" s="1">
        <v>0.7</v>
      </c>
      <c r="P2368" s="1">
        <v>162</v>
      </c>
      <c r="Q2368" s="1">
        <v>10.64</v>
      </c>
      <c r="R2368" s="1">
        <v>0.64</v>
      </c>
      <c r="S2368" s="2">
        <v>45454</v>
      </c>
      <c r="T2368" s="1">
        <v>148.13</v>
      </c>
      <c r="U2368" s="1">
        <v>0.77500000000000002</v>
      </c>
      <c r="V2368" s="6">
        <f t="shared" si="108"/>
        <v>3249.6800000000003</v>
      </c>
      <c r="W2368" s="6" t="str">
        <f t="shared" si="109"/>
        <v>Sufficient</v>
      </c>
      <c r="X2368" s="8" t="str">
        <f t="shared" si="110"/>
        <v>LOW</v>
      </c>
    </row>
    <row r="2369" spans="1:24">
      <c r="A2369" s="7" t="s">
        <v>2499</v>
      </c>
      <c r="B2369" s="1" t="s">
        <v>33</v>
      </c>
      <c r="C2369" s="1">
        <v>75</v>
      </c>
      <c r="D2369" s="1">
        <v>71</v>
      </c>
      <c r="E2369" s="1">
        <v>8</v>
      </c>
      <c r="F2369" s="1">
        <v>9</v>
      </c>
      <c r="G2369" s="1">
        <v>5.18</v>
      </c>
      <c r="H2369" s="1" t="s">
        <v>63</v>
      </c>
      <c r="I2369" s="1" t="s">
        <v>31</v>
      </c>
      <c r="J2369" s="1">
        <v>74</v>
      </c>
      <c r="K2369" s="1">
        <v>4.2300000000000004</v>
      </c>
      <c r="L2369" s="4">
        <v>107.43</v>
      </c>
      <c r="M2369" s="1">
        <v>1.95</v>
      </c>
      <c r="N2369" s="1">
        <v>7</v>
      </c>
      <c r="O2369" s="1">
        <v>0.99</v>
      </c>
      <c r="P2369" s="1">
        <v>901</v>
      </c>
      <c r="Q2369" s="1">
        <v>8.24</v>
      </c>
      <c r="R2369" s="1">
        <v>0.52</v>
      </c>
      <c r="S2369" s="2">
        <v>45561</v>
      </c>
      <c r="T2369" s="1">
        <v>83.8</v>
      </c>
      <c r="U2369" s="1">
        <v>0.47699999999999998</v>
      </c>
      <c r="V2369" s="6">
        <f t="shared" si="108"/>
        <v>8057.2500000000009</v>
      </c>
      <c r="W2369" s="6" t="str">
        <f t="shared" si="109"/>
        <v>Sufficient</v>
      </c>
      <c r="X2369" s="8" t="str">
        <f t="shared" si="110"/>
        <v>LOW</v>
      </c>
    </row>
    <row r="2370" spans="1:24">
      <c r="A2370" s="7" t="s">
        <v>2500</v>
      </c>
      <c r="B2370" s="1" t="s">
        <v>25</v>
      </c>
      <c r="C2370" s="1">
        <v>462</v>
      </c>
      <c r="D2370" s="1">
        <v>38</v>
      </c>
      <c r="E2370" s="1">
        <v>6</v>
      </c>
      <c r="F2370" s="1">
        <v>2</v>
      </c>
      <c r="G2370" s="1">
        <v>12.99</v>
      </c>
      <c r="H2370" s="1" t="s">
        <v>346</v>
      </c>
      <c r="I2370" s="1" t="s">
        <v>39</v>
      </c>
      <c r="J2370" s="1">
        <v>56</v>
      </c>
      <c r="K2370" s="1">
        <v>3.67</v>
      </c>
      <c r="L2370" s="4">
        <v>141.36000000000001</v>
      </c>
      <c r="M2370" s="1">
        <v>1.96</v>
      </c>
      <c r="N2370" s="1">
        <v>8</v>
      </c>
      <c r="O2370" s="1">
        <v>0.83</v>
      </c>
      <c r="P2370" s="1">
        <v>724</v>
      </c>
      <c r="Q2370" s="1">
        <v>11.33</v>
      </c>
      <c r="R2370" s="1">
        <v>0.72</v>
      </c>
      <c r="S2370" s="2">
        <v>45404</v>
      </c>
      <c r="T2370" s="1">
        <v>23.43</v>
      </c>
      <c r="U2370" s="1">
        <v>0.505</v>
      </c>
      <c r="V2370" s="6">
        <f t="shared" si="108"/>
        <v>65308.320000000007</v>
      </c>
      <c r="W2370" s="6" t="str">
        <f t="shared" si="109"/>
        <v>Sufficient</v>
      </c>
      <c r="X2370" s="8" t="str">
        <f t="shared" si="110"/>
        <v>High</v>
      </c>
    </row>
    <row r="2371" spans="1:24">
      <c r="A2371" s="7" t="s">
        <v>2501</v>
      </c>
      <c r="B2371" s="1" t="s">
        <v>29</v>
      </c>
      <c r="C2371" s="1">
        <v>256</v>
      </c>
      <c r="D2371" s="1">
        <v>67</v>
      </c>
      <c r="E2371" s="1">
        <v>5</v>
      </c>
      <c r="F2371" s="1">
        <v>7</v>
      </c>
      <c r="G2371" s="1">
        <v>42.91</v>
      </c>
      <c r="H2371" s="1" t="s">
        <v>153</v>
      </c>
      <c r="I2371" s="1" t="s">
        <v>31</v>
      </c>
      <c r="J2371" s="1">
        <v>23</v>
      </c>
      <c r="K2371" s="1">
        <v>4.82</v>
      </c>
      <c r="L2371" s="4">
        <v>70.239999999999995</v>
      </c>
      <c r="M2371" s="1">
        <v>0.59</v>
      </c>
      <c r="N2371" s="1">
        <v>5</v>
      </c>
      <c r="O2371" s="1">
        <v>0.7</v>
      </c>
      <c r="P2371" s="1">
        <v>600</v>
      </c>
      <c r="Q2371" s="1">
        <v>13.31</v>
      </c>
      <c r="R2371" s="1">
        <v>0.64</v>
      </c>
      <c r="S2371" s="2">
        <v>45386</v>
      </c>
      <c r="T2371" s="1">
        <v>96.85</v>
      </c>
      <c r="U2371" s="1">
        <v>0.68600000000000005</v>
      </c>
      <c r="V2371" s="6">
        <f t="shared" si="108"/>
        <v>17981.439999999999</v>
      </c>
      <c r="W2371" s="6" t="str">
        <f t="shared" si="109"/>
        <v>Sufficient</v>
      </c>
      <c r="X2371" s="8" t="str">
        <f t="shared" si="110"/>
        <v>High</v>
      </c>
    </row>
    <row r="2372" spans="1:24">
      <c r="A2372" s="7" t="s">
        <v>2502</v>
      </c>
      <c r="B2372" s="1" t="s">
        <v>33</v>
      </c>
      <c r="C2372" s="1">
        <v>377</v>
      </c>
      <c r="D2372" s="1">
        <v>79</v>
      </c>
      <c r="E2372" s="1">
        <v>4</v>
      </c>
      <c r="F2372" s="1">
        <v>5</v>
      </c>
      <c r="G2372" s="1">
        <v>29.56</v>
      </c>
      <c r="H2372" s="1" t="s">
        <v>333</v>
      </c>
      <c r="I2372" s="1" t="s">
        <v>31</v>
      </c>
      <c r="J2372" s="1">
        <v>76</v>
      </c>
      <c r="K2372" s="1">
        <v>4.0599999999999996</v>
      </c>
      <c r="L2372" s="4">
        <v>133.24</v>
      </c>
      <c r="M2372" s="1">
        <v>0.12</v>
      </c>
      <c r="N2372" s="1">
        <v>3</v>
      </c>
      <c r="O2372" s="1">
        <v>0.7</v>
      </c>
      <c r="P2372" s="1">
        <v>284</v>
      </c>
      <c r="Q2372" s="1">
        <v>12.1</v>
      </c>
      <c r="R2372" s="1">
        <v>0.42</v>
      </c>
      <c r="S2372" s="2">
        <v>45558</v>
      </c>
      <c r="T2372" s="1">
        <v>17.89</v>
      </c>
      <c r="U2372" s="1">
        <v>0.71299999999999997</v>
      </c>
      <c r="V2372" s="6">
        <f t="shared" ref="V2372:V2435" si="111">C2372*L2372</f>
        <v>50231.48</v>
      </c>
      <c r="W2372" s="6" t="str">
        <f t="shared" ref="W2372:W2435" si="112">IF(C2372&lt;=D2372,"Reorder Required","Sufficient")</f>
        <v>Sufficient</v>
      </c>
      <c r="X2372" s="8" t="str">
        <f t="shared" ref="X2372:X2435" si="113">IF(C2372&lt;100,"LOW",IF(C2372&lt;250,"Medium","High"))</f>
        <v>High</v>
      </c>
    </row>
    <row r="2373" spans="1:24">
      <c r="A2373" s="7" t="s">
        <v>2503</v>
      </c>
      <c r="B2373" s="1" t="s">
        <v>29</v>
      </c>
      <c r="C2373" s="1">
        <v>368</v>
      </c>
      <c r="D2373" s="1">
        <v>87</v>
      </c>
      <c r="E2373" s="1">
        <v>9</v>
      </c>
      <c r="F2373" s="1">
        <v>3</v>
      </c>
      <c r="G2373" s="1">
        <v>4.41</v>
      </c>
      <c r="H2373" s="1" t="s">
        <v>208</v>
      </c>
      <c r="I2373" s="1" t="s">
        <v>31</v>
      </c>
      <c r="J2373" s="1">
        <v>118</v>
      </c>
      <c r="K2373" s="1">
        <v>1.1599999999999999</v>
      </c>
      <c r="L2373" s="4">
        <v>97.34</v>
      </c>
      <c r="M2373" s="1">
        <v>1.33</v>
      </c>
      <c r="N2373" s="1">
        <v>5</v>
      </c>
      <c r="O2373" s="1">
        <v>0.79</v>
      </c>
      <c r="P2373" s="1">
        <v>554</v>
      </c>
      <c r="Q2373" s="1">
        <v>10.68</v>
      </c>
      <c r="R2373" s="1">
        <v>0.28000000000000003</v>
      </c>
      <c r="S2373" s="2">
        <v>45326</v>
      </c>
      <c r="T2373" s="1">
        <v>249.76</v>
      </c>
      <c r="U2373" s="1">
        <v>0.52300000000000002</v>
      </c>
      <c r="V2373" s="6">
        <f t="shared" si="111"/>
        <v>35821.120000000003</v>
      </c>
      <c r="W2373" s="6" t="str">
        <f t="shared" si="112"/>
        <v>Sufficient</v>
      </c>
      <c r="X2373" s="8" t="str">
        <f t="shared" si="113"/>
        <v>High</v>
      </c>
    </row>
    <row r="2374" spans="1:24">
      <c r="A2374" s="7" t="s">
        <v>2504</v>
      </c>
      <c r="B2374" s="1" t="s">
        <v>29</v>
      </c>
      <c r="C2374" s="1">
        <v>216</v>
      </c>
      <c r="D2374" s="1">
        <v>31</v>
      </c>
      <c r="E2374" s="1">
        <v>11</v>
      </c>
      <c r="F2374" s="1">
        <v>7</v>
      </c>
      <c r="G2374" s="1">
        <v>3.34</v>
      </c>
      <c r="H2374" s="1" t="s">
        <v>183</v>
      </c>
      <c r="I2374" s="1" t="s">
        <v>31</v>
      </c>
      <c r="J2374" s="1">
        <v>169</v>
      </c>
      <c r="K2374" s="1">
        <v>3.82</v>
      </c>
      <c r="L2374" s="4">
        <v>118.38</v>
      </c>
      <c r="M2374" s="1">
        <v>1.33</v>
      </c>
      <c r="N2374" s="1">
        <v>6</v>
      </c>
      <c r="O2374" s="1">
        <v>0.7</v>
      </c>
      <c r="P2374" s="1">
        <v>992</v>
      </c>
      <c r="Q2374" s="1">
        <v>10.83</v>
      </c>
      <c r="R2374" s="1">
        <v>0.51</v>
      </c>
      <c r="S2374" s="2">
        <v>45550</v>
      </c>
      <c r="T2374" s="1">
        <v>69.239999999999995</v>
      </c>
      <c r="U2374" s="1">
        <v>0.53300000000000003</v>
      </c>
      <c r="V2374" s="6">
        <f t="shared" si="111"/>
        <v>25570.079999999998</v>
      </c>
      <c r="W2374" s="6" t="str">
        <f t="shared" si="112"/>
        <v>Sufficient</v>
      </c>
      <c r="X2374" s="8" t="str">
        <f t="shared" si="113"/>
        <v>Medium</v>
      </c>
    </row>
    <row r="2375" spans="1:24">
      <c r="A2375" s="7" t="s">
        <v>2505</v>
      </c>
      <c r="B2375" s="1" t="s">
        <v>66</v>
      </c>
      <c r="C2375" s="1">
        <v>92</v>
      </c>
      <c r="D2375" s="1">
        <v>15</v>
      </c>
      <c r="E2375" s="1">
        <v>14</v>
      </c>
      <c r="F2375" s="1">
        <v>8</v>
      </c>
      <c r="G2375" s="1">
        <v>4</v>
      </c>
      <c r="H2375" s="1" t="s">
        <v>145</v>
      </c>
      <c r="I2375" s="1" t="s">
        <v>31</v>
      </c>
      <c r="J2375" s="1">
        <v>19</v>
      </c>
      <c r="K2375" s="1">
        <v>3.5</v>
      </c>
      <c r="L2375" s="4">
        <v>122.21</v>
      </c>
      <c r="M2375" s="1">
        <v>1.89</v>
      </c>
      <c r="N2375" s="1">
        <v>7</v>
      </c>
      <c r="O2375" s="1">
        <v>0.81</v>
      </c>
      <c r="P2375" s="1">
        <v>120</v>
      </c>
      <c r="Q2375" s="1">
        <v>3.26</v>
      </c>
      <c r="R2375" s="1">
        <v>0.61</v>
      </c>
      <c r="S2375" s="2">
        <v>45373</v>
      </c>
      <c r="T2375" s="1">
        <v>274.25</v>
      </c>
      <c r="U2375" s="1">
        <v>0.39800000000000002</v>
      </c>
      <c r="V2375" s="6">
        <f t="shared" si="111"/>
        <v>11243.32</v>
      </c>
      <c r="W2375" s="6" t="str">
        <f t="shared" si="112"/>
        <v>Sufficient</v>
      </c>
      <c r="X2375" s="8" t="str">
        <f t="shared" si="113"/>
        <v>LOW</v>
      </c>
    </row>
    <row r="2376" spans="1:24">
      <c r="A2376" s="7" t="s">
        <v>2506</v>
      </c>
      <c r="B2376" s="1" t="s">
        <v>33</v>
      </c>
      <c r="C2376" s="1">
        <v>78</v>
      </c>
      <c r="D2376" s="1">
        <v>35</v>
      </c>
      <c r="E2376" s="1">
        <v>5</v>
      </c>
      <c r="F2376" s="1">
        <v>2</v>
      </c>
      <c r="G2376" s="1">
        <v>47.15</v>
      </c>
      <c r="H2376" s="1" t="s">
        <v>145</v>
      </c>
      <c r="I2376" s="1" t="s">
        <v>31</v>
      </c>
      <c r="J2376" s="1">
        <v>133</v>
      </c>
      <c r="K2376" s="1">
        <v>3.41</v>
      </c>
      <c r="L2376" s="4">
        <v>166.59</v>
      </c>
      <c r="M2376" s="1">
        <v>0.67</v>
      </c>
      <c r="N2376" s="1">
        <v>2</v>
      </c>
      <c r="O2376" s="1">
        <v>0.72</v>
      </c>
      <c r="P2376" s="1">
        <v>268</v>
      </c>
      <c r="Q2376" s="1">
        <v>14.31</v>
      </c>
      <c r="R2376" s="1">
        <v>0.61</v>
      </c>
      <c r="S2376" s="2">
        <v>45504</v>
      </c>
      <c r="T2376" s="1">
        <v>266.89</v>
      </c>
      <c r="U2376" s="1">
        <v>0.75</v>
      </c>
      <c r="V2376" s="6">
        <f t="shared" si="111"/>
        <v>12994.02</v>
      </c>
      <c r="W2376" s="6" t="str">
        <f t="shared" si="112"/>
        <v>Sufficient</v>
      </c>
      <c r="X2376" s="8" t="str">
        <f t="shared" si="113"/>
        <v>LOW</v>
      </c>
    </row>
    <row r="2377" spans="1:24">
      <c r="A2377" s="7" t="s">
        <v>2507</v>
      </c>
      <c r="B2377" s="1" t="s">
        <v>33</v>
      </c>
      <c r="C2377" s="1">
        <v>259</v>
      </c>
      <c r="D2377" s="1">
        <v>48</v>
      </c>
      <c r="E2377" s="1">
        <v>8</v>
      </c>
      <c r="F2377" s="1">
        <v>6</v>
      </c>
      <c r="G2377" s="1">
        <v>42.64</v>
      </c>
      <c r="H2377" s="1" t="s">
        <v>269</v>
      </c>
      <c r="I2377" s="1" t="s">
        <v>27</v>
      </c>
      <c r="J2377" s="1">
        <v>26</v>
      </c>
      <c r="K2377" s="1">
        <v>2.66</v>
      </c>
      <c r="L2377" s="4">
        <v>134.69999999999999</v>
      </c>
      <c r="M2377" s="1">
        <v>0.46</v>
      </c>
      <c r="N2377" s="1">
        <v>5</v>
      </c>
      <c r="O2377" s="1">
        <v>0.71</v>
      </c>
      <c r="P2377" s="1">
        <v>566</v>
      </c>
      <c r="Q2377" s="1">
        <v>3.88</v>
      </c>
      <c r="R2377" s="1">
        <v>0.54</v>
      </c>
      <c r="S2377" s="2">
        <v>45570</v>
      </c>
      <c r="T2377" s="1">
        <v>202.76</v>
      </c>
      <c r="U2377" s="1">
        <v>0.55600000000000005</v>
      </c>
      <c r="V2377" s="6">
        <f t="shared" si="111"/>
        <v>34887.299999999996</v>
      </c>
      <c r="W2377" s="6" t="str">
        <f t="shared" si="112"/>
        <v>Sufficient</v>
      </c>
      <c r="X2377" s="8" t="str">
        <f t="shared" si="113"/>
        <v>High</v>
      </c>
    </row>
    <row r="2378" spans="1:24">
      <c r="A2378" s="7" t="s">
        <v>2508</v>
      </c>
      <c r="B2378" s="1" t="s">
        <v>29</v>
      </c>
      <c r="C2378" s="1">
        <v>21</v>
      </c>
      <c r="D2378" s="1">
        <v>21</v>
      </c>
      <c r="E2378" s="1">
        <v>11</v>
      </c>
      <c r="F2378" s="1">
        <v>7</v>
      </c>
      <c r="G2378" s="1">
        <v>42.4</v>
      </c>
      <c r="H2378" s="1" t="s">
        <v>221</v>
      </c>
      <c r="I2378" s="1" t="s">
        <v>45</v>
      </c>
      <c r="J2378" s="1">
        <v>177</v>
      </c>
      <c r="K2378" s="1">
        <v>0.78</v>
      </c>
      <c r="L2378" s="4">
        <v>60.22</v>
      </c>
      <c r="M2378" s="1">
        <v>1.27</v>
      </c>
      <c r="N2378" s="1">
        <v>9</v>
      </c>
      <c r="O2378" s="1">
        <v>0.9</v>
      </c>
      <c r="P2378" s="1">
        <v>802</v>
      </c>
      <c r="Q2378" s="1">
        <v>5.89</v>
      </c>
      <c r="R2378" s="1">
        <v>0.46</v>
      </c>
      <c r="S2378" s="2">
        <v>45566</v>
      </c>
      <c r="T2378" s="1">
        <v>260.14</v>
      </c>
      <c r="U2378" s="1">
        <v>0.44400000000000001</v>
      </c>
      <c r="V2378" s="6">
        <f t="shared" si="111"/>
        <v>1264.6199999999999</v>
      </c>
      <c r="W2378" s="6" t="str">
        <f t="shared" si="112"/>
        <v>Reorder Required</v>
      </c>
      <c r="X2378" s="8" t="str">
        <f t="shared" si="113"/>
        <v>LOW</v>
      </c>
    </row>
    <row r="2379" spans="1:24">
      <c r="A2379" s="7" t="s">
        <v>2509</v>
      </c>
      <c r="B2379" s="1" t="s">
        <v>25</v>
      </c>
      <c r="C2379" s="1">
        <v>468</v>
      </c>
      <c r="D2379" s="1">
        <v>23</v>
      </c>
      <c r="E2379" s="1">
        <v>4</v>
      </c>
      <c r="F2379" s="1">
        <v>6</v>
      </c>
      <c r="G2379" s="1">
        <v>46.29</v>
      </c>
      <c r="H2379" s="1" t="s">
        <v>63</v>
      </c>
      <c r="I2379" s="1" t="s">
        <v>27</v>
      </c>
      <c r="J2379" s="1">
        <v>152</v>
      </c>
      <c r="K2379" s="1">
        <v>4.78</v>
      </c>
      <c r="L2379" s="4">
        <v>21.32</v>
      </c>
      <c r="M2379" s="1">
        <v>1.17</v>
      </c>
      <c r="N2379" s="1">
        <v>5</v>
      </c>
      <c r="O2379" s="1">
        <v>0.97</v>
      </c>
      <c r="P2379" s="1">
        <v>214</v>
      </c>
      <c r="Q2379" s="1">
        <v>8.25</v>
      </c>
      <c r="R2379" s="1">
        <v>0.48</v>
      </c>
      <c r="S2379" s="2">
        <v>45498</v>
      </c>
      <c r="T2379" s="1">
        <v>264.60000000000002</v>
      </c>
      <c r="U2379" s="1">
        <v>0.58299999999999996</v>
      </c>
      <c r="V2379" s="6">
        <f t="shared" si="111"/>
        <v>9977.76</v>
      </c>
      <c r="W2379" s="6" t="str">
        <f t="shared" si="112"/>
        <v>Sufficient</v>
      </c>
      <c r="X2379" s="8" t="str">
        <f t="shared" si="113"/>
        <v>High</v>
      </c>
    </row>
    <row r="2380" spans="1:24">
      <c r="A2380" s="7" t="s">
        <v>2510</v>
      </c>
      <c r="B2380" s="1" t="s">
        <v>66</v>
      </c>
      <c r="C2380" s="1">
        <v>379</v>
      </c>
      <c r="D2380" s="1">
        <v>31</v>
      </c>
      <c r="E2380" s="1">
        <v>9</v>
      </c>
      <c r="F2380" s="1">
        <v>9</v>
      </c>
      <c r="G2380" s="1">
        <v>25.76</v>
      </c>
      <c r="H2380" s="1" t="s">
        <v>74</v>
      </c>
      <c r="I2380" s="1" t="s">
        <v>31</v>
      </c>
      <c r="J2380" s="1">
        <v>106</v>
      </c>
      <c r="K2380" s="1">
        <v>4.33</v>
      </c>
      <c r="L2380" s="4">
        <v>10.38</v>
      </c>
      <c r="M2380" s="1">
        <v>1.46</v>
      </c>
      <c r="N2380" s="1">
        <v>9</v>
      </c>
      <c r="O2380" s="1">
        <v>0.82</v>
      </c>
      <c r="P2380" s="1">
        <v>562</v>
      </c>
      <c r="Q2380" s="1">
        <v>2.77</v>
      </c>
      <c r="R2380" s="1">
        <v>0.41</v>
      </c>
      <c r="S2380" s="2">
        <v>45339</v>
      </c>
      <c r="T2380" s="1">
        <v>235.14</v>
      </c>
      <c r="U2380" s="1">
        <v>0.35699999999999998</v>
      </c>
      <c r="V2380" s="6">
        <f t="shared" si="111"/>
        <v>3934.0200000000004</v>
      </c>
      <c r="W2380" s="6" t="str">
        <f t="shared" si="112"/>
        <v>Sufficient</v>
      </c>
      <c r="X2380" s="8" t="str">
        <f t="shared" si="113"/>
        <v>High</v>
      </c>
    </row>
    <row r="2381" spans="1:24">
      <c r="A2381" s="7" t="s">
        <v>2511</v>
      </c>
      <c r="B2381" s="1" t="s">
        <v>29</v>
      </c>
      <c r="C2381" s="1">
        <v>207</v>
      </c>
      <c r="D2381" s="1">
        <v>60</v>
      </c>
      <c r="E2381" s="1">
        <v>7</v>
      </c>
      <c r="F2381" s="1">
        <v>8</v>
      </c>
      <c r="G2381" s="1">
        <v>13.12</v>
      </c>
      <c r="H2381" s="1" t="s">
        <v>106</v>
      </c>
      <c r="I2381" s="1" t="s">
        <v>45</v>
      </c>
      <c r="J2381" s="1">
        <v>176</v>
      </c>
      <c r="K2381" s="1">
        <v>2.69</v>
      </c>
      <c r="L2381" s="4">
        <v>181.84</v>
      </c>
      <c r="M2381" s="1">
        <v>1.78</v>
      </c>
      <c r="N2381" s="1">
        <v>6</v>
      </c>
      <c r="O2381" s="1">
        <v>0.95</v>
      </c>
      <c r="P2381" s="1">
        <v>430</v>
      </c>
      <c r="Q2381" s="1">
        <v>9.31</v>
      </c>
      <c r="R2381" s="1">
        <v>0.66</v>
      </c>
      <c r="S2381" s="2">
        <v>45470</v>
      </c>
      <c r="T2381" s="1">
        <v>157.30000000000001</v>
      </c>
      <c r="U2381" s="1">
        <v>0.54800000000000004</v>
      </c>
      <c r="V2381" s="6">
        <f t="shared" si="111"/>
        <v>37640.879999999997</v>
      </c>
      <c r="W2381" s="6" t="str">
        <f t="shared" si="112"/>
        <v>Sufficient</v>
      </c>
      <c r="X2381" s="8" t="str">
        <f t="shared" si="113"/>
        <v>Medium</v>
      </c>
    </row>
    <row r="2382" spans="1:24">
      <c r="A2382" s="7" t="s">
        <v>2512</v>
      </c>
      <c r="B2382" s="1" t="s">
        <v>41</v>
      </c>
      <c r="C2382" s="1">
        <v>326</v>
      </c>
      <c r="D2382" s="1">
        <v>32</v>
      </c>
      <c r="E2382" s="1">
        <v>7</v>
      </c>
      <c r="F2382" s="1">
        <v>6</v>
      </c>
      <c r="G2382" s="1">
        <v>20.67</v>
      </c>
      <c r="H2382" s="1" t="s">
        <v>52</v>
      </c>
      <c r="I2382" s="1" t="s">
        <v>45</v>
      </c>
      <c r="J2382" s="1">
        <v>66</v>
      </c>
      <c r="K2382" s="1">
        <v>1.21</v>
      </c>
      <c r="L2382" s="4">
        <v>189</v>
      </c>
      <c r="M2382" s="1">
        <v>1.1599999999999999</v>
      </c>
      <c r="N2382" s="1">
        <v>3</v>
      </c>
      <c r="O2382" s="1">
        <v>0.71</v>
      </c>
      <c r="P2382" s="1">
        <v>233</v>
      </c>
      <c r="Q2382" s="1">
        <v>3.56</v>
      </c>
      <c r="R2382" s="1">
        <v>0.88</v>
      </c>
      <c r="S2382" s="2">
        <v>45405</v>
      </c>
      <c r="T2382" s="1">
        <v>285.51</v>
      </c>
      <c r="U2382" s="1">
        <v>0.58899999999999997</v>
      </c>
      <c r="V2382" s="6">
        <f t="shared" si="111"/>
        <v>61614</v>
      </c>
      <c r="W2382" s="6" t="str">
        <f t="shared" si="112"/>
        <v>Sufficient</v>
      </c>
      <c r="X2382" s="8" t="str">
        <f t="shared" si="113"/>
        <v>High</v>
      </c>
    </row>
    <row r="2383" spans="1:24">
      <c r="A2383" s="7" t="s">
        <v>2513</v>
      </c>
      <c r="B2383" s="1" t="s">
        <v>41</v>
      </c>
      <c r="C2383" s="1">
        <v>49</v>
      </c>
      <c r="D2383" s="1">
        <v>57</v>
      </c>
      <c r="E2383" s="1">
        <v>13</v>
      </c>
      <c r="F2383" s="1">
        <v>6</v>
      </c>
      <c r="G2383" s="1">
        <v>36.22</v>
      </c>
      <c r="H2383" s="1" t="s">
        <v>91</v>
      </c>
      <c r="I2383" s="1" t="s">
        <v>39</v>
      </c>
      <c r="J2383" s="1">
        <v>147</v>
      </c>
      <c r="K2383" s="1">
        <v>4.21</v>
      </c>
      <c r="L2383" s="4">
        <v>27.88</v>
      </c>
      <c r="M2383" s="1">
        <v>0.39</v>
      </c>
      <c r="N2383" s="1">
        <v>5</v>
      </c>
      <c r="O2383" s="1">
        <v>0.93</v>
      </c>
      <c r="P2383" s="1">
        <v>952</v>
      </c>
      <c r="Q2383" s="1">
        <v>13.93</v>
      </c>
      <c r="R2383" s="1">
        <v>0.9</v>
      </c>
      <c r="S2383" s="2">
        <v>45401</v>
      </c>
      <c r="T2383" s="1">
        <v>247.14</v>
      </c>
      <c r="U2383" s="1">
        <v>0.81299999999999994</v>
      </c>
      <c r="V2383" s="6">
        <f t="shared" si="111"/>
        <v>1366.12</v>
      </c>
      <c r="W2383" s="6" t="str">
        <f t="shared" si="112"/>
        <v>Reorder Required</v>
      </c>
      <c r="X2383" s="8" t="str">
        <f t="shared" si="113"/>
        <v>LOW</v>
      </c>
    </row>
    <row r="2384" spans="1:24">
      <c r="A2384" s="7" t="s">
        <v>2514</v>
      </c>
      <c r="B2384" s="1" t="s">
        <v>66</v>
      </c>
      <c r="C2384" s="1">
        <v>286</v>
      </c>
      <c r="D2384" s="1">
        <v>80</v>
      </c>
      <c r="E2384" s="1">
        <v>9</v>
      </c>
      <c r="F2384" s="1">
        <v>9</v>
      </c>
      <c r="G2384" s="1">
        <v>43.93</v>
      </c>
      <c r="H2384" s="1" t="s">
        <v>171</v>
      </c>
      <c r="I2384" s="1" t="s">
        <v>31</v>
      </c>
      <c r="J2384" s="1">
        <v>80</v>
      </c>
      <c r="K2384" s="1">
        <v>2.44</v>
      </c>
      <c r="L2384" s="4">
        <v>102.54</v>
      </c>
      <c r="M2384" s="1">
        <v>1.24</v>
      </c>
      <c r="N2384" s="1">
        <v>1</v>
      </c>
      <c r="O2384" s="1">
        <v>0.72</v>
      </c>
      <c r="P2384" s="1">
        <v>418</v>
      </c>
      <c r="Q2384" s="1">
        <v>13.44</v>
      </c>
      <c r="R2384" s="1">
        <v>0.99</v>
      </c>
      <c r="S2384" s="2">
        <v>45631</v>
      </c>
      <c r="T2384" s="1">
        <v>46.83</v>
      </c>
      <c r="U2384" s="1">
        <v>0.77700000000000002</v>
      </c>
      <c r="V2384" s="6">
        <f t="shared" si="111"/>
        <v>29326.440000000002</v>
      </c>
      <c r="W2384" s="6" t="str">
        <f t="shared" si="112"/>
        <v>Sufficient</v>
      </c>
      <c r="X2384" s="8" t="str">
        <f t="shared" si="113"/>
        <v>High</v>
      </c>
    </row>
    <row r="2385" spans="1:24">
      <c r="A2385" s="7" t="s">
        <v>2515</v>
      </c>
      <c r="B2385" s="1" t="s">
        <v>25</v>
      </c>
      <c r="C2385" s="1">
        <v>495</v>
      </c>
      <c r="D2385" s="1">
        <v>59</v>
      </c>
      <c r="E2385" s="1">
        <v>11</v>
      </c>
      <c r="F2385" s="1">
        <v>4</v>
      </c>
      <c r="G2385" s="1">
        <v>22.32</v>
      </c>
      <c r="H2385" s="1" t="s">
        <v>171</v>
      </c>
      <c r="I2385" s="1" t="s">
        <v>31</v>
      </c>
      <c r="J2385" s="1">
        <v>106</v>
      </c>
      <c r="K2385" s="1">
        <v>2.2599999999999998</v>
      </c>
      <c r="L2385" s="4">
        <v>38.799999999999997</v>
      </c>
      <c r="M2385" s="1">
        <v>0.81</v>
      </c>
      <c r="N2385" s="1">
        <v>7</v>
      </c>
      <c r="O2385" s="1">
        <v>0.95</v>
      </c>
      <c r="P2385" s="1">
        <v>497</v>
      </c>
      <c r="Q2385" s="1">
        <v>8.6199999999999992</v>
      </c>
      <c r="R2385" s="1">
        <v>0.27</v>
      </c>
      <c r="S2385" s="2">
        <v>45461</v>
      </c>
      <c r="T2385" s="1">
        <v>131.77000000000001</v>
      </c>
      <c r="U2385" s="1">
        <v>0.53800000000000003</v>
      </c>
      <c r="V2385" s="6">
        <f t="shared" si="111"/>
        <v>19206</v>
      </c>
      <c r="W2385" s="6" t="str">
        <f t="shared" si="112"/>
        <v>Sufficient</v>
      </c>
      <c r="X2385" s="8" t="str">
        <f t="shared" si="113"/>
        <v>High</v>
      </c>
    </row>
    <row r="2386" spans="1:24">
      <c r="A2386" s="7" t="s">
        <v>2516</v>
      </c>
      <c r="B2386" s="1" t="s">
        <v>29</v>
      </c>
      <c r="C2386" s="1">
        <v>127</v>
      </c>
      <c r="D2386" s="1">
        <v>98</v>
      </c>
      <c r="E2386" s="1">
        <v>6</v>
      </c>
      <c r="F2386" s="1">
        <v>5</v>
      </c>
      <c r="G2386" s="1">
        <v>27.23</v>
      </c>
      <c r="H2386" s="1" t="s">
        <v>370</v>
      </c>
      <c r="I2386" s="1" t="s">
        <v>27</v>
      </c>
      <c r="J2386" s="1">
        <v>26</v>
      </c>
      <c r="K2386" s="1">
        <v>3.49</v>
      </c>
      <c r="L2386" s="4">
        <v>190.26</v>
      </c>
      <c r="M2386" s="1">
        <v>0.96</v>
      </c>
      <c r="N2386" s="1">
        <v>2</v>
      </c>
      <c r="O2386" s="1">
        <v>0.96</v>
      </c>
      <c r="P2386" s="1">
        <v>57</v>
      </c>
      <c r="Q2386" s="1">
        <v>7.29</v>
      </c>
      <c r="R2386" s="1">
        <v>0.37</v>
      </c>
      <c r="S2386" s="2">
        <v>45461</v>
      </c>
      <c r="T2386" s="1">
        <v>166.51</v>
      </c>
      <c r="U2386" s="1">
        <v>0.627</v>
      </c>
      <c r="V2386" s="6">
        <f t="shared" si="111"/>
        <v>24163.02</v>
      </c>
      <c r="W2386" s="6" t="str">
        <f t="shared" si="112"/>
        <v>Sufficient</v>
      </c>
      <c r="X2386" s="8" t="str">
        <f t="shared" si="113"/>
        <v>Medium</v>
      </c>
    </row>
    <row r="2387" spans="1:24">
      <c r="A2387" s="7" t="s">
        <v>2517</v>
      </c>
      <c r="B2387" s="1" t="s">
        <v>33</v>
      </c>
      <c r="C2387" s="1">
        <v>351</v>
      </c>
      <c r="D2387" s="1">
        <v>22</v>
      </c>
      <c r="E2387" s="1">
        <v>11</v>
      </c>
      <c r="F2387" s="1">
        <v>3</v>
      </c>
      <c r="G2387" s="1">
        <v>46.66</v>
      </c>
      <c r="H2387" s="1" t="s">
        <v>97</v>
      </c>
      <c r="I2387" s="1" t="s">
        <v>45</v>
      </c>
      <c r="J2387" s="1">
        <v>85</v>
      </c>
      <c r="K2387" s="1">
        <v>3.91</v>
      </c>
      <c r="L2387" s="4">
        <v>56.9</v>
      </c>
      <c r="M2387" s="1">
        <v>1.92</v>
      </c>
      <c r="N2387" s="1">
        <v>8</v>
      </c>
      <c r="O2387" s="1">
        <v>0.94</v>
      </c>
      <c r="P2387" s="1">
        <v>669</v>
      </c>
      <c r="Q2387" s="1">
        <v>2.44</v>
      </c>
      <c r="R2387" s="1">
        <v>0.78</v>
      </c>
      <c r="S2387" s="2">
        <v>45476</v>
      </c>
      <c r="T2387" s="1">
        <v>163.53</v>
      </c>
      <c r="U2387" s="1">
        <v>0.42499999999999999</v>
      </c>
      <c r="V2387" s="6">
        <f t="shared" si="111"/>
        <v>19971.899999999998</v>
      </c>
      <c r="W2387" s="6" t="str">
        <f t="shared" si="112"/>
        <v>Sufficient</v>
      </c>
      <c r="X2387" s="8" t="str">
        <f t="shared" si="113"/>
        <v>High</v>
      </c>
    </row>
    <row r="2388" spans="1:24">
      <c r="A2388" s="7" t="s">
        <v>2518</v>
      </c>
      <c r="B2388" s="1" t="s">
        <v>66</v>
      </c>
      <c r="C2388" s="1">
        <v>442</v>
      </c>
      <c r="D2388" s="1">
        <v>94</v>
      </c>
      <c r="E2388" s="1">
        <v>13</v>
      </c>
      <c r="F2388" s="1">
        <v>3</v>
      </c>
      <c r="G2388" s="1">
        <v>6.27</v>
      </c>
      <c r="H2388" s="1" t="s">
        <v>185</v>
      </c>
      <c r="I2388" s="1" t="s">
        <v>45</v>
      </c>
      <c r="J2388" s="1">
        <v>26</v>
      </c>
      <c r="K2388" s="1">
        <v>0.78</v>
      </c>
      <c r="L2388" s="4">
        <v>105.31</v>
      </c>
      <c r="M2388" s="1">
        <v>1.1499999999999999</v>
      </c>
      <c r="N2388" s="1">
        <v>7</v>
      </c>
      <c r="O2388" s="1">
        <v>0.95</v>
      </c>
      <c r="P2388" s="1">
        <v>431</v>
      </c>
      <c r="Q2388" s="1">
        <v>12.53</v>
      </c>
      <c r="R2388" s="1">
        <v>0.72</v>
      </c>
      <c r="S2388" s="2">
        <v>45442</v>
      </c>
      <c r="T2388" s="1">
        <v>120.07</v>
      </c>
      <c r="U2388" s="1">
        <v>0.64600000000000002</v>
      </c>
      <c r="V2388" s="6">
        <f t="shared" si="111"/>
        <v>46547.020000000004</v>
      </c>
      <c r="W2388" s="6" t="str">
        <f t="shared" si="112"/>
        <v>Sufficient</v>
      </c>
      <c r="X2388" s="8" t="str">
        <f t="shared" si="113"/>
        <v>High</v>
      </c>
    </row>
    <row r="2389" spans="1:24">
      <c r="A2389" s="7" t="s">
        <v>2519</v>
      </c>
      <c r="B2389" s="1" t="s">
        <v>25</v>
      </c>
      <c r="C2389" s="1">
        <v>109</v>
      </c>
      <c r="D2389" s="1">
        <v>19</v>
      </c>
      <c r="E2389" s="1">
        <v>12</v>
      </c>
      <c r="F2389" s="1">
        <v>2</v>
      </c>
      <c r="G2389" s="1">
        <v>43.25</v>
      </c>
      <c r="H2389" s="1" t="s">
        <v>147</v>
      </c>
      <c r="I2389" s="1" t="s">
        <v>31</v>
      </c>
      <c r="J2389" s="1">
        <v>120</v>
      </c>
      <c r="K2389" s="1">
        <v>3.95</v>
      </c>
      <c r="L2389" s="4">
        <v>41.47</v>
      </c>
      <c r="M2389" s="1">
        <v>0.38</v>
      </c>
      <c r="N2389" s="1">
        <v>5</v>
      </c>
      <c r="O2389" s="1">
        <v>0.87</v>
      </c>
      <c r="P2389" s="1">
        <v>431</v>
      </c>
      <c r="Q2389" s="1">
        <v>6.31</v>
      </c>
      <c r="R2389" s="1">
        <v>0.31</v>
      </c>
      <c r="S2389" s="2">
        <v>45403</v>
      </c>
      <c r="T2389" s="1">
        <v>164.18</v>
      </c>
      <c r="U2389" s="1">
        <v>0.58199999999999996</v>
      </c>
      <c r="V2389" s="6">
        <f t="shared" si="111"/>
        <v>4520.2299999999996</v>
      </c>
      <c r="W2389" s="6" t="str">
        <f t="shared" si="112"/>
        <v>Sufficient</v>
      </c>
      <c r="X2389" s="8" t="str">
        <f t="shared" si="113"/>
        <v>Medium</v>
      </c>
    </row>
    <row r="2390" spans="1:24">
      <c r="A2390" s="7" t="s">
        <v>2520</v>
      </c>
      <c r="B2390" s="1" t="s">
        <v>33</v>
      </c>
      <c r="C2390" s="1">
        <v>224</v>
      </c>
      <c r="D2390" s="1">
        <v>64</v>
      </c>
      <c r="E2390" s="1">
        <v>11</v>
      </c>
      <c r="F2390" s="1">
        <v>4</v>
      </c>
      <c r="G2390" s="1">
        <v>8.81</v>
      </c>
      <c r="H2390" s="1" t="s">
        <v>47</v>
      </c>
      <c r="I2390" s="1" t="s">
        <v>39</v>
      </c>
      <c r="J2390" s="1">
        <v>129</v>
      </c>
      <c r="K2390" s="1">
        <v>3.8</v>
      </c>
      <c r="L2390" s="4">
        <v>73.22</v>
      </c>
      <c r="M2390" s="1">
        <v>0.94</v>
      </c>
      <c r="N2390" s="1">
        <v>9</v>
      </c>
      <c r="O2390" s="1">
        <v>0.78</v>
      </c>
      <c r="P2390" s="1">
        <v>497</v>
      </c>
      <c r="Q2390" s="1">
        <v>4.45</v>
      </c>
      <c r="R2390" s="1">
        <v>0.7</v>
      </c>
      <c r="S2390" s="2">
        <v>45608</v>
      </c>
      <c r="T2390" s="1">
        <v>36.97</v>
      </c>
      <c r="U2390" s="1">
        <v>0.48099999999999998</v>
      </c>
      <c r="V2390" s="6">
        <f t="shared" si="111"/>
        <v>16401.28</v>
      </c>
      <c r="W2390" s="6" t="str">
        <f t="shared" si="112"/>
        <v>Sufficient</v>
      </c>
      <c r="X2390" s="8" t="str">
        <f t="shared" si="113"/>
        <v>Medium</v>
      </c>
    </row>
    <row r="2391" spans="1:24">
      <c r="A2391" s="7" t="s">
        <v>2521</v>
      </c>
      <c r="B2391" s="1" t="s">
        <v>41</v>
      </c>
      <c r="C2391" s="1">
        <v>398</v>
      </c>
      <c r="D2391" s="1">
        <v>18</v>
      </c>
      <c r="E2391" s="1">
        <v>6</v>
      </c>
      <c r="F2391" s="1">
        <v>7</v>
      </c>
      <c r="G2391" s="1">
        <v>24.71</v>
      </c>
      <c r="H2391" s="1" t="s">
        <v>274</v>
      </c>
      <c r="I2391" s="1" t="s">
        <v>31</v>
      </c>
      <c r="J2391" s="1">
        <v>153</v>
      </c>
      <c r="K2391" s="1">
        <v>3.15</v>
      </c>
      <c r="L2391" s="4">
        <v>60.69</v>
      </c>
      <c r="M2391" s="1">
        <v>0.53</v>
      </c>
      <c r="N2391" s="1">
        <v>1</v>
      </c>
      <c r="O2391" s="1">
        <v>0.89</v>
      </c>
      <c r="P2391" s="1">
        <v>746</v>
      </c>
      <c r="Q2391" s="1">
        <v>14.93</v>
      </c>
      <c r="R2391" s="1">
        <v>0.53</v>
      </c>
      <c r="S2391" s="2">
        <v>45563</v>
      </c>
      <c r="T2391" s="1">
        <v>200.02</v>
      </c>
      <c r="U2391" s="1">
        <v>0.81</v>
      </c>
      <c r="V2391" s="6">
        <f t="shared" si="111"/>
        <v>24154.62</v>
      </c>
      <c r="W2391" s="6" t="str">
        <f t="shared" si="112"/>
        <v>Sufficient</v>
      </c>
      <c r="X2391" s="8" t="str">
        <f t="shared" si="113"/>
        <v>High</v>
      </c>
    </row>
    <row r="2392" spans="1:24">
      <c r="A2392" s="7" t="s">
        <v>2522</v>
      </c>
      <c r="B2392" s="1" t="s">
        <v>41</v>
      </c>
      <c r="C2392" s="1">
        <v>475</v>
      </c>
      <c r="D2392" s="1">
        <v>88</v>
      </c>
      <c r="E2392" s="1">
        <v>5</v>
      </c>
      <c r="F2392" s="1">
        <v>9</v>
      </c>
      <c r="G2392" s="1">
        <v>11.7</v>
      </c>
      <c r="H2392" s="1" t="s">
        <v>145</v>
      </c>
      <c r="I2392" s="1" t="s">
        <v>45</v>
      </c>
      <c r="J2392" s="1">
        <v>128</v>
      </c>
      <c r="K2392" s="1">
        <v>2.02</v>
      </c>
      <c r="L2392" s="4">
        <v>100.33</v>
      </c>
      <c r="M2392" s="1">
        <v>0.36</v>
      </c>
      <c r="N2392" s="1">
        <v>7</v>
      </c>
      <c r="O2392" s="1">
        <v>0.83</v>
      </c>
      <c r="P2392" s="1">
        <v>845</v>
      </c>
      <c r="Q2392" s="1">
        <v>10.36</v>
      </c>
      <c r="R2392" s="1">
        <v>0.97</v>
      </c>
      <c r="S2392" s="2">
        <v>45535</v>
      </c>
      <c r="T2392" s="1">
        <v>154.35</v>
      </c>
      <c r="U2392" s="1">
        <v>0.72199999999999998</v>
      </c>
      <c r="V2392" s="6">
        <f t="shared" si="111"/>
        <v>47656.75</v>
      </c>
      <c r="W2392" s="6" t="str">
        <f t="shared" si="112"/>
        <v>Sufficient</v>
      </c>
      <c r="X2392" s="8" t="str">
        <f t="shared" si="113"/>
        <v>High</v>
      </c>
    </row>
    <row r="2393" spans="1:24">
      <c r="A2393" s="7" t="s">
        <v>2523</v>
      </c>
      <c r="B2393" s="1" t="s">
        <v>33</v>
      </c>
      <c r="C2393" s="1">
        <v>466</v>
      </c>
      <c r="D2393" s="1">
        <v>61</v>
      </c>
      <c r="E2393" s="1">
        <v>4</v>
      </c>
      <c r="F2393" s="1">
        <v>7</v>
      </c>
      <c r="G2393" s="1">
        <v>30.54</v>
      </c>
      <c r="H2393" s="1" t="s">
        <v>229</v>
      </c>
      <c r="I2393" s="1" t="s">
        <v>39</v>
      </c>
      <c r="J2393" s="1">
        <v>87</v>
      </c>
      <c r="K2393" s="1">
        <v>1.24</v>
      </c>
      <c r="L2393" s="4">
        <v>89.76</v>
      </c>
      <c r="M2393" s="1">
        <v>1.45</v>
      </c>
      <c r="N2393" s="1">
        <v>5</v>
      </c>
      <c r="O2393" s="1">
        <v>0.7</v>
      </c>
      <c r="P2393" s="1">
        <v>203</v>
      </c>
      <c r="Q2393" s="1">
        <v>2.0299999999999998</v>
      </c>
      <c r="R2393" s="1">
        <v>0.88</v>
      </c>
      <c r="S2393" s="2">
        <v>45579</v>
      </c>
      <c r="T2393" s="1">
        <v>238.42</v>
      </c>
      <c r="U2393" s="1">
        <v>0.498</v>
      </c>
      <c r="V2393" s="6">
        <f t="shared" si="111"/>
        <v>41828.160000000003</v>
      </c>
      <c r="W2393" s="6" t="str">
        <f t="shared" si="112"/>
        <v>Sufficient</v>
      </c>
      <c r="X2393" s="8" t="str">
        <f t="shared" si="113"/>
        <v>High</v>
      </c>
    </row>
    <row r="2394" spans="1:24">
      <c r="A2394" s="7" t="s">
        <v>2524</v>
      </c>
      <c r="B2394" s="1" t="s">
        <v>66</v>
      </c>
      <c r="C2394" s="1">
        <v>467</v>
      </c>
      <c r="D2394" s="1">
        <v>11</v>
      </c>
      <c r="E2394" s="1">
        <v>11</v>
      </c>
      <c r="F2394" s="1">
        <v>3</v>
      </c>
      <c r="G2394" s="1">
        <v>28.37</v>
      </c>
      <c r="H2394" s="1" t="s">
        <v>214</v>
      </c>
      <c r="I2394" s="1" t="s">
        <v>39</v>
      </c>
      <c r="J2394" s="1">
        <v>12</v>
      </c>
      <c r="K2394" s="1">
        <v>0.96</v>
      </c>
      <c r="L2394" s="4">
        <v>72.849999999999994</v>
      </c>
      <c r="M2394" s="1">
        <v>1.29</v>
      </c>
      <c r="N2394" s="1">
        <v>0</v>
      </c>
      <c r="O2394" s="1">
        <v>0.84</v>
      </c>
      <c r="P2394" s="1">
        <v>83</v>
      </c>
      <c r="Q2394" s="1">
        <v>12.22</v>
      </c>
      <c r="R2394" s="1">
        <v>0.26</v>
      </c>
      <c r="S2394" s="2">
        <v>45624</v>
      </c>
      <c r="T2394" s="1">
        <v>211.08</v>
      </c>
      <c r="U2394" s="1">
        <v>0.65400000000000003</v>
      </c>
      <c r="V2394" s="6">
        <f t="shared" si="111"/>
        <v>34020.949999999997</v>
      </c>
      <c r="W2394" s="6" t="str">
        <f t="shared" si="112"/>
        <v>Sufficient</v>
      </c>
      <c r="X2394" s="8" t="str">
        <f t="shared" si="113"/>
        <v>High</v>
      </c>
    </row>
    <row r="2395" spans="1:24">
      <c r="A2395" s="7" t="s">
        <v>2525</v>
      </c>
      <c r="B2395" s="1" t="s">
        <v>41</v>
      </c>
      <c r="C2395" s="1">
        <v>464</v>
      </c>
      <c r="D2395" s="1">
        <v>34</v>
      </c>
      <c r="E2395" s="1">
        <v>14</v>
      </c>
      <c r="F2395" s="1">
        <v>5</v>
      </c>
      <c r="G2395" s="1">
        <v>19.62</v>
      </c>
      <c r="H2395" s="1" t="s">
        <v>83</v>
      </c>
      <c r="I2395" s="1" t="s">
        <v>45</v>
      </c>
      <c r="J2395" s="1">
        <v>117</v>
      </c>
      <c r="K2395" s="1">
        <v>0.51</v>
      </c>
      <c r="L2395" s="4">
        <v>30.12</v>
      </c>
      <c r="M2395" s="1">
        <v>1.05</v>
      </c>
      <c r="N2395" s="1">
        <v>5</v>
      </c>
      <c r="O2395" s="1">
        <v>0.9</v>
      </c>
      <c r="P2395" s="1">
        <v>546</v>
      </c>
      <c r="Q2395" s="1">
        <v>11.51</v>
      </c>
      <c r="R2395" s="1">
        <v>0.27</v>
      </c>
      <c r="S2395" s="2">
        <v>45296</v>
      </c>
      <c r="T2395" s="1">
        <v>42.7</v>
      </c>
      <c r="U2395" s="1">
        <v>0.58199999999999996</v>
      </c>
      <c r="V2395" s="6">
        <f t="shared" si="111"/>
        <v>13975.68</v>
      </c>
      <c r="W2395" s="6" t="str">
        <f t="shared" si="112"/>
        <v>Sufficient</v>
      </c>
      <c r="X2395" s="8" t="str">
        <f t="shared" si="113"/>
        <v>High</v>
      </c>
    </row>
    <row r="2396" spans="1:24">
      <c r="A2396" s="7" t="s">
        <v>2526</v>
      </c>
      <c r="B2396" s="1" t="s">
        <v>29</v>
      </c>
      <c r="C2396" s="1">
        <v>400</v>
      </c>
      <c r="D2396" s="1">
        <v>22</v>
      </c>
      <c r="E2396" s="1">
        <v>4</v>
      </c>
      <c r="F2396" s="1">
        <v>6</v>
      </c>
      <c r="G2396" s="1">
        <v>43.3</v>
      </c>
      <c r="H2396" s="1" t="s">
        <v>38</v>
      </c>
      <c r="I2396" s="1" t="s">
        <v>31</v>
      </c>
      <c r="J2396" s="1">
        <v>60</v>
      </c>
      <c r="K2396" s="1">
        <v>1.43</v>
      </c>
      <c r="L2396" s="4">
        <v>102.05</v>
      </c>
      <c r="M2396" s="1">
        <v>0.9</v>
      </c>
      <c r="N2396" s="1">
        <v>4</v>
      </c>
      <c r="O2396" s="1">
        <v>0.7</v>
      </c>
      <c r="P2396" s="1">
        <v>913</v>
      </c>
      <c r="Q2396" s="1">
        <v>6.62</v>
      </c>
      <c r="R2396" s="1">
        <v>0.53</v>
      </c>
      <c r="S2396" s="2">
        <v>45350</v>
      </c>
      <c r="T2396" s="1">
        <v>111.71</v>
      </c>
      <c r="U2396" s="1">
        <v>0.56399999999999995</v>
      </c>
      <c r="V2396" s="6">
        <f t="shared" si="111"/>
        <v>40820</v>
      </c>
      <c r="W2396" s="6" t="str">
        <f t="shared" si="112"/>
        <v>Sufficient</v>
      </c>
      <c r="X2396" s="8" t="str">
        <f t="shared" si="113"/>
        <v>High</v>
      </c>
    </row>
    <row r="2397" spans="1:24">
      <c r="A2397" s="7" t="s">
        <v>2527</v>
      </c>
      <c r="B2397" s="1" t="s">
        <v>33</v>
      </c>
      <c r="C2397" s="1">
        <v>457</v>
      </c>
      <c r="D2397" s="1">
        <v>60</v>
      </c>
      <c r="E2397" s="1">
        <v>8</v>
      </c>
      <c r="F2397" s="1">
        <v>8</v>
      </c>
      <c r="G2397" s="1">
        <v>33.33</v>
      </c>
      <c r="H2397" s="1" t="s">
        <v>42</v>
      </c>
      <c r="I2397" s="1" t="s">
        <v>31</v>
      </c>
      <c r="J2397" s="1">
        <v>123</v>
      </c>
      <c r="K2397" s="1">
        <v>2.35</v>
      </c>
      <c r="L2397" s="4">
        <v>171.54</v>
      </c>
      <c r="M2397" s="1">
        <v>0.71</v>
      </c>
      <c r="N2397" s="1">
        <v>5</v>
      </c>
      <c r="O2397" s="1">
        <v>0.89</v>
      </c>
      <c r="P2397" s="1">
        <v>71</v>
      </c>
      <c r="Q2397" s="1">
        <v>2.73</v>
      </c>
      <c r="R2397" s="1">
        <v>0.21</v>
      </c>
      <c r="S2397" s="2">
        <v>45634</v>
      </c>
      <c r="T2397" s="1">
        <v>223.51</v>
      </c>
      <c r="U2397" s="1">
        <v>0.48499999999999999</v>
      </c>
      <c r="V2397" s="6">
        <f t="shared" si="111"/>
        <v>78393.78</v>
      </c>
      <c r="W2397" s="6" t="str">
        <f t="shared" si="112"/>
        <v>Sufficient</v>
      </c>
      <c r="X2397" s="8" t="str">
        <f t="shared" si="113"/>
        <v>High</v>
      </c>
    </row>
    <row r="2398" spans="1:24">
      <c r="A2398" s="7" t="s">
        <v>2528</v>
      </c>
      <c r="B2398" s="1" t="s">
        <v>33</v>
      </c>
      <c r="C2398" s="1">
        <v>239</v>
      </c>
      <c r="D2398" s="1">
        <v>67</v>
      </c>
      <c r="E2398" s="1">
        <v>7</v>
      </c>
      <c r="F2398" s="1">
        <v>2</v>
      </c>
      <c r="G2398" s="1">
        <v>36.340000000000003</v>
      </c>
      <c r="H2398" s="1" t="s">
        <v>30</v>
      </c>
      <c r="I2398" s="1" t="s">
        <v>31</v>
      </c>
      <c r="J2398" s="1">
        <v>103</v>
      </c>
      <c r="K2398" s="1">
        <v>1.6</v>
      </c>
      <c r="L2398" s="4">
        <v>148.74</v>
      </c>
      <c r="M2398" s="1">
        <v>0.27</v>
      </c>
      <c r="N2398" s="1">
        <v>0</v>
      </c>
      <c r="O2398" s="1">
        <v>0.9</v>
      </c>
      <c r="P2398" s="1">
        <v>429</v>
      </c>
      <c r="Q2398" s="1">
        <v>7.96</v>
      </c>
      <c r="R2398" s="1">
        <v>0.28000000000000003</v>
      </c>
      <c r="S2398" s="2">
        <v>45469</v>
      </c>
      <c r="T2398" s="1">
        <v>107.7</v>
      </c>
      <c r="U2398" s="1">
        <v>0.71499999999999997</v>
      </c>
      <c r="V2398" s="6">
        <f t="shared" si="111"/>
        <v>35548.86</v>
      </c>
      <c r="W2398" s="6" t="str">
        <f t="shared" si="112"/>
        <v>Sufficient</v>
      </c>
      <c r="X2398" s="8" t="str">
        <f t="shared" si="113"/>
        <v>Medium</v>
      </c>
    </row>
    <row r="2399" spans="1:24">
      <c r="A2399" s="7" t="s">
        <v>2529</v>
      </c>
      <c r="B2399" s="1" t="s">
        <v>41</v>
      </c>
      <c r="C2399" s="1">
        <v>397</v>
      </c>
      <c r="D2399" s="1">
        <v>43</v>
      </c>
      <c r="E2399" s="1">
        <v>7</v>
      </c>
      <c r="F2399" s="1">
        <v>5</v>
      </c>
      <c r="G2399" s="1">
        <v>8.3800000000000008</v>
      </c>
      <c r="H2399" s="1" t="s">
        <v>34</v>
      </c>
      <c r="I2399" s="1" t="s">
        <v>27</v>
      </c>
      <c r="J2399" s="1">
        <v>125</v>
      </c>
      <c r="K2399" s="1">
        <v>1.89</v>
      </c>
      <c r="L2399" s="4">
        <v>146.91</v>
      </c>
      <c r="M2399" s="1">
        <v>0.67</v>
      </c>
      <c r="N2399" s="1">
        <v>3</v>
      </c>
      <c r="O2399" s="1">
        <v>0.75</v>
      </c>
      <c r="P2399" s="1">
        <v>197</v>
      </c>
      <c r="Q2399" s="1">
        <v>11.69</v>
      </c>
      <c r="R2399" s="1">
        <v>0.95</v>
      </c>
      <c r="S2399" s="2">
        <v>45520</v>
      </c>
      <c r="T2399" s="1">
        <v>174.4</v>
      </c>
      <c r="U2399" s="1">
        <v>0.76900000000000002</v>
      </c>
      <c r="V2399" s="6">
        <f t="shared" si="111"/>
        <v>58323.27</v>
      </c>
      <c r="W2399" s="6" t="str">
        <f t="shared" si="112"/>
        <v>Sufficient</v>
      </c>
      <c r="X2399" s="8" t="str">
        <f t="shared" si="113"/>
        <v>High</v>
      </c>
    </row>
    <row r="2400" spans="1:24">
      <c r="A2400" s="7" t="s">
        <v>2530</v>
      </c>
      <c r="B2400" s="1" t="s">
        <v>66</v>
      </c>
      <c r="C2400" s="1">
        <v>113</v>
      </c>
      <c r="D2400" s="1">
        <v>44</v>
      </c>
      <c r="E2400" s="1">
        <v>6</v>
      </c>
      <c r="F2400" s="1">
        <v>3</v>
      </c>
      <c r="G2400" s="1">
        <v>44.28</v>
      </c>
      <c r="H2400" s="1" t="s">
        <v>36</v>
      </c>
      <c r="I2400" s="1" t="s">
        <v>27</v>
      </c>
      <c r="J2400" s="1">
        <v>114</v>
      </c>
      <c r="K2400" s="1">
        <v>2.2599999999999998</v>
      </c>
      <c r="L2400" s="4">
        <v>79.56</v>
      </c>
      <c r="M2400" s="1">
        <v>1.69</v>
      </c>
      <c r="N2400" s="1">
        <v>6</v>
      </c>
      <c r="O2400" s="1">
        <v>0.83</v>
      </c>
      <c r="P2400" s="1">
        <v>959</v>
      </c>
      <c r="Q2400" s="1">
        <v>2.06</v>
      </c>
      <c r="R2400" s="1">
        <v>0.83</v>
      </c>
      <c r="S2400" s="2">
        <v>45415</v>
      </c>
      <c r="T2400" s="1">
        <v>288.77</v>
      </c>
      <c r="U2400" s="1">
        <v>0.47</v>
      </c>
      <c r="V2400" s="6">
        <f t="shared" si="111"/>
        <v>8990.2800000000007</v>
      </c>
      <c r="W2400" s="6" t="str">
        <f t="shared" si="112"/>
        <v>Sufficient</v>
      </c>
      <c r="X2400" s="8" t="str">
        <f t="shared" si="113"/>
        <v>Medium</v>
      </c>
    </row>
    <row r="2401" spans="1:24">
      <c r="A2401" s="7" t="s">
        <v>2531</v>
      </c>
      <c r="B2401" s="1" t="s">
        <v>29</v>
      </c>
      <c r="C2401" s="1">
        <v>476</v>
      </c>
      <c r="D2401" s="1">
        <v>12</v>
      </c>
      <c r="E2401" s="1">
        <v>8</v>
      </c>
      <c r="F2401" s="1">
        <v>4</v>
      </c>
      <c r="G2401" s="1">
        <v>9.18</v>
      </c>
      <c r="H2401" s="1" t="s">
        <v>440</v>
      </c>
      <c r="I2401" s="1" t="s">
        <v>39</v>
      </c>
      <c r="J2401" s="1">
        <v>108</v>
      </c>
      <c r="K2401" s="1">
        <v>1.89</v>
      </c>
      <c r="L2401" s="4">
        <v>144.6</v>
      </c>
      <c r="M2401" s="1">
        <v>1.59</v>
      </c>
      <c r="N2401" s="1">
        <v>4</v>
      </c>
      <c r="O2401" s="1">
        <v>0.99</v>
      </c>
      <c r="P2401" s="1">
        <v>712</v>
      </c>
      <c r="Q2401" s="1">
        <v>3.29</v>
      </c>
      <c r="R2401" s="1">
        <v>0.74</v>
      </c>
      <c r="S2401" s="2">
        <v>45620</v>
      </c>
      <c r="T2401" s="1">
        <v>33.18</v>
      </c>
      <c r="U2401" s="1">
        <v>0.55100000000000005</v>
      </c>
      <c r="V2401" s="6">
        <f t="shared" si="111"/>
        <v>68829.599999999991</v>
      </c>
      <c r="W2401" s="6" t="str">
        <f t="shared" si="112"/>
        <v>Sufficient</v>
      </c>
      <c r="X2401" s="8" t="str">
        <f t="shared" si="113"/>
        <v>High</v>
      </c>
    </row>
    <row r="2402" spans="1:24">
      <c r="A2402" s="7" t="s">
        <v>2532</v>
      </c>
      <c r="B2402" s="1" t="s">
        <v>66</v>
      </c>
      <c r="C2402" s="1">
        <v>122</v>
      </c>
      <c r="D2402" s="1">
        <v>68</v>
      </c>
      <c r="E2402" s="1">
        <v>7</v>
      </c>
      <c r="F2402" s="1">
        <v>2</v>
      </c>
      <c r="G2402" s="1">
        <v>11.92</v>
      </c>
      <c r="H2402" s="1" t="s">
        <v>227</v>
      </c>
      <c r="I2402" s="1" t="s">
        <v>31</v>
      </c>
      <c r="J2402" s="1">
        <v>163</v>
      </c>
      <c r="K2402" s="1">
        <v>3.76</v>
      </c>
      <c r="L2402" s="4">
        <v>98.45</v>
      </c>
      <c r="M2402" s="1">
        <v>1.95</v>
      </c>
      <c r="N2402" s="1">
        <v>5</v>
      </c>
      <c r="O2402" s="1">
        <v>0.97</v>
      </c>
      <c r="P2402" s="1">
        <v>628</v>
      </c>
      <c r="Q2402" s="1">
        <v>9.66</v>
      </c>
      <c r="R2402" s="1">
        <v>0.86</v>
      </c>
      <c r="S2402" s="2">
        <v>45606</v>
      </c>
      <c r="T2402" s="1">
        <v>65.180000000000007</v>
      </c>
      <c r="U2402" s="1">
        <v>0.6</v>
      </c>
      <c r="V2402" s="6">
        <f t="shared" si="111"/>
        <v>12010.9</v>
      </c>
      <c r="W2402" s="6" t="str">
        <f t="shared" si="112"/>
        <v>Sufficient</v>
      </c>
      <c r="X2402" s="8" t="str">
        <f t="shared" si="113"/>
        <v>Medium</v>
      </c>
    </row>
    <row r="2403" spans="1:24">
      <c r="A2403" s="7" t="s">
        <v>2533</v>
      </c>
      <c r="B2403" s="1" t="s">
        <v>25</v>
      </c>
      <c r="C2403" s="1">
        <v>242</v>
      </c>
      <c r="D2403" s="1">
        <v>79</v>
      </c>
      <c r="E2403" s="1">
        <v>13</v>
      </c>
      <c r="F2403" s="1">
        <v>9</v>
      </c>
      <c r="G2403" s="1">
        <v>7.27</v>
      </c>
      <c r="H2403" s="1" t="s">
        <v>372</v>
      </c>
      <c r="I2403" s="1" t="s">
        <v>27</v>
      </c>
      <c r="J2403" s="1">
        <v>85</v>
      </c>
      <c r="K2403" s="1">
        <v>2.71</v>
      </c>
      <c r="L2403" s="4">
        <v>38.549999999999997</v>
      </c>
      <c r="M2403" s="1">
        <v>1.35</v>
      </c>
      <c r="N2403" s="1">
        <v>1</v>
      </c>
      <c r="O2403" s="1">
        <v>0.82</v>
      </c>
      <c r="P2403" s="1">
        <v>964</v>
      </c>
      <c r="Q2403" s="1">
        <v>8.83</v>
      </c>
      <c r="R2403" s="1">
        <v>0.4</v>
      </c>
      <c r="S2403" s="2">
        <v>45610</v>
      </c>
      <c r="T2403" s="1">
        <v>149.38</v>
      </c>
      <c r="U2403" s="1">
        <v>0.60699999999999998</v>
      </c>
      <c r="V2403" s="6">
        <f t="shared" si="111"/>
        <v>9329.0999999999985</v>
      </c>
      <c r="W2403" s="6" t="str">
        <f t="shared" si="112"/>
        <v>Sufficient</v>
      </c>
      <c r="X2403" s="8" t="str">
        <f t="shared" si="113"/>
        <v>Medium</v>
      </c>
    </row>
    <row r="2404" spans="1:24">
      <c r="A2404" s="7" t="s">
        <v>2534</v>
      </c>
      <c r="B2404" s="1" t="s">
        <v>25</v>
      </c>
      <c r="C2404" s="1">
        <v>205</v>
      </c>
      <c r="D2404" s="1">
        <v>57</v>
      </c>
      <c r="E2404" s="1">
        <v>6</v>
      </c>
      <c r="F2404" s="1">
        <v>3</v>
      </c>
      <c r="G2404" s="1">
        <v>22.58</v>
      </c>
      <c r="H2404" s="1" t="s">
        <v>269</v>
      </c>
      <c r="I2404" s="1" t="s">
        <v>39</v>
      </c>
      <c r="J2404" s="1">
        <v>168</v>
      </c>
      <c r="K2404" s="1">
        <v>0.59</v>
      </c>
      <c r="L2404" s="4">
        <v>89.62</v>
      </c>
      <c r="M2404" s="1">
        <v>1.1499999999999999</v>
      </c>
      <c r="N2404" s="1">
        <v>7</v>
      </c>
      <c r="O2404" s="1">
        <v>0.8</v>
      </c>
      <c r="P2404" s="1">
        <v>639</v>
      </c>
      <c r="Q2404" s="1">
        <v>13.67</v>
      </c>
      <c r="R2404" s="1">
        <v>0.78</v>
      </c>
      <c r="S2404" s="2">
        <v>45416</v>
      </c>
      <c r="T2404" s="1">
        <v>224.15</v>
      </c>
      <c r="U2404" s="1">
        <v>0.64300000000000002</v>
      </c>
      <c r="V2404" s="6">
        <f t="shared" si="111"/>
        <v>18372.100000000002</v>
      </c>
      <c r="W2404" s="6" t="str">
        <f t="shared" si="112"/>
        <v>Sufficient</v>
      </c>
      <c r="X2404" s="8" t="str">
        <f t="shared" si="113"/>
        <v>Medium</v>
      </c>
    </row>
    <row r="2405" spans="1:24">
      <c r="A2405" s="7" t="s">
        <v>2535</v>
      </c>
      <c r="B2405" s="1" t="s">
        <v>41</v>
      </c>
      <c r="C2405" s="1">
        <v>488</v>
      </c>
      <c r="D2405" s="1">
        <v>73</v>
      </c>
      <c r="E2405" s="1">
        <v>11</v>
      </c>
      <c r="F2405" s="1">
        <v>7</v>
      </c>
      <c r="G2405" s="1">
        <v>44.5</v>
      </c>
      <c r="H2405" s="1" t="s">
        <v>77</v>
      </c>
      <c r="I2405" s="1" t="s">
        <v>45</v>
      </c>
      <c r="J2405" s="1">
        <v>90</v>
      </c>
      <c r="K2405" s="1">
        <v>1.52</v>
      </c>
      <c r="L2405" s="4">
        <v>35.22</v>
      </c>
      <c r="M2405" s="1">
        <v>0.66</v>
      </c>
      <c r="N2405" s="1">
        <v>9</v>
      </c>
      <c r="O2405" s="1">
        <v>0.74</v>
      </c>
      <c r="P2405" s="1">
        <v>793</v>
      </c>
      <c r="Q2405" s="1">
        <v>12.41</v>
      </c>
      <c r="R2405" s="1">
        <v>0.69</v>
      </c>
      <c r="S2405" s="2">
        <v>45312</v>
      </c>
      <c r="T2405" s="1">
        <v>105.73</v>
      </c>
      <c r="U2405" s="1">
        <v>0.60499999999999998</v>
      </c>
      <c r="V2405" s="6">
        <f t="shared" si="111"/>
        <v>17187.36</v>
      </c>
      <c r="W2405" s="6" t="str">
        <f t="shared" si="112"/>
        <v>Sufficient</v>
      </c>
      <c r="X2405" s="8" t="str">
        <f t="shared" si="113"/>
        <v>High</v>
      </c>
    </row>
    <row r="2406" spans="1:24">
      <c r="A2406" s="7" t="s">
        <v>2536</v>
      </c>
      <c r="B2406" s="1" t="s">
        <v>41</v>
      </c>
      <c r="C2406" s="1">
        <v>203</v>
      </c>
      <c r="D2406" s="1">
        <v>28</v>
      </c>
      <c r="E2406" s="1">
        <v>8</v>
      </c>
      <c r="F2406" s="1">
        <v>2</v>
      </c>
      <c r="G2406" s="1">
        <v>13.37</v>
      </c>
      <c r="H2406" s="1" t="s">
        <v>132</v>
      </c>
      <c r="I2406" s="1" t="s">
        <v>45</v>
      </c>
      <c r="J2406" s="1">
        <v>81</v>
      </c>
      <c r="K2406" s="1">
        <v>3.69</v>
      </c>
      <c r="L2406" s="4">
        <v>31.75</v>
      </c>
      <c r="M2406" s="1">
        <v>0.25</v>
      </c>
      <c r="N2406" s="1">
        <v>3</v>
      </c>
      <c r="O2406" s="1">
        <v>0.71</v>
      </c>
      <c r="P2406" s="1">
        <v>600</v>
      </c>
      <c r="Q2406" s="1">
        <v>13.86</v>
      </c>
      <c r="R2406" s="1">
        <v>0.88</v>
      </c>
      <c r="S2406" s="2">
        <v>45641</v>
      </c>
      <c r="T2406" s="1">
        <v>44.06</v>
      </c>
      <c r="U2406" s="1">
        <v>0.81799999999999995</v>
      </c>
      <c r="V2406" s="6">
        <f t="shared" si="111"/>
        <v>6445.25</v>
      </c>
      <c r="W2406" s="6" t="str">
        <f t="shared" si="112"/>
        <v>Sufficient</v>
      </c>
      <c r="X2406" s="8" t="str">
        <f t="shared" si="113"/>
        <v>Medium</v>
      </c>
    </row>
    <row r="2407" spans="1:24">
      <c r="A2407" s="7" t="s">
        <v>2537</v>
      </c>
      <c r="B2407" s="1" t="s">
        <v>41</v>
      </c>
      <c r="C2407" s="1">
        <v>181</v>
      </c>
      <c r="D2407" s="1">
        <v>76</v>
      </c>
      <c r="E2407" s="1">
        <v>13</v>
      </c>
      <c r="F2407" s="1">
        <v>9</v>
      </c>
      <c r="G2407" s="1">
        <v>19.309999999999999</v>
      </c>
      <c r="H2407" s="1" t="s">
        <v>122</v>
      </c>
      <c r="I2407" s="1" t="s">
        <v>31</v>
      </c>
      <c r="J2407" s="1">
        <v>156</v>
      </c>
      <c r="K2407" s="1">
        <v>1.85</v>
      </c>
      <c r="L2407" s="4">
        <v>14.38</v>
      </c>
      <c r="M2407" s="1">
        <v>1.27</v>
      </c>
      <c r="N2407" s="1">
        <v>5</v>
      </c>
      <c r="O2407" s="1">
        <v>0.79</v>
      </c>
      <c r="P2407" s="1">
        <v>726</v>
      </c>
      <c r="Q2407" s="1">
        <v>7.52</v>
      </c>
      <c r="R2407" s="1">
        <v>0.43</v>
      </c>
      <c r="S2407" s="2">
        <v>45456</v>
      </c>
      <c r="T2407" s="1">
        <v>101.57</v>
      </c>
      <c r="U2407" s="1">
        <v>0.51700000000000002</v>
      </c>
      <c r="V2407" s="6">
        <f t="shared" si="111"/>
        <v>2602.7800000000002</v>
      </c>
      <c r="W2407" s="6" t="str">
        <f t="shared" si="112"/>
        <v>Sufficient</v>
      </c>
      <c r="X2407" s="8" t="str">
        <f t="shared" si="113"/>
        <v>Medium</v>
      </c>
    </row>
    <row r="2408" spans="1:24">
      <c r="A2408" s="7" t="s">
        <v>2538</v>
      </c>
      <c r="B2408" s="1" t="s">
        <v>25</v>
      </c>
      <c r="C2408" s="1">
        <v>266</v>
      </c>
      <c r="D2408" s="1">
        <v>91</v>
      </c>
      <c r="E2408" s="1">
        <v>12</v>
      </c>
      <c r="F2408" s="1">
        <v>3</v>
      </c>
      <c r="G2408" s="1">
        <v>42.46</v>
      </c>
      <c r="H2408" s="1" t="s">
        <v>208</v>
      </c>
      <c r="I2408" s="1" t="s">
        <v>45</v>
      </c>
      <c r="J2408" s="1">
        <v>152</v>
      </c>
      <c r="K2408" s="1">
        <v>4.6399999999999997</v>
      </c>
      <c r="L2408" s="4">
        <v>63.74</v>
      </c>
      <c r="M2408" s="1">
        <v>1.03</v>
      </c>
      <c r="N2408" s="1">
        <v>2</v>
      </c>
      <c r="O2408" s="1">
        <v>0.98</v>
      </c>
      <c r="P2408" s="1">
        <v>148</v>
      </c>
      <c r="Q2408" s="1">
        <v>12.03</v>
      </c>
      <c r="R2408" s="1">
        <v>0.81</v>
      </c>
      <c r="S2408" s="2">
        <v>45487</v>
      </c>
      <c r="T2408" s="1">
        <v>196.89</v>
      </c>
      <c r="U2408" s="1">
        <v>0.77500000000000002</v>
      </c>
      <c r="V2408" s="6">
        <f t="shared" si="111"/>
        <v>16954.84</v>
      </c>
      <c r="W2408" s="6" t="str">
        <f t="shared" si="112"/>
        <v>Sufficient</v>
      </c>
      <c r="X2408" s="8" t="str">
        <f t="shared" si="113"/>
        <v>High</v>
      </c>
    </row>
    <row r="2409" spans="1:24">
      <c r="A2409" s="7" t="s">
        <v>2539</v>
      </c>
      <c r="B2409" s="1" t="s">
        <v>66</v>
      </c>
      <c r="C2409" s="1">
        <v>50</v>
      </c>
      <c r="D2409" s="1">
        <v>82</v>
      </c>
      <c r="E2409" s="1">
        <v>12</v>
      </c>
      <c r="F2409" s="1">
        <v>7</v>
      </c>
      <c r="G2409" s="1">
        <v>31.27</v>
      </c>
      <c r="H2409" s="1" t="s">
        <v>122</v>
      </c>
      <c r="I2409" s="1" t="s">
        <v>45</v>
      </c>
      <c r="J2409" s="1">
        <v>120</v>
      </c>
      <c r="K2409" s="1">
        <v>3.71</v>
      </c>
      <c r="L2409" s="4">
        <v>72.87</v>
      </c>
      <c r="M2409" s="1">
        <v>1.54</v>
      </c>
      <c r="N2409" s="1">
        <v>8</v>
      </c>
      <c r="O2409" s="1">
        <v>0.99</v>
      </c>
      <c r="P2409" s="1">
        <v>690</v>
      </c>
      <c r="Q2409" s="1">
        <v>1.68</v>
      </c>
      <c r="R2409" s="1">
        <v>0.88</v>
      </c>
      <c r="S2409" s="2">
        <v>45350</v>
      </c>
      <c r="T2409" s="1">
        <v>239.84</v>
      </c>
      <c r="U2409" s="1">
        <v>0.48199999999999998</v>
      </c>
      <c r="V2409" s="6">
        <f t="shared" si="111"/>
        <v>3643.5</v>
      </c>
      <c r="W2409" s="6" t="str">
        <f t="shared" si="112"/>
        <v>Reorder Required</v>
      </c>
      <c r="X2409" s="8" t="str">
        <f t="shared" si="113"/>
        <v>LOW</v>
      </c>
    </row>
    <row r="2410" spans="1:24">
      <c r="A2410" s="7" t="s">
        <v>2540</v>
      </c>
      <c r="B2410" s="1" t="s">
        <v>66</v>
      </c>
      <c r="C2410" s="1">
        <v>71</v>
      </c>
      <c r="D2410" s="1">
        <v>85</v>
      </c>
      <c r="E2410" s="1">
        <v>12</v>
      </c>
      <c r="F2410" s="1">
        <v>8</v>
      </c>
      <c r="G2410" s="1">
        <v>37.83</v>
      </c>
      <c r="H2410" s="1" t="s">
        <v>151</v>
      </c>
      <c r="I2410" s="1" t="s">
        <v>45</v>
      </c>
      <c r="J2410" s="1">
        <v>67</v>
      </c>
      <c r="K2410" s="1">
        <v>1.8</v>
      </c>
      <c r="L2410" s="4">
        <v>142.88999999999999</v>
      </c>
      <c r="M2410" s="1">
        <v>0.88</v>
      </c>
      <c r="N2410" s="1">
        <v>7</v>
      </c>
      <c r="O2410" s="1">
        <v>0.94</v>
      </c>
      <c r="P2410" s="1">
        <v>580</v>
      </c>
      <c r="Q2410" s="1">
        <v>5.12</v>
      </c>
      <c r="R2410" s="1">
        <v>0.64</v>
      </c>
      <c r="S2410" s="2">
        <v>45489</v>
      </c>
      <c r="T2410" s="1">
        <v>293.33</v>
      </c>
      <c r="U2410" s="1">
        <v>0.55600000000000005</v>
      </c>
      <c r="V2410" s="6">
        <f t="shared" si="111"/>
        <v>10145.189999999999</v>
      </c>
      <c r="W2410" s="6" t="str">
        <f t="shared" si="112"/>
        <v>Reorder Required</v>
      </c>
      <c r="X2410" s="8" t="str">
        <f t="shared" si="113"/>
        <v>LOW</v>
      </c>
    </row>
    <row r="2411" spans="1:24">
      <c r="A2411" s="7" t="s">
        <v>2541</v>
      </c>
      <c r="B2411" s="1" t="s">
        <v>41</v>
      </c>
      <c r="C2411" s="1">
        <v>364</v>
      </c>
      <c r="D2411" s="1">
        <v>14</v>
      </c>
      <c r="E2411" s="1">
        <v>5</v>
      </c>
      <c r="F2411" s="1">
        <v>7</v>
      </c>
      <c r="G2411" s="1">
        <v>11.49</v>
      </c>
      <c r="H2411" s="1" t="s">
        <v>91</v>
      </c>
      <c r="I2411" s="1" t="s">
        <v>39</v>
      </c>
      <c r="J2411" s="1">
        <v>87</v>
      </c>
      <c r="K2411" s="1">
        <v>2.82</v>
      </c>
      <c r="L2411" s="4">
        <v>112.22</v>
      </c>
      <c r="M2411" s="1">
        <v>1.97</v>
      </c>
      <c r="N2411" s="1">
        <v>5</v>
      </c>
      <c r="O2411" s="1">
        <v>0.81</v>
      </c>
      <c r="P2411" s="1">
        <v>320</v>
      </c>
      <c r="Q2411" s="1">
        <v>10.02</v>
      </c>
      <c r="R2411" s="1">
        <v>0.53</v>
      </c>
      <c r="S2411" s="2">
        <v>45423</v>
      </c>
      <c r="T2411" s="1">
        <v>230.79</v>
      </c>
      <c r="U2411" s="1">
        <v>0.505</v>
      </c>
      <c r="V2411" s="6">
        <f t="shared" si="111"/>
        <v>40848.080000000002</v>
      </c>
      <c r="W2411" s="6" t="str">
        <f t="shared" si="112"/>
        <v>Sufficient</v>
      </c>
      <c r="X2411" s="8" t="str">
        <f t="shared" si="113"/>
        <v>High</v>
      </c>
    </row>
    <row r="2412" spans="1:24">
      <c r="A2412" s="7" t="s">
        <v>2542</v>
      </c>
      <c r="B2412" s="1" t="s">
        <v>29</v>
      </c>
      <c r="C2412" s="1">
        <v>95</v>
      </c>
      <c r="D2412" s="1">
        <v>76</v>
      </c>
      <c r="E2412" s="1">
        <v>12</v>
      </c>
      <c r="F2412" s="1">
        <v>6</v>
      </c>
      <c r="G2412" s="1">
        <v>36.11</v>
      </c>
      <c r="H2412" s="1" t="s">
        <v>68</v>
      </c>
      <c r="I2412" s="1" t="s">
        <v>45</v>
      </c>
      <c r="J2412" s="1">
        <v>167</v>
      </c>
      <c r="K2412" s="1">
        <v>3.5</v>
      </c>
      <c r="L2412" s="4">
        <v>173.11</v>
      </c>
      <c r="M2412" s="1">
        <v>0.86</v>
      </c>
      <c r="N2412" s="1">
        <v>8</v>
      </c>
      <c r="O2412" s="1">
        <v>0.74</v>
      </c>
      <c r="P2412" s="1">
        <v>50</v>
      </c>
      <c r="Q2412" s="1">
        <v>11.69</v>
      </c>
      <c r="R2412" s="1">
        <v>0.96</v>
      </c>
      <c r="S2412" s="2">
        <v>45568</v>
      </c>
      <c r="T2412" s="1">
        <v>152.76</v>
      </c>
      <c r="U2412" s="1">
        <v>0.65</v>
      </c>
      <c r="V2412" s="6">
        <f t="shared" si="111"/>
        <v>16445.45</v>
      </c>
      <c r="W2412" s="6" t="str">
        <f t="shared" si="112"/>
        <v>Sufficient</v>
      </c>
      <c r="X2412" s="8" t="str">
        <f t="shared" si="113"/>
        <v>LOW</v>
      </c>
    </row>
    <row r="2413" spans="1:24">
      <c r="A2413" s="7" t="s">
        <v>2543</v>
      </c>
      <c r="B2413" s="1" t="s">
        <v>66</v>
      </c>
      <c r="C2413" s="1">
        <v>404</v>
      </c>
      <c r="D2413" s="1">
        <v>20</v>
      </c>
      <c r="E2413" s="1">
        <v>8</v>
      </c>
      <c r="F2413" s="1">
        <v>9</v>
      </c>
      <c r="G2413" s="1">
        <v>12.15</v>
      </c>
      <c r="H2413" s="1" t="s">
        <v>558</v>
      </c>
      <c r="I2413" s="1" t="s">
        <v>45</v>
      </c>
      <c r="J2413" s="1">
        <v>57</v>
      </c>
      <c r="K2413" s="1">
        <v>1.37</v>
      </c>
      <c r="L2413" s="4">
        <v>43.53</v>
      </c>
      <c r="M2413" s="1">
        <v>0.73</v>
      </c>
      <c r="N2413" s="1">
        <v>9</v>
      </c>
      <c r="O2413" s="1">
        <v>0.88</v>
      </c>
      <c r="P2413" s="1">
        <v>336</v>
      </c>
      <c r="Q2413" s="1">
        <v>8.99</v>
      </c>
      <c r="R2413" s="1">
        <v>0.34</v>
      </c>
      <c r="S2413" s="2">
        <v>45436</v>
      </c>
      <c r="T2413" s="1">
        <v>94.86</v>
      </c>
      <c r="U2413" s="1">
        <v>0.51100000000000001</v>
      </c>
      <c r="V2413" s="6">
        <f t="shared" si="111"/>
        <v>17586.12</v>
      </c>
      <c r="W2413" s="6" t="str">
        <f t="shared" si="112"/>
        <v>Sufficient</v>
      </c>
      <c r="X2413" s="8" t="str">
        <f t="shared" si="113"/>
        <v>High</v>
      </c>
    </row>
    <row r="2414" spans="1:24">
      <c r="A2414" s="7" t="s">
        <v>2544</v>
      </c>
      <c r="B2414" s="1" t="s">
        <v>25</v>
      </c>
      <c r="C2414" s="1">
        <v>458</v>
      </c>
      <c r="D2414" s="1">
        <v>77</v>
      </c>
      <c r="E2414" s="1">
        <v>3</v>
      </c>
      <c r="F2414" s="1">
        <v>9</v>
      </c>
      <c r="G2414" s="1">
        <v>49.38</v>
      </c>
      <c r="H2414" s="1" t="s">
        <v>470</v>
      </c>
      <c r="I2414" s="1" t="s">
        <v>39</v>
      </c>
      <c r="J2414" s="1">
        <v>65</v>
      </c>
      <c r="K2414" s="1">
        <v>1.61</v>
      </c>
      <c r="L2414" s="4">
        <v>60.53</v>
      </c>
      <c r="M2414" s="1">
        <v>1.75</v>
      </c>
      <c r="N2414" s="1">
        <v>8</v>
      </c>
      <c r="O2414" s="1">
        <v>0.89</v>
      </c>
      <c r="P2414" s="1">
        <v>229</v>
      </c>
      <c r="Q2414" s="1">
        <v>7.73</v>
      </c>
      <c r="R2414" s="1">
        <v>0.23</v>
      </c>
      <c r="S2414" s="2">
        <v>45304</v>
      </c>
      <c r="T2414" s="1">
        <v>278.98</v>
      </c>
      <c r="U2414" s="1">
        <v>0.39200000000000002</v>
      </c>
      <c r="V2414" s="6">
        <f t="shared" si="111"/>
        <v>27722.74</v>
      </c>
      <c r="W2414" s="6" t="str">
        <f t="shared" si="112"/>
        <v>Sufficient</v>
      </c>
      <c r="X2414" s="8" t="str">
        <f t="shared" si="113"/>
        <v>High</v>
      </c>
    </row>
    <row r="2415" spans="1:24">
      <c r="A2415" s="7" t="s">
        <v>2545</v>
      </c>
      <c r="B2415" s="1" t="s">
        <v>33</v>
      </c>
      <c r="C2415" s="1">
        <v>297</v>
      </c>
      <c r="D2415" s="1">
        <v>78</v>
      </c>
      <c r="E2415" s="1">
        <v>7</v>
      </c>
      <c r="F2415" s="1">
        <v>4</v>
      </c>
      <c r="G2415" s="1">
        <v>28.43</v>
      </c>
      <c r="H2415" s="1" t="s">
        <v>200</v>
      </c>
      <c r="I2415" s="1" t="s">
        <v>27</v>
      </c>
      <c r="J2415" s="1">
        <v>51</v>
      </c>
      <c r="K2415" s="1">
        <v>2.78</v>
      </c>
      <c r="L2415" s="4">
        <v>188.8</v>
      </c>
      <c r="M2415" s="1">
        <v>0.85</v>
      </c>
      <c r="N2415" s="1">
        <v>1</v>
      </c>
      <c r="O2415" s="1">
        <v>0.83</v>
      </c>
      <c r="P2415" s="1">
        <v>988</v>
      </c>
      <c r="Q2415" s="1">
        <v>4.2699999999999996</v>
      </c>
      <c r="R2415" s="1">
        <v>0.34</v>
      </c>
      <c r="S2415" s="2">
        <v>45556</v>
      </c>
      <c r="T2415" s="1">
        <v>164.92</v>
      </c>
      <c r="U2415" s="1">
        <v>0.58599999999999997</v>
      </c>
      <c r="V2415" s="6">
        <f t="shared" si="111"/>
        <v>56073.600000000006</v>
      </c>
      <c r="W2415" s="6" t="str">
        <f t="shared" si="112"/>
        <v>Sufficient</v>
      </c>
      <c r="X2415" s="8" t="str">
        <f t="shared" si="113"/>
        <v>High</v>
      </c>
    </row>
    <row r="2416" spans="1:24">
      <c r="A2416" s="7" t="s">
        <v>2546</v>
      </c>
      <c r="B2416" s="1" t="s">
        <v>33</v>
      </c>
      <c r="C2416" s="1">
        <v>59</v>
      </c>
      <c r="D2416" s="1">
        <v>10</v>
      </c>
      <c r="E2416" s="1">
        <v>12</v>
      </c>
      <c r="F2416" s="1">
        <v>9</v>
      </c>
      <c r="G2416" s="1">
        <v>35.090000000000003</v>
      </c>
      <c r="H2416" s="1" t="s">
        <v>325</v>
      </c>
      <c r="I2416" s="1" t="s">
        <v>39</v>
      </c>
      <c r="J2416" s="1">
        <v>33</v>
      </c>
      <c r="K2416" s="1">
        <v>4.66</v>
      </c>
      <c r="L2416" s="4">
        <v>94.37</v>
      </c>
      <c r="M2416" s="1">
        <v>1.75</v>
      </c>
      <c r="N2416" s="1">
        <v>8</v>
      </c>
      <c r="O2416" s="1">
        <v>0.91</v>
      </c>
      <c r="P2416" s="1">
        <v>305</v>
      </c>
      <c r="Q2416" s="1">
        <v>3.44</v>
      </c>
      <c r="R2416" s="1">
        <v>0.75</v>
      </c>
      <c r="S2416" s="2">
        <v>45483</v>
      </c>
      <c r="T2416" s="1">
        <v>209.75</v>
      </c>
      <c r="U2416" s="1">
        <v>0.443</v>
      </c>
      <c r="V2416" s="6">
        <f t="shared" si="111"/>
        <v>5567.83</v>
      </c>
      <c r="W2416" s="6" t="str">
        <f t="shared" si="112"/>
        <v>Sufficient</v>
      </c>
      <c r="X2416" s="8" t="str">
        <f t="shared" si="113"/>
        <v>LOW</v>
      </c>
    </row>
    <row r="2417" spans="1:24">
      <c r="A2417" s="7" t="s">
        <v>2547</v>
      </c>
      <c r="B2417" s="1" t="s">
        <v>33</v>
      </c>
      <c r="C2417" s="1">
        <v>120</v>
      </c>
      <c r="D2417" s="1">
        <v>72</v>
      </c>
      <c r="E2417" s="1">
        <v>8</v>
      </c>
      <c r="F2417" s="1">
        <v>6</v>
      </c>
      <c r="G2417" s="1">
        <v>6.8</v>
      </c>
      <c r="H2417" s="1" t="s">
        <v>79</v>
      </c>
      <c r="I2417" s="1" t="s">
        <v>27</v>
      </c>
      <c r="J2417" s="1">
        <v>119</v>
      </c>
      <c r="K2417" s="1">
        <v>2.0499999999999998</v>
      </c>
      <c r="L2417" s="4">
        <v>159.91999999999999</v>
      </c>
      <c r="M2417" s="1">
        <v>0.15</v>
      </c>
      <c r="N2417" s="1">
        <v>7</v>
      </c>
      <c r="O2417" s="1">
        <v>0.92</v>
      </c>
      <c r="P2417" s="1">
        <v>223</v>
      </c>
      <c r="Q2417" s="1">
        <v>13.26</v>
      </c>
      <c r="R2417" s="1">
        <v>0.83</v>
      </c>
      <c r="S2417" s="2">
        <v>45555</v>
      </c>
      <c r="T2417" s="1">
        <v>147.01</v>
      </c>
      <c r="U2417" s="1">
        <v>0.77200000000000002</v>
      </c>
      <c r="V2417" s="6">
        <f t="shared" si="111"/>
        <v>19190.399999999998</v>
      </c>
      <c r="W2417" s="6" t="str">
        <f t="shared" si="112"/>
        <v>Sufficient</v>
      </c>
      <c r="X2417" s="8" t="str">
        <f t="shared" si="113"/>
        <v>Medium</v>
      </c>
    </row>
    <row r="2418" spans="1:24">
      <c r="A2418" s="7" t="s">
        <v>2548</v>
      </c>
      <c r="B2418" s="1" t="s">
        <v>29</v>
      </c>
      <c r="C2418" s="1">
        <v>130</v>
      </c>
      <c r="D2418" s="1">
        <v>38</v>
      </c>
      <c r="E2418" s="1">
        <v>13</v>
      </c>
      <c r="F2418" s="1">
        <v>3</v>
      </c>
      <c r="G2418" s="1">
        <v>13.28</v>
      </c>
      <c r="H2418" s="1" t="s">
        <v>132</v>
      </c>
      <c r="I2418" s="1" t="s">
        <v>39</v>
      </c>
      <c r="J2418" s="1">
        <v>61</v>
      </c>
      <c r="K2418" s="1">
        <v>2.31</v>
      </c>
      <c r="L2418" s="4">
        <v>103.51</v>
      </c>
      <c r="M2418" s="1">
        <v>1.42</v>
      </c>
      <c r="N2418" s="1">
        <v>1</v>
      </c>
      <c r="O2418" s="1">
        <v>0.93</v>
      </c>
      <c r="P2418" s="1">
        <v>903</v>
      </c>
      <c r="Q2418" s="1">
        <v>2.99</v>
      </c>
      <c r="R2418" s="1">
        <v>0.77</v>
      </c>
      <c r="S2418" s="2">
        <v>45552</v>
      </c>
      <c r="T2418" s="1">
        <v>80.209999999999994</v>
      </c>
      <c r="U2418" s="1">
        <v>0.61799999999999999</v>
      </c>
      <c r="V2418" s="6">
        <f t="shared" si="111"/>
        <v>13456.300000000001</v>
      </c>
      <c r="W2418" s="6" t="str">
        <f t="shared" si="112"/>
        <v>Sufficient</v>
      </c>
      <c r="X2418" s="8" t="str">
        <f t="shared" si="113"/>
        <v>Medium</v>
      </c>
    </row>
    <row r="2419" spans="1:24">
      <c r="A2419" s="7" t="s">
        <v>2549</v>
      </c>
      <c r="B2419" s="1" t="s">
        <v>41</v>
      </c>
      <c r="C2419" s="1">
        <v>404</v>
      </c>
      <c r="D2419" s="1">
        <v>91</v>
      </c>
      <c r="E2419" s="1">
        <v>10</v>
      </c>
      <c r="F2419" s="1">
        <v>8</v>
      </c>
      <c r="G2419" s="1">
        <v>7.85</v>
      </c>
      <c r="H2419" s="1" t="s">
        <v>47</v>
      </c>
      <c r="I2419" s="1" t="s">
        <v>31</v>
      </c>
      <c r="J2419" s="1">
        <v>43</v>
      </c>
      <c r="K2419" s="1">
        <v>1.36</v>
      </c>
      <c r="L2419" s="4">
        <v>99.51</v>
      </c>
      <c r="M2419" s="1">
        <v>0.24</v>
      </c>
      <c r="N2419" s="1">
        <v>8</v>
      </c>
      <c r="O2419" s="1">
        <v>0.85</v>
      </c>
      <c r="P2419" s="1">
        <v>99</v>
      </c>
      <c r="Q2419" s="1">
        <v>7.09</v>
      </c>
      <c r="R2419" s="1">
        <v>0.54</v>
      </c>
      <c r="S2419" s="2">
        <v>45520</v>
      </c>
      <c r="T2419" s="1">
        <v>168.61</v>
      </c>
      <c r="U2419" s="1">
        <v>0.58899999999999997</v>
      </c>
      <c r="V2419" s="6">
        <f t="shared" si="111"/>
        <v>40202.04</v>
      </c>
      <c r="W2419" s="6" t="str">
        <f t="shared" si="112"/>
        <v>Sufficient</v>
      </c>
      <c r="X2419" s="8" t="str">
        <f t="shared" si="113"/>
        <v>High</v>
      </c>
    </row>
    <row r="2420" spans="1:24">
      <c r="A2420" s="7" t="s">
        <v>2550</v>
      </c>
      <c r="B2420" s="1" t="s">
        <v>25</v>
      </c>
      <c r="C2420" s="1">
        <v>340</v>
      </c>
      <c r="D2420" s="1">
        <v>21</v>
      </c>
      <c r="E2420" s="1">
        <v>13</v>
      </c>
      <c r="F2420" s="1">
        <v>5</v>
      </c>
      <c r="G2420" s="1">
        <v>20.12</v>
      </c>
      <c r="H2420" s="1" t="s">
        <v>185</v>
      </c>
      <c r="I2420" s="1" t="s">
        <v>45</v>
      </c>
      <c r="J2420" s="1">
        <v>12</v>
      </c>
      <c r="K2420" s="1">
        <v>3.17</v>
      </c>
      <c r="L2420" s="4">
        <v>38.14</v>
      </c>
      <c r="M2420" s="1">
        <v>0.38</v>
      </c>
      <c r="N2420" s="1">
        <v>4</v>
      </c>
      <c r="O2420" s="1">
        <v>0.94</v>
      </c>
      <c r="P2420" s="1">
        <v>581</v>
      </c>
      <c r="Q2420" s="1">
        <v>13.44</v>
      </c>
      <c r="R2420" s="1">
        <v>0.97</v>
      </c>
      <c r="S2420" s="2">
        <v>45541</v>
      </c>
      <c r="T2420" s="1">
        <v>253.57</v>
      </c>
      <c r="U2420" s="1">
        <v>0.84299999999999997</v>
      </c>
      <c r="V2420" s="6">
        <f t="shared" si="111"/>
        <v>12967.6</v>
      </c>
      <c r="W2420" s="6" t="str">
        <f t="shared" si="112"/>
        <v>Sufficient</v>
      </c>
      <c r="X2420" s="8" t="str">
        <f t="shared" si="113"/>
        <v>High</v>
      </c>
    </row>
    <row r="2421" spans="1:24">
      <c r="A2421" s="7" t="s">
        <v>2551</v>
      </c>
      <c r="B2421" s="1" t="s">
        <v>29</v>
      </c>
      <c r="C2421" s="1">
        <v>268</v>
      </c>
      <c r="D2421" s="1">
        <v>86</v>
      </c>
      <c r="E2421" s="1">
        <v>11</v>
      </c>
      <c r="F2421" s="1">
        <v>8</v>
      </c>
      <c r="G2421" s="1">
        <v>14.92</v>
      </c>
      <c r="H2421" s="1" t="s">
        <v>91</v>
      </c>
      <c r="I2421" s="1" t="s">
        <v>27</v>
      </c>
      <c r="J2421" s="1">
        <v>77</v>
      </c>
      <c r="K2421" s="1">
        <v>3.83</v>
      </c>
      <c r="L2421" s="4">
        <v>171.73</v>
      </c>
      <c r="M2421" s="1">
        <v>1.43</v>
      </c>
      <c r="N2421" s="1">
        <v>8</v>
      </c>
      <c r="O2421" s="1">
        <v>0.71</v>
      </c>
      <c r="P2421" s="1">
        <v>666</v>
      </c>
      <c r="Q2421" s="1">
        <v>3.07</v>
      </c>
      <c r="R2421" s="1">
        <v>0.56000000000000005</v>
      </c>
      <c r="S2421" s="2">
        <v>45314</v>
      </c>
      <c r="T2421" s="1">
        <v>121.16</v>
      </c>
      <c r="U2421" s="1">
        <v>0.39200000000000002</v>
      </c>
      <c r="V2421" s="6">
        <f t="shared" si="111"/>
        <v>46023.64</v>
      </c>
      <c r="W2421" s="6" t="str">
        <f t="shared" si="112"/>
        <v>Sufficient</v>
      </c>
      <c r="X2421" s="8" t="str">
        <f t="shared" si="113"/>
        <v>High</v>
      </c>
    </row>
    <row r="2422" spans="1:24">
      <c r="A2422" s="7" t="s">
        <v>2552</v>
      </c>
      <c r="B2422" s="1" t="s">
        <v>25</v>
      </c>
      <c r="C2422" s="1">
        <v>210</v>
      </c>
      <c r="D2422" s="1">
        <v>50</v>
      </c>
      <c r="E2422" s="1">
        <v>13</v>
      </c>
      <c r="F2422" s="1">
        <v>8</v>
      </c>
      <c r="G2422" s="1">
        <v>36.909999999999997</v>
      </c>
      <c r="H2422" s="1" t="s">
        <v>304</v>
      </c>
      <c r="I2422" s="1" t="s">
        <v>39</v>
      </c>
      <c r="J2422" s="1">
        <v>148</v>
      </c>
      <c r="K2422" s="1">
        <v>2.48</v>
      </c>
      <c r="L2422" s="4">
        <v>24.89</v>
      </c>
      <c r="M2422" s="1">
        <v>0.65</v>
      </c>
      <c r="N2422" s="1">
        <v>2</v>
      </c>
      <c r="O2422" s="1">
        <v>0.9</v>
      </c>
      <c r="P2422" s="1">
        <v>239</v>
      </c>
      <c r="Q2422" s="1">
        <v>2.79</v>
      </c>
      <c r="R2422" s="1">
        <v>0.99</v>
      </c>
      <c r="S2422" s="2">
        <v>45443</v>
      </c>
      <c r="T2422" s="1">
        <v>203.93</v>
      </c>
      <c r="U2422" s="1">
        <v>0.71</v>
      </c>
      <c r="V2422" s="6">
        <f t="shared" si="111"/>
        <v>5226.9000000000005</v>
      </c>
      <c r="W2422" s="6" t="str">
        <f t="shared" si="112"/>
        <v>Sufficient</v>
      </c>
      <c r="X2422" s="8" t="str">
        <f t="shared" si="113"/>
        <v>Medium</v>
      </c>
    </row>
    <row r="2423" spans="1:24">
      <c r="A2423" s="7" t="s">
        <v>2553</v>
      </c>
      <c r="B2423" s="1" t="s">
        <v>25</v>
      </c>
      <c r="C2423" s="1">
        <v>201</v>
      </c>
      <c r="D2423" s="1">
        <v>11</v>
      </c>
      <c r="E2423" s="1">
        <v>5</v>
      </c>
      <c r="F2423" s="1">
        <v>9</v>
      </c>
      <c r="G2423" s="1">
        <v>6.33</v>
      </c>
      <c r="H2423" s="1" t="s">
        <v>81</v>
      </c>
      <c r="I2423" s="1" t="s">
        <v>27</v>
      </c>
      <c r="J2423" s="1">
        <v>150</v>
      </c>
      <c r="K2423" s="1">
        <v>3.88</v>
      </c>
      <c r="L2423" s="4">
        <v>68.95</v>
      </c>
      <c r="M2423" s="1">
        <v>0.5</v>
      </c>
      <c r="N2423" s="1">
        <v>3</v>
      </c>
      <c r="O2423" s="1">
        <v>0.77</v>
      </c>
      <c r="P2423" s="1">
        <v>800</v>
      </c>
      <c r="Q2423" s="1">
        <v>10.7</v>
      </c>
      <c r="R2423" s="1">
        <v>0.93</v>
      </c>
      <c r="S2423" s="2">
        <v>45625</v>
      </c>
      <c r="T2423" s="1">
        <v>22.28</v>
      </c>
      <c r="U2423" s="1">
        <v>0.77300000000000002</v>
      </c>
      <c r="V2423" s="6">
        <f t="shared" si="111"/>
        <v>13858.95</v>
      </c>
      <c r="W2423" s="6" t="str">
        <f t="shared" si="112"/>
        <v>Sufficient</v>
      </c>
      <c r="X2423" s="8" t="str">
        <f t="shared" si="113"/>
        <v>Medium</v>
      </c>
    </row>
    <row r="2424" spans="1:24">
      <c r="A2424" s="7" t="s">
        <v>2554</v>
      </c>
      <c r="B2424" s="1" t="s">
        <v>41</v>
      </c>
      <c r="C2424" s="1">
        <v>445</v>
      </c>
      <c r="D2424" s="1">
        <v>46</v>
      </c>
      <c r="E2424" s="1">
        <v>4</v>
      </c>
      <c r="F2424" s="1">
        <v>8</v>
      </c>
      <c r="G2424" s="1">
        <v>37.85</v>
      </c>
      <c r="H2424" s="1" t="s">
        <v>370</v>
      </c>
      <c r="I2424" s="1" t="s">
        <v>27</v>
      </c>
      <c r="J2424" s="1">
        <v>59</v>
      </c>
      <c r="K2424" s="1">
        <v>1.86</v>
      </c>
      <c r="L2424" s="4">
        <v>137.96</v>
      </c>
      <c r="M2424" s="1">
        <v>1.62</v>
      </c>
      <c r="N2424" s="1">
        <v>0</v>
      </c>
      <c r="O2424" s="1">
        <v>0.78</v>
      </c>
      <c r="P2424" s="1">
        <v>92</v>
      </c>
      <c r="Q2424" s="1">
        <v>5.64</v>
      </c>
      <c r="R2424" s="1">
        <v>0.53</v>
      </c>
      <c r="S2424" s="2">
        <v>45390</v>
      </c>
      <c r="T2424" s="1">
        <v>281.60000000000002</v>
      </c>
      <c r="U2424" s="1">
        <v>0.57499999999999996</v>
      </c>
      <c r="V2424" s="6">
        <f t="shared" si="111"/>
        <v>61392.200000000004</v>
      </c>
      <c r="W2424" s="6" t="str">
        <f t="shared" si="112"/>
        <v>Sufficient</v>
      </c>
      <c r="X2424" s="8" t="str">
        <f t="shared" si="113"/>
        <v>High</v>
      </c>
    </row>
    <row r="2425" spans="1:24">
      <c r="A2425" s="7" t="s">
        <v>2555</v>
      </c>
      <c r="B2425" s="1" t="s">
        <v>33</v>
      </c>
      <c r="C2425" s="1">
        <v>424</v>
      </c>
      <c r="D2425" s="1">
        <v>54</v>
      </c>
      <c r="E2425" s="1">
        <v>6</v>
      </c>
      <c r="F2425" s="1">
        <v>9</v>
      </c>
      <c r="G2425" s="1">
        <v>3.24</v>
      </c>
      <c r="H2425" s="1" t="s">
        <v>57</v>
      </c>
      <c r="I2425" s="1" t="s">
        <v>45</v>
      </c>
      <c r="J2425" s="1">
        <v>91</v>
      </c>
      <c r="K2425" s="1">
        <v>3.68</v>
      </c>
      <c r="L2425" s="4">
        <v>106.38</v>
      </c>
      <c r="M2425" s="1">
        <v>1.9</v>
      </c>
      <c r="N2425" s="1">
        <v>4</v>
      </c>
      <c r="O2425" s="1">
        <v>0.73</v>
      </c>
      <c r="P2425" s="1">
        <v>566</v>
      </c>
      <c r="Q2425" s="1">
        <v>7.1</v>
      </c>
      <c r="R2425" s="1">
        <v>0.33</v>
      </c>
      <c r="S2425" s="2">
        <v>45456</v>
      </c>
      <c r="T2425" s="1">
        <v>291.27999999999997</v>
      </c>
      <c r="U2425" s="1">
        <v>0.437</v>
      </c>
      <c r="V2425" s="6">
        <f t="shared" si="111"/>
        <v>45105.119999999995</v>
      </c>
      <c r="W2425" s="6" t="str">
        <f t="shared" si="112"/>
        <v>Sufficient</v>
      </c>
      <c r="X2425" s="8" t="str">
        <f t="shared" si="113"/>
        <v>High</v>
      </c>
    </row>
    <row r="2426" spans="1:24">
      <c r="A2426" s="7" t="s">
        <v>2556</v>
      </c>
      <c r="B2426" s="1" t="s">
        <v>41</v>
      </c>
      <c r="C2426" s="1">
        <v>354</v>
      </c>
      <c r="D2426" s="1">
        <v>89</v>
      </c>
      <c r="E2426" s="1">
        <v>10</v>
      </c>
      <c r="F2426" s="1">
        <v>6</v>
      </c>
      <c r="G2426" s="1">
        <v>10.9</v>
      </c>
      <c r="H2426" s="1" t="s">
        <v>181</v>
      </c>
      <c r="I2426" s="1" t="s">
        <v>27</v>
      </c>
      <c r="J2426" s="1">
        <v>28</v>
      </c>
      <c r="K2426" s="1">
        <v>1.66</v>
      </c>
      <c r="L2426" s="4">
        <v>177.46</v>
      </c>
      <c r="M2426" s="1">
        <v>0.54</v>
      </c>
      <c r="N2426" s="1">
        <v>6</v>
      </c>
      <c r="O2426" s="1">
        <v>0.76</v>
      </c>
      <c r="P2426" s="1">
        <v>809</v>
      </c>
      <c r="Q2426" s="1">
        <v>9.76</v>
      </c>
      <c r="R2426" s="1">
        <v>0.27</v>
      </c>
      <c r="S2426" s="2">
        <v>45555</v>
      </c>
      <c r="T2426" s="1">
        <v>122.03</v>
      </c>
      <c r="U2426" s="1">
        <v>0.56200000000000006</v>
      </c>
      <c r="V2426" s="6">
        <f t="shared" si="111"/>
        <v>62820.840000000004</v>
      </c>
      <c r="W2426" s="6" t="str">
        <f t="shared" si="112"/>
        <v>Sufficient</v>
      </c>
      <c r="X2426" s="8" t="str">
        <f t="shared" si="113"/>
        <v>High</v>
      </c>
    </row>
    <row r="2427" spans="1:24">
      <c r="A2427" s="7" t="s">
        <v>2557</v>
      </c>
      <c r="B2427" s="1" t="s">
        <v>29</v>
      </c>
      <c r="C2427" s="1">
        <v>228</v>
      </c>
      <c r="D2427" s="1">
        <v>57</v>
      </c>
      <c r="E2427" s="1">
        <v>13</v>
      </c>
      <c r="F2427" s="1">
        <v>5</v>
      </c>
      <c r="G2427" s="1">
        <v>39.81</v>
      </c>
      <c r="H2427" s="1" t="s">
        <v>214</v>
      </c>
      <c r="I2427" s="1" t="s">
        <v>39</v>
      </c>
      <c r="J2427" s="1">
        <v>53</v>
      </c>
      <c r="K2427" s="1">
        <v>4.01</v>
      </c>
      <c r="L2427" s="4">
        <v>17.47</v>
      </c>
      <c r="M2427" s="1">
        <v>0.7</v>
      </c>
      <c r="N2427" s="1">
        <v>6</v>
      </c>
      <c r="O2427" s="1">
        <v>1</v>
      </c>
      <c r="P2427" s="1">
        <v>115</v>
      </c>
      <c r="Q2427" s="1">
        <v>6.31</v>
      </c>
      <c r="R2427" s="1">
        <v>0.63</v>
      </c>
      <c r="S2427" s="2">
        <v>45334</v>
      </c>
      <c r="T2427" s="1">
        <v>154.53</v>
      </c>
      <c r="U2427" s="1">
        <v>0.62</v>
      </c>
      <c r="V2427" s="6">
        <f t="shared" si="111"/>
        <v>3983.16</v>
      </c>
      <c r="W2427" s="6" t="str">
        <f t="shared" si="112"/>
        <v>Sufficient</v>
      </c>
      <c r="X2427" s="8" t="str">
        <f t="shared" si="113"/>
        <v>Medium</v>
      </c>
    </row>
    <row r="2428" spans="1:24">
      <c r="A2428" s="7" t="s">
        <v>2558</v>
      </c>
      <c r="B2428" s="1" t="s">
        <v>29</v>
      </c>
      <c r="C2428" s="1">
        <v>41</v>
      </c>
      <c r="D2428" s="1">
        <v>33</v>
      </c>
      <c r="E2428" s="1">
        <v>10</v>
      </c>
      <c r="F2428" s="1">
        <v>7</v>
      </c>
      <c r="G2428" s="1">
        <v>37.4</v>
      </c>
      <c r="H2428" s="1" t="s">
        <v>176</v>
      </c>
      <c r="I2428" s="1" t="s">
        <v>31</v>
      </c>
      <c r="J2428" s="1">
        <v>170</v>
      </c>
      <c r="K2428" s="1">
        <v>4.24</v>
      </c>
      <c r="L2428" s="4">
        <v>133.38999999999999</v>
      </c>
      <c r="M2428" s="1">
        <v>1.46</v>
      </c>
      <c r="N2428" s="1">
        <v>5</v>
      </c>
      <c r="O2428" s="1">
        <v>0.82</v>
      </c>
      <c r="P2428" s="1">
        <v>445</v>
      </c>
      <c r="Q2428" s="1">
        <v>12.2</v>
      </c>
      <c r="R2428" s="1">
        <v>0.81</v>
      </c>
      <c r="S2428" s="2">
        <v>45341</v>
      </c>
      <c r="T2428" s="1">
        <v>56.57</v>
      </c>
      <c r="U2428" s="1">
        <v>0.64300000000000002</v>
      </c>
      <c r="V2428" s="6">
        <f t="shared" si="111"/>
        <v>5468.99</v>
      </c>
      <c r="W2428" s="6" t="str">
        <f t="shared" si="112"/>
        <v>Sufficient</v>
      </c>
      <c r="X2428" s="8" t="str">
        <f t="shared" si="113"/>
        <v>LOW</v>
      </c>
    </row>
    <row r="2429" spans="1:24">
      <c r="A2429" s="7" t="s">
        <v>2559</v>
      </c>
      <c r="B2429" s="1" t="s">
        <v>29</v>
      </c>
      <c r="C2429" s="1">
        <v>185</v>
      </c>
      <c r="D2429" s="1">
        <v>31</v>
      </c>
      <c r="E2429" s="1">
        <v>5</v>
      </c>
      <c r="F2429" s="1">
        <v>9</v>
      </c>
      <c r="G2429" s="1">
        <v>24.34</v>
      </c>
      <c r="H2429" s="1" t="s">
        <v>119</v>
      </c>
      <c r="I2429" s="1" t="s">
        <v>31</v>
      </c>
      <c r="J2429" s="1">
        <v>175</v>
      </c>
      <c r="K2429" s="1">
        <v>4.09</v>
      </c>
      <c r="L2429" s="4">
        <v>100.72</v>
      </c>
      <c r="M2429" s="1">
        <v>1.65</v>
      </c>
      <c r="N2429" s="1">
        <v>5</v>
      </c>
      <c r="O2429" s="1">
        <v>0.98</v>
      </c>
      <c r="P2429" s="1">
        <v>300</v>
      </c>
      <c r="Q2429" s="1">
        <v>14.57</v>
      </c>
      <c r="R2429" s="1">
        <v>0.34</v>
      </c>
      <c r="S2429" s="2">
        <v>45377</v>
      </c>
      <c r="T2429" s="1">
        <v>66.900000000000006</v>
      </c>
      <c r="U2429" s="1">
        <v>0.59299999999999997</v>
      </c>
      <c r="V2429" s="6">
        <f t="shared" si="111"/>
        <v>18633.2</v>
      </c>
      <c r="W2429" s="6" t="str">
        <f t="shared" si="112"/>
        <v>Sufficient</v>
      </c>
      <c r="X2429" s="8" t="str">
        <f t="shared" si="113"/>
        <v>Medium</v>
      </c>
    </row>
    <row r="2430" spans="1:24">
      <c r="A2430" s="7" t="s">
        <v>2560</v>
      </c>
      <c r="B2430" s="1" t="s">
        <v>41</v>
      </c>
      <c r="C2430" s="1">
        <v>118</v>
      </c>
      <c r="D2430" s="1">
        <v>20</v>
      </c>
      <c r="E2430" s="1">
        <v>6</v>
      </c>
      <c r="F2430" s="1">
        <v>3</v>
      </c>
      <c r="G2430" s="1">
        <v>3.45</v>
      </c>
      <c r="H2430" s="1" t="s">
        <v>151</v>
      </c>
      <c r="I2430" s="1" t="s">
        <v>45</v>
      </c>
      <c r="J2430" s="1">
        <v>12</v>
      </c>
      <c r="K2430" s="1">
        <v>1.47</v>
      </c>
      <c r="L2430" s="4">
        <v>39.32</v>
      </c>
      <c r="M2430" s="1">
        <v>2</v>
      </c>
      <c r="N2430" s="1">
        <v>7</v>
      </c>
      <c r="O2430" s="1">
        <v>0.75</v>
      </c>
      <c r="P2430" s="1">
        <v>177</v>
      </c>
      <c r="Q2430" s="1">
        <v>14.06</v>
      </c>
      <c r="R2430" s="1">
        <v>0.45</v>
      </c>
      <c r="S2430" s="2">
        <v>45567</v>
      </c>
      <c r="T2430" s="1">
        <v>184.6</v>
      </c>
      <c r="U2430" s="1">
        <v>0.48699999999999999</v>
      </c>
      <c r="V2430" s="6">
        <f t="shared" si="111"/>
        <v>4639.76</v>
      </c>
      <c r="W2430" s="6" t="str">
        <f t="shared" si="112"/>
        <v>Sufficient</v>
      </c>
      <c r="X2430" s="8" t="str">
        <f t="shared" si="113"/>
        <v>Medium</v>
      </c>
    </row>
    <row r="2431" spans="1:24">
      <c r="A2431" s="7" t="s">
        <v>2561</v>
      </c>
      <c r="B2431" s="1" t="s">
        <v>25</v>
      </c>
      <c r="C2431" s="1">
        <v>227</v>
      </c>
      <c r="D2431" s="1">
        <v>67</v>
      </c>
      <c r="E2431" s="1">
        <v>5</v>
      </c>
      <c r="F2431" s="1">
        <v>4</v>
      </c>
      <c r="G2431" s="1">
        <v>30.88</v>
      </c>
      <c r="H2431" s="1" t="s">
        <v>153</v>
      </c>
      <c r="I2431" s="1" t="s">
        <v>39</v>
      </c>
      <c r="J2431" s="1">
        <v>122</v>
      </c>
      <c r="K2431" s="1">
        <v>3.62</v>
      </c>
      <c r="L2431" s="4">
        <v>151.22</v>
      </c>
      <c r="M2431" s="1">
        <v>0.62</v>
      </c>
      <c r="N2431" s="1">
        <v>9</v>
      </c>
      <c r="O2431" s="1">
        <v>0.76</v>
      </c>
      <c r="P2431" s="1">
        <v>746</v>
      </c>
      <c r="Q2431" s="1">
        <v>8.64</v>
      </c>
      <c r="R2431" s="1">
        <v>0.7</v>
      </c>
      <c r="S2431" s="2">
        <v>45565</v>
      </c>
      <c r="T2431" s="1">
        <v>191.83</v>
      </c>
      <c r="U2431" s="1">
        <v>0.56499999999999995</v>
      </c>
      <c r="V2431" s="6">
        <f t="shared" si="111"/>
        <v>34326.94</v>
      </c>
      <c r="W2431" s="6" t="str">
        <f t="shared" si="112"/>
        <v>Sufficient</v>
      </c>
      <c r="X2431" s="8" t="str">
        <f t="shared" si="113"/>
        <v>Medium</v>
      </c>
    </row>
    <row r="2432" spans="1:24">
      <c r="A2432" s="7" t="s">
        <v>2562</v>
      </c>
      <c r="B2432" s="1" t="s">
        <v>25</v>
      </c>
      <c r="C2432" s="1">
        <v>27</v>
      </c>
      <c r="D2432" s="1">
        <v>55</v>
      </c>
      <c r="E2432" s="1">
        <v>12</v>
      </c>
      <c r="F2432" s="1">
        <v>5</v>
      </c>
      <c r="G2432" s="1">
        <v>20.93</v>
      </c>
      <c r="H2432" s="1" t="s">
        <v>137</v>
      </c>
      <c r="I2432" s="1" t="s">
        <v>39</v>
      </c>
      <c r="J2432" s="1">
        <v>74</v>
      </c>
      <c r="K2432" s="1">
        <v>2.92</v>
      </c>
      <c r="L2432" s="4">
        <v>88.15</v>
      </c>
      <c r="M2432" s="1">
        <v>1.1599999999999999</v>
      </c>
      <c r="N2432" s="1">
        <v>8</v>
      </c>
      <c r="O2432" s="1">
        <v>0.87</v>
      </c>
      <c r="P2432" s="1">
        <v>237</v>
      </c>
      <c r="Q2432" s="1">
        <v>5.97</v>
      </c>
      <c r="R2432" s="1">
        <v>0.56999999999999995</v>
      </c>
      <c r="S2432" s="2">
        <v>45295</v>
      </c>
      <c r="T2432" s="1">
        <v>109.07</v>
      </c>
      <c r="U2432" s="1">
        <v>0.49199999999999999</v>
      </c>
      <c r="V2432" s="6">
        <f t="shared" si="111"/>
        <v>2380.0500000000002</v>
      </c>
      <c r="W2432" s="6" t="str">
        <f t="shared" si="112"/>
        <v>Reorder Required</v>
      </c>
      <c r="X2432" s="8" t="str">
        <f t="shared" si="113"/>
        <v>LOW</v>
      </c>
    </row>
    <row r="2433" spans="1:24">
      <c r="A2433" s="7" t="s">
        <v>2563</v>
      </c>
      <c r="B2433" s="1" t="s">
        <v>66</v>
      </c>
      <c r="C2433" s="1">
        <v>209</v>
      </c>
      <c r="D2433" s="1">
        <v>38</v>
      </c>
      <c r="E2433" s="1">
        <v>4</v>
      </c>
      <c r="F2433" s="1">
        <v>3</v>
      </c>
      <c r="G2433" s="1">
        <v>16.510000000000002</v>
      </c>
      <c r="H2433" s="1" t="s">
        <v>55</v>
      </c>
      <c r="I2433" s="1" t="s">
        <v>31</v>
      </c>
      <c r="J2433" s="1">
        <v>172</v>
      </c>
      <c r="K2433" s="1">
        <v>4.9400000000000004</v>
      </c>
      <c r="L2433" s="4">
        <v>111</v>
      </c>
      <c r="M2433" s="1">
        <v>0.35</v>
      </c>
      <c r="N2433" s="1">
        <v>3</v>
      </c>
      <c r="O2433" s="1">
        <v>0.8</v>
      </c>
      <c r="P2433" s="1">
        <v>232</v>
      </c>
      <c r="Q2433" s="1">
        <v>7.07</v>
      </c>
      <c r="R2433" s="1">
        <v>0.68</v>
      </c>
      <c r="S2433" s="2">
        <v>45612</v>
      </c>
      <c r="T2433" s="1">
        <v>118.47</v>
      </c>
      <c r="U2433" s="1">
        <v>0.69499999999999995</v>
      </c>
      <c r="V2433" s="6">
        <f t="shared" si="111"/>
        <v>23199</v>
      </c>
      <c r="W2433" s="6" t="str">
        <f t="shared" si="112"/>
        <v>Sufficient</v>
      </c>
      <c r="X2433" s="8" t="str">
        <f t="shared" si="113"/>
        <v>Medium</v>
      </c>
    </row>
    <row r="2434" spans="1:24">
      <c r="A2434" s="7" t="s">
        <v>2564</v>
      </c>
      <c r="B2434" s="1" t="s">
        <v>29</v>
      </c>
      <c r="C2434" s="1">
        <v>194</v>
      </c>
      <c r="D2434" s="1">
        <v>44</v>
      </c>
      <c r="E2434" s="1">
        <v>6</v>
      </c>
      <c r="F2434" s="1">
        <v>9</v>
      </c>
      <c r="G2434" s="1">
        <v>32.380000000000003</v>
      </c>
      <c r="H2434" s="1" t="s">
        <v>139</v>
      </c>
      <c r="I2434" s="1" t="s">
        <v>39</v>
      </c>
      <c r="J2434" s="1">
        <v>173</v>
      </c>
      <c r="K2434" s="1">
        <v>2.13</v>
      </c>
      <c r="L2434" s="4">
        <v>193.78</v>
      </c>
      <c r="M2434" s="1">
        <v>0.73</v>
      </c>
      <c r="N2434" s="1">
        <v>3</v>
      </c>
      <c r="O2434" s="1">
        <v>0.89</v>
      </c>
      <c r="P2434" s="1">
        <v>632</v>
      </c>
      <c r="Q2434" s="1">
        <v>5.62</v>
      </c>
      <c r="R2434" s="1">
        <v>0.74</v>
      </c>
      <c r="S2434" s="2">
        <v>45325</v>
      </c>
      <c r="T2434" s="1">
        <v>156.81</v>
      </c>
      <c r="U2434" s="1">
        <v>0.66800000000000004</v>
      </c>
      <c r="V2434" s="6">
        <f t="shared" si="111"/>
        <v>37593.32</v>
      </c>
      <c r="W2434" s="6" t="str">
        <f t="shared" si="112"/>
        <v>Sufficient</v>
      </c>
      <c r="X2434" s="8" t="str">
        <f t="shared" si="113"/>
        <v>Medium</v>
      </c>
    </row>
    <row r="2435" spans="1:24">
      <c r="A2435" s="7" t="s">
        <v>2565</v>
      </c>
      <c r="B2435" s="1" t="s">
        <v>25</v>
      </c>
      <c r="C2435" s="1">
        <v>292</v>
      </c>
      <c r="D2435" s="1">
        <v>24</v>
      </c>
      <c r="E2435" s="1">
        <v>8</v>
      </c>
      <c r="F2435" s="1">
        <v>5</v>
      </c>
      <c r="G2435" s="1">
        <v>22.39</v>
      </c>
      <c r="H2435" s="1" t="s">
        <v>309</v>
      </c>
      <c r="I2435" s="1" t="s">
        <v>27</v>
      </c>
      <c r="J2435" s="1">
        <v>175</v>
      </c>
      <c r="K2435" s="1">
        <v>3.97</v>
      </c>
      <c r="L2435" s="4">
        <v>102.38</v>
      </c>
      <c r="M2435" s="1">
        <v>0.19</v>
      </c>
      <c r="N2435" s="1">
        <v>7</v>
      </c>
      <c r="O2435" s="1">
        <v>0.83</v>
      </c>
      <c r="P2435" s="1">
        <v>627</v>
      </c>
      <c r="Q2435" s="1">
        <v>7.18</v>
      </c>
      <c r="R2435" s="1">
        <v>0.5</v>
      </c>
      <c r="S2435" s="2">
        <v>45399</v>
      </c>
      <c r="T2435" s="1">
        <v>282.54000000000002</v>
      </c>
      <c r="U2435" s="1">
        <v>0.60299999999999998</v>
      </c>
      <c r="V2435" s="6">
        <f t="shared" si="111"/>
        <v>29894.959999999999</v>
      </c>
      <c r="W2435" s="6" t="str">
        <f t="shared" si="112"/>
        <v>Sufficient</v>
      </c>
      <c r="X2435" s="8" t="str">
        <f t="shared" si="113"/>
        <v>High</v>
      </c>
    </row>
    <row r="2436" spans="1:24">
      <c r="A2436" s="7" t="s">
        <v>2566</v>
      </c>
      <c r="B2436" s="1" t="s">
        <v>66</v>
      </c>
      <c r="C2436" s="1">
        <v>36</v>
      </c>
      <c r="D2436" s="1">
        <v>69</v>
      </c>
      <c r="E2436" s="1">
        <v>13</v>
      </c>
      <c r="F2436" s="1">
        <v>9</v>
      </c>
      <c r="G2436" s="1">
        <v>5.53</v>
      </c>
      <c r="H2436" s="1" t="s">
        <v>99</v>
      </c>
      <c r="I2436" s="1" t="s">
        <v>45</v>
      </c>
      <c r="J2436" s="1">
        <v>48</v>
      </c>
      <c r="K2436" s="1">
        <v>2.17</v>
      </c>
      <c r="L2436" s="4">
        <v>166.44</v>
      </c>
      <c r="M2436" s="1">
        <v>0.5</v>
      </c>
      <c r="N2436" s="1">
        <v>4</v>
      </c>
      <c r="O2436" s="1">
        <v>0.94</v>
      </c>
      <c r="P2436" s="1">
        <v>890</v>
      </c>
      <c r="Q2436" s="1">
        <v>1.18</v>
      </c>
      <c r="R2436" s="1">
        <v>0.83</v>
      </c>
      <c r="S2436" s="2">
        <v>45635</v>
      </c>
      <c r="T2436" s="1">
        <v>53.4</v>
      </c>
      <c r="U2436" s="1">
        <v>0.64</v>
      </c>
      <c r="V2436" s="6">
        <f t="shared" ref="V2436:V2499" si="114">C2436*L2436</f>
        <v>5991.84</v>
      </c>
      <c r="W2436" s="6" t="str">
        <f t="shared" ref="W2436:W2499" si="115">IF(C2436&lt;=D2436,"Reorder Required","Sufficient")</f>
        <v>Reorder Required</v>
      </c>
      <c r="X2436" s="8" t="str">
        <f t="shared" ref="X2436:X2499" si="116">IF(C2436&lt;100,"LOW",IF(C2436&lt;250,"Medium","High"))</f>
        <v>LOW</v>
      </c>
    </row>
    <row r="2437" spans="1:24">
      <c r="A2437" s="7" t="s">
        <v>2567</v>
      </c>
      <c r="B2437" s="1" t="s">
        <v>25</v>
      </c>
      <c r="C2437" s="1">
        <v>109</v>
      </c>
      <c r="D2437" s="1">
        <v>51</v>
      </c>
      <c r="E2437" s="1">
        <v>13</v>
      </c>
      <c r="F2437" s="1">
        <v>6</v>
      </c>
      <c r="G2437" s="1">
        <v>45.88</v>
      </c>
      <c r="H2437" s="1" t="s">
        <v>81</v>
      </c>
      <c r="I2437" s="1" t="s">
        <v>31</v>
      </c>
      <c r="J2437" s="1">
        <v>162</v>
      </c>
      <c r="K2437" s="1">
        <v>2.29</v>
      </c>
      <c r="L2437" s="4">
        <v>156.22</v>
      </c>
      <c r="M2437" s="1">
        <v>1.06</v>
      </c>
      <c r="N2437" s="1">
        <v>9</v>
      </c>
      <c r="O2437" s="1">
        <v>0.83</v>
      </c>
      <c r="P2437" s="1">
        <v>811</v>
      </c>
      <c r="Q2437" s="1">
        <v>1.77</v>
      </c>
      <c r="R2437" s="1">
        <v>0.76</v>
      </c>
      <c r="S2437" s="2">
        <v>45614</v>
      </c>
      <c r="T2437" s="1">
        <v>169.94</v>
      </c>
      <c r="U2437" s="1">
        <v>0.45600000000000002</v>
      </c>
      <c r="V2437" s="6">
        <f t="shared" si="114"/>
        <v>17027.98</v>
      </c>
      <c r="W2437" s="6" t="str">
        <f t="shared" si="115"/>
        <v>Sufficient</v>
      </c>
      <c r="X2437" s="8" t="str">
        <f t="shared" si="116"/>
        <v>Medium</v>
      </c>
    </row>
    <row r="2438" spans="1:24">
      <c r="A2438" s="7" t="s">
        <v>2568</v>
      </c>
      <c r="B2438" s="1" t="s">
        <v>29</v>
      </c>
      <c r="C2438" s="1">
        <v>160</v>
      </c>
      <c r="D2438" s="1">
        <v>52</v>
      </c>
      <c r="E2438" s="1">
        <v>7</v>
      </c>
      <c r="F2438" s="1">
        <v>3</v>
      </c>
      <c r="G2438" s="1">
        <v>39.15</v>
      </c>
      <c r="H2438" s="1" t="s">
        <v>151</v>
      </c>
      <c r="I2438" s="1" t="s">
        <v>45</v>
      </c>
      <c r="J2438" s="1">
        <v>73</v>
      </c>
      <c r="K2438" s="1">
        <v>1</v>
      </c>
      <c r="L2438" s="4">
        <v>135.91999999999999</v>
      </c>
      <c r="M2438" s="1">
        <v>0.41</v>
      </c>
      <c r="N2438" s="1">
        <v>8</v>
      </c>
      <c r="O2438" s="1">
        <v>0.87</v>
      </c>
      <c r="P2438" s="1">
        <v>716</v>
      </c>
      <c r="Q2438" s="1">
        <v>11.8</v>
      </c>
      <c r="R2438" s="1">
        <v>0.75</v>
      </c>
      <c r="S2438" s="2">
        <v>45401</v>
      </c>
      <c r="T2438" s="1">
        <v>26.87</v>
      </c>
      <c r="U2438" s="1">
        <v>0.68</v>
      </c>
      <c r="V2438" s="6">
        <f t="shared" si="114"/>
        <v>21747.199999999997</v>
      </c>
      <c r="W2438" s="6" t="str">
        <f t="shared" si="115"/>
        <v>Sufficient</v>
      </c>
      <c r="X2438" s="8" t="str">
        <f t="shared" si="116"/>
        <v>Medium</v>
      </c>
    </row>
    <row r="2439" spans="1:24">
      <c r="A2439" s="7" t="s">
        <v>2569</v>
      </c>
      <c r="B2439" s="1" t="s">
        <v>33</v>
      </c>
      <c r="C2439" s="1">
        <v>164</v>
      </c>
      <c r="D2439" s="1">
        <v>89</v>
      </c>
      <c r="E2439" s="1">
        <v>5</v>
      </c>
      <c r="F2439" s="1">
        <v>6</v>
      </c>
      <c r="G2439" s="1">
        <v>3.76</v>
      </c>
      <c r="H2439" s="1" t="s">
        <v>85</v>
      </c>
      <c r="I2439" s="1" t="s">
        <v>27</v>
      </c>
      <c r="J2439" s="1">
        <v>113</v>
      </c>
      <c r="K2439" s="1">
        <v>1.58</v>
      </c>
      <c r="L2439" s="4">
        <v>180.39</v>
      </c>
      <c r="M2439" s="1">
        <v>1.79</v>
      </c>
      <c r="N2439" s="1">
        <v>5</v>
      </c>
      <c r="O2439" s="1">
        <v>0.8</v>
      </c>
      <c r="P2439" s="1">
        <v>461</v>
      </c>
      <c r="Q2439" s="1">
        <v>5.69</v>
      </c>
      <c r="R2439" s="1">
        <v>0.32</v>
      </c>
      <c r="S2439" s="2">
        <v>45642</v>
      </c>
      <c r="T2439" s="1">
        <v>142.91999999999999</v>
      </c>
      <c r="U2439" s="1">
        <v>0.42099999999999999</v>
      </c>
      <c r="V2439" s="6">
        <f t="shared" si="114"/>
        <v>29583.96</v>
      </c>
      <c r="W2439" s="6" t="str">
        <f t="shared" si="115"/>
        <v>Sufficient</v>
      </c>
      <c r="X2439" s="8" t="str">
        <f t="shared" si="116"/>
        <v>Medium</v>
      </c>
    </row>
    <row r="2440" spans="1:24">
      <c r="A2440" s="7" t="s">
        <v>2570</v>
      </c>
      <c r="B2440" s="1" t="s">
        <v>29</v>
      </c>
      <c r="C2440" s="1">
        <v>185</v>
      </c>
      <c r="D2440" s="1">
        <v>83</v>
      </c>
      <c r="E2440" s="1">
        <v>4</v>
      </c>
      <c r="F2440" s="1">
        <v>2</v>
      </c>
      <c r="G2440" s="1">
        <v>26.73</v>
      </c>
      <c r="H2440" s="1" t="s">
        <v>26</v>
      </c>
      <c r="I2440" s="1" t="s">
        <v>31</v>
      </c>
      <c r="J2440" s="1">
        <v>22</v>
      </c>
      <c r="K2440" s="1">
        <v>1.24</v>
      </c>
      <c r="L2440" s="4">
        <v>57.8</v>
      </c>
      <c r="M2440" s="1">
        <v>1.45</v>
      </c>
      <c r="N2440" s="1">
        <v>8</v>
      </c>
      <c r="O2440" s="1">
        <v>0.91</v>
      </c>
      <c r="P2440" s="1">
        <v>982</v>
      </c>
      <c r="Q2440" s="1">
        <v>12.12</v>
      </c>
      <c r="R2440" s="1">
        <v>0.57999999999999996</v>
      </c>
      <c r="S2440" s="2">
        <v>45509</v>
      </c>
      <c r="T2440" s="1">
        <v>125.19</v>
      </c>
      <c r="U2440" s="1">
        <v>0.55500000000000005</v>
      </c>
      <c r="V2440" s="6">
        <f t="shared" si="114"/>
        <v>10693</v>
      </c>
      <c r="W2440" s="6" t="str">
        <f t="shared" si="115"/>
        <v>Sufficient</v>
      </c>
      <c r="X2440" s="8" t="str">
        <f t="shared" si="116"/>
        <v>Medium</v>
      </c>
    </row>
    <row r="2441" spans="1:24">
      <c r="A2441" s="7" t="s">
        <v>2571</v>
      </c>
      <c r="B2441" s="1" t="s">
        <v>41</v>
      </c>
      <c r="C2441" s="1">
        <v>356</v>
      </c>
      <c r="D2441" s="1">
        <v>58</v>
      </c>
      <c r="E2441" s="1">
        <v>11</v>
      </c>
      <c r="F2441" s="1">
        <v>3</v>
      </c>
      <c r="G2441" s="1">
        <v>5.09</v>
      </c>
      <c r="H2441" s="1" t="s">
        <v>304</v>
      </c>
      <c r="I2441" s="1" t="s">
        <v>39</v>
      </c>
      <c r="J2441" s="1">
        <v>77</v>
      </c>
      <c r="K2441" s="1">
        <v>1.22</v>
      </c>
      <c r="L2441" s="4">
        <v>165.95</v>
      </c>
      <c r="M2441" s="1">
        <v>0.15</v>
      </c>
      <c r="N2441" s="1">
        <v>3</v>
      </c>
      <c r="O2441" s="1">
        <v>0.9</v>
      </c>
      <c r="P2441" s="1">
        <v>128</v>
      </c>
      <c r="Q2441" s="1">
        <v>7.72</v>
      </c>
      <c r="R2441" s="1">
        <v>0.66</v>
      </c>
      <c r="S2441" s="2">
        <v>45345</v>
      </c>
      <c r="T2441" s="1">
        <v>57.62</v>
      </c>
      <c r="U2441" s="1">
        <v>0.74</v>
      </c>
      <c r="V2441" s="6">
        <f t="shared" si="114"/>
        <v>59078.2</v>
      </c>
      <c r="W2441" s="6" t="str">
        <f t="shared" si="115"/>
        <v>Sufficient</v>
      </c>
      <c r="X2441" s="8" t="str">
        <f t="shared" si="116"/>
        <v>High</v>
      </c>
    </row>
    <row r="2442" spans="1:24">
      <c r="A2442" s="7" t="s">
        <v>2572</v>
      </c>
      <c r="B2442" s="1" t="s">
        <v>25</v>
      </c>
      <c r="C2442" s="1">
        <v>97</v>
      </c>
      <c r="D2442" s="1">
        <v>73</v>
      </c>
      <c r="E2442" s="1">
        <v>3</v>
      </c>
      <c r="F2442" s="1">
        <v>5</v>
      </c>
      <c r="G2442" s="1">
        <v>42.03</v>
      </c>
      <c r="H2442" s="1" t="s">
        <v>145</v>
      </c>
      <c r="I2442" s="1" t="s">
        <v>39</v>
      </c>
      <c r="J2442" s="1">
        <v>79</v>
      </c>
      <c r="K2442" s="1">
        <v>0.54</v>
      </c>
      <c r="L2442" s="4">
        <v>81.78</v>
      </c>
      <c r="M2442" s="1">
        <v>1.77</v>
      </c>
      <c r="N2442" s="1">
        <v>0</v>
      </c>
      <c r="O2442" s="1">
        <v>0.82</v>
      </c>
      <c r="P2442" s="1">
        <v>68</v>
      </c>
      <c r="Q2442" s="1">
        <v>12.28</v>
      </c>
      <c r="R2442" s="1">
        <v>0.38</v>
      </c>
      <c r="S2442" s="2">
        <v>45397</v>
      </c>
      <c r="T2442" s="1">
        <v>57.56</v>
      </c>
      <c r="U2442" s="1">
        <v>0.627</v>
      </c>
      <c r="V2442" s="6">
        <f t="shared" si="114"/>
        <v>7932.66</v>
      </c>
      <c r="W2442" s="6" t="str">
        <f t="shared" si="115"/>
        <v>Sufficient</v>
      </c>
      <c r="X2442" s="8" t="str">
        <f t="shared" si="116"/>
        <v>LOW</v>
      </c>
    </row>
    <row r="2443" spans="1:24">
      <c r="A2443" s="7" t="s">
        <v>2573</v>
      </c>
      <c r="B2443" s="1" t="s">
        <v>25</v>
      </c>
      <c r="C2443" s="1">
        <v>448</v>
      </c>
      <c r="D2443" s="1">
        <v>41</v>
      </c>
      <c r="E2443" s="1">
        <v>11</v>
      </c>
      <c r="F2443" s="1">
        <v>2</v>
      </c>
      <c r="G2443" s="1">
        <v>31.04</v>
      </c>
      <c r="H2443" s="1" t="s">
        <v>252</v>
      </c>
      <c r="I2443" s="1" t="s">
        <v>27</v>
      </c>
      <c r="J2443" s="1">
        <v>84</v>
      </c>
      <c r="K2443" s="1">
        <v>4.07</v>
      </c>
      <c r="L2443" s="4">
        <v>164.37</v>
      </c>
      <c r="M2443" s="1">
        <v>1.96</v>
      </c>
      <c r="N2443" s="1">
        <v>3</v>
      </c>
      <c r="O2443" s="1">
        <v>0.78</v>
      </c>
      <c r="P2443" s="1">
        <v>527</v>
      </c>
      <c r="Q2443" s="1">
        <v>10.29</v>
      </c>
      <c r="R2443" s="1">
        <v>0.81</v>
      </c>
      <c r="S2443" s="2">
        <v>45567</v>
      </c>
      <c r="T2443" s="1">
        <v>140.53</v>
      </c>
      <c r="U2443" s="1">
        <v>0.59899999999999998</v>
      </c>
      <c r="V2443" s="6">
        <f t="shared" si="114"/>
        <v>73637.760000000009</v>
      </c>
      <c r="W2443" s="6" t="str">
        <f t="shared" si="115"/>
        <v>Sufficient</v>
      </c>
      <c r="X2443" s="8" t="str">
        <f t="shared" si="116"/>
        <v>High</v>
      </c>
    </row>
    <row r="2444" spans="1:24">
      <c r="A2444" s="7" t="s">
        <v>2574</v>
      </c>
      <c r="B2444" s="1" t="s">
        <v>41</v>
      </c>
      <c r="C2444" s="1">
        <v>281</v>
      </c>
      <c r="D2444" s="1">
        <v>73</v>
      </c>
      <c r="E2444" s="1">
        <v>3</v>
      </c>
      <c r="F2444" s="1">
        <v>6</v>
      </c>
      <c r="G2444" s="1">
        <v>9.4499999999999993</v>
      </c>
      <c r="H2444" s="1" t="s">
        <v>44</v>
      </c>
      <c r="I2444" s="1" t="s">
        <v>31</v>
      </c>
      <c r="J2444" s="1">
        <v>10</v>
      </c>
      <c r="K2444" s="1">
        <v>2.61</v>
      </c>
      <c r="L2444" s="4">
        <v>103.82</v>
      </c>
      <c r="M2444" s="1">
        <v>1.05</v>
      </c>
      <c r="N2444" s="1">
        <v>8</v>
      </c>
      <c r="O2444" s="1">
        <v>0.88</v>
      </c>
      <c r="P2444" s="1">
        <v>996</v>
      </c>
      <c r="Q2444" s="1">
        <v>3.81</v>
      </c>
      <c r="R2444" s="1">
        <v>0.3</v>
      </c>
      <c r="S2444" s="2">
        <v>45651</v>
      </c>
      <c r="T2444" s="1">
        <v>46.71</v>
      </c>
      <c r="U2444" s="1">
        <v>0.42199999999999999</v>
      </c>
      <c r="V2444" s="6">
        <f t="shared" si="114"/>
        <v>29173.42</v>
      </c>
      <c r="W2444" s="6" t="str">
        <f t="shared" si="115"/>
        <v>Sufficient</v>
      </c>
      <c r="X2444" s="8" t="str">
        <f t="shared" si="116"/>
        <v>High</v>
      </c>
    </row>
    <row r="2445" spans="1:24">
      <c r="A2445" s="7" t="s">
        <v>2575</v>
      </c>
      <c r="B2445" s="1" t="s">
        <v>41</v>
      </c>
      <c r="C2445" s="1">
        <v>182</v>
      </c>
      <c r="D2445" s="1">
        <v>11</v>
      </c>
      <c r="E2445" s="1">
        <v>9</v>
      </c>
      <c r="F2445" s="1">
        <v>6</v>
      </c>
      <c r="G2445" s="1">
        <v>2.02</v>
      </c>
      <c r="H2445" s="1" t="s">
        <v>132</v>
      </c>
      <c r="I2445" s="1" t="s">
        <v>45</v>
      </c>
      <c r="J2445" s="1">
        <v>107</v>
      </c>
      <c r="K2445" s="1">
        <v>4.12</v>
      </c>
      <c r="L2445" s="4">
        <v>172.96</v>
      </c>
      <c r="M2445" s="1">
        <v>0.7</v>
      </c>
      <c r="N2445" s="1">
        <v>6</v>
      </c>
      <c r="O2445" s="1">
        <v>0.98</v>
      </c>
      <c r="P2445" s="1">
        <v>830</v>
      </c>
      <c r="Q2445" s="1">
        <v>7.27</v>
      </c>
      <c r="R2445" s="1">
        <v>0.32</v>
      </c>
      <c r="S2445" s="2">
        <v>45514</v>
      </c>
      <c r="T2445" s="1">
        <v>95.49</v>
      </c>
      <c r="U2445" s="1">
        <v>0.56699999999999995</v>
      </c>
      <c r="V2445" s="6">
        <f t="shared" si="114"/>
        <v>31478.720000000001</v>
      </c>
      <c r="W2445" s="6" t="str">
        <f t="shared" si="115"/>
        <v>Sufficient</v>
      </c>
      <c r="X2445" s="8" t="str">
        <f t="shared" si="116"/>
        <v>Medium</v>
      </c>
    </row>
    <row r="2446" spans="1:24">
      <c r="A2446" s="7" t="s">
        <v>2576</v>
      </c>
      <c r="B2446" s="1" t="s">
        <v>33</v>
      </c>
      <c r="C2446" s="1">
        <v>385</v>
      </c>
      <c r="D2446" s="1">
        <v>33</v>
      </c>
      <c r="E2446" s="1">
        <v>8</v>
      </c>
      <c r="F2446" s="1">
        <v>5</v>
      </c>
      <c r="G2446" s="1">
        <v>2.5499999999999998</v>
      </c>
      <c r="H2446" s="1" t="s">
        <v>79</v>
      </c>
      <c r="I2446" s="1" t="s">
        <v>31</v>
      </c>
      <c r="J2446" s="1">
        <v>113</v>
      </c>
      <c r="K2446" s="1">
        <v>3.26</v>
      </c>
      <c r="L2446" s="4">
        <v>180.02</v>
      </c>
      <c r="M2446" s="1">
        <v>0.6</v>
      </c>
      <c r="N2446" s="1">
        <v>5</v>
      </c>
      <c r="O2446" s="1">
        <v>0.74</v>
      </c>
      <c r="P2446" s="1">
        <v>94</v>
      </c>
      <c r="Q2446" s="1">
        <v>10.86</v>
      </c>
      <c r="R2446" s="1">
        <v>0.53</v>
      </c>
      <c r="S2446" s="2">
        <v>45623</v>
      </c>
      <c r="T2446" s="1">
        <v>30.65</v>
      </c>
      <c r="U2446" s="1">
        <v>0.63900000000000001</v>
      </c>
      <c r="V2446" s="6">
        <f t="shared" si="114"/>
        <v>69307.7</v>
      </c>
      <c r="W2446" s="6" t="str">
        <f t="shared" si="115"/>
        <v>Sufficient</v>
      </c>
      <c r="X2446" s="8" t="str">
        <f t="shared" si="116"/>
        <v>High</v>
      </c>
    </row>
    <row r="2447" spans="1:24">
      <c r="A2447" s="7" t="s">
        <v>2577</v>
      </c>
      <c r="B2447" s="1" t="s">
        <v>25</v>
      </c>
      <c r="C2447" s="1">
        <v>33</v>
      </c>
      <c r="D2447" s="1">
        <v>96</v>
      </c>
      <c r="E2447" s="1">
        <v>9</v>
      </c>
      <c r="F2447" s="1">
        <v>2</v>
      </c>
      <c r="G2447" s="1">
        <v>25.86</v>
      </c>
      <c r="H2447" s="1" t="s">
        <v>47</v>
      </c>
      <c r="I2447" s="1" t="s">
        <v>39</v>
      </c>
      <c r="J2447" s="1">
        <v>125</v>
      </c>
      <c r="K2447" s="1">
        <v>4.24</v>
      </c>
      <c r="L2447" s="4">
        <v>123.55</v>
      </c>
      <c r="M2447" s="1">
        <v>0.27</v>
      </c>
      <c r="N2447" s="1">
        <v>1</v>
      </c>
      <c r="O2447" s="1">
        <v>0.94</v>
      </c>
      <c r="P2447" s="1">
        <v>823</v>
      </c>
      <c r="Q2447" s="1">
        <v>5.63</v>
      </c>
      <c r="R2447" s="1">
        <v>0.31</v>
      </c>
      <c r="S2447" s="2">
        <v>45328</v>
      </c>
      <c r="T2447" s="1">
        <v>96.22</v>
      </c>
      <c r="U2447" s="1">
        <v>0.67800000000000005</v>
      </c>
      <c r="V2447" s="6">
        <f t="shared" si="114"/>
        <v>4077.15</v>
      </c>
      <c r="W2447" s="6" t="str">
        <f t="shared" si="115"/>
        <v>Reorder Required</v>
      </c>
      <c r="X2447" s="8" t="str">
        <f t="shared" si="116"/>
        <v>LOW</v>
      </c>
    </row>
    <row r="2448" spans="1:24">
      <c r="A2448" s="7" t="s">
        <v>2578</v>
      </c>
      <c r="B2448" s="1" t="s">
        <v>25</v>
      </c>
      <c r="C2448" s="1">
        <v>258</v>
      </c>
      <c r="D2448" s="1">
        <v>75</v>
      </c>
      <c r="E2448" s="1">
        <v>5</v>
      </c>
      <c r="F2448" s="1">
        <v>8</v>
      </c>
      <c r="G2448" s="1">
        <v>36.979999999999997</v>
      </c>
      <c r="H2448" s="1" t="s">
        <v>333</v>
      </c>
      <c r="I2448" s="1" t="s">
        <v>31</v>
      </c>
      <c r="J2448" s="1">
        <v>146</v>
      </c>
      <c r="K2448" s="1">
        <v>2.77</v>
      </c>
      <c r="L2448" s="4">
        <v>106.45</v>
      </c>
      <c r="M2448" s="1">
        <v>1.03</v>
      </c>
      <c r="N2448" s="1">
        <v>3</v>
      </c>
      <c r="O2448" s="1">
        <v>0.86</v>
      </c>
      <c r="P2448" s="1">
        <v>271</v>
      </c>
      <c r="Q2448" s="1">
        <v>3.71</v>
      </c>
      <c r="R2448" s="1">
        <v>0.21</v>
      </c>
      <c r="S2448" s="2">
        <v>45643</v>
      </c>
      <c r="T2448" s="1">
        <v>164.77</v>
      </c>
      <c r="U2448" s="1">
        <v>0.5</v>
      </c>
      <c r="V2448" s="6">
        <f t="shared" si="114"/>
        <v>27464.100000000002</v>
      </c>
      <c r="W2448" s="6" t="str">
        <f t="shared" si="115"/>
        <v>Sufficient</v>
      </c>
      <c r="X2448" s="8" t="str">
        <f t="shared" si="116"/>
        <v>High</v>
      </c>
    </row>
    <row r="2449" spans="1:24">
      <c r="A2449" s="7" t="s">
        <v>2579</v>
      </c>
      <c r="B2449" s="1" t="s">
        <v>33</v>
      </c>
      <c r="C2449" s="1">
        <v>91</v>
      </c>
      <c r="D2449" s="1">
        <v>47</v>
      </c>
      <c r="E2449" s="1">
        <v>5</v>
      </c>
      <c r="F2449" s="1">
        <v>7</v>
      </c>
      <c r="G2449" s="1">
        <v>6.92</v>
      </c>
      <c r="H2449" s="1" t="s">
        <v>227</v>
      </c>
      <c r="I2449" s="1" t="s">
        <v>31</v>
      </c>
      <c r="J2449" s="1">
        <v>173</v>
      </c>
      <c r="K2449" s="1">
        <v>0.92</v>
      </c>
      <c r="L2449" s="4">
        <v>158.82</v>
      </c>
      <c r="M2449" s="1">
        <v>0.2</v>
      </c>
      <c r="N2449" s="1">
        <v>0</v>
      </c>
      <c r="O2449" s="1">
        <v>0.86</v>
      </c>
      <c r="P2449" s="1">
        <v>178</v>
      </c>
      <c r="Q2449" s="1">
        <v>8.56</v>
      </c>
      <c r="R2449" s="1">
        <v>0.53</v>
      </c>
      <c r="S2449" s="2">
        <v>45370</v>
      </c>
      <c r="T2449" s="1">
        <v>225.72</v>
      </c>
      <c r="U2449" s="1">
        <v>0.77200000000000002</v>
      </c>
      <c r="V2449" s="6">
        <f t="shared" si="114"/>
        <v>14452.619999999999</v>
      </c>
      <c r="W2449" s="6" t="str">
        <f t="shared" si="115"/>
        <v>Sufficient</v>
      </c>
      <c r="X2449" s="8" t="str">
        <f t="shared" si="116"/>
        <v>LOW</v>
      </c>
    </row>
    <row r="2450" spans="1:24">
      <c r="A2450" s="7" t="s">
        <v>2580</v>
      </c>
      <c r="B2450" s="1" t="s">
        <v>66</v>
      </c>
      <c r="C2450" s="1">
        <v>464</v>
      </c>
      <c r="D2450" s="1">
        <v>40</v>
      </c>
      <c r="E2450" s="1">
        <v>13</v>
      </c>
      <c r="F2450" s="1">
        <v>4</v>
      </c>
      <c r="G2450" s="1">
        <v>11.84</v>
      </c>
      <c r="H2450" s="1" t="s">
        <v>34</v>
      </c>
      <c r="I2450" s="1" t="s">
        <v>39</v>
      </c>
      <c r="J2450" s="1">
        <v>122</v>
      </c>
      <c r="K2450" s="1">
        <v>3.28</v>
      </c>
      <c r="L2450" s="4">
        <v>60.73</v>
      </c>
      <c r="M2450" s="1">
        <v>1.06</v>
      </c>
      <c r="N2450" s="1">
        <v>2</v>
      </c>
      <c r="O2450" s="1">
        <v>0.99</v>
      </c>
      <c r="P2450" s="1">
        <v>667</v>
      </c>
      <c r="Q2450" s="1">
        <v>4.83</v>
      </c>
      <c r="R2450" s="1">
        <v>0.72</v>
      </c>
      <c r="S2450" s="2">
        <v>45304</v>
      </c>
      <c r="T2450" s="1">
        <v>250.82</v>
      </c>
      <c r="U2450" s="1">
        <v>0.66</v>
      </c>
      <c r="V2450" s="6">
        <f t="shared" si="114"/>
        <v>28178.719999999998</v>
      </c>
      <c r="W2450" s="6" t="str">
        <f t="shared" si="115"/>
        <v>Sufficient</v>
      </c>
      <c r="X2450" s="8" t="str">
        <f t="shared" si="116"/>
        <v>High</v>
      </c>
    </row>
    <row r="2451" spans="1:24">
      <c r="A2451" s="7" t="s">
        <v>2581</v>
      </c>
      <c r="B2451" s="1" t="s">
        <v>33</v>
      </c>
      <c r="C2451" s="1">
        <v>162</v>
      </c>
      <c r="D2451" s="1">
        <v>35</v>
      </c>
      <c r="E2451" s="1">
        <v>3</v>
      </c>
      <c r="F2451" s="1">
        <v>5</v>
      </c>
      <c r="G2451" s="1">
        <v>17.04</v>
      </c>
      <c r="H2451" s="1" t="s">
        <v>145</v>
      </c>
      <c r="I2451" s="1" t="s">
        <v>39</v>
      </c>
      <c r="J2451" s="1">
        <v>112</v>
      </c>
      <c r="K2451" s="1">
        <v>3.55</v>
      </c>
      <c r="L2451" s="4">
        <v>12.92</v>
      </c>
      <c r="M2451" s="1">
        <v>0.57999999999999996</v>
      </c>
      <c r="N2451" s="1">
        <v>1</v>
      </c>
      <c r="O2451" s="1">
        <v>0.88</v>
      </c>
      <c r="P2451" s="1">
        <v>812</v>
      </c>
      <c r="Q2451" s="1">
        <v>9.32</v>
      </c>
      <c r="R2451" s="1">
        <v>0.6</v>
      </c>
      <c r="S2451" s="2">
        <v>45527</v>
      </c>
      <c r="T2451" s="1">
        <v>107.97</v>
      </c>
      <c r="U2451" s="1">
        <v>0.74199999999999999</v>
      </c>
      <c r="V2451" s="6">
        <f t="shared" si="114"/>
        <v>2093.04</v>
      </c>
      <c r="W2451" s="6" t="str">
        <f t="shared" si="115"/>
        <v>Sufficient</v>
      </c>
      <c r="X2451" s="8" t="str">
        <f t="shared" si="116"/>
        <v>Medium</v>
      </c>
    </row>
    <row r="2452" spans="1:24">
      <c r="A2452" s="7" t="s">
        <v>2582</v>
      </c>
      <c r="B2452" s="1" t="s">
        <v>29</v>
      </c>
      <c r="C2452" s="1">
        <v>329</v>
      </c>
      <c r="D2452" s="1">
        <v>38</v>
      </c>
      <c r="E2452" s="1">
        <v>6</v>
      </c>
      <c r="F2452" s="1">
        <v>6</v>
      </c>
      <c r="G2452" s="1">
        <v>11.69</v>
      </c>
      <c r="H2452" s="1" t="s">
        <v>137</v>
      </c>
      <c r="I2452" s="1" t="s">
        <v>45</v>
      </c>
      <c r="J2452" s="1">
        <v>46</v>
      </c>
      <c r="K2452" s="1">
        <v>3.32</v>
      </c>
      <c r="L2452" s="4">
        <v>87.35</v>
      </c>
      <c r="M2452" s="1">
        <v>1.01</v>
      </c>
      <c r="N2452" s="1">
        <v>3</v>
      </c>
      <c r="O2452" s="1">
        <v>0.95</v>
      </c>
      <c r="P2452" s="1">
        <v>682</v>
      </c>
      <c r="Q2452" s="1">
        <v>4.8</v>
      </c>
      <c r="R2452" s="1">
        <v>0.24</v>
      </c>
      <c r="S2452" s="2">
        <v>45461</v>
      </c>
      <c r="T2452" s="1">
        <v>282.25</v>
      </c>
      <c r="U2452" s="1">
        <v>0.54100000000000004</v>
      </c>
      <c r="V2452" s="6">
        <f t="shared" si="114"/>
        <v>28738.149999999998</v>
      </c>
      <c r="W2452" s="6" t="str">
        <f t="shared" si="115"/>
        <v>Sufficient</v>
      </c>
      <c r="X2452" s="8" t="str">
        <f t="shared" si="116"/>
        <v>High</v>
      </c>
    </row>
    <row r="2453" spans="1:24">
      <c r="A2453" s="7" t="s">
        <v>2583</v>
      </c>
      <c r="B2453" s="1" t="s">
        <v>25</v>
      </c>
      <c r="C2453" s="1">
        <v>302</v>
      </c>
      <c r="D2453" s="1">
        <v>76</v>
      </c>
      <c r="E2453" s="1">
        <v>14</v>
      </c>
      <c r="F2453" s="1">
        <v>3</v>
      </c>
      <c r="G2453" s="1">
        <v>20.18</v>
      </c>
      <c r="H2453" s="1" t="s">
        <v>147</v>
      </c>
      <c r="I2453" s="1" t="s">
        <v>31</v>
      </c>
      <c r="J2453" s="1">
        <v>115</v>
      </c>
      <c r="K2453" s="1">
        <v>4.1100000000000003</v>
      </c>
      <c r="L2453" s="4">
        <v>106.48</v>
      </c>
      <c r="M2453" s="1">
        <v>0.89</v>
      </c>
      <c r="N2453" s="1">
        <v>3</v>
      </c>
      <c r="O2453" s="1">
        <v>0.85</v>
      </c>
      <c r="P2453" s="1">
        <v>279</v>
      </c>
      <c r="Q2453" s="1">
        <v>13.69</v>
      </c>
      <c r="R2453" s="1">
        <v>0.39</v>
      </c>
      <c r="S2453" s="2">
        <v>45311</v>
      </c>
      <c r="T2453" s="1">
        <v>79.78</v>
      </c>
      <c r="U2453" s="1">
        <v>0.68200000000000005</v>
      </c>
      <c r="V2453" s="6">
        <f t="shared" si="114"/>
        <v>32156.960000000003</v>
      </c>
      <c r="W2453" s="6" t="str">
        <f t="shared" si="115"/>
        <v>Sufficient</v>
      </c>
      <c r="X2453" s="8" t="str">
        <f t="shared" si="116"/>
        <v>High</v>
      </c>
    </row>
    <row r="2454" spans="1:24">
      <c r="A2454" s="7" t="s">
        <v>2584</v>
      </c>
      <c r="B2454" s="1" t="s">
        <v>41</v>
      </c>
      <c r="C2454" s="1">
        <v>288</v>
      </c>
      <c r="D2454" s="1">
        <v>87</v>
      </c>
      <c r="E2454" s="1">
        <v>4</v>
      </c>
      <c r="F2454" s="1">
        <v>2</v>
      </c>
      <c r="G2454" s="1">
        <v>28.42</v>
      </c>
      <c r="H2454" s="1" t="s">
        <v>171</v>
      </c>
      <c r="I2454" s="1" t="s">
        <v>39</v>
      </c>
      <c r="J2454" s="1">
        <v>117</v>
      </c>
      <c r="K2454" s="1">
        <v>3.79</v>
      </c>
      <c r="L2454" s="4">
        <v>66.48</v>
      </c>
      <c r="M2454" s="1">
        <v>0.68</v>
      </c>
      <c r="N2454" s="1">
        <v>8</v>
      </c>
      <c r="O2454" s="1">
        <v>0.77</v>
      </c>
      <c r="P2454" s="1">
        <v>842</v>
      </c>
      <c r="Q2454" s="1">
        <v>5.81</v>
      </c>
      <c r="R2454" s="1">
        <v>0.62</v>
      </c>
      <c r="S2454" s="2">
        <v>45336</v>
      </c>
      <c r="T2454" s="1">
        <v>33.369999999999997</v>
      </c>
      <c r="U2454" s="1">
        <v>0.52700000000000002</v>
      </c>
      <c r="V2454" s="6">
        <f t="shared" si="114"/>
        <v>19146.240000000002</v>
      </c>
      <c r="W2454" s="6" t="str">
        <f t="shared" si="115"/>
        <v>Sufficient</v>
      </c>
      <c r="X2454" s="8" t="str">
        <f t="shared" si="116"/>
        <v>High</v>
      </c>
    </row>
    <row r="2455" spans="1:24">
      <c r="A2455" s="7" t="s">
        <v>2585</v>
      </c>
      <c r="B2455" s="1" t="s">
        <v>29</v>
      </c>
      <c r="C2455" s="1">
        <v>260</v>
      </c>
      <c r="D2455" s="1">
        <v>34</v>
      </c>
      <c r="E2455" s="1">
        <v>12</v>
      </c>
      <c r="F2455" s="1">
        <v>9</v>
      </c>
      <c r="G2455" s="1">
        <v>34.56</v>
      </c>
      <c r="H2455" s="1" t="s">
        <v>195</v>
      </c>
      <c r="I2455" s="1" t="s">
        <v>27</v>
      </c>
      <c r="J2455" s="1">
        <v>30</v>
      </c>
      <c r="K2455" s="1">
        <v>2.4500000000000002</v>
      </c>
      <c r="L2455" s="4">
        <v>82.84</v>
      </c>
      <c r="M2455" s="1">
        <v>0.95</v>
      </c>
      <c r="N2455" s="1">
        <v>6</v>
      </c>
      <c r="O2455" s="1">
        <v>0.91</v>
      </c>
      <c r="P2455" s="1">
        <v>276</v>
      </c>
      <c r="Q2455" s="1">
        <v>13.7</v>
      </c>
      <c r="R2455" s="1">
        <v>0.79</v>
      </c>
      <c r="S2455" s="2">
        <v>45329</v>
      </c>
      <c r="T2455" s="1">
        <v>278.25</v>
      </c>
      <c r="U2455" s="1">
        <v>0.70799999999999996</v>
      </c>
      <c r="V2455" s="6">
        <f t="shared" si="114"/>
        <v>21538.400000000001</v>
      </c>
      <c r="W2455" s="6" t="str">
        <f t="shared" si="115"/>
        <v>Sufficient</v>
      </c>
      <c r="X2455" s="8" t="str">
        <f t="shared" si="116"/>
        <v>High</v>
      </c>
    </row>
    <row r="2456" spans="1:24">
      <c r="A2456" s="7" t="s">
        <v>2586</v>
      </c>
      <c r="B2456" s="1" t="s">
        <v>25</v>
      </c>
      <c r="C2456" s="1">
        <v>434</v>
      </c>
      <c r="D2456" s="1">
        <v>57</v>
      </c>
      <c r="E2456" s="1">
        <v>10</v>
      </c>
      <c r="F2456" s="1">
        <v>7</v>
      </c>
      <c r="G2456" s="1">
        <v>48.22</v>
      </c>
      <c r="H2456" s="1" t="s">
        <v>137</v>
      </c>
      <c r="I2456" s="1" t="s">
        <v>39</v>
      </c>
      <c r="J2456" s="1">
        <v>157</v>
      </c>
      <c r="K2456" s="1">
        <v>4.1900000000000004</v>
      </c>
      <c r="L2456" s="4">
        <v>35.28</v>
      </c>
      <c r="M2456" s="1">
        <v>1</v>
      </c>
      <c r="N2456" s="1">
        <v>2</v>
      </c>
      <c r="O2456" s="1">
        <v>0.98</v>
      </c>
      <c r="P2456" s="1">
        <v>971</v>
      </c>
      <c r="Q2456" s="1">
        <v>4.91</v>
      </c>
      <c r="R2456" s="1">
        <v>0.84</v>
      </c>
      <c r="S2456" s="2">
        <v>45319</v>
      </c>
      <c r="T2456" s="1">
        <v>166.55</v>
      </c>
      <c r="U2456" s="1">
        <v>0.68899999999999995</v>
      </c>
      <c r="V2456" s="6">
        <f t="shared" si="114"/>
        <v>15311.52</v>
      </c>
      <c r="W2456" s="6" t="str">
        <f t="shared" si="115"/>
        <v>Sufficient</v>
      </c>
      <c r="X2456" s="8" t="str">
        <f t="shared" si="116"/>
        <v>High</v>
      </c>
    </row>
    <row r="2457" spans="1:24">
      <c r="A2457" s="7" t="s">
        <v>2587</v>
      </c>
      <c r="B2457" s="1" t="s">
        <v>33</v>
      </c>
      <c r="C2457" s="1">
        <v>264</v>
      </c>
      <c r="D2457" s="1">
        <v>74</v>
      </c>
      <c r="E2457" s="1">
        <v>5</v>
      </c>
      <c r="F2457" s="1">
        <v>4</v>
      </c>
      <c r="G2457" s="1">
        <v>46.61</v>
      </c>
      <c r="H2457" s="1" t="s">
        <v>346</v>
      </c>
      <c r="I2457" s="1" t="s">
        <v>45</v>
      </c>
      <c r="J2457" s="1">
        <v>138</v>
      </c>
      <c r="K2457" s="1">
        <v>3.61</v>
      </c>
      <c r="L2457" s="4">
        <v>62.69</v>
      </c>
      <c r="M2457" s="1">
        <v>1.68</v>
      </c>
      <c r="N2457" s="1">
        <v>6</v>
      </c>
      <c r="O2457" s="1">
        <v>0.95</v>
      </c>
      <c r="P2457" s="1">
        <v>446</v>
      </c>
      <c r="Q2457" s="1">
        <v>9.4600000000000009</v>
      </c>
      <c r="R2457" s="1">
        <v>0.62</v>
      </c>
      <c r="S2457" s="2">
        <v>45383</v>
      </c>
      <c r="T2457" s="1">
        <v>111.9</v>
      </c>
      <c r="U2457" s="1">
        <v>0.55200000000000005</v>
      </c>
      <c r="V2457" s="6">
        <f t="shared" si="114"/>
        <v>16550.16</v>
      </c>
      <c r="W2457" s="6" t="str">
        <f t="shared" si="115"/>
        <v>Sufficient</v>
      </c>
      <c r="X2457" s="8" t="str">
        <f t="shared" si="116"/>
        <v>High</v>
      </c>
    </row>
    <row r="2458" spans="1:24">
      <c r="A2458" s="7" t="s">
        <v>2588</v>
      </c>
      <c r="B2458" s="1" t="s">
        <v>29</v>
      </c>
      <c r="C2458" s="1">
        <v>182</v>
      </c>
      <c r="D2458" s="1">
        <v>62</v>
      </c>
      <c r="E2458" s="1">
        <v>9</v>
      </c>
      <c r="F2458" s="1">
        <v>3</v>
      </c>
      <c r="G2458" s="1">
        <v>28.94</v>
      </c>
      <c r="H2458" s="1" t="s">
        <v>558</v>
      </c>
      <c r="I2458" s="1" t="s">
        <v>45</v>
      </c>
      <c r="J2458" s="1">
        <v>37</v>
      </c>
      <c r="K2458" s="1">
        <v>1.04</v>
      </c>
      <c r="L2458" s="4">
        <v>55.62</v>
      </c>
      <c r="M2458" s="1">
        <v>1.36</v>
      </c>
      <c r="N2458" s="1">
        <v>7</v>
      </c>
      <c r="O2458" s="1">
        <v>0.76</v>
      </c>
      <c r="P2458" s="1">
        <v>324</v>
      </c>
      <c r="Q2458" s="1">
        <v>2.82</v>
      </c>
      <c r="R2458" s="1">
        <v>0.72</v>
      </c>
      <c r="S2458" s="2">
        <v>45420</v>
      </c>
      <c r="T2458" s="1">
        <v>270.45</v>
      </c>
      <c r="U2458" s="1">
        <v>0.45800000000000002</v>
      </c>
      <c r="V2458" s="6">
        <f t="shared" si="114"/>
        <v>10122.84</v>
      </c>
      <c r="W2458" s="6" t="str">
        <f t="shared" si="115"/>
        <v>Sufficient</v>
      </c>
      <c r="X2458" s="8" t="str">
        <f t="shared" si="116"/>
        <v>Medium</v>
      </c>
    </row>
    <row r="2459" spans="1:24">
      <c r="A2459" s="7" t="s">
        <v>2589</v>
      </c>
      <c r="B2459" s="1" t="s">
        <v>25</v>
      </c>
      <c r="C2459" s="1">
        <v>79</v>
      </c>
      <c r="D2459" s="1">
        <v>76</v>
      </c>
      <c r="E2459" s="1">
        <v>9</v>
      </c>
      <c r="F2459" s="1">
        <v>2</v>
      </c>
      <c r="G2459" s="1">
        <v>36.97</v>
      </c>
      <c r="H2459" s="1" t="s">
        <v>57</v>
      </c>
      <c r="I2459" s="1" t="s">
        <v>27</v>
      </c>
      <c r="J2459" s="1">
        <v>117</v>
      </c>
      <c r="K2459" s="1">
        <v>2.93</v>
      </c>
      <c r="L2459" s="4">
        <v>67.19</v>
      </c>
      <c r="M2459" s="1">
        <v>0.92</v>
      </c>
      <c r="N2459" s="1">
        <v>6</v>
      </c>
      <c r="O2459" s="1">
        <v>0.8</v>
      </c>
      <c r="P2459" s="1">
        <v>187</v>
      </c>
      <c r="Q2459" s="1">
        <v>11.9</v>
      </c>
      <c r="R2459" s="1">
        <v>0.92</v>
      </c>
      <c r="S2459" s="2">
        <v>45577</v>
      </c>
      <c r="T2459" s="1">
        <v>234.97</v>
      </c>
      <c r="U2459" s="1">
        <v>0.69099999999999995</v>
      </c>
      <c r="V2459" s="6">
        <f t="shared" si="114"/>
        <v>5308.01</v>
      </c>
      <c r="W2459" s="6" t="str">
        <f t="shared" si="115"/>
        <v>Sufficient</v>
      </c>
      <c r="X2459" s="8" t="str">
        <f t="shared" si="116"/>
        <v>LOW</v>
      </c>
    </row>
    <row r="2460" spans="1:24">
      <c r="A2460" s="7" t="s">
        <v>2590</v>
      </c>
      <c r="B2460" s="1" t="s">
        <v>66</v>
      </c>
      <c r="C2460" s="1">
        <v>25</v>
      </c>
      <c r="D2460" s="1">
        <v>99</v>
      </c>
      <c r="E2460" s="1">
        <v>14</v>
      </c>
      <c r="F2460" s="1">
        <v>7</v>
      </c>
      <c r="G2460" s="1">
        <v>47.59</v>
      </c>
      <c r="H2460" s="1" t="s">
        <v>153</v>
      </c>
      <c r="I2460" s="1" t="s">
        <v>45</v>
      </c>
      <c r="J2460" s="1">
        <v>18</v>
      </c>
      <c r="K2460" s="1">
        <v>3.78</v>
      </c>
      <c r="L2460" s="4">
        <v>66.819999999999993</v>
      </c>
      <c r="M2460" s="1">
        <v>1.82</v>
      </c>
      <c r="N2460" s="1">
        <v>7</v>
      </c>
      <c r="O2460" s="1">
        <v>0.86</v>
      </c>
      <c r="P2460" s="1">
        <v>222</v>
      </c>
      <c r="Q2460" s="1">
        <v>3.8</v>
      </c>
      <c r="R2460" s="1">
        <v>0.25</v>
      </c>
      <c r="S2460" s="2">
        <v>45328</v>
      </c>
      <c r="T2460" s="1">
        <v>251.41</v>
      </c>
      <c r="U2460" s="1">
        <v>0.35099999999999998</v>
      </c>
      <c r="V2460" s="6">
        <f t="shared" si="114"/>
        <v>1670.4999999999998</v>
      </c>
      <c r="W2460" s="6" t="str">
        <f t="shared" si="115"/>
        <v>Reorder Required</v>
      </c>
      <c r="X2460" s="8" t="str">
        <f t="shared" si="116"/>
        <v>LOW</v>
      </c>
    </row>
    <row r="2461" spans="1:24">
      <c r="A2461" s="7" t="s">
        <v>2591</v>
      </c>
      <c r="B2461" s="1" t="s">
        <v>66</v>
      </c>
      <c r="C2461" s="1">
        <v>216</v>
      </c>
      <c r="D2461" s="1">
        <v>27</v>
      </c>
      <c r="E2461" s="1">
        <v>11</v>
      </c>
      <c r="F2461" s="1">
        <v>5</v>
      </c>
      <c r="G2461" s="1">
        <v>5.09</v>
      </c>
      <c r="H2461" s="1" t="s">
        <v>331</v>
      </c>
      <c r="I2461" s="1" t="s">
        <v>31</v>
      </c>
      <c r="J2461" s="1">
        <v>173</v>
      </c>
      <c r="K2461" s="1">
        <v>2.99</v>
      </c>
      <c r="L2461" s="4">
        <v>116.2</v>
      </c>
      <c r="M2461" s="1">
        <v>1.54</v>
      </c>
      <c r="N2461" s="1">
        <v>8</v>
      </c>
      <c r="O2461" s="1">
        <v>0.87</v>
      </c>
      <c r="P2461" s="1">
        <v>376</v>
      </c>
      <c r="Q2461" s="1">
        <v>13.1</v>
      </c>
      <c r="R2461" s="1">
        <v>0.28000000000000003</v>
      </c>
      <c r="S2461" s="2">
        <v>45586</v>
      </c>
      <c r="T2461" s="1">
        <v>94.78</v>
      </c>
      <c r="U2461" s="1">
        <v>0.49099999999999999</v>
      </c>
      <c r="V2461" s="6">
        <f t="shared" si="114"/>
        <v>25099.200000000001</v>
      </c>
      <c r="W2461" s="6" t="str">
        <f t="shared" si="115"/>
        <v>Sufficient</v>
      </c>
      <c r="X2461" s="8" t="str">
        <f t="shared" si="116"/>
        <v>Medium</v>
      </c>
    </row>
    <row r="2462" spans="1:24">
      <c r="A2462" s="7" t="s">
        <v>2592</v>
      </c>
      <c r="B2462" s="1" t="s">
        <v>41</v>
      </c>
      <c r="C2462" s="1">
        <v>489</v>
      </c>
      <c r="D2462" s="1">
        <v>18</v>
      </c>
      <c r="E2462" s="1">
        <v>8</v>
      </c>
      <c r="F2462" s="1">
        <v>9</v>
      </c>
      <c r="G2462" s="1">
        <v>1.28</v>
      </c>
      <c r="H2462" s="1" t="s">
        <v>229</v>
      </c>
      <c r="I2462" s="1" t="s">
        <v>45</v>
      </c>
      <c r="J2462" s="1">
        <v>171</v>
      </c>
      <c r="K2462" s="1">
        <v>4.7699999999999996</v>
      </c>
      <c r="L2462" s="4">
        <v>57.61</v>
      </c>
      <c r="M2462" s="1">
        <v>0.24</v>
      </c>
      <c r="N2462" s="1">
        <v>0</v>
      </c>
      <c r="O2462" s="1">
        <v>0.76</v>
      </c>
      <c r="P2462" s="1">
        <v>832</v>
      </c>
      <c r="Q2462" s="1">
        <v>7.33</v>
      </c>
      <c r="R2462" s="1">
        <v>0.56999999999999995</v>
      </c>
      <c r="S2462" s="2">
        <v>45408</v>
      </c>
      <c r="T2462" s="1">
        <v>263.31</v>
      </c>
      <c r="U2462" s="1">
        <v>0.74</v>
      </c>
      <c r="V2462" s="6">
        <f t="shared" si="114"/>
        <v>28171.29</v>
      </c>
      <c r="W2462" s="6" t="str">
        <f t="shared" si="115"/>
        <v>Sufficient</v>
      </c>
      <c r="X2462" s="8" t="str">
        <f t="shared" si="116"/>
        <v>High</v>
      </c>
    </row>
    <row r="2463" spans="1:24">
      <c r="A2463" s="7" t="s">
        <v>2593</v>
      </c>
      <c r="B2463" s="1" t="s">
        <v>25</v>
      </c>
      <c r="C2463" s="1">
        <v>77</v>
      </c>
      <c r="D2463" s="1">
        <v>47</v>
      </c>
      <c r="E2463" s="1">
        <v>3</v>
      </c>
      <c r="F2463" s="1">
        <v>7</v>
      </c>
      <c r="G2463" s="1">
        <v>2.46</v>
      </c>
      <c r="H2463" s="1" t="s">
        <v>81</v>
      </c>
      <c r="I2463" s="1" t="s">
        <v>27</v>
      </c>
      <c r="J2463" s="1">
        <v>41</v>
      </c>
      <c r="K2463" s="1">
        <v>0.96</v>
      </c>
      <c r="L2463" s="4">
        <v>188.78</v>
      </c>
      <c r="M2463" s="1">
        <v>0.39</v>
      </c>
      <c r="N2463" s="1">
        <v>9</v>
      </c>
      <c r="O2463" s="1">
        <v>0.77</v>
      </c>
      <c r="P2463" s="1">
        <v>264</v>
      </c>
      <c r="Q2463" s="1">
        <v>2.3199999999999998</v>
      </c>
      <c r="R2463" s="1">
        <v>0.69</v>
      </c>
      <c r="S2463" s="2">
        <v>45424</v>
      </c>
      <c r="T2463" s="1">
        <v>198.43</v>
      </c>
      <c r="U2463" s="1">
        <v>0.504</v>
      </c>
      <c r="V2463" s="6">
        <f t="shared" si="114"/>
        <v>14536.06</v>
      </c>
      <c r="W2463" s="6" t="str">
        <f t="shared" si="115"/>
        <v>Sufficient</v>
      </c>
      <c r="X2463" s="8" t="str">
        <f t="shared" si="116"/>
        <v>LOW</v>
      </c>
    </row>
    <row r="2464" spans="1:24">
      <c r="A2464" s="7" t="s">
        <v>2594</v>
      </c>
      <c r="B2464" s="1" t="s">
        <v>66</v>
      </c>
      <c r="C2464" s="1">
        <v>324</v>
      </c>
      <c r="D2464" s="1">
        <v>96</v>
      </c>
      <c r="E2464" s="1">
        <v>10</v>
      </c>
      <c r="F2464" s="1">
        <v>5</v>
      </c>
      <c r="G2464" s="1">
        <v>28.6</v>
      </c>
      <c r="H2464" s="1" t="s">
        <v>282</v>
      </c>
      <c r="I2464" s="1" t="s">
        <v>45</v>
      </c>
      <c r="J2464" s="1">
        <v>75</v>
      </c>
      <c r="K2464" s="1">
        <v>3.75</v>
      </c>
      <c r="L2464" s="4">
        <v>107.14</v>
      </c>
      <c r="M2464" s="1">
        <v>0.26</v>
      </c>
      <c r="N2464" s="1">
        <v>5</v>
      </c>
      <c r="O2464" s="1">
        <v>0.93</v>
      </c>
      <c r="P2464" s="1">
        <v>277</v>
      </c>
      <c r="Q2464" s="1">
        <v>6.09</v>
      </c>
      <c r="R2464" s="1">
        <v>0.2</v>
      </c>
      <c r="S2464" s="2">
        <v>45500</v>
      </c>
      <c r="T2464" s="1">
        <v>224.02</v>
      </c>
      <c r="U2464" s="1">
        <v>0.58099999999999996</v>
      </c>
      <c r="V2464" s="6">
        <f t="shared" si="114"/>
        <v>34713.360000000001</v>
      </c>
      <c r="W2464" s="6" t="str">
        <f t="shared" si="115"/>
        <v>Sufficient</v>
      </c>
      <c r="X2464" s="8" t="str">
        <f t="shared" si="116"/>
        <v>High</v>
      </c>
    </row>
    <row r="2465" spans="1:24">
      <c r="A2465" s="7" t="s">
        <v>2595</v>
      </c>
      <c r="B2465" s="1" t="s">
        <v>33</v>
      </c>
      <c r="C2465" s="1">
        <v>426</v>
      </c>
      <c r="D2465" s="1">
        <v>30</v>
      </c>
      <c r="E2465" s="1">
        <v>3</v>
      </c>
      <c r="F2465" s="1">
        <v>9</v>
      </c>
      <c r="G2465" s="1">
        <v>38.380000000000003</v>
      </c>
      <c r="H2465" s="1" t="s">
        <v>459</v>
      </c>
      <c r="I2465" s="1" t="s">
        <v>27</v>
      </c>
      <c r="J2465" s="1">
        <v>109</v>
      </c>
      <c r="K2465" s="1">
        <v>4.21</v>
      </c>
      <c r="L2465" s="4">
        <v>34.5</v>
      </c>
      <c r="M2465" s="1">
        <v>0.71</v>
      </c>
      <c r="N2465" s="1">
        <v>3</v>
      </c>
      <c r="O2465" s="1">
        <v>0.92</v>
      </c>
      <c r="P2465" s="1">
        <v>156</v>
      </c>
      <c r="Q2465" s="1">
        <v>11.92</v>
      </c>
      <c r="R2465" s="1">
        <v>0.56000000000000005</v>
      </c>
      <c r="S2465" s="2">
        <v>45490</v>
      </c>
      <c r="T2465" s="1">
        <v>100.6</v>
      </c>
      <c r="U2465" s="1">
        <v>0.72399999999999998</v>
      </c>
      <c r="V2465" s="6">
        <f t="shared" si="114"/>
        <v>14697</v>
      </c>
      <c r="W2465" s="6" t="str">
        <f t="shared" si="115"/>
        <v>Sufficient</v>
      </c>
      <c r="X2465" s="8" t="str">
        <f t="shared" si="116"/>
        <v>High</v>
      </c>
    </row>
    <row r="2466" spans="1:24">
      <c r="A2466" s="7" t="s">
        <v>2596</v>
      </c>
      <c r="B2466" s="1" t="s">
        <v>25</v>
      </c>
      <c r="C2466" s="1">
        <v>236</v>
      </c>
      <c r="D2466" s="1">
        <v>74</v>
      </c>
      <c r="E2466" s="1">
        <v>5</v>
      </c>
      <c r="F2466" s="1">
        <v>9</v>
      </c>
      <c r="G2466" s="1">
        <v>18.989999999999998</v>
      </c>
      <c r="H2466" s="1" t="s">
        <v>274</v>
      </c>
      <c r="I2466" s="1" t="s">
        <v>45</v>
      </c>
      <c r="J2466" s="1">
        <v>162</v>
      </c>
      <c r="K2466" s="1">
        <v>3.66</v>
      </c>
      <c r="L2466" s="4">
        <v>63.13</v>
      </c>
      <c r="M2466" s="1">
        <v>0.93</v>
      </c>
      <c r="N2466" s="1">
        <v>0</v>
      </c>
      <c r="O2466" s="1">
        <v>0.95</v>
      </c>
      <c r="P2466" s="1">
        <v>208</v>
      </c>
      <c r="Q2466" s="1">
        <v>2.0699999999999998</v>
      </c>
      <c r="R2466" s="1">
        <v>0.34</v>
      </c>
      <c r="S2466" s="2">
        <v>45522</v>
      </c>
      <c r="T2466" s="1">
        <v>81.05</v>
      </c>
      <c r="U2466" s="1">
        <v>0.59299999999999997</v>
      </c>
      <c r="V2466" s="6">
        <f t="shared" si="114"/>
        <v>14898.68</v>
      </c>
      <c r="W2466" s="6" t="str">
        <f t="shared" si="115"/>
        <v>Sufficient</v>
      </c>
      <c r="X2466" s="8" t="str">
        <f t="shared" si="116"/>
        <v>Medium</v>
      </c>
    </row>
    <row r="2467" spans="1:24">
      <c r="A2467" s="7" t="s">
        <v>2597</v>
      </c>
      <c r="B2467" s="1" t="s">
        <v>33</v>
      </c>
      <c r="C2467" s="1">
        <v>437</v>
      </c>
      <c r="D2467" s="1">
        <v>30</v>
      </c>
      <c r="E2467" s="1">
        <v>13</v>
      </c>
      <c r="F2467" s="1">
        <v>8</v>
      </c>
      <c r="G2467" s="1">
        <v>27.72</v>
      </c>
      <c r="H2467" s="1" t="s">
        <v>411</v>
      </c>
      <c r="I2467" s="1" t="s">
        <v>39</v>
      </c>
      <c r="J2467" s="1">
        <v>163</v>
      </c>
      <c r="K2467" s="1">
        <v>2.2400000000000002</v>
      </c>
      <c r="L2467" s="4">
        <v>148.65</v>
      </c>
      <c r="M2467" s="1">
        <v>1.06</v>
      </c>
      <c r="N2467" s="1">
        <v>1</v>
      </c>
      <c r="O2467" s="1">
        <v>0.98</v>
      </c>
      <c r="P2467" s="1">
        <v>943</v>
      </c>
      <c r="Q2467" s="1">
        <v>9.76</v>
      </c>
      <c r="R2467" s="1">
        <v>0.72</v>
      </c>
      <c r="S2467" s="2">
        <v>45614</v>
      </c>
      <c r="T2467" s="1">
        <v>128.37</v>
      </c>
      <c r="U2467" s="1">
        <v>0.74399999999999999</v>
      </c>
      <c r="V2467" s="6">
        <f t="shared" si="114"/>
        <v>64960.05</v>
      </c>
      <c r="W2467" s="6" t="str">
        <f t="shared" si="115"/>
        <v>Sufficient</v>
      </c>
      <c r="X2467" s="8" t="str">
        <f t="shared" si="116"/>
        <v>High</v>
      </c>
    </row>
    <row r="2468" spans="1:24">
      <c r="A2468" s="7" t="s">
        <v>2598</v>
      </c>
      <c r="B2468" s="1" t="s">
        <v>33</v>
      </c>
      <c r="C2468" s="1">
        <v>45</v>
      </c>
      <c r="D2468" s="1">
        <v>36</v>
      </c>
      <c r="E2468" s="1">
        <v>7</v>
      </c>
      <c r="F2468" s="1">
        <v>2</v>
      </c>
      <c r="G2468" s="1">
        <v>26.3</v>
      </c>
      <c r="H2468" s="1" t="s">
        <v>159</v>
      </c>
      <c r="I2468" s="1" t="s">
        <v>27</v>
      </c>
      <c r="J2468" s="1">
        <v>30</v>
      </c>
      <c r="K2468" s="1">
        <v>2.23</v>
      </c>
      <c r="L2468" s="4">
        <v>12.6</v>
      </c>
      <c r="M2468" s="1">
        <v>1.72</v>
      </c>
      <c r="N2468" s="1">
        <v>9</v>
      </c>
      <c r="O2468" s="1">
        <v>0.79</v>
      </c>
      <c r="P2468" s="1">
        <v>185</v>
      </c>
      <c r="Q2468" s="1">
        <v>8.1</v>
      </c>
      <c r="R2468" s="1">
        <v>0.41</v>
      </c>
      <c r="S2468" s="2">
        <v>45499</v>
      </c>
      <c r="T2468" s="1">
        <v>176.81</v>
      </c>
      <c r="U2468" s="1">
        <v>0.39600000000000002</v>
      </c>
      <c r="V2468" s="6">
        <f t="shared" si="114"/>
        <v>567</v>
      </c>
      <c r="W2468" s="6" t="str">
        <f t="shared" si="115"/>
        <v>Sufficient</v>
      </c>
      <c r="X2468" s="8" t="str">
        <f t="shared" si="116"/>
        <v>LOW</v>
      </c>
    </row>
    <row r="2469" spans="1:24">
      <c r="A2469" s="7" t="s">
        <v>2599</v>
      </c>
      <c r="B2469" s="1" t="s">
        <v>66</v>
      </c>
      <c r="C2469" s="1">
        <v>322</v>
      </c>
      <c r="D2469" s="1">
        <v>79</v>
      </c>
      <c r="E2469" s="1">
        <v>10</v>
      </c>
      <c r="F2469" s="1">
        <v>9</v>
      </c>
      <c r="G2469" s="1">
        <v>5.64</v>
      </c>
      <c r="H2469" s="1" t="s">
        <v>411</v>
      </c>
      <c r="I2469" s="1" t="s">
        <v>45</v>
      </c>
      <c r="J2469" s="1">
        <v>91</v>
      </c>
      <c r="K2469" s="1">
        <v>3.14</v>
      </c>
      <c r="L2469" s="4">
        <v>188.19</v>
      </c>
      <c r="M2469" s="1">
        <v>0.13</v>
      </c>
      <c r="N2469" s="1">
        <v>3</v>
      </c>
      <c r="O2469" s="1">
        <v>0.96</v>
      </c>
      <c r="P2469" s="1">
        <v>812</v>
      </c>
      <c r="Q2469" s="1">
        <v>5.34</v>
      </c>
      <c r="R2469" s="1">
        <v>0.92</v>
      </c>
      <c r="S2469" s="2">
        <v>45513</v>
      </c>
      <c r="T2469" s="1">
        <v>203.14</v>
      </c>
      <c r="U2469" s="1">
        <v>0.77400000000000002</v>
      </c>
      <c r="V2469" s="6">
        <f t="shared" si="114"/>
        <v>60597.18</v>
      </c>
      <c r="W2469" s="6" t="str">
        <f t="shared" si="115"/>
        <v>Sufficient</v>
      </c>
      <c r="X2469" s="8" t="str">
        <f t="shared" si="116"/>
        <v>High</v>
      </c>
    </row>
    <row r="2470" spans="1:24">
      <c r="A2470" s="7" t="s">
        <v>2600</v>
      </c>
      <c r="B2470" s="1" t="s">
        <v>25</v>
      </c>
      <c r="C2470" s="1">
        <v>24</v>
      </c>
      <c r="D2470" s="1">
        <v>53</v>
      </c>
      <c r="E2470" s="1">
        <v>11</v>
      </c>
      <c r="F2470" s="1">
        <v>7</v>
      </c>
      <c r="G2470" s="1">
        <v>16.760000000000002</v>
      </c>
      <c r="H2470" s="1" t="s">
        <v>147</v>
      </c>
      <c r="I2470" s="1" t="s">
        <v>31</v>
      </c>
      <c r="J2470" s="1">
        <v>33</v>
      </c>
      <c r="K2470" s="1">
        <v>2.29</v>
      </c>
      <c r="L2470" s="4">
        <v>94.58</v>
      </c>
      <c r="M2470" s="1">
        <v>0.91</v>
      </c>
      <c r="N2470" s="1">
        <v>0</v>
      </c>
      <c r="O2470" s="1">
        <v>0.9</v>
      </c>
      <c r="P2470" s="1">
        <v>79</v>
      </c>
      <c r="Q2470" s="1">
        <v>11.58</v>
      </c>
      <c r="R2470" s="1">
        <v>0.25</v>
      </c>
      <c r="S2470" s="2">
        <v>45453</v>
      </c>
      <c r="T2470" s="1">
        <v>154.41</v>
      </c>
      <c r="U2470" s="1">
        <v>0.69299999999999995</v>
      </c>
      <c r="V2470" s="6">
        <f t="shared" si="114"/>
        <v>2269.92</v>
      </c>
      <c r="W2470" s="6" t="str">
        <f t="shared" si="115"/>
        <v>Reorder Required</v>
      </c>
      <c r="X2470" s="8" t="str">
        <f t="shared" si="116"/>
        <v>LOW</v>
      </c>
    </row>
    <row r="2471" spans="1:24">
      <c r="A2471" s="7" t="s">
        <v>2601</v>
      </c>
      <c r="B2471" s="1" t="s">
        <v>29</v>
      </c>
      <c r="C2471" s="1">
        <v>493</v>
      </c>
      <c r="D2471" s="1">
        <v>37</v>
      </c>
      <c r="E2471" s="1">
        <v>9</v>
      </c>
      <c r="F2471" s="1">
        <v>9</v>
      </c>
      <c r="G2471" s="1">
        <v>1.95</v>
      </c>
      <c r="H2471" s="1" t="s">
        <v>185</v>
      </c>
      <c r="I2471" s="1" t="s">
        <v>27</v>
      </c>
      <c r="J2471" s="1">
        <v>120</v>
      </c>
      <c r="K2471" s="1">
        <v>4.47</v>
      </c>
      <c r="L2471" s="4">
        <v>109.01</v>
      </c>
      <c r="M2471" s="1">
        <v>0.88</v>
      </c>
      <c r="N2471" s="1">
        <v>5</v>
      </c>
      <c r="O2471" s="1">
        <v>0.99</v>
      </c>
      <c r="P2471" s="1">
        <v>147</v>
      </c>
      <c r="Q2471" s="1">
        <v>1.73</v>
      </c>
      <c r="R2471" s="1">
        <v>0.85</v>
      </c>
      <c r="S2471" s="2">
        <v>45300</v>
      </c>
      <c r="T2471" s="1">
        <v>212.67</v>
      </c>
      <c r="U2471" s="1">
        <v>0.60299999999999998</v>
      </c>
      <c r="V2471" s="6">
        <f t="shared" si="114"/>
        <v>53741.93</v>
      </c>
      <c r="W2471" s="6" t="str">
        <f t="shared" si="115"/>
        <v>Sufficient</v>
      </c>
      <c r="X2471" s="8" t="str">
        <f t="shared" si="116"/>
        <v>High</v>
      </c>
    </row>
    <row r="2472" spans="1:24">
      <c r="A2472" s="7" t="s">
        <v>2602</v>
      </c>
      <c r="B2472" s="1" t="s">
        <v>66</v>
      </c>
      <c r="C2472" s="1">
        <v>39</v>
      </c>
      <c r="D2472" s="1">
        <v>54</v>
      </c>
      <c r="E2472" s="1">
        <v>11</v>
      </c>
      <c r="F2472" s="1">
        <v>4</v>
      </c>
      <c r="G2472" s="1">
        <v>6.42</v>
      </c>
      <c r="H2472" s="1" t="s">
        <v>346</v>
      </c>
      <c r="I2472" s="1" t="s">
        <v>27</v>
      </c>
      <c r="J2472" s="1">
        <v>101</v>
      </c>
      <c r="K2472" s="1">
        <v>0.99</v>
      </c>
      <c r="L2472" s="4">
        <v>197.8</v>
      </c>
      <c r="M2472" s="1">
        <v>1.9</v>
      </c>
      <c r="N2472" s="1">
        <v>0</v>
      </c>
      <c r="O2472" s="1">
        <v>0.78</v>
      </c>
      <c r="P2472" s="1">
        <v>658</v>
      </c>
      <c r="Q2472" s="1">
        <v>7.97</v>
      </c>
      <c r="R2472" s="1">
        <v>0.51</v>
      </c>
      <c r="S2472" s="2">
        <v>45491</v>
      </c>
      <c r="T2472" s="1">
        <v>215.42</v>
      </c>
      <c r="U2472" s="1">
        <v>0.57399999999999995</v>
      </c>
      <c r="V2472" s="6">
        <f t="shared" si="114"/>
        <v>7714.2000000000007</v>
      </c>
      <c r="W2472" s="6" t="str">
        <f t="shared" si="115"/>
        <v>Reorder Required</v>
      </c>
      <c r="X2472" s="8" t="str">
        <f t="shared" si="116"/>
        <v>LOW</v>
      </c>
    </row>
    <row r="2473" spans="1:24">
      <c r="A2473" s="7" t="s">
        <v>2603</v>
      </c>
      <c r="B2473" s="1" t="s">
        <v>66</v>
      </c>
      <c r="C2473" s="1">
        <v>409</v>
      </c>
      <c r="D2473" s="1">
        <v>26</v>
      </c>
      <c r="E2473" s="1">
        <v>13</v>
      </c>
      <c r="F2473" s="1">
        <v>7</v>
      </c>
      <c r="G2473" s="1">
        <v>40.78</v>
      </c>
      <c r="H2473" s="1" t="s">
        <v>214</v>
      </c>
      <c r="I2473" s="1" t="s">
        <v>45</v>
      </c>
      <c r="J2473" s="1">
        <v>21</v>
      </c>
      <c r="K2473" s="1">
        <v>3.38</v>
      </c>
      <c r="L2473" s="4">
        <v>105.65</v>
      </c>
      <c r="M2473" s="1">
        <v>0.56000000000000005</v>
      </c>
      <c r="N2473" s="1">
        <v>8</v>
      </c>
      <c r="O2473" s="1">
        <v>0.78</v>
      </c>
      <c r="P2473" s="1">
        <v>818</v>
      </c>
      <c r="Q2473" s="1">
        <v>8.1</v>
      </c>
      <c r="R2473" s="1">
        <v>0.89</v>
      </c>
      <c r="S2473" s="2">
        <v>45636</v>
      </c>
      <c r="T2473" s="1">
        <v>203.16</v>
      </c>
      <c r="U2473" s="1">
        <v>0.626</v>
      </c>
      <c r="V2473" s="6">
        <f t="shared" si="114"/>
        <v>43210.850000000006</v>
      </c>
      <c r="W2473" s="6" t="str">
        <f t="shared" si="115"/>
        <v>Sufficient</v>
      </c>
      <c r="X2473" s="8" t="str">
        <f t="shared" si="116"/>
        <v>High</v>
      </c>
    </row>
    <row r="2474" spans="1:24">
      <c r="A2474" s="7" t="s">
        <v>2604</v>
      </c>
      <c r="B2474" s="1" t="s">
        <v>25</v>
      </c>
      <c r="C2474" s="1">
        <v>217</v>
      </c>
      <c r="D2474" s="1">
        <v>49</v>
      </c>
      <c r="E2474" s="1">
        <v>5</v>
      </c>
      <c r="F2474" s="1">
        <v>2</v>
      </c>
      <c r="G2474" s="1">
        <v>41.64</v>
      </c>
      <c r="H2474" s="1" t="s">
        <v>183</v>
      </c>
      <c r="I2474" s="1" t="s">
        <v>39</v>
      </c>
      <c r="J2474" s="1">
        <v>148</v>
      </c>
      <c r="K2474" s="1">
        <v>1.1000000000000001</v>
      </c>
      <c r="L2474" s="4">
        <v>190.07</v>
      </c>
      <c r="M2474" s="1">
        <v>0.33</v>
      </c>
      <c r="N2474" s="1">
        <v>9</v>
      </c>
      <c r="O2474" s="1">
        <v>0.91</v>
      </c>
      <c r="P2474" s="1">
        <v>833</v>
      </c>
      <c r="Q2474" s="1">
        <v>2.21</v>
      </c>
      <c r="R2474" s="1">
        <v>0.85</v>
      </c>
      <c r="S2474" s="2">
        <v>45352</v>
      </c>
      <c r="T2474" s="1">
        <v>82.82</v>
      </c>
      <c r="U2474" s="1">
        <v>0.56799999999999995</v>
      </c>
      <c r="V2474" s="6">
        <f t="shared" si="114"/>
        <v>41245.189999999995</v>
      </c>
      <c r="W2474" s="6" t="str">
        <f t="shared" si="115"/>
        <v>Sufficient</v>
      </c>
      <c r="X2474" s="8" t="str">
        <f t="shared" si="116"/>
        <v>Medium</v>
      </c>
    </row>
    <row r="2475" spans="1:24">
      <c r="A2475" s="7" t="s">
        <v>2605</v>
      </c>
      <c r="B2475" s="1" t="s">
        <v>25</v>
      </c>
      <c r="C2475" s="1">
        <v>78</v>
      </c>
      <c r="D2475" s="1">
        <v>12</v>
      </c>
      <c r="E2475" s="1">
        <v>7</v>
      </c>
      <c r="F2475" s="1">
        <v>3</v>
      </c>
      <c r="G2475" s="1">
        <v>40.299999999999997</v>
      </c>
      <c r="H2475" s="1" t="s">
        <v>185</v>
      </c>
      <c r="I2475" s="1" t="s">
        <v>39</v>
      </c>
      <c r="J2475" s="1">
        <v>164</v>
      </c>
      <c r="K2475" s="1">
        <v>2.93</v>
      </c>
      <c r="L2475" s="4">
        <v>183.89</v>
      </c>
      <c r="M2475" s="1">
        <v>0.37</v>
      </c>
      <c r="N2475" s="1">
        <v>2</v>
      </c>
      <c r="O2475" s="1">
        <v>0.98</v>
      </c>
      <c r="P2475" s="1">
        <v>931</v>
      </c>
      <c r="Q2475" s="1">
        <v>2.9</v>
      </c>
      <c r="R2475" s="1">
        <v>0.39</v>
      </c>
      <c r="S2475" s="2">
        <v>45565</v>
      </c>
      <c r="T2475" s="1">
        <v>139.44</v>
      </c>
      <c r="U2475" s="1">
        <v>0.63600000000000001</v>
      </c>
      <c r="V2475" s="6">
        <f t="shared" si="114"/>
        <v>14343.419999999998</v>
      </c>
      <c r="W2475" s="6" t="str">
        <f t="shared" si="115"/>
        <v>Sufficient</v>
      </c>
      <c r="X2475" s="8" t="str">
        <f t="shared" si="116"/>
        <v>LOW</v>
      </c>
    </row>
    <row r="2476" spans="1:24">
      <c r="A2476" s="7" t="s">
        <v>2606</v>
      </c>
      <c r="B2476" s="1" t="s">
        <v>33</v>
      </c>
      <c r="C2476" s="1">
        <v>467</v>
      </c>
      <c r="D2476" s="1">
        <v>85</v>
      </c>
      <c r="E2476" s="1">
        <v>12</v>
      </c>
      <c r="F2476" s="1">
        <v>3</v>
      </c>
      <c r="G2476" s="1">
        <v>36.61</v>
      </c>
      <c r="H2476" s="1" t="s">
        <v>91</v>
      </c>
      <c r="I2476" s="1" t="s">
        <v>45</v>
      </c>
      <c r="J2476" s="1">
        <v>32</v>
      </c>
      <c r="K2476" s="1">
        <v>3.72</v>
      </c>
      <c r="L2476" s="4">
        <v>188.85</v>
      </c>
      <c r="M2476" s="1">
        <v>1.0900000000000001</v>
      </c>
      <c r="N2476" s="1">
        <v>0</v>
      </c>
      <c r="O2476" s="1">
        <v>0.95</v>
      </c>
      <c r="P2476" s="1">
        <v>572</v>
      </c>
      <c r="Q2476" s="1">
        <v>6.74</v>
      </c>
      <c r="R2476" s="1">
        <v>0.24</v>
      </c>
      <c r="S2476" s="2">
        <v>45295</v>
      </c>
      <c r="T2476" s="1">
        <v>232.07</v>
      </c>
      <c r="U2476" s="1">
        <v>0.61899999999999999</v>
      </c>
      <c r="V2476" s="6">
        <f t="shared" si="114"/>
        <v>88192.95</v>
      </c>
      <c r="W2476" s="6" t="str">
        <f t="shared" si="115"/>
        <v>Sufficient</v>
      </c>
      <c r="X2476" s="8" t="str">
        <f t="shared" si="116"/>
        <v>High</v>
      </c>
    </row>
    <row r="2477" spans="1:24">
      <c r="A2477" s="7" t="s">
        <v>2607</v>
      </c>
      <c r="B2477" s="1" t="s">
        <v>25</v>
      </c>
      <c r="C2477" s="1">
        <v>261</v>
      </c>
      <c r="D2477" s="1">
        <v>85</v>
      </c>
      <c r="E2477" s="1">
        <v>10</v>
      </c>
      <c r="F2477" s="1">
        <v>7</v>
      </c>
      <c r="G2477" s="1">
        <v>39.869999999999997</v>
      </c>
      <c r="H2477" s="1" t="s">
        <v>195</v>
      </c>
      <c r="I2477" s="1" t="s">
        <v>45</v>
      </c>
      <c r="J2477" s="1">
        <v>170</v>
      </c>
      <c r="K2477" s="1">
        <v>1.24</v>
      </c>
      <c r="L2477" s="4">
        <v>164.35</v>
      </c>
      <c r="M2477" s="1">
        <v>0.84</v>
      </c>
      <c r="N2477" s="1">
        <v>5</v>
      </c>
      <c r="O2477" s="1">
        <v>0.92</v>
      </c>
      <c r="P2477" s="1">
        <v>972</v>
      </c>
      <c r="Q2477" s="1">
        <v>8.51</v>
      </c>
      <c r="R2477" s="1">
        <v>0.76</v>
      </c>
      <c r="S2477" s="2">
        <v>45620</v>
      </c>
      <c r="T2477" s="1">
        <v>267.22000000000003</v>
      </c>
      <c r="U2477" s="1">
        <v>0.66500000000000004</v>
      </c>
      <c r="V2477" s="6">
        <f t="shared" si="114"/>
        <v>42895.35</v>
      </c>
      <c r="W2477" s="6" t="str">
        <f t="shared" si="115"/>
        <v>Sufficient</v>
      </c>
      <c r="X2477" s="8" t="str">
        <f t="shared" si="116"/>
        <v>High</v>
      </c>
    </row>
    <row r="2478" spans="1:24">
      <c r="A2478" s="7" t="s">
        <v>2608</v>
      </c>
      <c r="B2478" s="1" t="s">
        <v>33</v>
      </c>
      <c r="C2478" s="1">
        <v>165</v>
      </c>
      <c r="D2478" s="1">
        <v>75</v>
      </c>
      <c r="E2478" s="1">
        <v>14</v>
      </c>
      <c r="F2478" s="1">
        <v>7</v>
      </c>
      <c r="G2478" s="1">
        <v>33.880000000000003</v>
      </c>
      <c r="H2478" s="1" t="s">
        <v>181</v>
      </c>
      <c r="I2478" s="1" t="s">
        <v>31</v>
      </c>
      <c r="J2478" s="1">
        <v>101</v>
      </c>
      <c r="K2478" s="1">
        <v>3.67</v>
      </c>
      <c r="L2478" s="4">
        <v>66.319999999999993</v>
      </c>
      <c r="M2478" s="1">
        <v>1.53</v>
      </c>
      <c r="N2478" s="1">
        <v>5</v>
      </c>
      <c r="O2478" s="1">
        <v>0.82</v>
      </c>
      <c r="P2478" s="1">
        <v>391</v>
      </c>
      <c r="Q2478" s="1">
        <v>1.74</v>
      </c>
      <c r="R2478" s="1">
        <v>0.36</v>
      </c>
      <c r="S2478" s="2">
        <v>45608</v>
      </c>
      <c r="T2478" s="1">
        <v>155.34</v>
      </c>
      <c r="U2478" s="1">
        <v>0.40600000000000003</v>
      </c>
      <c r="V2478" s="6">
        <f t="shared" si="114"/>
        <v>10942.8</v>
      </c>
      <c r="W2478" s="6" t="str">
        <f t="shared" si="115"/>
        <v>Sufficient</v>
      </c>
      <c r="X2478" s="8" t="str">
        <f t="shared" si="116"/>
        <v>Medium</v>
      </c>
    </row>
    <row r="2479" spans="1:24">
      <c r="A2479" s="7" t="s">
        <v>2609</v>
      </c>
      <c r="B2479" s="1" t="s">
        <v>66</v>
      </c>
      <c r="C2479" s="1">
        <v>407</v>
      </c>
      <c r="D2479" s="1">
        <v>55</v>
      </c>
      <c r="E2479" s="1">
        <v>3</v>
      </c>
      <c r="F2479" s="1">
        <v>5</v>
      </c>
      <c r="G2479" s="1">
        <v>33.82</v>
      </c>
      <c r="H2479" s="1" t="s">
        <v>372</v>
      </c>
      <c r="I2479" s="1" t="s">
        <v>45</v>
      </c>
      <c r="J2479" s="1">
        <v>175</v>
      </c>
      <c r="K2479" s="1">
        <v>1.1299999999999999</v>
      </c>
      <c r="L2479" s="4">
        <v>75.81</v>
      </c>
      <c r="M2479" s="1">
        <v>0.71</v>
      </c>
      <c r="N2479" s="1">
        <v>6</v>
      </c>
      <c r="O2479" s="1">
        <v>0.92</v>
      </c>
      <c r="P2479" s="1">
        <v>217</v>
      </c>
      <c r="Q2479" s="1">
        <v>1.1599999999999999</v>
      </c>
      <c r="R2479" s="1">
        <v>0.94</v>
      </c>
      <c r="S2479" s="2">
        <v>45324</v>
      </c>
      <c r="T2479" s="1">
        <v>296.17</v>
      </c>
      <c r="U2479" s="1">
        <v>0.59599999999999997</v>
      </c>
      <c r="V2479" s="6">
        <f t="shared" si="114"/>
        <v>30854.670000000002</v>
      </c>
      <c r="W2479" s="6" t="str">
        <f t="shared" si="115"/>
        <v>Sufficient</v>
      </c>
      <c r="X2479" s="8" t="str">
        <f t="shared" si="116"/>
        <v>High</v>
      </c>
    </row>
    <row r="2480" spans="1:24">
      <c r="A2480" s="7" t="s">
        <v>2610</v>
      </c>
      <c r="B2480" s="1" t="s">
        <v>41</v>
      </c>
      <c r="C2480" s="1">
        <v>292</v>
      </c>
      <c r="D2480" s="1">
        <v>95</v>
      </c>
      <c r="E2480" s="1">
        <v>10</v>
      </c>
      <c r="F2480" s="1">
        <v>2</v>
      </c>
      <c r="G2480" s="1">
        <v>33.700000000000003</v>
      </c>
      <c r="H2480" s="1" t="s">
        <v>119</v>
      </c>
      <c r="I2480" s="1" t="s">
        <v>27</v>
      </c>
      <c r="J2480" s="1">
        <v>179</v>
      </c>
      <c r="K2480" s="1">
        <v>3.29</v>
      </c>
      <c r="L2480" s="4">
        <v>79.349999999999994</v>
      </c>
      <c r="M2480" s="1">
        <v>0.34</v>
      </c>
      <c r="N2480" s="1">
        <v>6</v>
      </c>
      <c r="O2480" s="1">
        <v>0.94</v>
      </c>
      <c r="P2480" s="1">
        <v>260</v>
      </c>
      <c r="Q2480" s="1">
        <v>3.7</v>
      </c>
      <c r="R2480" s="1">
        <v>0.25</v>
      </c>
      <c r="S2480" s="2">
        <v>45591</v>
      </c>
      <c r="T2480" s="1">
        <v>60.67</v>
      </c>
      <c r="U2480" s="1">
        <v>0.53300000000000003</v>
      </c>
      <c r="V2480" s="6">
        <f t="shared" si="114"/>
        <v>23170.199999999997</v>
      </c>
      <c r="W2480" s="6" t="str">
        <f t="shared" si="115"/>
        <v>Sufficient</v>
      </c>
      <c r="X2480" s="8" t="str">
        <f t="shared" si="116"/>
        <v>High</v>
      </c>
    </row>
    <row r="2481" spans="1:24">
      <c r="A2481" s="7" t="s">
        <v>2611</v>
      </c>
      <c r="B2481" s="1" t="s">
        <v>29</v>
      </c>
      <c r="C2481" s="1">
        <v>268</v>
      </c>
      <c r="D2481" s="1">
        <v>96</v>
      </c>
      <c r="E2481" s="1">
        <v>9</v>
      </c>
      <c r="F2481" s="1">
        <v>5</v>
      </c>
      <c r="G2481" s="1">
        <v>26.19</v>
      </c>
      <c r="H2481" s="1" t="s">
        <v>346</v>
      </c>
      <c r="I2481" s="1" t="s">
        <v>45</v>
      </c>
      <c r="J2481" s="1">
        <v>132</v>
      </c>
      <c r="K2481" s="1">
        <v>2.77</v>
      </c>
      <c r="L2481" s="4">
        <v>196.04</v>
      </c>
      <c r="M2481" s="1">
        <v>0.84</v>
      </c>
      <c r="N2481" s="1">
        <v>9</v>
      </c>
      <c r="O2481" s="1">
        <v>0.93</v>
      </c>
      <c r="P2481" s="1">
        <v>733</v>
      </c>
      <c r="Q2481" s="1">
        <v>7.83</v>
      </c>
      <c r="R2481" s="1">
        <v>0.46</v>
      </c>
      <c r="S2481" s="2">
        <v>45315</v>
      </c>
      <c r="T2481" s="1">
        <v>75.069999999999993</v>
      </c>
      <c r="U2481" s="1">
        <v>0.51800000000000002</v>
      </c>
      <c r="V2481" s="6">
        <f t="shared" si="114"/>
        <v>52538.720000000001</v>
      </c>
      <c r="W2481" s="6" t="str">
        <f t="shared" si="115"/>
        <v>Sufficient</v>
      </c>
      <c r="X2481" s="8" t="str">
        <f t="shared" si="116"/>
        <v>High</v>
      </c>
    </row>
    <row r="2482" spans="1:24">
      <c r="A2482" s="7" t="s">
        <v>2612</v>
      </c>
      <c r="B2482" s="1" t="s">
        <v>66</v>
      </c>
      <c r="C2482" s="1">
        <v>33</v>
      </c>
      <c r="D2482" s="1">
        <v>39</v>
      </c>
      <c r="E2482" s="1">
        <v>3</v>
      </c>
      <c r="F2482" s="1">
        <v>4</v>
      </c>
      <c r="G2482" s="1">
        <v>18.8</v>
      </c>
      <c r="H2482" s="1" t="s">
        <v>208</v>
      </c>
      <c r="I2482" s="1" t="s">
        <v>31</v>
      </c>
      <c r="J2482" s="1">
        <v>166</v>
      </c>
      <c r="K2482" s="1">
        <v>1.84</v>
      </c>
      <c r="L2482" s="4">
        <v>78.540000000000006</v>
      </c>
      <c r="M2482" s="1">
        <v>1.78</v>
      </c>
      <c r="N2482" s="1">
        <v>3</v>
      </c>
      <c r="O2482" s="1">
        <v>0.9</v>
      </c>
      <c r="P2482" s="1">
        <v>887</v>
      </c>
      <c r="Q2482" s="1">
        <v>1.56</v>
      </c>
      <c r="R2482" s="1">
        <v>0.21</v>
      </c>
      <c r="S2482" s="2">
        <v>45650</v>
      </c>
      <c r="T2482" s="1">
        <v>143.62</v>
      </c>
      <c r="U2482" s="1">
        <v>0.40500000000000003</v>
      </c>
      <c r="V2482" s="6">
        <f t="shared" si="114"/>
        <v>2591.8200000000002</v>
      </c>
      <c r="W2482" s="6" t="str">
        <f t="shared" si="115"/>
        <v>Reorder Required</v>
      </c>
      <c r="X2482" s="8" t="str">
        <f t="shared" si="116"/>
        <v>LOW</v>
      </c>
    </row>
    <row r="2483" spans="1:24">
      <c r="A2483" s="7" t="s">
        <v>2613</v>
      </c>
      <c r="B2483" s="1" t="s">
        <v>25</v>
      </c>
      <c r="C2483" s="1">
        <v>481</v>
      </c>
      <c r="D2483" s="1">
        <v>78</v>
      </c>
      <c r="E2483" s="1">
        <v>12</v>
      </c>
      <c r="F2483" s="1">
        <v>8</v>
      </c>
      <c r="G2483" s="1">
        <v>36.78</v>
      </c>
      <c r="H2483" s="1" t="s">
        <v>137</v>
      </c>
      <c r="I2483" s="1" t="s">
        <v>45</v>
      </c>
      <c r="J2483" s="1">
        <v>43</v>
      </c>
      <c r="K2483" s="1">
        <v>1</v>
      </c>
      <c r="L2483" s="4">
        <v>30.65</v>
      </c>
      <c r="M2483" s="1">
        <v>0.87</v>
      </c>
      <c r="N2483" s="1">
        <v>4</v>
      </c>
      <c r="O2483" s="1">
        <v>0.71</v>
      </c>
      <c r="P2483" s="1">
        <v>681</v>
      </c>
      <c r="Q2483" s="1">
        <v>11.27</v>
      </c>
      <c r="R2483" s="1">
        <v>0.45</v>
      </c>
      <c r="S2483" s="2">
        <v>45329</v>
      </c>
      <c r="T2483" s="1">
        <v>157.53</v>
      </c>
      <c r="U2483" s="1">
        <v>0.61499999999999999</v>
      </c>
      <c r="V2483" s="6">
        <f t="shared" si="114"/>
        <v>14742.65</v>
      </c>
      <c r="W2483" s="6" t="str">
        <f t="shared" si="115"/>
        <v>Sufficient</v>
      </c>
      <c r="X2483" s="8" t="str">
        <f t="shared" si="116"/>
        <v>High</v>
      </c>
    </row>
    <row r="2484" spans="1:24">
      <c r="A2484" s="7" t="s">
        <v>2614</v>
      </c>
      <c r="B2484" s="1" t="s">
        <v>29</v>
      </c>
      <c r="C2484" s="1">
        <v>32</v>
      </c>
      <c r="D2484" s="1">
        <v>18</v>
      </c>
      <c r="E2484" s="1">
        <v>14</v>
      </c>
      <c r="F2484" s="1">
        <v>3</v>
      </c>
      <c r="G2484" s="1">
        <v>15.63</v>
      </c>
      <c r="H2484" s="1" t="s">
        <v>26</v>
      </c>
      <c r="I2484" s="1" t="s">
        <v>45</v>
      </c>
      <c r="J2484" s="1">
        <v>134</v>
      </c>
      <c r="K2484" s="1">
        <v>3.81</v>
      </c>
      <c r="L2484" s="4">
        <v>157.88</v>
      </c>
      <c r="M2484" s="1">
        <v>1.68</v>
      </c>
      <c r="N2484" s="1">
        <v>2</v>
      </c>
      <c r="O2484" s="1">
        <v>0.9</v>
      </c>
      <c r="P2484" s="1">
        <v>234</v>
      </c>
      <c r="Q2484" s="1">
        <v>3.13</v>
      </c>
      <c r="R2484" s="1">
        <v>0.63</v>
      </c>
      <c r="S2484" s="2">
        <v>45475</v>
      </c>
      <c r="T2484" s="1">
        <v>133.1</v>
      </c>
      <c r="U2484" s="1">
        <v>0.54</v>
      </c>
      <c r="V2484" s="6">
        <f t="shared" si="114"/>
        <v>5052.16</v>
      </c>
      <c r="W2484" s="6" t="str">
        <f t="shared" si="115"/>
        <v>Sufficient</v>
      </c>
      <c r="X2484" s="8" t="str">
        <f t="shared" si="116"/>
        <v>LOW</v>
      </c>
    </row>
    <row r="2485" spans="1:24">
      <c r="A2485" s="7" t="s">
        <v>2615</v>
      </c>
      <c r="B2485" s="1" t="s">
        <v>41</v>
      </c>
      <c r="C2485" s="1">
        <v>410</v>
      </c>
      <c r="D2485" s="1">
        <v>94</v>
      </c>
      <c r="E2485" s="1">
        <v>12</v>
      </c>
      <c r="F2485" s="1">
        <v>9</v>
      </c>
      <c r="G2485" s="1">
        <v>27.6</v>
      </c>
      <c r="H2485" s="1" t="s">
        <v>59</v>
      </c>
      <c r="I2485" s="1" t="s">
        <v>27</v>
      </c>
      <c r="J2485" s="1">
        <v>66</v>
      </c>
      <c r="K2485" s="1">
        <v>2.2200000000000002</v>
      </c>
      <c r="L2485" s="4">
        <v>79.55</v>
      </c>
      <c r="M2485" s="1">
        <v>0.81</v>
      </c>
      <c r="N2485" s="1">
        <v>5</v>
      </c>
      <c r="O2485" s="1">
        <v>0.84</v>
      </c>
      <c r="P2485" s="1">
        <v>481</v>
      </c>
      <c r="Q2485" s="1">
        <v>11.82</v>
      </c>
      <c r="R2485" s="1">
        <v>0.72</v>
      </c>
      <c r="S2485" s="2">
        <v>45549</v>
      </c>
      <c r="T2485" s="1">
        <v>134.82</v>
      </c>
      <c r="U2485" s="1">
        <v>0.68899999999999995</v>
      </c>
      <c r="V2485" s="6">
        <f t="shared" si="114"/>
        <v>32615.5</v>
      </c>
      <c r="W2485" s="6" t="str">
        <f t="shared" si="115"/>
        <v>Sufficient</v>
      </c>
      <c r="X2485" s="8" t="str">
        <f t="shared" si="116"/>
        <v>High</v>
      </c>
    </row>
    <row r="2486" spans="1:24">
      <c r="A2486" s="7" t="s">
        <v>2616</v>
      </c>
      <c r="B2486" s="1" t="s">
        <v>41</v>
      </c>
      <c r="C2486" s="1">
        <v>403</v>
      </c>
      <c r="D2486" s="1">
        <v>20</v>
      </c>
      <c r="E2486" s="1">
        <v>14</v>
      </c>
      <c r="F2486" s="1">
        <v>9</v>
      </c>
      <c r="G2486" s="1">
        <v>22.23</v>
      </c>
      <c r="H2486" s="1" t="s">
        <v>440</v>
      </c>
      <c r="I2486" s="1" t="s">
        <v>39</v>
      </c>
      <c r="J2486" s="1">
        <v>12</v>
      </c>
      <c r="K2486" s="1">
        <v>0.89</v>
      </c>
      <c r="L2486" s="4">
        <v>127.98</v>
      </c>
      <c r="M2486" s="1">
        <v>0.63</v>
      </c>
      <c r="N2486" s="1">
        <v>6</v>
      </c>
      <c r="O2486" s="1">
        <v>0.99</v>
      </c>
      <c r="P2486" s="1">
        <v>473</v>
      </c>
      <c r="Q2486" s="1">
        <v>3.87</v>
      </c>
      <c r="R2486" s="1">
        <v>0.78</v>
      </c>
      <c r="S2486" s="2">
        <v>45346</v>
      </c>
      <c r="T2486" s="1">
        <v>151.30000000000001</v>
      </c>
      <c r="U2486" s="1">
        <v>0.623</v>
      </c>
      <c r="V2486" s="6">
        <f t="shared" si="114"/>
        <v>51575.94</v>
      </c>
      <c r="W2486" s="6" t="str">
        <f t="shared" si="115"/>
        <v>Sufficient</v>
      </c>
      <c r="X2486" s="8" t="str">
        <f t="shared" si="116"/>
        <v>High</v>
      </c>
    </row>
    <row r="2487" spans="1:24">
      <c r="A2487" s="7" t="s">
        <v>2617</v>
      </c>
      <c r="B2487" s="1" t="s">
        <v>33</v>
      </c>
      <c r="C2487" s="1">
        <v>63</v>
      </c>
      <c r="D2487" s="1">
        <v>78</v>
      </c>
      <c r="E2487" s="1">
        <v>8</v>
      </c>
      <c r="F2487" s="1">
        <v>6</v>
      </c>
      <c r="G2487" s="1">
        <v>14.55</v>
      </c>
      <c r="H2487" s="1" t="s">
        <v>159</v>
      </c>
      <c r="I2487" s="1" t="s">
        <v>45</v>
      </c>
      <c r="J2487" s="1">
        <v>15</v>
      </c>
      <c r="K2487" s="1">
        <v>3.98</v>
      </c>
      <c r="L2487" s="4">
        <v>185.63</v>
      </c>
      <c r="M2487" s="1">
        <v>1.57</v>
      </c>
      <c r="N2487" s="1">
        <v>8</v>
      </c>
      <c r="O2487" s="1">
        <v>0.88</v>
      </c>
      <c r="P2487" s="1">
        <v>88</v>
      </c>
      <c r="Q2487" s="1">
        <v>5.85</v>
      </c>
      <c r="R2487" s="1">
        <v>0.87</v>
      </c>
      <c r="S2487" s="2">
        <v>45440</v>
      </c>
      <c r="T2487" s="1">
        <v>102.85</v>
      </c>
      <c r="U2487" s="1">
        <v>0.51100000000000001</v>
      </c>
      <c r="V2487" s="6">
        <f t="shared" si="114"/>
        <v>11694.69</v>
      </c>
      <c r="W2487" s="6" t="str">
        <f t="shared" si="115"/>
        <v>Reorder Required</v>
      </c>
      <c r="X2487" s="8" t="str">
        <f t="shared" si="116"/>
        <v>LOW</v>
      </c>
    </row>
    <row r="2488" spans="1:24">
      <c r="A2488" s="7" t="s">
        <v>2618</v>
      </c>
      <c r="B2488" s="1" t="s">
        <v>29</v>
      </c>
      <c r="C2488" s="1">
        <v>394</v>
      </c>
      <c r="D2488" s="1">
        <v>75</v>
      </c>
      <c r="E2488" s="1">
        <v>3</v>
      </c>
      <c r="F2488" s="1">
        <v>6</v>
      </c>
      <c r="G2488" s="1">
        <v>48.76</v>
      </c>
      <c r="H2488" s="1" t="s">
        <v>346</v>
      </c>
      <c r="I2488" s="1" t="s">
        <v>31</v>
      </c>
      <c r="J2488" s="1">
        <v>57</v>
      </c>
      <c r="K2488" s="1">
        <v>1.55</v>
      </c>
      <c r="L2488" s="4">
        <v>119.35</v>
      </c>
      <c r="M2488" s="1">
        <v>0.5</v>
      </c>
      <c r="N2488" s="1">
        <v>8</v>
      </c>
      <c r="O2488" s="1">
        <v>0.88</v>
      </c>
      <c r="P2488" s="1">
        <v>436</v>
      </c>
      <c r="Q2488" s="1">
        <v>7.71</v>
      </c>
      <c r="R2488" s="1">
        <v>0.28999999999999998</v>
      </c>
      <c r="S2488" s="2">
        <v>45643</v>
      </c>
      <c r="T2488" s="1">
        <v>47.97</v>
      </c>
      <c r="U2488" s="1">
        <v>0.52700000000000002</v>
      </c>
      <c r="V2488" s="6">
        <f t="shared" si="114"/>
        <v>47023.899999999994</v>
      </c>
      <c r="W2488" s="6" t="str">
        <f t="shared" si="115"/>
        <v>Sufficient</v>
      </c>
      <c r="X2488" s="8" t="str">
        <f t="shared" si="116"/>
        <v>High</v>
      </c>
    </row>
    <row r="2489" spans="1:24">
      <c r="A2489" s="7" t="s">
        <v>2619</v>
      </c>
      <c r="B2489" s="1" t="s">
        <v>33</v>
      </c>
      <c r="C2489" s="1">
        <v>418</v>
      </c>
      <c r="D2489" s="1">
        <v>97</v>
      </c>
      <c r="E2489" s="1">
        <v>4</v>
      </c>
      <c r="F2489" s="1">
        <v>2</v>
      </c>
      <c r="G2489" s="1">
        <v>13.68</v>
      </c>
      <c r="H2489" s="1" t="s">
        <v>294</v>
      </c>
      <c r="I2489" s="1" t="s">
        <v>45</v>
      </c>
      <c r="J2489" s="1">
        <v>111</v>
      </c>
      <c r="K2489" s="1">
        <v>3.81</v>
      </c>
      <c r="L2489" s="4">
        <v>131.16</v>
      </c>
      <c r="M2489" s="1">
        <v>0.54</v>
      </c>
      <c r="N2489" s="1">
        <v>4</v>
      </c>
      <c r="O2489" s="1">
        <v>1</v>
      </c>
      <c r="P2489" s="1">
        <v>818</v>
      </c>
      <c r="Q2489" s="1">
        <v>5.86</v>
      </c>
      <c r="R2489" s="1">
        <v>0.81</v>
      </c>
      <c r="S2489" s="2">
        <v>45446</v>
      </c>
      <c r="T2489" s="1">
        <v>287.27</v>
      </c>
      <c r="U2489" s="1">
        <v>0.70599999999999996</v>
      </c>
      <c r="V2489" s="6">
        <f t="shared" si="114"/>
        <v>54824.88</v>
      </c>
      <c r="W2489" s="6" t="str">
        <f t="shared" si="115"/>
        <v>Sufficient</v>
      </c>
      <c r="X2489" s="8" t="str">
        <f t="shared" si="116"/>
        <v>High</v>
      </c>
    </row>
    <row r="2490" spans="1:24">
      <c r="A2490" s="7" t="s">
        <v>2620</v>
      </c>
      <c r="B2490" s="1" t="s">
        <v>66</v>
      </c>
      <c r="C2490" s="1">
        <v>38</v>
      </c>
      <c r="D2490" s="1">
        <v>40</v>
      </c>
      <c r="E2490" s="1">
        <v>7</v>
      </c>
      <c r="F2490" s="1">
        <v>9</v>
      </c>
      <c r="G2490" s="1">
        <v>16.16</v>
      </c>
      <c r="H2490" s="1" t="s">
        <v>72</v>
      </c>
      <c r="I2490" s="1" t="s">
        <v>45</v>
      </c>
      <c r="J2490" s="1">
        <v>129</v>
      </c>
      <c r="K2490" s="1">
        <v>3.04</v>
      </c>
      <c r="L2490" s="4">
        <v>132.13999999999999</v>
      </c>
      <c r="M2490" s="1">
        <v>0.19</v>
      </c>
      <c r="N2490" s="1">
        <v>3</v>
      </c>
      <c r="O2490" s="1">
        <v>0.73</v>
      </c>
      <c r="P2490" s="1">
        <v>840</v>
      </c>
      <c r="Q2490" s="1">
        <v>1.33</v>
      </c>
      <c r="R2490" s="1">
        <v>0.42</v>
      </c>
      <c r="S2490" s="2">
        <v>45602</v>
      </c>
      <c r="T2490" s="1">
        <v>240.55</v>
      </c>
      <c r="U2490" s="1">
        <v>0.56899999999999995</v>
      </c>
      <c r="V2490" s="6">
        <f t="shared" si="114"/>
        <v>5021.32</v>
      </c>
      <c r="W2490" s="6" t="str">
        <f t="shared" si="115"/>
        <v>Reorder Required</v>
      </c>
      <c r="X2490" s="8" t="str">
        <f t="shared" si="116"/>
        <v>LOW</v>
      </c>
    </row>
    <row r="2491" spans="1:24">
      <c r="A2491" s="7" t="s">
        <v>2621</v>
      </c>
      <c r="B2491" s="1" t="s">
        <v>29</v>
      </c>
      <c r="C2491" s="1">
        <v>82</v>
      </c>
      <c r="D2491" s="1">
        <v>42</v>
      </c>
      <c r="E2491" s="1">
        <v>4</v>
      </c>
      <c r="F2491" s="1">
        <v>2</v>
      </c>
      <c r="G2491" s="1">
        <v>8.92</v>
      </c>
      <c r="H2491" s="1" t="s">
        <v>210</v>
      </c>
      <c r="I2491" s="1" t="s">
        <v>27</v>
      </c>
      <c r="J2491" s="1">
        <v>22</v>
      </c>
      <c r="K2491" s="1">
        <v>1.38</v>
      </c>
      <c r="L2491" s="4">
        <v>126.36</v>
      </c>
      <c r="M2491" s="1">
        <v>0.46</v>
      </c>
      <c r="N2491" s="1">
        <v>6</v>
      </c>
      <c r="O2491" s="1">
        <v>0.78</v>
      </c>
      <c r="P2491" s="1">
        <v>791</v>
      </c>
      <c r="Q2491" s="1">
        <v>13.72</v>
      </c>
      <c r="R2491" s="1">
        <v>0.31</v>
      </c>
      <c r="S2491" s="2">
        <v>45336</v>
      </c>
      <c r="T2491" s="1">
        <v>246.32</v>
      </c>
      <c r="U2491" s="1">
        <v>0.63500000000000001</v>
      </c>
      <c r="V2491" s="6">
        <f t="shared" si="114"/>
        <v>10361.52</v>
      </c>
      <c r="W2491" s="6" t="str">
        <f t="shared" si="115"/>
        <v>Sufficient</v>
      </c>
      <c r="X2491" s="8" t="str">
        <f t="shared" si="116"/>
        <v>LOW</v>
      </c>
    </row>
    <row r="2492" spans="1:24">
      <c r="A2492" s="7" t="s">
        <v>2622</v>
      </c>
      <c r="B2492" s="1" t="s">
        <v>66</v>
      </c>
      <c r="C2492" s="1">
        <v>258</v>
      </c>
      <c r="D2492" s="1">
        <v>48</v>
      </c>
      <c r="E2492" s="1">
        <v>12</v>
      </c>
      <c r="F2492" s="1">
        <v>6</v>
      </c>
      <c r="G2492" s="1">
        <v>41.33</v>
      </c>
      <c r="H2492" s="1" t="s">
        <v>132</v>
      </c>
      <c r="I2492" s="1" t="s">
        <v>39</v>
      </c>
      <c r="J2492" s="1">
        <v>45</v>
      </c>
      <c r="K2492" s="1">
        <v>0.84</v>
      </c>
      <c r="L2492" s="4">
        <v>40.36</v>
      </c>
      <c r="M2492" s="1">
        <v>0.82</v>
      </c>
      <c r="N2492" s="1">
        <v>2</v>
      </c>
      <c r="O2492" s="1">
        <v>0.9</v>
      </c>
      <c r="P2492" s="1">
        <v>500</v>
      </c>
      <c r="Q2492" s="1">
        <v>5.01</v>
      </c>
      <c r="R2492" s="1">
        <v>0.41</v>
      </c>
      <c r="S2492" s="2">
        <v>45436</v>
      </c>
      <c r="T2492" s="1">
        <v>115.84</v>
      </c>
      <c r="U2492" s="1">
        <v>0.60699999999999998</v>
      </c>
      <c r="V2492" s="6">
        <f t="shared" si="114"/>
        <v>10412.879999999999</v>
      </c>
      <c r="W2492" s="6" t="str">
        <f t="shared" si="115"/>
        <v>Sufficient</v>
      </c>
      <c r="X2492" s="8" t="str">
        <f t="shared" si="116"/>
        <v>High</v>
      </c>
    </row>
    <row r="2493" spans="1:24">
      <c r="A2493" s="7" t="s">
        <v>2623</v>
      </c>
      <c r="B2493" s="1" t="s">
        <v>33</v>
      </c>
      <c r="C2493" s="1">
        <v>438</v>
      </c>
      <c r="D2493" s="1">
        <v>55</v>
      </c>
      <c r="E2493" s="1">
        <v>3</v>
      </c>
      <c r="F2493" s="1">
        <v>2</v>
      </c>
      <c r="G2493" s="1">
        <v>29.74</v>
      </c>
      <c r="H2493" s="1" t="s">
        <v>372</v>
      </c>
      <c r="I2493" s="1" t="s">
        <v>39</v>
      </c>
      <c r="J2493" s="1">
        <v>79</v>
      </c>
      <c r="K2493" s="1">
        <v>3.17</v>
      </c>
      <c r="L2493" s="4">
        <v>96.72</v>
      </c>
      <c r="M2493" s="1">
        <v>0.86</v>
      </c>
      <c r="N2493" s="1">
        <v>3</v>
      </c>
      <c r="O2493" s="1">
        <v>0.79</v>
      </c>
      <c r="P2493" s="1">
        <v>164</v>
      </c>
      <c r="Q2493" s="1">
        <v>2.9</v>
      </c>
      <c r="R2493" s="1">
        <v>0.89</v>
      </c>
      <c r="S2493" s="2">
        <v>45516</v>
      </c>
      <c r="T2493" s="1">
        <v>127.13</v>
      </c>
      <c r="U2493" s="1">
        <v>0.629</v>
      </c>
      <c r="V2493" s="6">
        <f t="shared" si="114"/>
        <v>42363.360000000001</v>
      </c>
      <c r="W2493" s="6" t="str">
        <f t="shared" si="115"/>
        <v>Sufficient</v>
      </c>
      <c r="X2493" s="8" t="str">
        <f t="shared" si="116"/>
        <v>High</v>
      </c>
    </row>
    <row r="2494" spans="1:24">
      <c r="A2494" s="7" t="s">
        <v>2624</v>
      </c>
      <c r="B2494" s="1" t="s">
        <v>29</v>
      </c>
      <c r="C2494" s="1">
        <v>356</v>
      </c>
      <c r="D2494" s="1">
        <v>46</v>
      </c>
      <c r="E2494" s="1">
        <v>8</v>
      </c>
      <c r="F2494" s="1">
        <v>3</v>
      </c>
      <c r="G2494" s="1">
        <v>31.04</v>
      </c>
      <c r="H2494" s="1" t="s">
        <v>106</v>
      </c>
      <c r="I2494" s="1" t="s">
        <v>39</v>
      </c>
      <c r="J2494" s="1">
        <v>42</v>
      </c>
      <c r="K2494" s="1">
        <v>0.61</v>
      </c>
      <c r="L2494" s="4">
        <v>11.46</v>
      </c>
      <c r="M2494" s="1">
        <v>0.9</v>
      </c>
      <c r="N2494" s="1">
        <v>8</v>
      </c>
      <c r="O2494" s="1">
        <v>0.8</v>
      </c>
      <c r="P2494" s="1">
        <v>979</v>
      </c>
      <c r="Q2494" s="1">
        <v>2.86</v>
      </c>
      <c r="R2494" s="1">
        <v>0.7</v>
      </c>
      <c r="S2494" s="2">
        <v>45487</v>
      </c>
      <c r="T2494" s="1">
        <v>281.39</v>
      </c>
      <c r="U2494" s="1">
        <v>0.48799999999999999</v>
      </c>
      <c r="V2494" s="6">
        <f t="shared" si="114"/>
        <v>4079.76</v>
      </c>
      <c r="W2494" s="6" t="str">
        <f t="shared" si="115"/>
        <v>Sufficient</v>
      </c>
      <c r="X2494" s="8" t="str">
        <f t="shared" si="116"/>
        <v>High</v>
      </c>
    </row>
    <row r="2495" spans="1:24">
      <c r="A2495" s="7" t="s">
        <v>2625</v>
      </c>
      <c r="B2495" s="1" t="s">
        <v>33</v>
      </c>
      <c r="C2495" s="1">
        <v>438</v>
      </c>
      <c r="D2495" s="1">
        <v>69</v>
      </c>
      <c r="E2495" s="1">
        <v>10</v>
      </c>
      <c r="F2495" s="1">
        <v>4</v>
      </c>
      <c r="G2495" s="1">
        <v>41.21</v>
      </c>
      <c r="H2495" s="1" t="s">
        <v>309</v>
      </c>
      <c r="I2495" s="1" t="s">
        <v>45</v>
      </c>
      <c r="J2495" s="1">
        <v>114</v>
      </c>
      <c r="K2495" s="1">
        <v>0.79</v>
      </c>
      <c r="L2495" s="4">
        <v>128.99</v>
      </c>
      <c r="M2495" s="1">
        <v>1.01</v>
      </c>
      <c r="N2495" s="1">
        <v>4</v>
      </c>
      <c r="O2495" s="1">
        <v>0.97</v>
      </c>
      <c r="P2495" s="1">
        <v>450</v>
      </c>
      <c r="Q2495" s="1">
        <v>14.64</v>
      </c>
      <c r="R2495" s="1">
        <v>0.68</v>
      </c>
      <c r="S2495" s="2">
        <v>45494</v>
      </c>
      <c r="T2495" s="1">
        <v>292.14</v>
      </c>
      <c r="U2495" s="1">
        <v>0.74399999999999999</v>
      </c>
      <c r="V2495" s="6">
        <f t="shared" si="114"/>
        <v>56497.62</v>
      </c>
      <c r="W2495" s="6" t="str">
        <f t="shared" si="115"/>
        <v>Sufficient</v>
      </c>
      <c r="X2495" s="8" t="str">
        <f t="shared" si="116"/>
        <v>High</v>
      </c>
    </row>
    <row r="2496" spans="1:24">
      <c r="A2496" s="7" t="s">
        <v>2626</v>
      </c>
      <c r="B2496" s="1" t="s">
        <v>29</v>
      </c>
      <c r="C2496" s="1">
        <v>422</v>
      </c>
      <c r="D2496" s="1">
        <v>40</v>
      </c>
      <c r="E2496" s="1">
        <v>10</v>
      </c>
      <c r="F2496" s="1">
        <v>4</v>
      </c>
      <c r="G2496" s="1">
        <v>17.8</v>
      </c>
      <c r="H2496" s="1" t="s">
        <v>189</v>
      </c>
      <c r="I2496" s="1" t="s">
        <v>27</v>
      </c>
      <c r="J2496" s="1">
        <v>66</v>
      </c>
      <c r="K2496" s="1">
        <v>3.66</v>
      </c>
      <c r="L2496" s="4">
        <v>119.32</v>
      </c>
      <c r="M2496" s="1">
        <v>1.19</v>
      </c>
      <c r="N2496" s="1">
        <v>9</v>
      </c>
      <c r="O2496" s="1">
        <v>0.87</v>
      </c>
      <c r="P2496" s="1">
        <v>353</v>
      </c>
      <c r="Q2496" s="1">
        <v>2.72</v>
      </c>
      <c r="R2496" s="1">
        <v>0.67</v>
      </c>
      <c r="S2496" s="2">
        <v>45630</v>
      </c>
      <c r="T2496" s="1">
        <v>283.36</v>
      </c>
      <c r="U2496" s="1">
        <v>0.44500000000000001</v>
      </c>
      <c r="V2496" s="6">
        <f t="shared" si="114"/>
        <v>50353.039999999994</v>
      </c>
      <c r="W2496" s="6" t="str">
        <f t="shared" si="115"/>
        <v>Sufficient</v>
      </c>
      <c r="X2496" s="8" t="str">
        <f t="shared" si="116"/>
        <v>High</v>
      </c>
    </row>
    <row r="2497" spans="1:24">
      <c r="A2497" s="7" t="s">
        <v>2627</v>
      </c>
      <c r="B2497" s="1" t="s">
        <v>33</v>
      </c>
      <c r="C2497" s="1">
        <v>423</v>
      </c>
      <c r="D2497" s="1">
        <v>20</v>
      </c>
      <c r="E2497" s="1">
        <v>10</v>
      </c>
      <c r="F2497" s="1">
        <v>9</v>
      </c>
      <c r="G2497" s="1">
        <v>10.49</v>
      </c>
      <c r="H2497" s="1" t="s">
        <v>99</v>
      </c>
      <c r="I2497" s="1" t="s">
        <v>27</v>
      </c>
      <c r="J2497" s="1">
        <v>64</v>
      </c>
      <c r="K2497" s="1">
        <v>2.92</v>
      </c>
      <c r="L2497" s="4">
        <v>70.45</v>
      </c>
      <c r="M2497" s="1">
        <v>0.46</v>
      </c>
      <c r="N2497" s="1">
        <v>6</v>
      </c>
      <c r="O2497" s="1">
        <v>0.73</v>
      </c>
      <c r="P2497" s="1">
        <v>652</v>
      </c>
      <c r="Q2497" s="1">
        <v>5.85</v>
      </c>
      <c r="R2497" s="1">
        <v>0.53</v>
      </c>
      <c r="S2497" s="2">
        <v>45307</v>
      </c>
      <c r="T2497" s="1">
        <v>196.35</v>
      </c>
      <c r="U2497" s="1">
        <v>0.56399999999999995</v>
      </c>
      <c r="V2497" s="6">
        <f t="shared" si="114"/>
        <v>29800.350000000002</v>
      </c>
      <c r="W2497" s="6" t="str">
        <f t="shared" si="115"/>
        <v>Sufficient</v>
      </c>
      <c r="X2497" s="8" t="str">
        <f t="shared" si="116"/>
        <v>High</v>
      </c>
    </row>
    <row r="2498" spans="1:24">
      <c r="A2498" s="7" t="s">
        <v>2628</v>
      </c>
      <c r="B2498" s="1" t="s">
        <v>41</v>
      </c>
      <c r="C2498" s="1">
        <v>119</v>
      </c>
      <c r="D2498" s="1">
        <v>96</v>
      </c>
      <c r="E2498" s="1">
        <v>13</v>
      </c>
      <c r="F2498" s="1">
        <v>5</v>
      </c>
      <c r="G2498" s="1">
        <v>10.72</v>
      </c>
      <c r="H2498" s="1" t="s">
        <v>205</v>
      </c>
      <c r="I2498" s="1" t="s">
        <v>45</v>
      </c>
      <c r="J2498" s="1">
        <v>116</v>
      </c>
      <c r="K2498" s="1">
        <v>1.97</v>
      </c>
      <c r="L2498" s="4">
        <v>109.54</v>
      </c>
      <c r="M2498" s="1">
        <v>1.27</v>
      </c>
      <c r="N2498" s="1">
        <v>1</v>
      </c>
      <c r="O2498" s="1">
        <v>0.79</v>
      </c>
      <c r="P2498" s="1">
        <v>358</v>
      </c>
      <c r="Q2498" s="1">
        <v>1.95</v>
      </c>
      <c r="R2498" s="1">
        <v>0.53</v>
      </c>
      <c r="S2498" s="2">
        <v>45534</v>
      </c>
      <c r="T2498" s="1">
        <v>80.39</v>
      </c>
      <c r="U2498" s="1">
        <v>0.54300000000000004</v>
      </c>
      <c r="V2498" s="6">
        <f t="shared" si="114"/>
        <v>13035.26</v>
      </c>
      <c r="W2498" s="6" t="str">
        <f t="shared" si="115"/>
        <v>Sufficient</v>
      </c>
      <c r="X2498" s="8" t="str">
        <f t="shared" si="116"/>
        <v>Medium</v>
      </c>
    </row>
    <row r="2499" spans="1:24">
      <c r="A2499" s="7" t="s">
        <v>2629</v>
      </c>
      <c r="B2499" s="1" t="s">
        <v>33</v>
      </c>
      <c r="C2499" s="1">
        <v>182</v>
      </c>
      <c r="D2499" s="1">
        <v>11</v>
      </c>
      <c r="E2499" s="1">
        <v>8</v>
      </c>
      <c r="F2499" s="1">
        <v>3</v>
      </c>
      <c r="G2499" s="1">
        <v>36.9</v>
      </c>
      <c r="H2499" s="1" t="s">
        <v>151</v>
      </c>
      <c r="I2499" s="1" t="s">
        <v>27</v>
      </c>
      <c r="J2499" s="1">
        <v>150</v>
      </c>
      <c r="K2499" s="1">
        <v>2.93</v>
      </c>
      <c r="L2499" s="4">
        <v>103.68</v>
      </c>
      <c r="M2499" s="1">
        <v>0.74</v>
      </c>
      <c r="N2499" s="1">
        <v>8</v>
      </c>
      <c r="O2499" s="1">
        <v>0.72</v>
      </c>
      <c r="P2499" s="1">
        <v>622</v>
      </c>
      <c r="Q2499" s="1">
        <v>11.3</v>
      </c>
      <c r="R2499" s="1">
        <v>0.32</v>
      </c>
      <c r="S2499" s="2">
        <v>45372</v>
      </c>
      <c r="T2499" s="1">
        <v>185.44</v>
      </c>
      <c r="U2499" s="1">
        <v>0.52500000000000002</v>
      </c>
      <c r="V2499" s="6">
        <f t="shared" si="114"/>
        <v>18869.760000000002</v>
      </c>
      <c r="W2499" s="6" t="str">
        <f t="shared" si="115"/>
        <v>Sufficient</v>
      </c>
      <c r="X2499" s="8" t="str">
        <f t="shared" si="116"/>
        <v>Medium</v>
      </c>
    </row>
    <row r="2500" spans="1:24">
      <c r="A2500" s="7" t="s">
        <v>2630</v>
      </c>
      <c r="B2500" s="1" t="s">
        <v>41</v>
      </c>
      <c r="C2500" s="1">
        <v>435</v>
      </c>
      <c r="D2500" s="1">
        <v>36</v>
      </c>
      <c r="E2500" s="1">
        <v>13</v>
      </c>
      <c r="F2500" s="1">
        <v>8</v>
      </c>
      <c r="G2500" s="1">
        <v>31.09</v>
      </c>
      <c r="H2500" s="1" t="s">
        <v>44</v>
      </c>
      <c r="I2500" s="1" t="s">
        <v>39</v>
      </c>
      <c r="J2500" s="1">
        <v>60</v>
      </c>
      <c r="K2500" s="1">
        <v>3.16</v>
      </c>
      <c r="L2500" s="4">
        <v>57.67</v>
      </c>
      <c r="M2500" s="1">
        <v>1.49</v>
      </c>
      <c r="N2500" s="1">
        <v>4</v>
      </c>
      <c r="O2500" s="1">
        <v>0.87</v>
      </c>
      <c r="P2500" s="1">
        <v>152</v>
      </c>
      <c r="Q2500" s="1">
        <v>9.35</v>
      </c>
      <c r="R2500" s="1">
        <v>0.47</v>
      </c>
      <c r="S2500" s="2">
        <v>45565</v>
      </c>
      <c r="T2500" s="1">
        <v>180.84</v>
      </c>
      <c r="U2500" s="1">
        <v>0.56399999999999995</v>
      </c>
      <c r="V2500" s="6">
        <f t="shared" ref="V2500:V2563" si="117">C2500*L2500</f>
        <v>25086.45</v>
      </c>
      <c r="W2500" s="6" t="str">
        <f t="shared" ref="W2500:W2563" si="118">IF(C2500&lt;=D2500,"Reorder Required","Sufficient")</f>
        <v>Sufficient</v>
      </c>
      <c r="X2500" s="8" t="str">
        <f t="shared" ref="X2500:X2563" si="119">IF(C2500&lt;100,"LOW",IF(C2500&lt;250,"Medium","High"))</f>
        <v>High</v>
      </c>
    </row>
    <row r="2501" spans="1:24">
      <c r="A2501" s="7" t="s">
        <v>2631</v>
      </c>
      <c r="B2501" s="1" t="s">
        <v>33</v>
      </c>
      <c r="C2501" s="1">
        <v>141</v>
      </c>
      <c r="D2501" s="1">
        <v>11</v>
      </c>
      <c r="E2501" s="1">
        <v>5</v>
      </c>
      <c r="F2501" s="1">
        <v>2</v>
      </c>
      <c r="G2501" s="1">
        <v>11.11</v>
      </c>
      <c r="H2501" s="1" t="s">
        <v>119</v>
      </c>
      <c r="I2501" s="1" t="s">
        <v>27</v>
      </c>
      <c r="J2501" s="1">
        <v>101</v>
      </c>
      <c r="K2501" s="1">
        <v>3.04</v>
      </c>
      <c r="L2501" s="4">
        <v>65.72</v>
      </c>
      <c r="M2501" s="1">
        <v>1.1599999999999999</v>
      </c>
      <c r="N2501" s="1">
        <v>4</v>
      </c>
      <c r="O2501" s="1">
        <v>0.75</v>
      </c>
      <c r="P2501" s="1">
        <v>776</v>
      </c>
      <c r="Q2501" s="1">
        <v>8.4700000000000006</v>
      </c>
      <c r="R2501" s="1">
        <v>0.61</v>
      </c>
      <c r="S2501" s="2">
        <v>45404</v>
      </c>
      <c r="T2501" s="1">
        <v>273.39</v>
      </c>
      <c r="U2501" s="1">
        <v>0.58899999999999997</v>
      </c>
      <c r="V2501" s="6">
        <f t="shared" si="117"/>
        <v>9266.52</v>
      </c>
      <c r="W2501" s="6" t="str">
        <f t="shared" si="118"/>
        <v>Sufficient</v>
      </c>
      <c r="X2501" s="8" t="str">
        <f t="shared" si="119"/>
        <v>Medium</v>
      </c>
    </row>
    <row r="2502" spans="1:24">
      <c r="A2502" s="7" t="s">
        <v>2632</v>
      </c>
      <c r="B2502" s="1" t="s">
        <v>29</v>
      </c>
      <c r="C2502" s="1">
        <v>451</v>
      </c>
      <c r="D2502" s="1">
        <v>30</v>
      </c>
      <c r="E2502" s="1">
        <v>3</v>
      </c>
      <c r="F2502" s="1">
        <v>2</v>
      </c>
      <c r="G2502" s="1">
        <v>8.11</v>
      </c>
      <c r="H2502" s="1" t="s">
        <v>372</v>
      </c>
      <c r="I2502" s="1" t="s">
        <v>45</v>
      </c>
      <c r="J2502" s="1">
        <v>62</v>
      </c>
      <c r="K2502" s="1">
        <v>3.39</v>
      </c>
      <c r="L2502" s="4">
        <v>154.88</v>
      </c>
      <c r="M2502" s="1">
        <v>1.1499999999999999</v>
      </c>
      <c r="N2502" s="1">
        <v>3</v>
      </c>
      <c r="O2502" s="1">
        <v>0.96</v>
      </c>
      <c r="P2502" s="1">
        <v>151</v>
      </c>
      <c r="Q2502" s="1">
        <v>12.98</v>
      </c>
      <c r="R2502" s="1">
        <v>0.68</v>
      </c>
      <c r="S2502" s="2">
        <v>45361</v>
      </c>
      <c r="T2502" s="1">
        <v>100.38</v>
      </c>
      <c r="U2502" s="1">
        <v>0.72599999999999998</v>
      </c>
      <c r="V2502" s="6">
        <f t="shared" si="117"/>
        <v>69850.880000000005</v>
      </c>
      <c r="W2502" s="6" t="str">
        <f t="shared" si="118"/>
        <v>Sufficient</v>
      </c>
      <c r="X2502" s="8" t="str">
        <f t="shared" si="119"/>
        <v>High</v>
      </c>
    </row>
    <row r="2503" spans="1:24">
      <c r="A2503" s="7" t="s">
        <v>2633</v>
      </c>
      <c r="B2503" s="1" t="s">
        <v>29</v>
      </c>
      <c r="C2503" s="1">
        <v>63</v>
      </c>
      <c r="D2503" s="1">
        <v>67</v>
      </c>
      <c r="E2503" s="1">
        <v>4</v>
      </c>
      <c r="F2503" s="1">
        <v>9</v>
      </c>
      <c r="G2503" s="1">
        <v>6.91</v>
      </c>
      <c r="H2503" s="1" t="s">
        <v>470</v>
      </c>
      <c r="I2503" s="1" t="s">
        <v>45</v>
      </c>
      <c r="J2503" s="1">
        <v>45</v>
      </c>
      <c r="K2503" s="1">
        <v>4.7300000000000004</v>
      </c>
      <c r="L2503" s="4">
        <v>153.59</v>
      </c>
      <c r="M2503" s="1">
        <v>1.4</v>
      </c>
      <c r="N2503" s="1">
        <v>7</v>
      </c>
      <c r="O2503" s="1">
        <v>0.87</v>
      </c>
      <c r="P2503" s="1">
        <v>956</v>
      </c>
      <c r="Q2503" s="1">
        <v>9.0299999999999994</v>
      </c>
      <c r="R2503" s="1">
        <v>0.26</v>
      </c>
      <c r="S2503" s="2">
        <v>45492</v>
      </c>
      <c r="T2503" s="1">
        <v>68.2</v>
      </c>
      <c r="U2503" s="1">
        <v>0.46600000000000003</v>
      </c>
      <c r="V2503" s="6">
        <f t="shared" si="117"/>
        <v>9676.17</v>
      </c>
      <c r="W2503" s="6" t="str">
        <f t="shared" si="118"/>
        <v>Reorder Required</v>
      </c>
      <c r="X2503" s="8" t="str">
        <f t="shared" si="119"/>
        <v>LOW</v>
      </c>
    </row>
    <row r="2504" spans="1:24">
      <c r="A2504" s="7" t="s">
        <v>2634</v>
      </c>
      <c r="B2504" s="1" t="s">
        <v>29</v>
      </c>
      <c r="C2504" s="1">
        <v>379</v>
      </c>
      <c r="D2504" s="1">
        <v>14</v>
      </c>
      <c r="E2504" s="1">
        <v>7</v>
      </c>
      <c r="F2504" s="1">
        <v>8</v>
      </c>
      <c r="G2504" s="1">
        <v>31.76</v>
      </c>
      <c r="H2504" s="1" t="s">
        <v>135</v>
      </c>
      <c r="I2504" s="1" t="s">
        <v>31</v>
      </c>
      <c r="J2504" s="1">
        <v>142</v>
      </c>
      <c r="K2504" s="1">
        <v>2.25</v>
      </c>
      <c r="L2504" s="4">
        <v>99.26</v>
      </c>
      <c r="M2504" s="1">
        <v>0.73</v>
      </c>
      <c r="N2504" s="1">
        <v>3</v>
      </c>
      <c r="O2504" s="1">
        <v>0.72</v>
      </c>
      <c r="P2504" s="1">
        <v>704</v>
      </c>
      <c r="Q2504" s="1">
        <v>14.38</v>
      </c>
      <c r="R2504" s="1">
        <v>0.47</v>
      </c>
      <c r="S2504" s="2">
        <v>45571</v>
      </c>
      <c r="T2504" s="1">
        <v>87.08</v>
      </c>
      <c r="U2504" s="1">
        <v>0.69699999999999995</v>
      </c>
      <c r="V2504" s="6">
        <f t="shared" si="117"/>
        <v>37619.54</v>
      </c>
      <c r="W2504" s="6" t="str">
        <f t="shared" si="118"/>
        <v>Sufficient</v>
      </c>
      <c r="X2504" s="8" t="str">
        <f t="shared" si="119"/>
        <v>High</v>
      </c>
    </row>
    <row r="2505" spans="1:24">
      <c r="A2505" s="7" t="s">
        <v>2635</v>
      </c>
      <c r="B2505" s="1" t="s">
        <v>25</v>
      </c>
      <c r="C2505" s="1">
        <v>427</v>
      </c>
      <c r="D2505" s="1">
        <v>61</v>
      </c>
      <c r="E2505" s="1">
        <v>12</v>
      </c>
      <c r="F2505" s="1">
        <v>5</v>
      </c>
      <c r="G2505" s="1">
        <v>1.01</v>
      </c>
      <c r="H2505" s="1" t="s">
        <v>276</v>
      </c>
      <c r="I2505" s="1" t="s">
        <v>31</v>
      </c>
      <c r="J2505" s="1">
        <v>128</v>
      </c>
      <c r="K2505" s="1">
        <v>1.86</v>
      </c>
      <c r="L2505" s="4">
        <v>146.33000000000001</v>
      </c>
      <c r="M2505" s="1">
        <v>0.92</v>
      </c>
      <c r="N2505" s="1">
        <v>1</v>
      </c>
      <c r="O2505" s="1">
        <v>0.79</v>
      </c>
      <c r="P2505" s="1">
        <v>139</v>
      </c>
      <c r="Q2505" s="1">
        <v>9.7200000000000006</v>
      </c>
      <c r="R2505" s="1">
        <v>0.47</v>
      </c>
      <c r="S2505" s="2">
        <v>45443</v>
      </c>
      <c r="T2505" s="1">
        <v>80.510000000000005</v>
      </c>
      <c r="U2505" s="1">
        <v>0.67</v>
      </c>
      <c r="V2505" s="6">
        <f t="shared" si="117"/>
        <v>62482.91</v>
      </c>
      <c r="W2505" s="6" t="str">
        <f t="shared" si="118"/>
        <v>Sufficient</v>
      </c>
      <c r="X2505" s="8" t="str">
        <f t="shared" si="119"/>
        <v>High</v>
      </c>
    </row>
    <row r="2506" spans="1:24">
      <c r="A2506" s="7" t="s">
        <v>2636</v>
      </c>
      <c r="B2506" s="1" t="s">
        <v>66</v>
      </c>
      <c r="C2506" s="1">
        <v>336</v>
      </c>
      <c r="D2506" s="1">
        <v>54</v>
      </c>
      <c r="E2506" s="1">
        <v>7</v>
      </c>
      <c r="F2506" s="1">
        <v>5</v>
      </c>
      <c r="G2506" s="1">
        <v>1.9</v>
      </c>
      <c r="H2506" s="1" t="s">
        <v>79</v>
      </c>
      <c r="I2506" s="1" t="s">
        <v>27</v>
      </c>
      <c r="J2506" s="1">
        <v>34</v>
      </c>
      <c r="K2506" s="1">
        <v>0.67</v>
      </c>
      <c r="L2506" s="4">
        <v>95.65</v>
      </c>
      <c r="M2506" s="1">
        <v>1.21</v>
      </c>
      <c r="N2506" s="1">
        <v>4</v>
      </c>
      <c r="O2506" s="1">
        <v>0.88</v>
      </c>
      <c r="P2506" s="1">
        <v>167</v>
      </c>
      <c r="Q2506" s="1">
        <v>5.96</v>
      </c>
      <c r="R2506" s="1">
        <v>0.61</v>
      </c>
      <c r="S2506" s="2">
        <v>45616</v>
      </c>
      <c r="T2506" s="1">
        <v>198.03</v>
      </c>
      <c r="U2506" s="1">
        <v>0.57599999999999996</v>
      </c>
      <c r="V2506" s="6">
        <f t="shared" si="117"/>
        <v>32138.400000000001</v>
      </c>
      <c r="W2506" s="6" t="str">
        <f t="shared" si="118"/>
        <v>Sufficient</v>
      </c>
      <c r="X2506" s="8" t="str">
        <f t="shared" si="119"/>
        <v>High</v>
      </c>
    </row>
    <row r="2507" spans="1:24">
      <c r="A2507" s="7" t="s">
        <v>2637</v>
      </c>
      <c r="B2507" s="1" t="s">
        <v>29</v>
      </c>
      <c r="C2507" s="1">
        <v>400</v>
      </c>
      <c r="D2507" s="1">
        <v>94</v>
      </c>
      <c r="E2507" s="1">
        <v>12</v>
      </c>
      <c r="F2507" s="1">
        <v>2</v>
      </c>
      <c r="G2507" s="1">
        <v>20.09</v>
      </c>
      <c r="H2507" s="1" t="s">
        <v>26</v>
      </c>
      <c r="I2507" s="1" t="s">
        <v>27</v>
      </c>
      <c r="J2507" s="1">
        <v>90</v>
      </c>
      <c r="K2507" s="1">
        <v>1.1599999999999999</v>
      </c>
      <c r="L2507" s="4">
        <v>171.76</v>
      </c>
      <c r="M2507" s="1">
        <v>0.9</v>
      </c>
      <c r="N2507" s="1">
        <v>2</v>
      </c>
      <c r="O2507" s="1">
        <v>0.8</v>
      </c>
      <c r="P2507" s="1">
        <v>188</v>
      </c>
      <c r="Q2507" s="1">
        <v>1.51</v>
      </c>
      <c r="R2507" s="1">
        <v>0.77</v>
      </c>
      <c r="S2507" s="2">
        <v>45365</v>
      </c>
      <c r="T2507" s="1">
        <v>245.61</v>
      </c>
      <c r="U2507" s="1">
        <v>0.60399999999999998</v>
      </c>
      <c r="V2507" s="6">
        <f t="shared" si="117"/>
        <v>68704</v>
      </c>
      <c r="W2507" s="6" t="str">
        <f t="shared" si="118"/>
        <v>Sufficient</v>
      </c>
      <c r="X2507" s="8" t="str">
        <f t="shared" si="119"/>
        <v>High</v>
      </c>
    </row>
    <row r="2508" spans="1:24">
      <c r="A2508" s="7" t="s">
        <v>2638</v>
      </c>
      <c r="B2508" s="1" t="s">
        <v>41</v>
      </c>
      <c r="C2508" s="1">
        <v>164</v>
      </c>
      <c r="D2508" s="1">
        <v>29</v>
      </c>
      <c r="E2508" s="1">
        <v>3</v>
      </c>
      <c r="F2508" s="1">
        <v>2</v>
      </c>
      <c r="G2508" s="1">
        <v>34.880000000000003</v>
      </c>
      <c r="H2508" s="1" t="s">
        <v>137</v>
      </c>
      <c r="I2508" s="1" t="s">
        <v>45</v>
      </c>
      <c r="J2508" s="1">
        <v>46</v>
      </c>
      <c r="K2508" s="1">
        <v>0.98</v>
      </c>
      <c r="L2508" s="4">
        <v>73.23</v>
      </c>
      <c r="M2508" s="1">
        <v>0.94</v>
      </c>
      <c r="N2508" s="1">
        <v>3</v>
      </c>
      <c r="O2508" s="1">
        <v>0.85</v>
      </c>
      <c r="P2508" s="1">
        <v>952</v>
      </c>
      <c r="Q2508" s="1">
        <v>11.15</v>
      </c>
      <c r="R2508" s="1">
        <v>0.71</v>
      </c>
      <c r="S2508" s="2">
        <v>45444</v>
      </c>
      <c r="T2508" s="1">
        <v>116.75</v>
      </c>
      <c r="U2508" s="1">
        <v>0.70699999999999996</v>
      </c>
      <c r="V2508" s="6">
        <f t="shared" si="117"/>
        <v>12009.720000000001</v>
      </c>
      <c r="W2508" s="6" t="str">
        <f t="shared" si="118"/>
        <v>Sufficient</v>
      </c>
      <c r="X2508" s="8" t="str">
        <f t="shared" si="119"/>
        <v>Medium</v>
      </c>
    </row>
    <row r="2509" spans="1:24">
      <c r="A2509" s="7" t="s">
        <v>2639</v>
      </c>
      <c r="B2509" s="1" t="s">
        <v>29</v>
      </c>
      <c r="C2509" s="1">
        <v>346</v>
      </c>
      <c r="D2509" s="1">
        <v>70</v>
      </c>
      <c r="E2509" s="1">
        <v>3</v>
      </c>
      <c r="F2509" s="1">
        <v>8</v>
      </c>
      <c r="G2509" s="1">
        <v>35.06</v>
      </c>
      <c r="H2509" s="1" t="s">
        <v>38</v>
      </c>
      <c r="I2509" s="1" t="s">
        <v>31</v>
      </c>
      <c r="J2509" s="1">
        <v>28</v>
      </c>
      <c r="K2509" s="1">
        <v>2.0099999999999998</v>
      </c>
      <c r="L2509" s="4">
        <v>186.19</v>
      </c>
      <c r="M2509" s="1">
        <v>0.62</v>
      </c>
      <c r="N2509" s="1">
        <v>2</v>
      </c>
      <c r="O2509" s="1">
        <v>0.97</v>
      </c>
      <c r="P2509" s="1">
        <v>352</v>
      </c>
      <c r="Q2509" s="1">
        <v>6.23</v>
      </c>
      <c r="R2509" s="1">
        <v>0.66</v>
      </c>
      <c r="S2509" s="2">
        <v>45638</v>
      </c>
      <c r="T2509" s="1">
        <v>61.16</v>
      </c>
      <c r="U2509" s="1">
        <v>0.70699999999999996</v>
      </c>
      <c r="V2509" s="6">
        <f t="shared" si="117"/>
        <v>64421.74</v>
      </c>
      <c r="W2509" s="6" t="str">
        <f t="shared" si="118"/>
        <v>Sufficient</v>
      </c>
      <c r="X2509" s="8" t="str">
        <f t="shared" si="119"/>
        <v>High</v>
      </c>
    </row>
    <row r="2510" spans="1:24">
      <c r="A2510" s="7" t="s">
        <v>2640</v>
      </c>
      <c r="B2510" s="1" t="s">
        <v>25</v>
      </c>
      <c r="C2510" s="1">
        <v>382</v>
      </c>
      <c r="D2510" s="1">
        <v>47</v>
      </c>
      <c r="E2510" s="1">
        <v>11</v>
      </c>
      <c r="F2510" s="1">
        <v>9</v>
      </c>
      <c r="G2510" s="1">
        <v>22.08</v>
      </c>
      <c r="H2510" s="1" t="s">
        <v>346</v>
      </c>
      <c r="I2510" s="1" t="s">
        <v>31</v>
      </c>
      <c r="J2510" s="1">
        <v>44</v>
      </c>
      <c r="K2510" s="1">
        <v>3.24</v>
      </c>
      <c r="L2510" s="4">
        <v>113.03</v>
      </c>
      <c r="M2510" s="1">
        <v>0.65</v>
      </c>
      <c r="N2510" s="1">
        <v>6</v>
      </c>
      <c r="O2510" s="1">
        <v>0.81</v>
      </c>
      <c r="P2510" s="1">
        <v>801</v>
      </c>
      <c r="Q2510" s="1">
        <v>9.39</v>
      </c>
      <c r="R2510" s="1">
        <v>0.43</v>
      </c>
      <c r="S2510" s="2">
        <v>45623</v>
      </c>
      <c r="T2510" s="1">
        <v>109.5</v>
      </c>
      <c r="U2510" s="1">
        <v>0.58799999999999997</v>
      </c>
      <c r="V2510" s="6">
        <f t="shared" si="117"/>
        <v>43177.46</v>
      </c>
      <c r="W2510" s="6" t="str">
        <f t="shared" si="118"/>
        <v>Sufficient</v>
      </c>
      <c r="X2510" s="8" t="str">
        <f t="shared" si="119"/>
        <v>High</v>
      </c>
    </row>
    <row r="2511" spans="1:24">
      <c r="A2511" s="7" t="s">
        <v>2641</v>
      </c>
      <c r="B2511" s="1" t="s">
        <v>41</v>
      </c>
      <c r="C2511" s="1">
        <v>69</v>
      </c>
      <c r="D2511" s="1">
        <v>29</v>
      </c>
      <c r="E2511" s="1">
        <v>4</v>
      </c>
      <c r="F2511" s="1">
        <v>3</v>
      </c>
      <c r="G2511" s="1">
        <v>34.86</v>
      </c>
      <c r="H2511" s="1" t="s">
        <v>141</v>
      </c>
      <c r="I2511" s="1" t="s">
        <v>39</v>
      </c>
      <c r="J2511" s="1">
        <v>116</v>
      </c>
      <c r="K2511" s="1">
        <v>0.71</v>
      </c>
      <c r="L2511" s="4">
        <v>111.78</v>
      </c>
      <c r="M2511" s="1">
        <v>1.43</v>
      </c>
      <c r="N2511" s="1">
        <v>5</v>
      </c>
      <c r="O2511" s="1">
        <v>0.8</v>
      </c>
      <c r="P2511" s="1">
        <v>697</v>
      </c>
      <c r="Q2511" s="1">
        <v>13.27</v>
      </c>
      <c r="R2511" s="1">
        <v>0.87</v>
      </c>
      <c r="S2511" s="2">
        <v>45483</v>
      </c>
      <c r="T2511" s="1">
        <v>168.5</v>
      </c>
      <c r="U2511" s="1">
        <v>0.66800000000000004</v>
      </c>
      <c r="V2511" s="6">
        <f t="shared" si="117"/>
        <v>7712.82</v>
      </c>
      <c r="W2511" s="6" t="str">
        <f t="shared" si="118"/>
        <v>Sufficient</v>
      </c>
      <c r="X2511" s="8" t="str">
        <f t="shared" si="119"/>
        <v>LOW</v>
      </c>
    </row>
    <row r="2512" spans="1:24">
      <c r="A2512" s="7" t="s">
        <v>2642</v>
      </c>
      <c r="B2512" s="1" t="s">
        <v>25</v>
      </c>
      <c r="C2512" s="1">
        <v>84</v>
      </c>
      <c r="D2512" s="1">
        <v>34</v>
      </c>
      <c r="E2512" s="1">
        <v>9</v>
      </c>
      <c r="F2512" s="1">
        <v>8</v>
      </c>
      <c r="G2512" s="1">
        <v>26.53</v>
      </c>
      <c r="H2512" s="1" t="s">
        <v>309</v>
      </c>
      <c r="I2512" s="1" t="s">
        <v>39</v>
      </c>
      <c r="J2512" s="1">
        <v>171</v>
      </c>
      <c r="K2512" s="1">
        <v>3.77</v>
      </c>
      <c r="L2512" s="4">
        <v>137.44999999999999</v>
      </c>
      <c r="M2512" s="1">
        <v>0.11</v>
      </c>
      <c r="N2512" s="1">
        <v>1</v>
      </c>
      <c r="O2512" s="1">
        <v>0.95</v>
      </c>
      <c r="P2512" s="1">
        <v>566</v>
      </c>
      <c r="Q2512" s="1">
        <v>1.1100000000000001</v>
      </c>
      <c r="R2512" s="1">
        <v>0.83</v>
      </c>
      <c r="S2512" s="2">
        <v>45297</v>
      </c>
      <c r="T2512" s="1">
        <v>202.7</v>
      </c>
      <c r="U2512" s="1">
        <v>0.74</v>
      </c>
      <c r="V2512" s="6">
        <f t="shared" si="117"/>
        <v>11545.8</v>
      </c>
      <c r="W2512" s="6" t="str">
        <f t="shared" si="118"/>
        <v>Sufficient</v>
      </c>
      <c r="X2512" s="8" t="str">
        <f t="shared" si="119"/>
        <v>LOW</v>
      </c>
    </row>
    <row r="2513" spans="1:24">
      <c r="A2513" s="7" t="s">
        <v>2643</v>
      </c>
      <c r="B2513" s="1" t="s">
        <v>41</v>
      </c>
      <c r="C2513" s="1">
        <v>374</v>
      </c>
      <c r="D2513" s="1">
        <v>11</v>
      </c>
      <c r="E2513" s="1">
        <v>12</v>
      </c>
      <c r="F2513" s="1">
        <v>5</v>
      </c>
      <c r="G2513" s="1">
        <v>48.87</v>
      </c>
      <c r="H2513" s="1" t="s">
        <v>558</v>
      </c>
      <c r="I2513" s="1" t="s">
        <v>45</v>
      </c>
      <c r="J2513" s="1">
        <v>63</v>
      </c>
      <c r="K2513" s="1">
        <v>2.29</v>
      </c>
      <c r="L2513" s="4">
        <v>74.760000000000005</v>
      </c>
      <c r="M2513" s="1">
        <v>0.28000000000000003</v>
      </c>
      <c r="N2513" s="1">
        <v>7</v>
      </c>
      <c r="O2513" s="1">
        <v>0.8</v>
      </c>
      <c r="P2513" s="1">
        <v>258</v>
      </c>
      <c r="Q2513" s="1">
        <v>11.63</v>
      </c>
      <c r="R2513" s="1">
        <v>0.35</v>
      </c>
      <c r="S2513" s="2">
        <v>45575</v>
      </c>
      <c r="T2513" s="1">
        <v>169.44</v>
      </c>
      <c r="U2513" s="1">
        <v>0.61699999999999999</v>
      </c>
      <c r="V2513" s="6">
        <f t="shared" si="117"/>
        <v>27960.240000000002</v>
      </c>
      <c r="W2513" s="6" t="str">
        <f t="shared" si="118"/>
        <v>Sufficient</v>
      </c>
      <c r="X2513" s="8" t="str">
        <f t="shared" si="119"/>
        <v>High</v>
      </c>
    </row>
    <row r="2514" spans="1:24">
      <c r="A2514" s="7" t="s">
        <v>2644</v>
      </c>
      <c r="B2514" s="1" t="s">
        <v>33</v>
      </c>
      <c r="C2514" s="1">
        <v>307</v>
      </c>
      <c r="D2514" s="1">
        <v>41</v>
      </c>
      <c r="E2514" s="1">
        <v>6</v>
      </c>
      <c r="F2514" s="1">
        <v>8</v>
      </c>
      <c r="G2514" s="1">
        <v>8.9600000000000009</v>
      </c>
      <c r="H2514" s="1" t="s">
        <v>130</v>
      </c>
      <c r="I2514" s="1" t="s">
        <v>45</v>
      </c>
      <c r="J2514" s="1">
        <v>15</v>
      </c>
      <c r="K2514" s="1">
        <v>4.84</v>
      </c>
      <c r="L2514" s="4">
        <v>147.62</v>
      </c>
      <c r="M2514" s="1">
        <v>1.9</v>
      </c>
      <c r="N2514" s="1">
        <v>4</v>
      </c>
      <c r="O2514" s="1">
        <v>0.72</v>
      </c>
      <c r="P2514" s="1">
        <v>136</v>
      </c>
      <c r="Q2514" s="1">
        <v>7.09</v>
      </c>
      <c r="R2514" s="1">
        <v>0.72</v>
      </c>
      <c r="S2514" s="2">
        <v>45576</v>
      </c>
      <c r="T2514" s="1">
        <v>84.45</v>
      </c>
      <c r="U2514" s="1">
        <v>0.51300000000000001</v>
      </c>
      <c r="V2514" s="6">
        <f t="shared" si="117"/>
        <v>45319.340000000004</v>
      </c>
      <c r="W2514" s="6" t="str">
        <f t="shared" si="118"/>
        <v>Sufficient</v>
      </c>
      <c r="X2514" s="8" t="str">
        <f t="shared" si="119"/>
        <v>High</v>
      </c>
    </row>
    <row r="2515" spans="1:24">
      <c r="A2515" s="7" t="s">
        <v>2645</v>
      </c>
      <c r="B2515" s="1" t="s">
        <v>66</v>
      </c>
      <c r="C2515" s="1">
        <v>183</v>
      </c>
      <c r="D2515" s="1">
        <v>35</v>
      </c>
      <c r="E2515" s="1">
        <v>9</v>
      </c>
      <c r="F2515" s="1">
        <v>8</v>
      </c>
      <c r="G2515" s="1">
        <v>30.43</v>
      </c>
      <c r="H2515" s="1" t="s">
        <v>57</v>
      </c>
      <c r="I2515" s="1" t="s">
        <v>45</v>
      </c>
      <c r="J2515" s="1">
        <v>138</v>
      </c>
      <c r="K2515" s="1">
        <v>3.06</v>
      </c>
      <c r="L2515" s="4">
        <v>70.88</v>
      </c>
      <c r="M2515" s="1">
        <v>0.46</v>
      </c>
      <c r="N2515" s="1">
        <v>5</v>
      </c>
      <c r="O2515" s="1">
        <v>0.75</v>
      </c>
      <c r="P2515" s="1">
        <v>908</v>
      </c>
      <c r="Q2515" s="1">
        <v>2.74</v>
      </c>
      <c r="R2515" s="1">
        <v>0.93</v>
      </c>
      <c r="S2515" s="2">
        <v>45364</v>
      </c>
      <c r="T2515" s="1">
        <v>276.23</v>
      </c>
      <c r="U2515" s="1">
        <v>0.627</v>
      </c>
      <c r="V2515" s="6">
        <f t="shared" si="117"/>
        <v>12971.039999999999</v>
      </c>
      <c r="W2515" s="6" t="str">
        <f t="shared" si="118"/>
        <v>Sufficient</v>
      </c>
      <c r="X2515" s="8" t="str">
        <f t="shared" si="119"/>
        <v>Medium</v>
      </c>
    </row>
    <row r="2516" spans="1:24">
      <c r="A2516" s="7" t="s">
        <v>2646</v>
      </c>
      <c r="B2516" s="1" t="s">
        <v>66</v>
      </c>
      <c r="C2516" s="1">
        <v>160</v>
      </c>
      <c r="D2516" s="1">
        <v>79</v>
      </c>
      <c r="E2516" s="1">
        <v>10</v>
      </c>
      <c r="F2516" s="1">
        <v>8</v>
      </c>
      <c r="G2516" s="1">
        <v>25.07</v>
      </c>
      <c r="H2516" s="1" t="s">
        <v>72</v>
      </c>
      <c r="I2516" s="1" t="s">
        <v>45</v>
      </c>
      <c r="J2516" s="1">
        <v>43</v>
      </c>
      <c r="K2516" s="1">
        <v>3.97</v>
      </c>
      <c r="L2516" s="4">
        <v>85.53</v>
      </c>
      <c r="M2516" s="1">
        <v>0.89</v>
      </c>
      <c r="N2516" s="1">
        <v>7</v>
      </c>
      <c r="O2516" s="1">
        <v>0.98</v>
      </c>
      <c r="P2516" s="1">
        <v>368</v>
      </c>
      <c r="Q2516" s="1">
        <v>9.15</v>
      </c>
      <c r="R2516" s="1">
        <v>0.55000000000000004</v>
      </c>
      <c r="S2516" s="2">
        <v>45355</v>
      </c>
      <c r="T2516" s="1">
        <v>136.97</v>
      </c>
      <c r="U2516" s="1">
        <v>0.59899999999999998</v>
      </c>
      <c r="V2516" s="6">
        <f t="shared" si="117"/>
        <v>13684.8</v>
      </c>
      <c r="W2516" s="6" t="str">
        <f t="shared" si="118"/>
        <v>Sufficient</v>
      </c>
      <c r="X2516" s="8" t="str">
        <f t="shared" si="119"/>
        <v>Medium</v>
      </c>
    </row>
    <row r="2517" spans="1:24">
      <c r="A2517" s="7" t="s">
        <v>2647</v>
      </c>
      <c r="B2517" s="1" t="s">
        <v>25</v>
      </c>
      <c r="C2517" s="1">
        <v>473</v>
      </c>
      <c r="D2517" s="1">
        <v>50</v>
      </c>
      <c r="E2517" s="1">
        <v>7</v>
      </c>
      <c r="F2517" s="1">
        <v>3</v>
      </c>
      <c r="G2517" s="1">
        <v>10.53</v>
      </c>
      <c r="H2517" s="1" t="s">
        <v>183</v>
      </c>
      <c r="I2517" s="1" t="s">
        <v>31</v>
      </c>
      <c r="J2517" s="1">
        <v>65</v>
      </c>
      <c r="K2517" s="1">
        <v>4.38</v>
      </c>
      <c r="L2517" s="4">
        <v>138.19</v>
      </c>
      <c r="M2517" s="1">
        <v>1.71</v>
      </c>
      <c r="N2517" s="1">
        <v>6</v>
      </c>
      <c r="O2517" s="1">
        <v>0.98</v>
      </c>
      <c r="P2517" s="1">
        <v>838</v>
      </c>
      <c r="Q2517" s="1">
        <v>8.4600000000000009</v>
      </c>
      <c r="R2517" s="1">
        <v>0.94</v>
      </c>
      <c r="S2517" s="2">
        <v>45313</v>
      </c>
      <c r="T2517" s="1">
        <v>143.1</v>
      </c>
      <c r="U2517" s="1">
        <v>0.60599999999999998</v>
      </c>
      <c r="V2517" s="6">
        <f t="shared" si="117"/>
        <v>65363.869999999995</v>
      </c>
      <c r="W2517" s="6" t="str">
        <f t="shared" si="118"/>
        <v>Sufficient</v>
      </c>
      <c r="X2517" s="8" t="str">
        <f t="shared" si="119"/>
        <v>High</v>
      </c>
    </row>
    <row r="2518" spans="1:24">
      <c r="A2518" s="7" t="s">
        <v>2648</v>
      </c>
      <c r="B2518" s="1" t="s">
        <v>66</v>
      </c>
      <c r="C2518" s="1">
        <v>333</v>
      </c>
      <c r="D2518" s="1">
        <v>76</v>
      </c>
      <c r="E2518" s="1">
        <v>14</v>
      </c>
      <c r="F2518" s="1">
        <v>7</v>
      </c>
      <c r="G2518" s="1">
        <v>37.75</v>
      </c>
      <c r="H2518" s="1" t="s">
        <v>189</v>
      </c>
      <c r="I2518" s="1" t="s">
        <v>45</v>
      </c>
      <c r="J2518" s="1">
        <v>106</v>
      </c>
      <c r="K2518" s="1">
        <v>4.5</v>
      </c>
      <c r="L2518" s="4">
        <v>81.91</v>
      </c>
      <c r="M2518" s="1">
        <v>0.1</v>
      </c>
      <c r="N2518" s="1">
        <v>2</v>
      </c>
      <c r="O2518" s="1">
        <v>0.77</v>
      </c>
      <c r="P2518" s="1">
        <v>936</v>
      </c>
      <c r="Q2518" s="1">
        <v>12.79</v>
      </c>
      <c r="R2518" s="1">
        <v>0.22</v>
      </c>
      <c r="S2518" s="2">
        <v>45294</v>
      </c>
      <c r="T2518" s="1">
        <v>290.54000000000002</v>
      </c>
      <c r="U2518" s="1">
        <v>0.71899999999999997</v>
      </c>
      <c r="V2518" s="6">
        <f t="shared" si="117"/>
        <v>27276.03</v>
      </c>
      <c r="W2518" s="6" t="str">
        <f t="shared" si="118"/>
        <v>Sufficient</v>
      </c>
      <c r="X2518" s="8" t="str">
        <f t="shared" si="119"/>
        <v>High</v>
      </c>
    </row>
    <row r="2519" spans="1:24">
      <c r="A2519" s="7" t="s">
        <v>2649</v>
      </c>
      <c r="B2519" s="1" t="s">
        <v>25</v>
      </c>
      <c r="C2519" s="1">
        <v>147</v>
      </c>
      <c r="D2519" s="1">
        <v>10</v>
      </c>
      <c r="E2519" s="1">
        <v>14</v>
      </c>
      <c r="F2519" s="1">
        <v>2</v>
      </c>
      <c r="G2519" s="1">
        <v>14.5</v>
      </c>
      <c r="H2519" s="1" t="s">
        <v>59</v>
      </c>
      <c r="I2519" s="1" t="s">
        <v>45</v>
      </c>
      <c r="J2519" s="1">
        <v>35</v>
      </c>
      <c r="K2519" s="1">
        <v>2.83</v>
      </c>
      <c r="L2519" s="4">
        <v>48</v>
      </c>
      <c r="M2519" s="1">
        <v>1.86</v>
      </c>
      <c r="N2519" s="1">
        <v>1</v>
      </c>
      <c r="O2519" s="1">
        <v>0.87</v>
      </c>
      <c r="P2519" s="1">
        <v>682</v>
      </c>
      <c r="Q2519" s="1">
        <v>8.3000000000000007</v>
      </c>
      <c r="R2519" s="1">
        <v>0.61</v>
      </c>
      <c r="S2519" s="2">
        <v>45585</v>
      </c>
      <c r="T2519" s="1">
        <v>261.83</v>
      </c>
      <c r="U2519" s="1">
        <v>0.60099999999999998</v>
      </c>
      <c r="V2519" s="6">
        <f t="shared" si="117"/>
        <v>7056</v>
      </c>
      <c r="W2519" s="6" t="str">
        <f t="shared" si="118"/>
        <v>Sufficient</v>
      </c>
      <c r="X2519" s="8" t="str">
        <f t="shared" si="119"/>
        <v>Medium</v>
      </c>
    </row>
    <row r="2520" spans="1:24">
      <c r="A2520" s="7" t="s">
        <v>2650</v>
      </c>
      <c r="B2520" s="1" t="s">
        <v>25</v>
      </c>
      <c r="C2520" s="1">
        <v>417</v>
      </c>
      <c r="D2520" s="1">
        <v>60</v>
      </c>
      <c r="E2520" s="1">
        <v>3</v>
      </c>
      <c r="F2520" s="1">
        <v>6</v>
      </c>
      <c r="G2520" s="1">
        <v>19.7</v>
      </c>
      <c r="H2520" s="1" t="s">
        <v>244</v>
      </c>
      <c r="I2520" s="1" t="s">
        <v>31</v>
      </c>
      <c r="J2520" s="1">
        <v>179</v>
      </c>
      <c r="K2520" s="1">
        <v>2.29</v>
      </c>
      <c r="L2520" s="4">
        <v>175.66</v>
      </c>
      <c r="M2520" s="1">
        <v>0.2</v>
      </c>
      <c r="N2520" s="1">
        <v>2</v>
      </c>
      <c r="O2520" s="1">
        <v>0.74</v>
      </c>
      <c r="P2520" s="1">
        <v>294</v>
      </c>
      <c r="Q2520" s="1">
        <v>12.58</v>
      </c>
      <c r="R2520" s="1">
        <v>0.41</v>
      </c>
      <c r="S2520" s="2">
        <v>45597</v>
      </c>
      <c r="T2520" s="1">
        <v>243.82</v>
      </c>
      <c r="U2520" s="1">
        <v>0.73799999999999999</v>
      </c>
      <c r="V2520" s="6">
        <f t="shared" si="117"/>
        <v>73250.22</v>
      </c>
      <c r="W2520" s="6" t="str">
        <f t="shared" si="118"/>
        <v>Sufficient</v>
      </c>
      <c r="X2520" s="8" t="str">
        <f t="shared" si="119"/>
        <v>High</v>
      </c>
    </row>
    <row r="2521" spans="1:24">
      <c r="A2521" s="7" t="s">
        <v>2651</v>
      </c>
      <c r="B2521" s="1" t="s">
        <v>25</v>
      </c>
      <c r="C2521" s="1">
        <v>440</v>
      </c>
      <c r="D2521" s="1">
        <v>14</v>
      </c>
      <c r="E2521" s="1">
        <v>6</v>
      </c>
      <c r="F2521" s="1">
        <v>9</v>
      </c>
      <c r="G2521" s="1">
        <v>19.37</v>
      </c>
      <c r="H2521" s="1" t="s">
        <v>106</v>
      </c>
      <c r="I2521" s="1" t="s">
        <v>39</v>
      </c>
      <c r="J2521" s="1">
        <v>100</v>
      </c>
      <c r="K2521" s="1">
        <v>3.02</v>
      </c>
      <c r="L2521" s="4">
        <v>185.21</v>
      </c>
      <c r="M2521" s="1">
        <v>0.42</v>
      </c>
      <c r="N2521" s="1">
        <v>7</v>
      </c>
      <c r="O2521" s="1">
        <v>0.9</v>
      </c>
      <c r="P2521" s="1">
        <v>919</v>
      </c>
      <c r="Q2521" s="1">
        <v>8.6199999999999992</v>
      </c>
      <c r="R2521" s="1">
        <v>0.41</v>
      </c>
      <c r="S2521" s="2">
        <v>45493</v>
      </c>
      <c r="T2521" s="1">
        <v>62.98</v>
      </c>
      <c r="U2521" s="1">
        <v>0.59499999999999997</v>
      </c>
      <c r="V2521" s="6">
        <f t="shared" si="117"/>
        <v>81492.400000000009</v>
      </c>
      <c r="W2521" s="6" t="str">
        <f t="shared" si="118"/>
        <v>Sufficient</v>
      </c>
      <c r="X2521" s="8" t="str">
        <f t="shared" si="119"/>
        <v>High</v>
      </c>
    </row>
    <row r="2522" spans="1:24">
      <c r="A2522" s="7" t="s">
        <v>2652</v>
      </c>
      <c r="B2522" s="1" t="s">
        <v>66</v>
      </c>
      <c r="C2522" s="1">
        <v>387</v>
      </c>
      <c r="D2522" s="1">
        <v>22</v>
      </c>
      <c r="E2522" s="1">
        <v>12</v>
      </c>
      <c r="F2522" s="1">
        <v>8</v>
      </c>
      <c r="G2522" s="1">
        <v>12.97</v>
      </c>
      <c r="H2522" s="1" t="s">
        <v>189</v>
      </c>
      <c r="I2522" s="1" t="s">
        <v>45</v>
      </c>
      <c r="J2522" s="1">
        <v>47</v>
      </c>
      <c r="K2522" s="1">
        <v>2.31</v>
      </c>
      <c r="L2522" s="4">
        <v>129.08000000000001</v>
      </c>
      <c r="M2522" s="1">
        <v>0.16</v>
      </c>
      <c r="N2522" s="1">
        <v>3</v>
      </c>
      <c r="O2522" s="1">
        <v>0.76</v>
      </c>
      <c r="P2522" s="1">
        <v>139</v>
      </c>
      <c r="Q2522" s="1">
        <v>7.26</v>
      </c>
      <c r="R2522" s="1">
        <v>0.9</v>
      </c>
      <c r="S2522" s="2">
        <v>45567</v>
      </c>
      <c r="T2522" s="1">
        <v>253.05</v>
      </c>
      <c r="U2522" s="1">
        <v>0.753</v>
      </c>
      <c r="V2522" s="6">
        <f t="shared" si="117"/>
        <v>49953.960000000006</v>
      </c>
      <c r="W2522" s="6" t="str">
        <f t="shared" si="118"/>
        <v>Sufficient</v>
      </c>
      <c r="X2522" s="8" t="str">
        <f t="shared" si="119"/>
        <v>High</v>
      </c>
    </row>
    <row r="2523" spans="1:24">
      <c r="A2523" s="7" t="s">
        <v>2653</v>
      </c>
      <c r="B2523" s="1" t="s">
        <v>25</v>
      </c>
      <c r="C2523" s="1">
        <v>482</v>
      </c>
      <c r="D2523" s="1">
        <v>28</v>
      </c>
      <c r="E2523" s="1">
        <v>5</v>
      </c>
      <c r="F2523" s="1">
        <v>9</v>
      </c>
      <c r="G2523" s="1">
        <v>22.1</v>
      </c>
      <c r="H2523" s="1" t="s">
        <v>156</v>
      </c>
      <c r="I2523" s="1" t="s">
        <v>39</v>
      </c>
      <c r="J2523" s="1">
        <v>163</v>
      </c>
      <c r="K2523" s="1">
        <v>1.58</v>
      </c>
      <c r="L2523" s="4">
        <v>164.12</v>
      </c>
      <c r="M2523" s="1">
        <v>1.0900000000000001</v>
      </c>
      <c r="N2523" s="1">
        <v>7</v>
      </c>
      <c r="O2523" s="1">
        <v>0.71</v>
      </c>
      <c r="P2523" s="1">
        <v>527</v>
      </c>
      <c r="Q2523" s="1">
        <v>6.2</v>
      </c>
      <c r="R2523" s="1">
        <v>0.45</v>
      </c>
      <c r="S2523" s="2">
        <v>45572</v>
      </c>
      <c r="T2523" s="1">
        <v>142.04</v>
      </c>
      <c r="U2523" s="1">
        <v>0.46600000000000003</v>
      </c>
      <c r="V2523" s="6">
        <f t="shared" si="117"/>
        <v>79105.84</v>
      </c>
      <c r="W2523" s="6" t="str">
        <f t="shared" si="118"/>
        <v>Sufficient</v>
      </c>
      <c r="X2523" s="8" t="str">
        <f t="shared" si="119"/>
        <v>High</v>
      </c>
    </row>
    <row r="2524" spans="1:24">
      <c r="A2524" s="7" t="s">
        <v>2654</v>
      </c>
      <c r="B2524" s="1" t="s">
        <v>66</v>
      </c>
      <c r="C2524" s="1">
        <v>258</v>
      </c>
      <c r="D2524" s="1">
        <v>21</v>
      </c>
      <c r="E2524" s="1">
        <v>12</v>
      </c>
      <c r="F2524" s="1">
        <v>6</v>
      </c>
      <c r="G2524" s="1">
        <v>24.19</v>
      </c>
      <c r="H2524" s="1" t="s">
        <v>143</v>
      </c>
      <c r="I2524" s="1" t="s">
        <v>31</v>
      </c>
      <c r="J2524" s="1">
        <v>68</v>
      </c>
      <c r="K2524" s="1">
        <v>1.96</v>
      </c>
      <c r="L2524" s="4">
        <v>197.46</v>
      </c>
      <c r="M2524" s="1">
        <v>1.89</v>
      </c>
      <c r="N2524" s="1">
        <v>3</v>
      </c>
      <c r="O2524" s="1">
        <v>0.95</v>
      </c>
      <c r="P2524" s="1">
        <v>701</v>
      </c>
      <c r="Q2524" s="1">
        <v>3.43</v>
      </c>
      <c r="R2524" s="1">
        <v>0.22</v>
      </c>
      <c r="S2524" s="2">
        <v>45335</v>
      </c>
      <c r="T2524" s="1">
        <v>70.72</v>
      </c>
      <c r="U2524" s="1">
        <v>0.43099999999999999</v>
      </c>
      <c r="V2524" s="6">
        <f t="shared" si="117"/>
        <v>50944.68</v>
      </c>
      <c r="W2524" s="6" t="str">
        <f t="shared" si="118"/>
        <v>Sufficient</v>
      </c>
      <c r="X2524" s="8" t="str">
        <f t="shared" si="119"/>
        <v>High</v>
      </c>
    </row>
    <row r="2525" spans="1:24">
      <c r="A2525" s="7" t="s">
        <v>2655</v>
      </c>
      <c r="B2525" s="1" t="s">
        <v>25</v>
      </c>
      <c r="C2525" s="1">
        <v>343</v>
      </c>
      <c r="D2525" s="1">
        <v>57</v>
      </c>
      <c r="E2525" s="1">
        <v>14</v>
      </c>
      <c r="F2525" s="1">
        <v>7</v>
      </c>
      <c r="G2525" s="1">
        <v>37.47</v>
      </c>
      <c r="H2525" s="1" t="s">
        <v>282</v>
      </c>
      <c r="I2525" s="1" t="s">
        <v>39</v>
      </c>
      <c r="J2525" s="1">
        <v>136</v>
      </c>
      <c r="K2525" s="1">
        <v>1.55</v>
      </c>
      <c r="L2525" s="4">
        <v>126.81</v>
      </c>
      <c r="M2525" s="1">
        <v>1.69</v>
      </c>
      <c r="N2525" s="1">
        <v>6</v>
      </c>
      <c r="O2525" s="1">
        <v>0.8</v>
      </c>
      <c r="P2525" s="1">
        <v>161</v>
      </c>
      <c r="Q2525" s="1">
        <v>9.18</v>
      </c>
      <c r="R2525" s="1">
        <v>0.63</v>
      </c>
      <c r="S2525" s="2">
        <v>45448</v>
      </c>
      <c r="T2525" s="1">
        <v>297.36</v>
      </c>
      <c r="U2525" s="1">
        <v>0.51900000000000002</v>
      </c>
      <c r="V2525" s="6">
        <f t="shared" si="117"/>
        <v>43495.83</v>
      </c>
      <c r="W2525" s="6" t="str">
        <f t="shared" si="118"/>
        <v>Sufficient</v>
      </c>
      <c r="X2525" s="8" t="str">
        <f t="shared" si="119"/>
        <v>High</v>
      </c>
    </row>
    <row r="2526" spans="1:24">
      <c r="A2526" s="7" t="s">
        <v>2656</v>
      </c>
      <c r="B2526" s="1" t="s">
        <v>29</v>
      </c>
      <c r="C2526" s="1">
        <v>315</v>
      </c>
      <c r="D2526" s="1">
        <v>34</v>
      </c>
      <c r="E2526" s="1">
        <v>7</v>
      </c>
      <c r="F2526" s="1">
        <v>2</v>
      </c>
      <c r="G2526" s="1">
        <v>38.49</v>
      </c>
      <c r="H2526" s="1" t="s">
        <v>74</v>
      </c>
      <c r="I2526" s="1" t="s">
        <v>31</v>
      </c>
      <c r="J2526" s="1">
        <v>33</v>
      </c>
      <c r="K2526" s="1">
        <v>1.71</v>
      </c>
      <c r="L2526" s="4">
        <v>182.67</v>
      </c>
      <c r="M2526" s="1">
        <v>1.32</v>
      </c>
      <c r="N2526" s="1">
        <v>5</v>
      </c>
      <c r="O2526" s="1">
        <v>0.73</v>
      </c>
      <c r="P2526" s="1">
        <v>956</v>
      </c>
      <c r="Q2526" s="1">
        <v>8.6199999999999992</v>
      </c>
      <c r="R2526" s="1">
        <v>0.98</v>
      </c>
      <c r="S2526" s="2">
        <v>45399</v>
      </c>
      <c r="T2526" s="1">
        <v>59.9</v>
      </c>
      <c r="U2526" s="1">
        <v>0.625</v>
      </c>
      <c r="V2526" s="6">
        <f t="shared" si="117"/>
        <v>57541.049999999996</v>
      </c>
      <c r="W2526" s="6" t="str">
        <f t="shared" si="118"/>
        <v>Sufficient</v>
      </c>
      <c r="X2526" s="8" t="str">
        <f t="shared" si="119"/>
        <v>High</v>
      </c>
    </row>
    <row r="2527" spans="1:24">
      <c r="A2527" s="7" t="s">
        <v>2657</v>
      </c>
      <c r="B2527" s="1" t="s">
        <v>25</v>
      </c>
      <c r="C2527" s="1">
        <v>206</v>
      </c>
      <c r="D2527" s="1">
        <v>66</v>
      </c>
      <c r="E2527" s="1">
        <v>12</v>
      </c>
      <c r="F2527" s="1">
        <v>5</v>
      </c>
      <c r="G2527" s="1">
        <v>8.77</v>
      </c>
      <c r="H2527" s="1" t="s">
        <v>103</v>
      </c>
      <c r="I2527" s="1" t="s">
        <v>45</v>
      </c>
      <c r="J2527" s="1">
        <v>120</v>
      </c>
      <c r="K2527" s="1">
        <v>0.92</v>
      </c>
      <c r="L2527" s="4">
        <v>78.260000000000005</v>
      </c>
      <c r="M2527" s="1">
        <v>0.45</v>
      </c>
      <c r="N2527" s="1">
        <v>9</v>
      </c>
      <c r="O2527" s="1">
        <v>0.95</v>
      </c>
      <c r="P2527" s="1">
        <v>999</v>
      </c>
      <c r="Q2527" s="1">
        <v>14.66</v>
      </c>
      <c r="R2527" s="1">
        <v>0.26</v>
      </c>
      <c r="S2527" s="2">
        <v>45468</v>
      </c>
      <c r="T2527" s="1">
        <v>277.36</v>
      </c>
      <c r="U2527" s="1">
        <v>0.61199999999999999</v>
      </c>
      <c r="V2527" s="6">
        <f t="shared" si="117"/>
        <v>16121.560000000001</v>
      </c>
      <c r="W2527" s="6" t="str">
        <f t="shared" si="118"/>
        <v>Sufficient</v>
      </c>
      <c r="X2527" s="8" t="str">
        <f t="shared" si="119"/>
        <v>Medium</v>
      </c>
    </row>
    <row r="2528" spans="1:24">
      <c r="A2528" s="7" t="s">
        <v>2658</v>
      </c>
      <c r="B2528" s="1" t="s">
        <v>41</v>
      </c>
      <c r="C2528" s="1">
        <v>227</v>
      </c>
      <c r="D2528" s="1">
        <v>44</v>
      </c>
      <c r="E2528" s="1">
        <v>12</v>
      </c>
      <c r="F2528" s="1">
        <v>6</v>
      </c>
      <c r="G2528" s="1">
        <v>30.05</v>
      </c>
      <c r="H2528" s="1" t="s">
        <v>221</v>
      </c>
      <c r="I2528" s="1" t="s">
        <v>39</v>
      </c>
      <c r="J2528" s="1">
        <v>30</v>
      </c>
      <c r="K2528" s="1">
        <v>2.42</v>
      </c>
      <c r="L2528" s="4">
        <v>143.09</v>
      </c>
      <c r="M2528" s="1">
        <v>1.75</v>
      </c>
      <c r="N2528" s="1">
        <v>0</v>
      </c>
      <c r="O2528" s="1">
        <v>0.93</v>
      </c>
      <c r="P2528" s="1">
        <v>443</v>
      </c>
      <c r="Q2528" s="1">
        <v>6.77</v>
      </c>
      <c r="R2528" s="1">
        <v>0.43</v>
      </c>
      <c r="S2528" s="2">
        <v>45400</v>
      </c>
      <c r="T2528" s="1">
        <v>10.15</v>
      </c>
      <c r="U2528" s="1">
        <v>0.58699999999999997</v>
      </c>
      <c r="V2528" s="6">
        <f t="shared" si="117"/>
        <v>32481.43</v>
      </c>
      <c r="W2528" s="6" t="str">
        <f t="shared" si="118"/>
        <v>Sufficient</v>
      </c>
      <c r="X2528" s="8" t="str">
        <f t="shared" si="119"/>
        <v>Medium</v>
      </c>
    </row>
    <row r="2529" spans="1:24">
      <c r="A2529" s="7" t="s">
        <v>2659</v>
      </c>
      <c r="B2529" s="1" t="s">
        <v>25</v>
      </c>
      <c r="C2529" s="1">
        <v>239</v>
      </c>
      <c r="D2529" s="1">
        <v>85</v>
      </c>
      <c r="E2529" s="1">
        <v>8</v>
      </c>
      <c r="F2529" s="1">
        <v>9</v>
      </c>
      <c r="G2529" s="1">
        <v>44.91</v>
      </c>
      <c r="H2529" s="1" t="s">
        <v>124</v>
      </c>
      <c r="I2529" s="1" t="s">
        <v>45</v>
      </c>
      <c r="J2529" s="1">
        <v>69</v>
      </c>
      <c r="K2529" s="1">
        <v>1.56</v>
      </c>
      <c r="L2529" s="4">
        <v>20.6</v>
      </c>
      <c r="M2529" s="1">
        <v>1.53</v>
      </c>
      <c r="N2529" s="1">
        <v>7</v>
      </c>
      <c r="O2529" s="1">
        <v>0.91</v>
      </c>
      <c r="P2529" s="1">
        <v>936</v>
      </c>
      <c r="Q2529" s="1">
        <v>6.9</v>
      </c>
      <c r="R2529" s="1">
        <v>0.57999999999999996</v>
      </c>
      <c r="S2529" s="2">
        <v>45503</v>
      </c>
      <c r="T2529" s="1">
        <v>137</v>
      </c>
      <c r="U2529" s="1">
        <v>0.497</v>
      </c>
      <c r="V2529" s="6">
        <f t="shared" si="117"/>
        <v>4923.4000000000005</v>
      </c>
      <c r="W2529" s="6" t="str">
        <f t="shared" si="118"/>
        <v>Sufficient</v>
      </c>
      <c r="X2529" s="8" t="str">
        <f t="shared" si="119"/>
        <v>Medium</v>
      </c>
    </row>
    <row r="2530" spans="1:24">
      <c r="A2530" s="7" t="s">
        <v>2660</v>
      </c>
      <c r="B2530" s="1" t="s">
        <v>33</v>
      </c>
      <c r="C2530" s="1">
        <v>419</v>
      </c>
      <c r="D2530" s="1">
        <v>14</v>
      </c>
      <c r="E2530" s="1">
        <v>4</v>
      </c>
      <c r="F2530" s="1">
        <v>9</v>
      </c>
      <c r="G2530" s="1">
        <v>6.33</v>
      </c>
      <c r="H2530" s="1" t="s">
        <v>34</v>
      </c>
      <c r="I2530" s="1" t="s">
        <v>27</v>
      </c>
      <c r="J2530" s="1">
        <v>99</v>
      </c>
      <c r="K2530" s="1">
        <v>2.52</v>
      </c>
      <c r="L2530" s="4">
        <v>159.9</v>
      </c>
      <c r="M2530" s="1">
        <v>0.61</v>
      </c>
      <c r="N2530" s="1">
        <v>5</v>
      </c>
      <c r="O2530" s="1">
        <v>0.97</v>
      </c>
      <c r="P2530" s="1">
        <v>289</v>
      </c>
      <c r="Q2530" s="1">
        <v>3.29</v>
      </c>
      <c r="R2530" s="1">
        <v>0.86</v>
      </c>
      <c r="S2530" s="2">
        <v>45622</v>
      </c>
      <c r="T2530" s="1">
        <v>18.670000000000002</v>
      </c>
      <c r="U2530" s="1">
        <v>0.64900000000000002</v>
      </c>
      <c r="V2530" s="6">
        <f t="shared" si="117"/>
        <v>66998.100000000006</v>
      </c>
      <c r="W2530" s="6" t="str">
        <f t="shared" si="118"/>
        <v>Sufficient</v>
      </c>
      <c r="X2530" s="8" t="str">
        <f t="shared" si="119"/>
        <v>High</v>
      </c>
    </row>
    <row r="2531" spans="1:24">
      <c r="A2531" s="7" t="s">
        <v>2661</v>
      </c>
      <c r="B2531" s="1" t="s">
        <v>25</v>
      </c>
      <c r="C2531" s="1">
        <v>209</v>
      </c>
      <c r="D2531" s="1">
        <v>31</v>
      </c>
      <c r="E2531" s="1">
        <v>9</v>
      </c>
      <c r="F2531" s="1">
        <v>9</v>
      </c>
      <c r="G2531" s="1">
        <v>24.17</v>
      </c>
      <c r="H2531" s="1" t="s">
        <v>135</v>
      </c>
      <c r="I2531" s="1" t="s">
        <v>27</v>
      </c>
      <c r="J2531" s="1">
        <v>157</v>
      </c>
      <c r="K2531" s="1">
        <v>4.0599999999999996</v>
      </c>
      <c r="L2531" s="4">
        <v>167.66</v>
      </c>
      <c r="M2531" s="1">
        <v>1.63</v>
      </c>
      <c r="N2531" s="1">
        <v>1</v>
      </c>
      <c r="O2531" s="1">
        <v>0.85</v>
      </c>
      <c r="P2531" s="1">
        <v>321</v>
      </c>
      <c r="Q2531" s="1">
        <v>9.3699999999999992</v>
      </c>
      <c r="R2531" s="1">
        <v>0.42</v>
      </c>
      <c r="S2531" s="2">
        <v>45554</v>
      </c>
      <c r="T2531" s="1">
        <v>274.61</v>
      </c>
      <c r="U2531" s="1">
        <v>0.59599999999999997</v>
      </c>
      <c r="V2531" s="6">
        <f t="shared" si="117"/>
        <v>35040.94</v>
      </c>
      <c r="W2531" s="6" t="str">
        <f t="shared" si="118"/>
        <v>Sufficient</v>
      </c>
      <c r="X2531" s="8" t="str">
        <f t="shared" si="119"/>
        <v>Medium</v>
      </c>
    </row>
    <row r="2532" spans="1:24">
      <c r="A2532" s="7" t="s">
        <v>2662</v>
      </c>
      <c r="B2532" s="1" t="s">
        <v>41</v>
      </c>
      <c r="C2532" s="1">
        <v>407</v>
      </c>
      <c r="D2532" s="1">
        <v>86</v>
      </c>
      <c r="E2532" s="1">
        <v>5</v>
      </c>
      <c r="F2532" s="1">
        <v>5</v>
      </c>
      <c r="G2532" s="1">
        <v>37.770000000000003</v>
      </c>
      <c r="H2532" s="1" t="s">
        <v>124</v>
      </c>
      <c r="I2532" s="1" t="s">
        <v>39</v>
      </c>
      <c r="J2532" s="1">
        <v>15</v>
      </c>
      <c r="K2532" s="1">
        <v>2.52</v>
      </c>
      <c r="L2532" s="4">
        <v>86.22</v>
      </c>
      <c r="M2532" s="1">
        <v>1.77</v>
      </c>
      <c r="N2532" s="1">
        <v>4</v>
      </c>
      <c r="O2532" s="1">
        <v>0.74</v>
      </c>
      <c r="P2532" s="1">
        <v>192</v>
      </c>
      <c r="Q2532" s="1">
        <v>12.87</v>
      </c>
      <c r="R2532" s="1">
        <v>0.47</v>
      </c>
      <c r="S2532" s="2">
        <v>45364</v>
      </c>
      <c r="T2532" s="1">
        <v>46.51</v>
      </c>
      <c r="U2532" s="1">
        <v>0.55700000000000005</v>
      </c>
      <c r="V2532" s="6">
        <f t="shared" si="117"/>
        <v>35091.54</v>
      </c>
      <c r="W2532" s="6" t="str">
        <f t="shared" si="118"/>
        <v>Sufficient</v>
      </c>
      <c r="X2532" s="8" t="str">
        <f t="shared" si="119"/>
        <v>High</v>
      </c>
    </row>
    <row r="2533" spans="1:24">
      <c r="A2533" s="7" t="s">
        <v>2663</v>
      </c>
      <c r="B2533" s="1" t="s">
        <v>41</v>
      </c>
      <c r="C2533" s="1">
        <v>448</v>
      </c>
      <c r="D2533" s="1">
        <v>66</v>
      </c>
      <c r="E2533" s="1">
        <v>3</v>
      </c>
      <c r="F2533" s="1">
        <v>6</v>
      </c>
      <c r="G2533" s="1">
        <v>30.96</v>
      </c>
      <c r="H2533" s="1" t="s">
        <v>183</v>
      </c>
      <c r="I2533" s="1" t="s">
        <v>31</v>
      </c>
      <c r="J2533" s="1">
        <v>19</v>
      </c>
      <c r="K2533" s="1">
        <v>4.8</v>
      </c>
      <c r="L2533" s="4">
        <v>131.4</v>
      </c>
      <c r="M2533" s="1">
        <v>1.43</v>
      </c>
      <c r="N2533" s="1">
        <v>1</v>
      </c>
      <c r="O2533" s="1">
        <v>0.72</v>
      </c>
      <c r="P2533" s="1">
        <v>768</v>
      </c>
      <c r="Q2533" s="1">
        <v>4.47</v>
      </c>
      <c r="R2533" s="1">
        <v>0.51</v>
      </c>
      <c r="S2533" s="2">
        <v>45374</v>
      </c>
      <c r="T2533" s="1">
        <v>205.2</v>
      </c>
      <c r="U2533" s="1">
        <v>0.54300000000000004</v>
      </c>
      <c r="V2533" s="6">
        <f t="shared" si="117"/>
        <v>58867.200000000004</v>
      </c>
      <c r="W2533" s="6" t="str">
        <f t="shared" si="118"/>
        <v>Sufficient</v>
      </c>
      <c r="X2533" s="8" t="str">
        <f t="shared" si="119"/>
        <v>High</v>
      </c>
    </row>
    <row r="2534" spans="1:24">
      <c r="A2534" s="7" t="s">
        <v>2664</v>
      </c>
      <c r="B2534" s="1" t="s">
        <v>66</v>
      </c>
      <c r="C2534" s="1">
        <v>365</v>
      </c>
      <c r="D2534" s="1">
        <v>56</v>
      </c>
      <c r="E2534" s="1">
        <v>12</v>
      </c>
      <c r="F2534" s="1">
        <v>9</v>
      </c>
      <c r="G2534" s="1">
        <v>5.93</v>
      </c>
      <c r="H2534" s="1" t="s">
        <v>159</v>
      </c>
      <c r="I2534" s="1" t="s">
        <v>39</v>
      </c>
      <c r="J2534" s="1">
        <v>149</v>
      </c>
      <c r="K2534" s="1">
        <v>1.17</v>
      </c>
      <c r="L2534" s="4">
        <v>173.09</v>
      </c>
      <c r="M2534" s="1">
        <v>0.28999999999999998</v>
      </c>
      <c r="N2534" s="1">
        <v>9</v>
      </c>
      <c r="O2534" s="1">
        <v>0.8</v>
      </c>
      <c r="P2534" s="1">
        <v>168</v>
      </c>
      <c r="Q2534" s="1">
        <v>1.1299999999999999</v>
      </c>
      <c r="R2534" s="1">
        <v>0.5</v>
      </c>
      <c r="S2534" s="2">
        <v>45386</v>
      </c>
      <c r="T2534" s="1">
        <v>193.05</v>
      </c>
      <c r="U2534" s="1">
        <v>0.46600000000000003</v>
      </c>
      <c r="V2534" s="6">
        <f t="shared" si="117"/>
        <v>63177.85</v>
      </c>
      <c r="W2534" s="6" t="str">
        <f t="shared" si="118"/>
        <v>Sufficient</v>
      </c>
      <c r="X2534" s="8" t="str">
        <f t="shared" si="119"/>
        <v>High</v>
      </c>
    </row>
    <row r="2535" spans="1:24">
      <c r="A2535" s="7" t="s">
        <v>2665</v>
      </c>
      <c r="B2535" s="1" t="s">
        <v>29</v>
      </c>
      <c r="C2535" s="1">
        <v>303</v>
      </c>
      <c r="D2535" s="1">
        <v>63</v>
      </c>
      <c r="E2535" s="1">
        <v>5</v>
      </c>
      <c r="F2535" s="1">
        <v>5</v>
      </c>
      <c r="G2535" s="1">
        <v>20.43</v>
      </c>
      <c r="H2535" s="1" t="s">
        <v>147</v>
      </c>
      <c r="I2535" s="1" t="s">
        <v>31</v>
      </c>
      <c r="J2535" s="1">
        <v>106</v>
      </c>
      <c r="K2535" s="1">
        <v>4.33</v>
      </c>
      <c r="L2535" s="4">
        <v>177.89</v>
      </c>
      <c r="M2535" s="1">
        <v>1.97</v>
      </c>
      <c r="N2535" s="1">
        <v>6</v>
      </c>
      <c r="O2535" s="1">
        <v>0.73</v>
      </c>
      <c r="P2535" s="1">
        <v>645</v>
      </c>
      <c r="Q2535" s="1">
        <v>10.68</v>
      </c>
      <c r="R2535" s="1">
        <v>0.36</v>
      </c>
      <c r="S2535" s="2">
        <v>45405</v>
      </c>
      <c r="T2535" s="1">
        <v>235.93</v>
      </c>
      <c r="U2535" s="1">
        <v>0.443</v>
      </c>
      <c r="V2535" s="6">
        <f t="shared" si="117"/>
        <v>53900.67</v>
      </c>
      <c r="W2535" s="6" t="str">
        <f t="shared" si="118"/>
        <v>Sufficient</v>
      </c>
      <c r="X2535" s="8" t="str">
        <f t="shared" si="119"/>
        <v>High</v>
      </c>
    </row>
    <row r="2536" spans="1:24">
      <c r="A2536" s="7" t="s">
        <v>2666</v>
      </c>
      <c r="B2536" s="1" t="s">
        <v>25</v>
      </c>
      <c r="C2536" s="1">
        <v>371</v>
      </c>
      <c r="D2536" s="1">
        <v>12</v>
      </c>
      <c r="E2536" s="1">
        <v>11</v>
      </c>
      <c r="F2536" s="1">
        <v>8</v>
      </c>
      <c r="G2536" s="1">
        <v>25.85</v>
      </c>
      <c r="H2536" s="1" t="s">
        <v>122</v>
      </c>
      <c r="I2536" s="1" t="s">
        <v>27</v>
      </c>
      <c r="J2536" s="1">
        <v>159</v>
      </c>
      <c r="K2536" s="1">
        <v>1.62</v>
      </c>
      <c r="L2536" s="4">
        <v>30.24</v>
      </c>
      <c r="M2536" s="1">
        <v>0.24</v>
      </c>
      <c r="N2536" s="1">
        <v>9</v>
      </c>
      <c r="O2536" s="1">
        <v>0.86</v>
      </c>
      <c r="P2536" s="1">
        <v>949</v>
      </c>
      <c r="Q2536" s="1">
        <v>1.44</v>
      </c>
      <c r="R2536" s="1">
        <v>0.93</v>
      </c>
      <c r="S2536" s="2">
        <v>45607</v>
      </c>
      <c r="T2536" s="1">
        <v>226.59</v>
      </c>
      <c r="U2536" s="1">
        <v>0.57299999999999995</v>
      </c>
      <c r="V2536" s="6">
        <f t="shared" si="117"/>
        <v>11219.039999999999</v>
      </c>
      <c r="W2536" s="6" t="str">
        <f t="shared" si="118"/>
        <v>Sufficient</v>
      </c>
      <c r="X2536" s="8" t="str">
        <f t="shared" si="119"/>
        <v>High</v>
      </c>
    </row>
    <row r="2537" spans="1:24">
      <c r="A2537" s="7" t="s">
        <v>2667</v>
      </c>
      <c r="B2537" s="1" t="s">
        <v>66</v>
      </c>
      <c r="C2537" s="1">
        <v>256</v>
      </c>
      <c r="D2537" s="1">
        <v>62</v>
      </c>
      <c r="E2537" s="1">
        <v>12</v>
      </c>
      <c r="F2537" s="1">
        <v>9</v>
      </c>
      <c r="G2537" s="1">
        <v>49.8</v>
      </c>
      <c r="H2537" s="1" t="s">
        <v>83</v>
      </c>
      <c r="I2537" s="1" t="s">
        <v>31</v>
      </c>
      <c r="J2537" s="1">
        <v>89</v>
      </c>
      <c r="K2537" s="1">
        <v>4.7</v>
      </c>
      <c r="L2537" s="4">
        <v>167.22</v>
      </c>
      <c r="M2537" s="1">
        <v>1.34</v>
      </c>
      <c r="N2537" s="1">
        <v>5</v>
      </c>
      <c r="O2537" s="1">
        <v>0.7</v>
      </c>
      <c r="P2537" s="1">
        <v>300</v>
      </c>
      <c r="Q2537" s="1">
        <v>6.73</v>
      </c>
      <c r="R2537" s="1">
        <v>0.83</v>
      </c>
      <c r="S2537" s="2">
        <v>45421</v>
      </c>
      <c r="T2537" s="1">
        <v>19.41</v>
      </c>
      <c r="U2537" s="1">
        <v>0.56200000000000006</v>
      </c>
      <c r="V2537" s="6">
        <f t="shared" si="117"/>
        <v>42808.32</v>
      </c>
      <c r="W2537" s="6" t="str">
        <f t="shared" si="118"/>
        <v>Sufficient</v>
      </c>
      <c r="X2537" s="8" t="str">
        <f t="shared" si="119"/>
        <v>High</v>
      </c>
    </row>
    <row r="2538" spans="1:24">
      <c r="A2538" s="7" t="s">
        <v>2668</v>
      </c>
      <c r="B2538" s="1" t="s">
        <v>29</v>
      </c>
      <c r="C2538" s="1">
        <v>213</v>
      </c>
      <c r="D2538" s="1">
        <v>93</v>
      </c>
      <c r="E2538" s="1">
        <v>13</v>
      </c>
      <c r="F2538" s="1">
        <v>6</v>
      </c>
      <c r="G2538" s="1">
        <v>9.75</v>
      </c>
      <c r="H2538" s="1" t="s">
        <v>174</v>
      </c>
      <c r="I2538" s="1" t="s">
        <v>27</v>
      </c>
      <c r="J2538" s="1">
        <v>26</v>
      </c>
      <c r="K2538" s="1">
        <v>1.52</v>
      </c>
      <c r="L2538" s="4">
        <v>62.11</v>
      </c>
      <c r="M2538" s="1">
        <v>0.31</v>
      </c>
      <c r="N2538" s="1">
        <v>6</v>
      </c>
      <c r="O2538" s="1">
        <v>0.83</v>
      </c>
      <c r="P2538" s="1">
        <v>327</v>
      </c>
      <c r="Q2538" s="1">
        <v>9.58</v>
      </c>
      <c r="R2538" s="1">
        <v>0.98</v>
      </c>
      <c r="S2538" s="2">
        <v>45391</v>
      </c>
      <c r="T2538" s="1">
        <v>122.64</v>
      </c>
      <c r="U2538" s="1">
        <v>0.73899999999999999</v>
      </c>
      <c r="V2538" s="6">
        <f t="shared" si="117"/>
        <v>13229.43</v>
      </c>
      <c r="W2538" s="6" t="str">
        <f t="shared" si="118"/>
        <v>Sufficient</v>
      </c>
      <c r="X2538" s="8" t="str">
        <f t="shared" si="119"/>
        <v>Medium</v>
      </c>
    </row>
    <row r="2539" spans="1:24">
      <c r="A2539" s="7" t="s">
        <v>2669</v>
      </c>
      <c r="B2539" s="1" t="s">
        <v>25</v>
      </c>
      <c r="C2539" s="1">
        <v>306</v>
      </c>
      <c r="D2539" s="1">
        <v>40</v>
      </c>
      <c r="E2539" s="1">
        <v>13</v>
      </c>
      <c r="F2539" s="1">
        <v>5</v>
      </c>
      <c r="G2539" s="1">
        <v>49.14</v>
      </c>
      <c r="H2539" s="1" t="s">
        <v>159</v>
      </c>
      <c r="I2539" s="1" t="s">
        <v>39</v>
      </c>
      <c r="J2539" s="1">
        <v>147</v>
      </c>
      <c r="K2539" s="1">
        <v>3.86</v>
      </c>
      <c r="L2539" s="4">
        <v>148.19</v>
      </c>
      <c r="M2539" s="1">
        <v>1.82</v>
      </c>
      <c r="N2539" s="1">
        <v>5</v>
      </c>
      <c r="O2539" s="1">
        <v>0.75</v>
      </c>
      <c r="P2539" s="1">
        <v>212</v>
      </c>
      <c r="Q2539" s="1">
        <v>6.4</v>
      </c>
      <c r="R2539" s="1">
        <v>0.5</v>
      </c>
      <c r="S2539" s="2">
        <v>45350</v>
      </c>
      <c r="T2539" s="1">
        <v>103.53</v>
      </c>
      <c r="U2539" s="1">
        <v>0.45300000000000001</v>
      </c>
      <c r="V2539" s="6">
        <f t="shared" si="117"/>
        <v>45346.14</v>
      </c>
      <c r="W2539" s="6" t="str">
        <f t="shared" si="118"/>
        <v>Sufficient</v>
      </c>
      <c r="X2539" s="8" t="str">
        <f t="shared" si="119"/>
        <v>High</v>
      </c>
    </row>
    <row r="2540" spans="1:24">
      <c r="A2540" s="7" t="s">
        <v>2670</v>
      </c>
      <c r="B2540" s="1" t="s">
        <v>33</v>
      </c>
      <c r="C2540" s="1">
        <v>278</v>
      </c>
      <c r="D2540" s="1">
        <v>78</v>
      </c>
      <c r="E2540" s="1">
        <v>8</v>
      </c>
      <c r="F2540" s="1">
        <v>7</v>
      </c>
      <c r="G2540" s="1">
        <v>19.43</v>
      </c>
      <c r="H2540" s="1" t="s">
        <v>147</v>
      </c>
      <c r="I2540" s="1" t="s">
        <v>45</v>
      </c>
      <c r="J2540" s="1">
        <v>149</v>
      </c>
      <c r="K2540" s="1">
        <v>0.78</v>
      </c>
      <c r="L2540" s="4">
        <v>71.78</v>
      </c>
      <c r="M2540" s="1">
        <v>0.76</v>
      </c>
      <c r="N2540" s="1">
        <v>9</v>
      </c>
      <c r="O2540" s="1">
        <v>0.81</v>
      </c>
      <c r="P2540" s="1">
        <v>703</v>
      </c>
      <c r="Q2540" s="1">
        <v>4.6500000000000004</v>
      </c>
      <c r="R2540" s="1">
        <v>0.24</v>
      </c>
      <c r="S2540" s="2">
        <v>45384</v>
      </c>
      <c r="T2540" s="1">
        <v>292.14</v>
      </c>
      <c r="U2540" s="1">
        <v>0.41599999999999998</v>
      </c>
      <c r="V2540" s="6">
        <f t="shared" si="117"/>
        <v>19954.84</v>
      </c>
      <c r="W2540" s="6" t="str">
        <f t="shared" si="118"/>
        <v>Sufficient</v>
      </c>
      <c r="X2540" s="8" t="str">
        <f t="shared" si="119"/>
        <v>High</v>
      </c>
    </row>
    <row r="2541" spans="1:24">
      <c r="A2541" s="7" t="s">
        <v>2671</v>
      </c>
      <c r="B2541" s="1" t="s">
        <v>25</v>
      </c>
      <c r="C2541" s="1">
        <v>265</v>
      </c>
      <c r="D2541" s="1">
        <v>97</v>
      </c>
      <c r="E2541" s="1">
        <v>13</v>
      </c>
      <c r="F2541" s="1">
        <v>3</v>
      </c>
      <c r="G2541" s="1">
        <v>10.82</v>
      </c>
      <c r="H2541" s="1" t="s">
        <v>88</v>
      </c>
      <c r="I2541" s="1" t="s">
        <v>45</v>
      </c>
      <c r="J2541" s="1">
        <v>92</v>
      </c>
      <c r="K2541" s="1">
        <v>3.33</v>
      </c>
      <c r="L2541" s="4">
        <v>20.7</v>
      </c>
      <c r="M2541" s="1">
        <v>1.07</v>
      </c>
      <c r="N2541" s="1">
        <v>0</v>
      </c>
      <c r="O2541" s="1">
        <v>0.9</v>
      </c>
      <c r="P2541" s="1">
        <v>399</v>
      </c>
      <c r="Q2541" s="1">
        <v>12.19</v>
      </c>
      <c r="R2541" s="1">
        <v>0.28999999999999998</v>
      </c>
      <c r="S2541" s="2">
        <v>45635</v>
      </c>
      <c r="T2541" s="1">
        <v>234.72</v>
      </c>
      <c r="U2541" s="1">
        <v>0.69399999999999995</v>
      </c>
      <c r="V2541" s="6">
        <f t="shared" si="117"/>
        <v>5485.5</v>
      </c>
      <c r="W2541" s="6" t="str">
        <f t="shared" si="118"/>
        <v>Sufficient</v>
      </c>
      <c r="X2541" s="8" t="str">
        <f t="shared" si="119"/>
        <v>High</v>
      </c>
    </row>
    <row r="2542" spans="1:24">
      <c r="A2542" s="7" t="s">
        <v>2672</v>
      </c>
      <c r="B2542" s="1" t="s">
        <v>41</v>
      </c>
      <c r="C2542" s="1">
        <v>155</v>
      </c>
      <c r="D2542" s="1">
        <v>42</v>
      </c>
      <c r="E2542" s="1">
        <v>8</v>
      </c>
      <c r="F2542" s="1">
        <v>5</v>
      </c>
      <c r="G2542" s="1">
        <v>21.29</v>
      </c>
      <c r="H2542" s="1" t="s">
        <v>143</v>
      </c>
      <c r="I2542" s="1" t="s">
        <v>45</v>
      </c>
      <c r="J2542" s="1">
        <v>49</v>
      </c>
      <c r="K2542" s="1">
        <v>1.48</v>
      </c>
      <c r="L2542" s="4">
        <v>49.88</v>
      </c>
      <c r="M2542" s="1">
        <v>0.44</v>
      </c>
      <c r="N2542" s="1">
        <v>2</v>
      </c>
      <c r="O2542" s="1">
        <v>0.81</v>
      </c>
      <c r="P2542" s="1">
        <v>80</v>
      </c>
      <c r="Q2542" s="1">
        <v>5.21</v>
      </c>
      <c r="R2542" s="1">
        <v>0.49</v>
      </c>
      <c r="S2542" s="2">
        <v>45582</v>
      </c>
      <c r="T2542" s="1">
        <v>215.31</v>
      </c>
      <c r="U2542" s="1">
        <v>0.64500000000000002</v>
      </c>
      <c r="V2542" s="6">
        <f t="shared" si="117"/>
        <v>7731.4000000000005</v>
      </c>
      <c r="W2542" s="6" t="str">
        <f t="shared" si="118"/>
        <v>Sufficient</v>
      </c>
      <c r="X2542" s="8" t="str">
        <f t="shared" si="119"/>
        <v>Medium</v>
      </c>
    </row>
    <row r="2543" spans="1:24">
      <c r="A2543" s="7" t="s">
        <v>2673</v>
      </c>
      <c r="B2543" s="1" t="s">
        <v>41</v>
      </c>
      <c r="C2543" s="1">
        <v>299</v>
      </c>
      <c r="D2543" s="1">
        <v>81</v>
      </c>
      <c r="E2543" s="1">
        <v>6</v>
      </c>
      <c r="F2543" s="1">
        <v>3</v>
      </c>
      <c r="G2543" s="1">
        <v>31.09</v>
      </c>
      <c r="H2543" s="1" t="s">
        <v>26</v>
      </c>
      <c r="I2543" s="1" t="s">
        <v>31</v>
      </c>
      <c r="J2543" s="1">
        <v>160</v>
      </c>
      <c r="K2543" s="1">
        <v>3.52</v>
      </c>
      <c r="L2543" s="4">
        <v>87.65</v>
      </c>
      <c r="M2543" s="1">
        <v>1.1399999999999999</v>
      </c>
      <c r="N2543" s="1">
        <v>9</v>
      </c>
      <c r="O2543" s="1">
        <v>0.8</v>
      </c>
      <c r="P2543" s="1">
        <v>507</v>
      </c>
      <c r="Q2543" s="1">
        <v>3.52</v>
      </c>
      <c r="R2543" s="1">
        <v>0.93</v>
      </c>
      <c r="S2543" s="2">
        <v>45319</v>
      </c>
      <c r="T2543" s="1">
        <v>138.22999999999999</v>
      </c>
      <c r="U2543" s="1">
        <v>0.499</v>
      </c>
      <c r="V2543" s="6">
        <f t="shared" si="117"/>
        <v>26207.350000000002</v>
      </c>
      <c r="W2543" s="6" t="str">
        <f t="shared" si="118"/>
        <v>Sufficient</v>
      </c>
      <c r="X2543" s="8" t="str">
        <f t="shared" si="119"/>
        <v>High</v>
      </c>
    </row>
    <row r="2544" spans="1:24">
      <c r="A2544" s="7" t="s">
        <v>2674</v>
      </c>
      <c r="B2544" s="1" t="s">
        <v>33</v>
      </c>
      <c r="C2544" s="1">
        <v>290</v>
      </c>
      <c r="D2544" s="1">
        <v>97</v>
      </c>
      <c r="E2544" s="1">
        <v>10</v>
      </c>
      <c r="F2544" s="1">
        <v>3</v>
      </c>
      <c r="G2544" s="1">
        <v>11.46</v>
      </c>
      <c r="H2544" s="1" t="s">
        <v>34</v>
      </c>
      <c r="I2544" s="1" t="s">
        <v>45</v>
      </c>
      <c r="J2544" s="1">
        <v>177</v>
      </c>
      <c r="K2544" s="1">
        <v>3.36</v>
      </c>
      <c r="L2544" s="4">
        <v>150.83000000000001</v>
      </c>
      <c r="M2544" s="1">
        <v>1.88</v>
      </c>
      <c r="N2544" s="1">
        <v>1</v>
      </c>
      <c r="O2544" s="1">
        <v>1</v>
      </c>
      <c r="P2544" s="1">
        <v>887</v>
      </c>
      <c r="Q2544" s="1">
        <v>6.44</v>
      </c>
      <c r="R2544" s="1">
        <v>0.98</v>
      </c>
      <c r="S2544" s="2">
        <v>45573</v>
      </c>
      <c r="T2544" s="1">
        <v>268.38</v>
      </c>
      <c r="U2544" s="1">
        <v>0.67400000000000004</v>
      </c>
      <c r="V2544" s="6">
        <f t="shared" si="117"/>
        <v>43740.700000000004</v>
      </c>
      <c r="W2544" s="6" t="str">
        <f t="shared" si="118"/>
        <v>Sufficient</v>
      </c>
      <c r="X2544" s="8" t="str">
        <f t="shared" si="119"/>
        <v>High</v>
      </c>
    </row>
    <row r="2545" spans="1:24">
      <c r="A2545" s="7" t="s">
        <v>2675</v>
      </c>
      <c r="B2545" s="1" t="s">
        <v>66</v>
      </c>
      <c r="C2545" s="1">
        <v>190</v>
      </c>
      <c r="D2545" s="1">
        <v>59</v>
      </c>
      <c r="E2545" s="1">
        <v>7</v>
      </c>
      <c r="F2545" s="1">
        <v>2</v>
      </c>
      <c r="G2545" s="1">
        <v>15.28</v>
      </c>
      <c r="H2545" s="1" t="s">
        <v>227</v>
      </c>
      <c r="I2545" s="1" t="s">
        <v>31</v>
      </c>
      <c r="J2545" s="1">
        <v>83</v>
      </c>
      <c r="K2545" s="1">
        <v>4.66</v>
      </c>
      <c r="L2545" s="4">
        <v>29.13</v>
      </c>
      <c r="M2545" s="1">
        <v>1.81</v>
      </c>
      <c r="N2545" s="1">
        <v>0</v>
      </c>
      <c r="O2545" s="1">
        <v>0.92</v>
      </c>
      <c r="P2545" s="1">
        <v>140</v>
      </c>
      <c r="Q2545" s="1">
        <v>2.84</v>
      </c>
      <c r="R2545" s="1">
        <v>0.86</v>
      </c>
      <c r="S2545" s="2">
        <v>45528</v>
      </c>
      <c r="T2545" s="1">
        <v>14.88</v>
      </c>
      <c r="U2545" s="1">
        <v>0.61299999999999999</v>
      </c>
      <c r="V2545" s="6">
        <f t="shared" si="117"/>
        <v>5534.7</v>
      </c>
      <c r="W2545" s="6" t="str">
        <f t="shared" si="118"/>
        <v>Sufficient</v>
      </c>
      <c r="X2545" s="8" t="str">
        <f t="shared" si="119"/>
        <v>Medium</v>
      </c>
    </row>
    <row r="2546" spans="1:24">
      <c r="A2546" s="7" t="s">
        <v>2676</v>
      </c>
      <c r="B2546" s="1" t="s">
        <v>29</v>
      </c>
      <c r="C2546" s="1">
        <v>178</v>
      </c>
      <c r="D2546" s="1">
        <v>93</v>
      </c>
      <c r="E2546" s="1">
        <v>9</v>
      </c>
      <c r="F2546" s="1">
        <v>8</v>
      </c>
      <c r="G2546" s="1">
        <v>42.87</v>
      </c>
      <c r="H2546" s="1" t="s">
        <v>141</v>
      </c>
      <c r="I2546" s="1" t="s">
        <v>45</v>
      </c>
      <c r="J2546" s="1">
        <v>83</v>
      </c>
      <c r="K2546" s="1">
        <v>3.32</v>
      </c>
      <c r="L2546" s="4">
        <v>164.46</v>
      </c>
      <c r="M2546" s="1">
        <v>0.22</v>
      </c>
      <c r="N2546" s="1">
        <v>0</v>
      </c>
      <c r="O2546" s="1">
        <v>0.85</v>
      </c>
      <c r="P2546" s="1">
        <v>177</v>
      </c>
      <c r="Q2546" s="1">
        <v>10.67</v>
      </c>
      <c r="R2546" s="1">
        <v>0.39</v>
      </c>
      <c r="S2546" s="2">
        <v>45622</v>
      </c>
      <c r="T2546" s="1">
        <v>76.25</v>
      </c>
      <c r="U2546" s="1">
        <v>0.76800000000000002</v>
      </c>
      <c r="V2546" s="6">
        <f t="shared" si="117"/>
        <v>29273.88</v>
      </c>
      <c r="W2546" s="6" t="str">
        <f t="shared" si="118"/>
        <v>Sufficient</v>
      </c>
      <c r="X2546" s="8" t="str">
        <f t="shared" si="119"/>
        <v>Medium</v>
      </c>
    </row>
    <row r="2547" spans="1:24">
      <c r="A2547" s="7" t="s">
        <v>2677</v>
      </c>
      <c r="B2547" s="1" t="s">
        <v>25</v>
      </c>
      <c r="C2547" s="1">
        <v>220</v>
      </c>
      <c r="D2547" s="1">
        <v>25</v>
      </c>
      <c r="E2547" s="1">
        <v>11</v>
      </c>
      <c r="F2547" s="1">
        <v>7</v>
      </c>
      <c r="G2547" s="1">
        <v>49.95</v>
      </c>
      <c r="H2547" s="1" t="s">
        <v>55</v>
      </c>
      <c r="I2547" s="1" t="s">
        <v>31</v>
      </c>
      <c r="J2547" s="1">
        <v>59</v>
      </c>
      <c r="K2547" s="1">
        <v>2.34</v>
      </c>
      <c r="L2547" s="4">
        <v>199.42</v>
      </c>
      <c r="M2547" s="1">
        <v>0.82</v>
      </c>
      <c r="N2547" s="1">
        <v>3</v>
      </c>
      <c r="O2547" s="1">
        <v>0.87</v>
      </c>
      <c r="P2547" s="1">
        <v>828</v>
      </c>
      <c r="Q2547" s="1">
        <v>10.94</v>
      </c>
      <c r="R2547" s="1">
        <v>0.73</v>
      </c>
      <c r="S2547" s="2">
        <v>45573</v>
      </c>
      <c r="T2547" s="1">
        <v>211.55</v>
      </c>
      <c r="U2547" s="1">
        <v>0.72399999999999998</v>
      </c>
      <c r="V2547" s="6">
        <f t="shared" si="117"/>
        <v>43872.399999999994</v>
      </c>
      <c r="W2547" s="6" t="str">
        <f t="shared" si="118"/>
        <v>Sufficient</v>
      </c>
      <c r="X2547" s="8" t="str">
        <f t="shared" si="119"/>
        <v>Medium</v>
      </c>
    </row>
    <row r="2548" spans="1:24">
      <c r="A2548" s="7" t="s">
        <v>2678</v>
      </c>
      <c r="B2548" s="1" t="s">
        <v>41</v>
      </c>
      <c r="C2548" s="1">
        <v>64</v>
      </c>
      <c r="D2548" s="1">
        <v>85</v>
      </c>
      <c r="E2548" s="1">
        <v>7</v>
      </c>
      <c r="F2548" s="1">
        <v>3</v>
      </c>
      <c r="G2548" s="1">
        <v>16.59</v>
      </c>
      <c r="H2548" s="1" t="s">
        <v>139</v>
      </c>
      <c r="I2548" s="1" t="s">
        <v>31</v>
      </c>
      <c r="J2548" s="1">
        <v>19</v>
      </c>
      <c r="K2548" s="1">
        <v>1.37</v>
      </c>
      <c r="L2548" s="4">
        <v>159.77000000000001</v>
      </c>
      <c r="M2548" s="1">
        <v>0.61</v>
      </c>
      <c r="N2548" s="1">
        <v>0</v>
      </c>
      <c r="O2548" s="1">
        <v>0.89</v>
      </c>
      <c r="P2548" s="1">
        <v>597</v>
      </c>
      <c r="Q2548" s="1">
        <v>1.21</v>
      </c>
      <c r="R2548" s="1">
        <v>0.68</v>
      </c>
      <c r="S2548" s="2">
        <v>45329</v>
      </c>
      <c r="T2548" s="1">
        <v>157.43</v>
      </c>
      <c r="U2548" s="1">
        <v>0.66900000000000004</v>
      </c>
      <c r="V2548" s="6">
        <f t="shared" si="117"/>
        <v>10225.280000000001</v>
      </c>
      <c r="W2548" s="6" t="str">
        <f t="shared" si="118"/>
        <v>Reorder Required</v>
      </c>
      <c r="X2548" s="8" t="str">
        <f t="shared" si="119"/>
        <v>LOW</v>
      </c>
    </row>
    <row r="2549" spans="1:24">
      <c r="A2549" s="7" t="s">
        <v>2679</v>
      </c>
      <c r="B2549" s="1" t="s">
        <v>66</v>
      </c>
      <c r="C2549" s="1">
        <v>469</v>
      </c>
      <c r="D2549" s="1">
        <v>86</v>
      </c>
      <c r="E2549" s="1">
        <v>13</v>
      </c>
      <c r="F2549" s="1">
        <v>4</v>
      </c>
      <c r="G2549" s="1">
        <v>8.2899999999999991</v>
      </c>
      <c r="H2549" s="1" t="s">
        <v>183</v>
      </c>
      <c r="I2549" s="1" t="s">
        <v>27</v>
      </c>
      <c r="J2549" s="1">
        <v>112</v>
      </c>
      <c r="K2549" s="1">
        <v>3.46</v>
      </c>
      <c r="L2549" s="4">
        <v>100.01</v>
      </c>
      <c r="M2549" s="1">
        <v>1.01</v>
      </c>
      <c r="N2549" s="1">
        <v>1</v>
      </c>
      <c r="O2549" s="1">
        <v>0.71</v>
      </c>
      <c r="P2549" s="1">
        <v>897</v>
      </c>
      <c r="Q2549" s="1">
        <v>10.73</v>
      </c>
      <c r="R2549" s="1">
        <v>0.86</v>
      </c>
      <c r="S2549" s="2">
        <v>45440</v>
      </c>
      <c r="T2549" s="1">
        <v>164.8</v>
      </c>
      <c r="U2549" s="1">
        <v>0.73599999999999999</v>
      </c>
      <c r="V2549" s="6">
        <f t="shared" si="117"/>
        <v>46904.69</v>
      </c>
      <c r="W2549" s="6" t="str">
        <f t="shared" si="118"/>
        <v>Sufficient</v>
      </c>
      <c r="X2549" s="8" t="str">
        <f t="shared" si="119"/>
        <v>High</v>
      </c>
    </row>
    <row r="2550" spans="1:24">
      <c r="A2550" s="7" t="s">
        <v>2680</v>
      </c>
      <c r="B2550" s="1" t="s">
        <v>33</v>
      </c>
      <c r="C2550" s="1">
        <v>283</v>
      </c>
      <c r="D2550" s="1">
        <v>48</v>
      </c>
      <c r="E2550" s="1">
        <v>7</v>
      </c>
      <c r="F2550" s="1">
        <v>8</v>
      </c>
      <c r="G2550" s="1">
        <v>39.869999999999997</v>
      </c>
      <c r="H2550" s="1" t="s">
        <v>309</v>
      </c>
      <c r="I2550" s="1" t="s">
        <v>27</v>
      </c>
      <c r="J2550" s="1">
        <v>103</v>
      </c>
      <c r="K2550" s="1">
        <v>1.02</v>
      </c>
      <c r="L2550" s="4">
        <v>117.95</v>
      </c>
      <c r="M2550" s="1">
        <v>1.68</v>
      </c>
      <c r="N2550" s="1">
        <v>0</v>
      </c>
      <c r="O2550" s="1">
        <v>0.72</v>
      </c>
      <c r="P2550" s="1">
        <v>841</v>
      </c>
      <c r="Q2550" s="1">
        <v>5.19</v>
      </c>
      <c r="R2550" s="1">
        <v>0.61</v>
      </c>
      <c r="S2550" s="2">
        <v>45635</v>
      </c>
      <c r="T2550" s="1">
        <v>130.74</v>
      </c>
      <c r="U2550" s="1">
        <v>0.56699999999999995</v>
      </c>
      <c r="V2550" s="6">
        <f t="shared" si="117"/>
        <v>33379.85</v>
      </c>
      <c r="W2550" s="6" t="str">
        <f t="shared" si="118"/>
        <v>Sufficient</v>
      </c>
      <c r="X2550" s="8" t="str">
        <f t="shared" si="119"/>
        <v>High</v>
      </c>
    </row>
    <row r="2551" spans="1:24">
      <c r="A2551" s="7" t="s">
        <v>2681</v>
      </c>
      <c r="B2551" s="1" t="s">
        <v>41</v>
      </c>
      <c r="C2551" s="1">
        <v>90</v>
      </c>
      <c r="D2551" s="1">
        <v>98</v>
      </c>
      <c r="E2551" s="1">
        <v>6</v>
      </c>
      <c r="F2551" s="1">
        <v>3</v>
      </c>
      <c r="G2551" s="1">
        <v>30.42</v>
      </c>
      <c r="H2551" s="1" t="s">
        <v>459</v>
      </c>
      <c r="I2551" s="1" t="s">
        <v>39</v>
      </c>
      <c r="J2551" s="1">
        <v>141</v>
      </c>
      <c r="K2551" s="1">
        <v>4.2300000000000004</v>
      </c>
      <c r="L2551" s="4">
        <v>11.17</v>
      </c>
      <c r="M2551" s="1">
        <v>1.5</v>
      </c>
      <c r="N2551" s="1">
        <v>5</v>
      </c>
      <c r="O2551" s="1">
        <v>0.89</v>
      </c>
      <c r="P2551" s="1">
        <v>774</v>
      </c>
      <c r="Q2551" s="1">
        <v>10.19</v>
      </c>
      <c r="R2551" s="1">
        <v>0.45</v>
      </c>
      <c r="S2551" s="2">
        <v>45326</v>
      </c>
      <c r="T2551" s="1">
        <v>58.27</v>
      </c>
      <c r="U2551" s="1">
        <v>0.55400000000000005</v>
      </c>
      <c r="V2551" s="6">
        <f t="shared" si="117"/>
        <v>1005.3</v>
      </c>
      <c r="W2551" s="6" t="str">
        <f t="shared" si="118"/>
        <v>Reorder Required</v>
      </c>
      <c r="X2551" s="8" t="str">
        <f t="shared" si="119"/>
        <v>LOW</v>
      </c>
    </row>
    <row r="2552" spans="1:24">
      <c r="A2552" s="7" t="s">
        <v>2682</v>
      </c>
      <c r="B2552" s="1" t="s">
        <v>33</v>
      </c>
      <c r="C2552" s="1">
        <v>383</v>
      </c>
      <c r="D2552" s="1">
        <v>55</v>
      </c>
      <c r="E2552" s="1">
        <v>8</v>
      </c>
      <c r="F2552" s="1">
        <v>5</v>
      </c>
      <c r="G2552" s="1">
        <v>5.92</v>
      </c>
      <c r="H2552" s="1" t="s">
        <v>42</v>
      </c>
      <c r="I2552" s="1" t="s">
        <v>27</v>
      </c>
      <c r="J2552" s="1">
        <v>138</v>
      </c>
      <c r="K2552" s="1">
        <v>1.61</v>
      </c>
      <c r="L2552" s="4">
        <v>49.76</v>
      </c>
      <c r="M2552" s="1">
        <v>0.75</v>
      </c>
      <c r="N2552" s="1">
        <v>3</v>
      </c>
      <c r="O2552" s="1">
        <v>0.81</v>
      </c>
      <c r="P2552" s="1">
        <v>558</v>
      </c>
      <c r="Q2552" s="1">
        <v>10.89</v>
      </c>
      <c r="R2552" s="1">
        <v>0.22</v>
      </c>
      <c r="S2552" s="2">
        <v>45420</v>
      </c>
      <c r="T2552" s="1">
        <v>58.2</v>
      </c>
      <c r="U2552" s="1">
        <v>0.61599999999999999</v>
      </c>
      <c r="V2552" s="6">
        <f t="shared" si="117"/>
        <v>19058.079999999998</v>
      </c>
      <c r="W2552" s="6" t="str">
        <f t="shared" si="118"/>
        <v>Sufficient</v>
      </c>
      <c r="X2552" s="8" t="str">
        <f t="shared" si="119"/>
        <v>High</v>
      </c>
    </row>
    <row r="2553" spans="1:24">
      <c r="A2553" s="7" t="s">
        <v>2683</v>
      </c>
      <c r="B2553" s="1" t="s">
        <v>25</v>
      </c>
      <c r="C2553" s="1">
        <v>390</v>
      </c>
      <c r="D2553" s="1">
        <v>97</v>
      </c>
      <c r="E2553" s="1">
        <v>4</v>
      </c>
      <c r="F2553" s="1">
        <v>3</v>
      </c>
      <c r="G2553" s="1">
        <v>47.39</v>
      </c>
      <c r="H2553" s="1" t="s">
        <v>181</v>
      </c>
      <c r="I2553" s="1" t="s">
        <v>31</v>
      </c>
      <c r="J2553" s="1">
        <v>52</v>
      </c>
      <c r="K2553" s="1">
        <v>2.86</v>
      </c>
      <c r="L2553" s="4">
        <v>180.81</v>
      </c>
      <c r="M2553" s="1">
        <v>0.83</v>
      </c>
      <c r="N2553" s="1">
        <v>7</v>
      </c>
      <c r="O2553" s="1">
        <v>0.72</v>
      </c>
      <c r="P2553" s="1">
        <v>985</v>
      </c>
      <c r="Q2553" s="1">
        <v>4.8899999999999997</v>
      </c>
      <c r="R2553" s="1">
        <v>0.84</v>
      </c>
      <c r="S2553" s="2">
        <v>45342</v>
      </c>
      <c r="T2553" s="1">
        <v>95.4</v>
      </c>
      <c r="U2553" s="1">
        <v>0.55400000000000005</v>
      </c>
      <c r="V2553" s="6">
        <f t="shared" si="117"/>
        <v>70515.899999999994</v>
      </c>
      <c r="W2553" s="6" t="str">
        <f t="shared" si="118"/>
        <v>Sufficient</v>
      </c>
      <c r="X2553" s="8" t="str">
        <f t="shared" si="119"/>
        <v>High</v>
      </c>
    </row>
    <row r="2554" spans="1:24">
      <c r="A2554" s="7" t="s">
        <v>2684</v>
      </c>
      <c r="B2554" s="1" t="s">
        <v>29</v>
      </c>
      <c r="C2554" s="1">
        <v>122</v>
      </c>
      <c r="D2554" s="1">
        <v>56</v>
      </c>
      <c r="E2554" s="1">
        <v>5</v>
      </c>
      <c r="F2554" s="1">
        <v>5</v>
      </c>
      <c r="G2554" s="1">
        <v>4.82</v>
      </c>
      <c r="H2554" s="1" t="s">
        <v>216</v>
      </c>
      <c r="I2554" s="1" t="s">
        <v>27</v>
      </c>
      <c r="J2554" s="1">
        <v>92</v>
      </c>
      <c r="K2554" s="1">
        <v>3.18</v>
      </c>
      <c r="L2554" s="4">
        <v>14.13</v>
      </c>
      <c r="M2554" s="1">
        <v>1.34</v>
      </c>
      <c r="N2554" s="1">
        <v>4</v>
      </c>
      <c r="O2554" s="1">
        <v>0.79</v>
      </c>
      <c r="P2554" s="1">
        <v>794</v>
      </c>
      <c r="Q2554" s="1">
        <v>3.6</v>
      </c>
      <c r="R2554" s="1">
        <v>0.62</v>
      </c>
      <c r="S2554" s="2">
        <v>45393</v>
      </c>
      <c r="T2554" s="1">
        <v>145.81</v>
      </c>
      <c r="U2554" s="1">
        <v>0.51600000000000001</v>
      </c>
      <c r="V2554" s="6">
        <f t="shared" si="117"/>
        <v>1723.8600000000001</v>
      </c>
      <c r="W2554" s="6" t="str">
        <f t="shared" si="118"/>
        <v>Sufficient</v>
      </c>
      <c r="X2554" s="8" t="str">
        <f t="shared" si="119"/>
        <v>Medium</v>
      </c>
    </row>
    <row r="2555" spans="1:24">
      <c r="A2555" s="7" t="s">
        <v>2685</v>
      </c>
      <c r="B2555" s="1" t="s">
        <v>41</v>
      </c>
      <c r="C2555" s="1">
        <v>144</v>
      </c>
      <c r="D2555" s="1">
        <v>53</v>
      </c>
      <c r="E2555" s="1">
        <v>3</v>
      </c>
      <c r="F2555" s="1">
        <v>9</v>
      </c>
      <c r="G2555" s="1">
        <v>31.64</v>
      </c>
      <c r="H2555" s="1" t="s">
        <v>309</v>
      </c>
      <c r="I2555" s="1" t="s">
        <v>27</v>
      </c>
      <c r="J2555" s="1">
        <v>142</v>
      </c>
      <c r="K2555" s="1">
        <v>2.13</v>
      </c>
      <c r="L2555" s="4">
        <v>181.91</v>
      </c>
      <c r="M2555" s="1">
        <v>0.47</v>
      </c>
      <c r="N2555" s="1">
        <v>9</v>
      </c>
      <c r="O2555" s="1">
        <v>0.74</v>
      </c>
      <c r="P2555" s="1">
        <v>789</v>
      </c>
      <c r="Q2555" s="1">
        <v>12.57</v>
      </c>
      <c r="R2555" s="1">
        <v>0.63</v>
      </c>
      <c r="S2555" s="2">
        <v>45589</v>
      </c>
      <c r="T2555" s="1">
        <v>249</v>
      </c>
      <c r="U2555" s="1">
        <v>0.61499999999999999</v>
      </c>
      <c r="V2555" s="6">
        <f t="shared" si="117"/>
        <v>26195.040000000001</v>
      </c>
      <c r="W2555" s="6" t="str">
        <f t="shared" si="118"/>
        <v>Sufficient</v>
      </c>
      <c r="X2555" s="8" t="str">
        <f t="shared" si="119"/>
        <v>Medium</v>
      </c>
    </row>
    <row r="2556" spans="1:24">
      <c r="A2556" s="7" t="s">
        <v>2686</v>
      </c>
      <c r="B2556" s="1" t="s">
        <v>41</v>
      </c>
      <c r="C2556" s="1">
        <v>332</v>
      </c>
      <c r="D2556" s="1">
        <v>18</v>
      </c>
      <c r="E2556" s="1">
        <v>4</v>
      </c>
      <c r="F2556" s="1">
        <v>5</v>
      </c>
      <c r="G2556" s="1">
        <v>21.77</v>
      </c>
      <c r="H2556" s="1" t="s">
        <v>128</v>
      </c>
      <c r="I2556" s="1" t="s">
        <v>27</v>
      </c>
      <c r="J2556" s="1">
        <v>113</v>
      </c>
      <c r="K2556" s="1">
        <v>3.49</v>
      </c>
      <c r="L2556" s="4">
        <v>31.52</v>
      </c>
      <c r="M2556" s="1">
        <v>0.3</v>
      </c>
      <c r="N2556" s="1">
        <v>4</v>
      </c>
      <c r="O2556" s="1">
        <v>0.97</v>
      </c>
      <c r="P2556" s="1">
        <v>930</v>
      </c>
      <c r="Q2556" s="1">
        <v>11.35</v>
      </c>
      <c r="R2556" s="1">
        <v>0.97</v>
      </c>
      <c r="S2556" s="2">
        <v>45541</v>
      </c>
      <c r="T2556" s="1">
        <v>139.58000000000001</v>
      </c>
      <c r="U2556" s="1">
        <v>0.82899999999999996</v>
      </c>
      <c r="V2556" s="6">
        <f t="shared" si="117"/>
        <v>10464.64</v>
      </c>
      <c r="W2556" s="6" t="str">
        <f t="shared" si="118"/>
        <v>Sufficient</v>
      </c>
      <c r="X2556" s="8" t="str">
        <f t="shared" si="119"/>
        <v>High</v>
      </c>
    </row>
    <row r="2557" spans="1:24">
      <c r="A2557" s="7" t="s">
        <v>2687</v>
      </c>
      <c r="B2557" s="1" t="s">
        <v>25</v>
      </c>
      <c r="C2557" s="1">
        <v>483</v>
      </c>
      <c r="D2557" s="1">
        <v>96</v>
      </c>
      <c r="E2557" s="1">
        <v>4</v>
      </c>
      <c r="F2557" s="1">
        <v>4</v>
      </c>
      <c r="G2557" s="1">
        <v>28.27</v>
      </c>
      <c r="H2557" s="1" t="s">
        <v>185</v>
      </c>
      <c r="I2557" s="1" t="s">
        <v>31</v>
      </c>
      <c r="J2557" s="1">
        <v>43</v>
      </c>
      <c r="K2557" s="1">
        <v>1.63</v>
      </c>
      <c r="L2557" s="4">
        <v>35.28</v>
      </c>
      <c r="M2557" s="1">
        <v>0.56000000000000005</v>
      </c>
      <c r="N2557" s="1">
        <v>7</v>
      </c>
      <c r="O2557" s="1">
        <v>0.76</v>
      </c>
      <c r="P2557" s="1">
        <v>859</v>
      </c>
      <c r="Q2557" s="1">
        <v>12.72</v>
      </c>
      <c r="R2557" s="1">
        <v>0.59</v>
      </c>
      <c r="S2557" s="2">
        <v>45461</v>
      </c>
      <c r="T2557" s="1">
        <v>270.36</v>
      </c>
      <c r="U2557" s="1">
        <v>0.64400000000000002</v>
      </c>
      <c r="V2557" s="6">
        <f t="shared" si="117"/>
        <v>17040.240000000002</v>
      </c>
      <c r="W2557" s="6" t="str">
        <f t="shared" si="118"/>
        <v>Sufficient</v>
      </c>
      <c r="X2557" s="8" t="str">
        <f t="shared" si="119"/>
        <v>High</v>
      </c>
    </row>
    <row r="2558" spans="1:24">
      <c r="A2558" s="7" t="s">
        <v>2688</v>
      </c>
      <c r="B2558" s="1" t="s">
        <v>66</v>
      </c>
      <c r="C2558" s="1">
        <v>305</v>
      </c>
      <c r="D2558" s="1">
        <v>59</v>
      </c>
      <c r="E2558" s="1">
        <v>10</v>
      </c>
      <c r="F2558" s="1">
        <v>3</v>
      </c>
      <c r="G2558" s="1">
        <v>11.45</v>
      </c>
      <c r="H2558" s="1" t="s">
        <v>200</v>
      </c>
      <c r="I2558" s="1" t="s">
        <v>31</v>
      </c>
      <c r="J2558" s="1">
        <v>33</v>
      </c>
      <c r="K2558" s="1">
        <v>0.66</v>
      </c>
      <c r="L2558" s="4">
        <v>43.32</v>
      </c>
      <c r="M2558" s="1">
        <v>0.34</v>
      </c>
      <c r="N2558" s="1">
        <v>9</v>
      </c>
      <c r="O2558" s="1">
        <v>0.74</v>
      </c>
      <c r="P2558" s="1">
        <v>286</v>
      </c>
      <c r="Q2558" s="1">
        <v>7.1</v>
      </c>
      <c r="R2558" s="1">
        <v>0.45</v>
      </c>
      <c r="S2558" s="2">
        <v>45474</v>
      </c>
      <c r="T2558" s="1">
        <v>44.95</v>
      </c>
      <c r="U2558" s="1">
        <v>0.51900000000000002</v>
      </c>
      <c r="V2558" s="6">
        <f t="shared" si="117"/>
        <v>13212.6</v>
      </c>
      <c r="W2558" s="6" t="str">
        <f t="shared" si="118"/>
        <v>Sufficient</v>
      </c>
      <c r="X2558" s="8" t="str">
        <f t="shared" si="119"/>
        <v>High</v>
      </c>
    </row>
    <row r="2559" spans="1:24">
      <c r="A2559" s="7" t="s">
        <v>2689</v>
      </c>
      <c r="B2559" s="1" t="s">
        <v>29</v>
      </c>
      <c r="C2559" s="1">
        <v>477</v>
      </c>
      <c r="D2559" s="1">
        <v>86</v>
      </c>
      <c r="E2559" s="1">
        <v>10</v>
      </c>
      <c r="F2559" s="1">
        <v>3</v>
      </c>
      <c r="G2559" s="1">
        <v>34.72</v>
      </c>
      <c r="H2559" s="1" t="s">
        <v>210</v>
      </c>
      <c r="I2559" s="1" t="s">
        <v>39</v>
      </c>
      <c r="J2559" s="1">
        <v>151</v>
      </c>
      <c r="K2559" s="1">
        <v>4.82</v>
      </c>
      <c r="L2559" s="4">
        <v>161.88</v>
      </c>
      <c r="M2559" s="1">
        <v>0.77</v>
      </c>
      <c r="N2559" s="1">
        <v>5</v>
      </c>
      <c r="O2559" s="1">
        <v>0.89</v>
      </c>
      <c r="P2559" s="1">
        <v>582</v>
      </c>
      <c r="Q2559" s="1">
        <v>7.39</v>
      </c>
      <c r="R2559" s="1">
        <v>0.47</v>
      </c>
      <c r="S2559" s="2">
        <v>45357</v>
      </c>
      <c r="T2559" s="1">
        <v>88.81</v>
      </c>
      <c r="U2559" s="1">
        <v>0.59399999999999997</v>
      </c>
      <c r="V2559" s="6">
        <f t="shared" si="117"/>
        <v>77216.759999999995</v>
      </c>
      <c r="W2559" s="6" t="str">
        <f t="shared" si="118"/>
        <v>Sufficient</v>
      </c>
      <c r="X2559" s="8" t="str">
        <f t="shared" si="119"/>
        <v>High</v>
      </c>
    </row>
    <row r="2560" spans="1:24">
      <c r="A2560" s="7" t="s">
        <v>2690</v>
      </c>
      <c r="B2560" s="1" t="s">
        <v>41</v>
      </c>
      <c r="C2560" s="1">
        <v>249</v>
      </c>
      <c r="D2560" s="1">
        <v>69</v>
      </c>
      <c r="E2560" s="1">
        <v>4</v>
      </c>
      <c r="F2560" s="1">
        <v>6</v>
      </c>
      <c r="G2560" s="1">
        <v>48.03</v>
      </c>
      <c r="H2560" s="1" t="s">
        <v>99</v>
      </c>
      <c r="I2560" s="1" t="s">
        <v>27</v>
      </c>
      <c r="J2560" s="1">
        <v>50</v>
      </c>
      <c r="K2560" s="1">
        <v>1.94</v>
      </c>
      <c r="L2560" s="4">
        <v>100.86</v>
      </c>
      <c r="M2560" s="1">
        <v>1.88</v>
      </c>
      <c r="N2560" s="1">
        <v>5</v>
      </c>
      <c r="O2560" s="1">
        <v>0.86</v>
      </c>
      <c r="P2560" s="1">
        <v>657</v>
      </c>
      <c r="Q2560" s="1">
        <v>5.82</v>
      </c>
      <c r="R2560" s="1">
        <v>0.21</v>
      </c>
      <c r="S2560" s="2">
        <v>45635</v>
      </c>
      <c r="T2560" s="1">
        <v>30.45</v>
      </c>
      <c r="U2560" s="1">
        <v>0.40400000000000003</v>
      </c>
      <c r="V2560" s="6">
        <f t="shared" si="117"/>
        <v>25114.14</v>
      </c>
      <c r="W2560" s="6" t="str">
        <f t="shared" si="118"/>
        <v>Sufficient</v>
      </c>
      <c r="X2560" s="8" t="str">
        <f t="shared" si="119"/>
        <v>Medium</v>
      </c>
    </row>
    <row r="2561" spans="1:24">
      <c r="A2561" s="7" t="s">
        <v>2691</v>
      </c>
      <c r="B2561" s="1" t="s">
        <v>29</v>
      </c>
      <c r="C2561" s="1">
        <v>165</v>
      </c>
      <c r="D2561" s="1">
        <v>24</v>
      </c>
      <c r="E2561" s="1">
        <v>8</v>
      </c>
      <c r="F2561" s="1">
        <v>8</v>
      </c>
      <c r="G2561" s="1">
        <v>23.46</v>
      </c>
      <c r="H2561" s="1" t="s">
        <v>370</v>
      </c>
      <c r="I2561" s="1" t="s">
        <v>27</v>
      </c>
      <c r="J2561" s="1">
        <v>179</v>
      </c>
      <c r="K2561" s="1">
        <v>3.71</v>
      </c>
      <c r="L2561" s="4">
        <v>37.590000000000003</v>
      </c>
      <c r="M2561" s="1">
        <v>0.33</v>
      </c>
      <c r="N2561" s="1">
        <v>2</v>
      </c>
      <c r="O2561" s="1">
        <v>0.87</v>
      </c>
      <c r="P2561" s="1">
        <v>100</v>
      </c>
      <c r="Q2561" s="1">
        <v>7.99</v>
      </c>
      <c r="R2561" s="1">
        <v>0.3</v>
      </c>
      <c r="S2561" s="2">
        <v>45627</v>
      </c>
      <c r="T2561" s="1">
        <v>157.91</v>
      </c>
      <c r="U2561" s="1">
        <v>0.66800000000000004</v>
      </c>
      <c r="V2561" s="6">
        <f t="shared" si="117"/>
        <v>6202.35</v>
      </c>
      <c r="W2561" s="6" t="str">
        <f t="shared" si="118"/>
        <v>Sufficient</v>
      </c>
      <c r="X2561" s="8" t="str">
        <f t="shared" si="119"/>
        <v>Medium</v>
      </c>
    </row>
    <row r="2562" spans="1:24">
      <c r="A2562" s="7" t="s">
        <v>2692</v>
      </c>
      <c r="B2562" s="1" t="s">
        <v>41</v>
      </c>
      <c r="C2562" s="1">
        <v>389</v>
      </c>
      <c r="D2562" s="1">
        <v>45</v>
      </c>
      <c r="E2562" s="1">
        <v>7</v>
      </c>
      <c r="F2562" s="1">
        <v>6</v>
      </c>
      <c r="G2562" s="1">
        <v>26.62</v>
      </c>
      <c r="H2562" s="1" t="s">
        <v>88</v>
      </c>
      <c r="I2562" s="1" t="s">
        <v>31</v>
      </c>
      <c r="J2562" s="1">
        <v>22</v>
      </c>
      <c r="K2562" s="1">
        <v>2.78</v>
      </c>
      <c r="L2562" s="4">
        <v>140.49</v>
      </c>
      <c r="M2562" s="1">
        <v>1.65</v>
      </c>
      <c r="N2562" s="1">
        <v>5</v>
      </c>
      <c r="O2562" s="1">
        <v>0.83</v>
      </c>
      <c r="P2562" s="1">
        <v>898</v>
      </c>
      <c r="Q2562" s="1">
        <v>10.050000000000001</v>
      </c>
      <c r="R2562" s="1">
        <v>0.24</v>
      </c>
      <c r="S2562" s="2">
        <v>45412</v>
      </c>
      <c r="T2562" s="1">
        <v>36.11</v>
      </c>
      <c r="U2562" s="1">
        <v>0.48299999999999998</v>
      </c>
      <c r="V2562" s="6">
        <f t="shared" si="117"/>
        <v>54650.61</v>
      </c>
      <c r="W2562" s="6" t="str">
        <f t="shared" si="118"/>
        <v>Sufficient</v>
      </c>
      <c r="X2562" s="8" t="str">
        <f t="shared" si="119"/>
        <v>High</v>
      </c>
    </row>
    <row r="2563" spans="1:24">
      <c r="A2563" s="7" t="s">
        <v>2693</v>
      </c>
      <c r="B2563" s="1" t="s">
        <v>29</v>
      </c>
      <c r="C2563" s="1">
        <v>216</v>
      </c>
      <c r="D2563" s="1">
        <v>72</v>
      </c>
      <c r="E2563" s="1">
        <v>5</v>
      </c>
      <c r="F2563" s="1">
        <v>2</v>
      </c>
      <c r="G2563" s="1">
        <v>12.75</v>
      </c>
      <c r="H2563" s="1" t="s">
        <v>459</v>
      </c>
      <c r="I2563" s="1" t="s">
        <v>39</v>
      </c>
      <c r="J2563" s="1">
        <v>166</v>
      </c>
      <c r="K2563" s="1">
        <v>3.51</v>
      </c>
      <c r="L2563" s="4">
        <v>188.73</v>
      </c>
      <c r="M2563" s="1">
        <v>1.1200000000000001</v>
      </c>
      <c r="N2563" s="1">
        <v>9</v>
      </c>
      <c r="O2563" s="1">
        <v>0.84</v>
      </c>
      <c r="P2563" s="1">
        <v>872</v>
      </c>
      <c r="Q2563" s="1">
        <v>12.4</v>
      </c>
      <c r="R2563" s="1">
        <v>0.39</v>
      </c>
      <c r="S2563" s="2">
        <v>45343</v>
      </c>
      <c r="T2563" s="1">
        <v>240.75</v>
      </c>
      <c r="U2563" s="1">
        <v>0.51900000000000002</v>
      </c>
      <c r="V2563" s="6">
        <f t="shared" si="117"/>
        <v>40765.68</v>
      </c>
      <c r="W2563" s="6" t="str">
        <f t="shared" si="118"/>
        <v>Sufficient</v>
      </c>
      <c r="X2563" s="8" t="str">
        <f t="shared" si="119"/>
        <v>Medium</v>
      </c>
    </row>
    <row r="2564" spans="1:24">
      <c r="A2564" s="7" t="s">
        <v>2694</v>
      </c>
      <c r="B2564" s="1" t="s">
        <v>33</v>
      </c>
      <c r="C2564" s="1">
        <v>392</v>
      </c>
      <c r="D2564" s="1">
        <v>78</v>
      </c>
      <c r="E2564" s="1">
        <v>7</v>
      </c>
      <c r="F2564" s="1">
        <v>5</v>
      </c>
      <c r="G2564" s="1">
        <v>44.7</v>
      </c>
      <c r="H2564" s="1" t="s">
        <v>195</v>
      </c>
      <c r="I2564" s="1" t="s">
        <v>39</v>
      </c>
      <c r="J2564" s="1">
        <v>171</v>
      </c>
      <c r="K2564" s="1">
        <v>1</v>
      </c>
      <c r="L2564" s="4">
        <v>118.77</v>
      </c>
      <c r="M2564" s="1">
        <v>1.3</v>
      </c>
      <c r="N2564" s="1">
        <v>6</v>
      </c>
      <c r="O2564" s="1">
        <v>0.93</v>
      </c>
      <c r="P2564" s="1">
        <v>518</v>
      </c>
      <c r="Q2564" s="1">
        <v>3.56</v>
      </c>
      <c r="R2564" s="1">
        <v>0.25</v>
      </c>
      <c r="S2564" s="2">
        <v>45437</v>
      </c>
      <c r="T2564" s="1">
        <v>21.53</v>
      </c>
      <c r="U2564" s="1">
        <v>0.433</v>
      </c>
      <c r="V2564" s="6">
        <f t="shared" ref="V2564:V2627" si="120">C2564*L2564</f>
        <v>46557.84</v>
      </c>
      <c r="W2564" s="6" t="str">
        <f t="shared" ref="W2564:W2627" si="121">IF(C2564&lt;=D2564,"Reorder Required","Sufficient")</f>
        <v>Sufficient</v>
      </c>
      <c r="X2564" s="8" t="str">
        <f t="shared" ref="X2564:X2627" si="122">IF(C2564&lt;100,"LOW",IF(C2564&lt;250,"Medium","High"))</f>
        <v>High</v>
      </c>
    </row>
    <row r="2565" spans="1:24">
      <c r="A2565" s="7" t="s">
        <v>2695</v>
      </c>
      <c r="B2565" s="1" t="s">
        <v>41</v>
      </c>
      <c r="C2565" s="1">
        <v>240</v>
      </c>
      <c r="D2565" s="1">
        <v>95</v>
      </c>
      <c r="E2565" s="1">
        <v>7</v>
      </c>
      <c r="F2565" s="1">
        <v>4</v>
      </c>
      <c r="G2565" s="1">
        <v>48.59</v>
      </c>
      <c r="H2565" s="1" t="s">
        <v>174</v>
      </c>
      <c r="I2565" s="1" t="s">
        <v>31</v>
      </c>
      <c r="J2565" s="1">
        <v>141</v>
      </c>
      <c r="K2565" s="1">
        <v>2.83</v>
      </c>
      <c r="L2565" s="4">
        <v>28.75</v>
      </c>
      <c r="M2565" s="1">
        <v>0.42</v>
      </c>
      <c r="N2565" s="1">
        <v>1</v>
      </c>
      <c r="O2565" s="1">
        <v>0.77</v>
      </c>
      <c r="P2565" s="1">
        <v>941</v>
      </c>
      <c r="Q2565" s="1">
        <v>6.68</v>
      </c>
      <c r="R2565" s="1">
        <v>0.46</v>
      </c>
      <c r="S2565" s="2">
        <v>45609</v>
      </c>
      <c r="T2565" s="1">
        <v>147.86000000000001</v>
      </c>
      <c r="U2565" s="1">
        <v>0.67300000000000004</v>
      </c>
      <c r="V2565" s="6">
        <f t="shared" si="120"/>
        <v>6900</v>
      </c>
      <c r="W2565" s="6" t="str">
        <f t="shared" si="121"/>
        <v>Sufficient</v>
      </c>
      <c r="X2565" s="8" t="str">
        <f t="shared" si="122"/>
        <v>Medium</v>
      </c>
    </row>
    <row r="2566" spans="1:24">
      <c r="A2566" s="7" t="s">
        <v>2696</v>
      </c>
      <c r="B2566" s="1" t="s">
        <v>29</v>
      </c>
      <c r="C2566" s="1">
        <v>442</v>
      </c>
      <c r="D2566" s="1">
        <v>89</v>
      </c>
      <c r="E2566" s="1">
        <v>7</v>
      </c>
      <c r="F2566" s="1">
        <v>6</v>
      </c>
      <c r="G2566" s="1">
        <v>39.53</v>
      </c>
      <c r="H2566" s="1" t="s">
        <v>103</v>
      </c>
      <c r="I2566" s="1" t="s">
        <v>27</v>
      </c>
      <c r="J2566" s="1">
        <v>37</v>
      </c>
      <c r="K2566" s="1">
        <v>2.2599999999999998</v>
      </c>
      <c r="L2566" s="4">
        <v>20.399999999999999</v>
      </c>
      <c r="M2566" s="1">
        <v>0.39</v>
      </c>
      <c r="N2566" s="1">
        <v>2</v>
      </c>
      <c r="O2566" s="1">
        <v>0.82</v>
      </c>
      <c r="P2566" s="1">
        <v>437</v>
      </c>
      <c r="Q2566" s="1">
        <v>7.46</v>
      </c>
      <c r="R2566" s="1">
        <v>0.3</v>
      </c>
      <c r="S2566" s="2">
        <v>45327</v>
      </c>
      <c r="T2566" s="1">
        <v>131.97999999999999</v>
      </c>
      <c r="U2566" s="1">
        <v>0.64400000000000002</v>
      </c>
      <c r="V2566" s="6">
        <f t="shared" si="120"/>
        <v>9016.7999999999993</v>
      </c>
      <c r="W2566" s="6" t="str">
        <f t="shared" si="121"/>
        <v>Sufficient</v>
      </c>
      <c r="X2566" s="8" t="str">
        <f t="shared" si="122"/>
        <v>High</v>
      </c>
    </row>
    <row r="2567" spans="1:24">
      <c r="A2567" s="7" t="s">
        <v>2697</v>
      </c>
      <c r="B2567" s="1" t="s">
        <v>66</v>
      </c>
      <c r="C2567" s="1">
        <v>79</v>
      </c>
      <c r="D2567" s="1">
        <v>50</v>
      </c>
      <c r="E2567" s="1">
        <v>5</v>
      </c>
      <c r="F2567" s="1">
        <v>3</v>
      </c>
      <c r="G2567" s="1">
        <v>27.6</v>
      </c>
      <c r="H2567" s="1" t="s">
        <v>74</v>
      </c>
      <c r="I2567" s="1" t="s">
        <v>39</v>
      </c>
      <c r="J2567" s="1">
        <v>92</v>
      </c>
      <c r="K2567" s="1">
        <v>2.5299999999999998</v>
      </c>
      <c r="L2567" s="4">
        <v>161.22</v>
      </c>
      <c r="M2567" s="1">
        <v>0.41</v>
      </c>
      <c r="N2567" s="1">
        <v>5</v>
      </c>
      <c r="O2567" s="1">
        <v>0.99</v>
      </c>
      <c r="P2567" s="1">
        <v>111</v>
      </c>
      <c r="Q2567" s="1">
        <v>7.83</v>
      </c>
      <c r="R2567" s="1">
        <v>0.93</v>
      </c>
      <c r="S2567" s="2">
        <v>45391</v>
      </c>
      <c r="T2567" s="1">
        <v>68.650000000000006</v>
      </c>
      <c r="U2567" s="1">
        <v>0.747</v>
      </c>
      <c r="V2567" s="6">
        <f t="shared" si="120"/>
        <v>12736.38</v>
      </c>
      <c r="W2567" s="6" t="str">
        <f t="shared" si="121"/>
        <v>Sufficient</v>
      </c>
      <c r="X2567" s="8" t="str">
        <f t="shared" si="122"/>
        <v>LOW</v>
      </c>
    </row>
    <row r="2568" spans="1:24">
      <c r="A2568" s="7" t="s">
        <v>2698</v>
      </c>
      <c r="B2568" s="1" t="s">
        <v>33</v>
      </c>
      <c r="C2568" s="1">
        <v>117</v>
      </c>
      <c r="D2568" s="1">
        <v>83</v>
      </c>
      <c r="E2568" s="1">
        <v>5</v>
      </c>
      <c r="F2568" s="1">
        <v>2</v>
      </c>
      <c r="G2568" s="1">
        <v>47.88</v>
      </c>
      <c r="H2568" s="1" t="s">
        <v>233</v>
      </c>
      <c r="I2568" s="1" t="s">
        <v>39</v>
      </c>
      <c r="J2568" s="1">
        <v>138</v>
      </c>
      <c r="K2568" s="1">
        <v>4.8499999999999996</v>
      </c>
      <c r="L2568" s="4">
        <v>128.96</v>
      </c>
      <c r="M2568" s="1">
        <v>1.37</v>
      </c>
      <c r="N2568" s="1">
        <v>9</v>
      </c>
      <c r="O2568" s="1">
        <v>0.76</v>
      </c>
      <c r="P2568" s="1">
        <v>392</v>
      </c>
      <c r="Q2568" s="1">
        <v>8.59</v>
      </c>
      <c r="R2568" s="1">
        <v>0.95</v>
      </c>
      <c r="S2568" s="2">
        <v>45454</v>
      </c>
      <c r="T2568" s="1">
        <v>180.19</v>
      </c>
      <c r="U2568" s="1">
        <v>0.54</v>
      </c>
      <c r="V2568" s="6">
        <f t="shared" si="120"/>
        <v>15088.320000000002</v>
      </c>
      <c r="W2568" s="6" t="str">
        <f t="shared" si="121"/>
        <v>Sufficient</v>
      </c>
      <c r="X2568" s="8" t="str">
        <f t="shared" si="122"/>
        <v>Medium</v>
      </c>
    </row>
    <row r="2569" spans="1:24">
      <c r="A2569" s="7" t="s">
        <v>2699</v>
      </c>
      <c r="B2569" s="1" t="s">
        <v>33</v>
      </c>
      <c r="C2569" s="1">
        <v>190</v>
      </c>
      <c r="D2569" s="1">
        <v>33</v>
      </c>
      <c r="E2569" s="1">
        <v>6</v>
      </c>
      <c r="F2569" s="1">
        <v>4</v>
      </c>
      <c r="G2569" s="1">
        <v>8.5399999999999991</v>
      </c>
      <c r="H2569" s="1" t="s">
        <v>214</v>
      </c>
      <c r="I2569" s="1" t="s">
        <v>27</v>
      </c>
      <c r="J2569" s="1">
        <v>173</v>
      </c>
      <c r="K2569" s="1">
        <v>1.1100000000000001</v>
      </c>
      <c r="L2569" s="4">
        <v>185.3</v>
      </c>
      <c r="M2569" s="1">
        <v>1.52</v>
      </c>
      <c r="N2569" s="1">
        <v>8</v>
      </c>
      <c r="O2569" s="1">
        <v>0.79</v>
      </c>
      <c r="P2569" s="1">
        <v>202</v>
      </c>
      <c r="Q2569" s="1">
        <v>12.22</v>
      </c>
      <c r="R2569" s="1">
        <v>0.68</v>
      </c>
      <c r="S2569" s="2">
        <v>45540</v>
      </c>
      <c r="T2569" s="1">
        <v>121.97</v>
      </c>
      <c r="U2569" s="1">
        <v>0.54500000000000004</v>
      </c>
      <c r="V2569" s="6">
        <f t="shared" si="120"/>
        <v>35207</v>
      </c>
      <c r="W2569" s="6" t="str">
        <f t="shared" si="121"/>
        <v>Sufficient</v>
      </c>
      <c r="X2569" s="8" t="str">
        <f t="shared" si="122"/>
        <v>Medium</v>
      </c>
    </row>
    <row r="2570" spans="1:24">
      <c r="A2570" s="7" t="s">
        <v>2700</v>
      </c>
      <c r="B2570" s="1" t="s">
        <v>66</v>
      </c>
      <c r="C2570" s="1">
        <v>401</v>
      </c>
      <c r="D2570" s="1">
        <v>91</v>
      </c>
      <c r="E2570" s="1">
        <v>9</v>
      </c>
      <c r="F2570" s="1">
        <v>7</v>
      </c>
      <c r="G2570" s="1">
        <v>24.45</v>
      </c>
      <c r="H2570" s="1" t="s">
        <v>81</v>
      </c>
      <c r="I2570" s="1" t="s">
        <v>39</v>
      </c>
      <c r="J2570" s="1">
        <v>116</v>
      </c>
      <c r="K2570" s="1">
        <v>3.9</v>
      </c>
      <c r="L2570" s="4">
        <v>113.98</v>
      </c>
      <c r="M2570" s="1">
        <v>1.85</v>
      </c>
      <c r="N2570" s="1">
        <v>8</v>
      </c>
      <c r="O2570" s="1">
        <v>0.76</v>
      </c>
      <c r="P2570" s="1">
        <v>785</v>
      </c>
      <c r="Q2570" s="1">
        <v>13.41</v>
      </c>
      <c r="R2570" s="1">
        <v>0.84</v>
      </c>
      <c r="S2570" s="2">
        <v>45522</v>
      </c>
      <c r="T2570" s="1">
        <v>67.41</v>
      </c>
      <c r="U2570" s="1">
        <v>0.55400000000000005</v>
      </c>
      <c r="V2570" s="6">
        <f t="shared" si="120"/>
        <v>45705.98</v>
      </c>
      <c r="W2570" s="6" t="str">
        <f t="shared" si="121"/>
        <v>Sufficient</v>
      </c>
      <c r="X2570" s="8" t="str">
        <f t="shared" si="122"/>
        <v>High</v>
      </c>
    </row>
    <row r="2571" spans="1:24">
      <c r="A2571" s="7" t="s">
        <v>2701</v>
      </c>
      <c r="B2571" s="1" t="s">
        <v>29</v>
      </c>
      <c r="C2571" s="1">
        <v>192</v>
      </c>
      <c r="D2571" s="1">
        <v>58</v>
      </c>
      <c r="E2571" s="1">
        <v>14</v>
      </c>
      <c r="F2571" s="1">
        <v>3</v>
      </c>
      <c r="G2571" s="1">
        <v>27.34</v>
      </c>
      <c r="H2571" s="1" t="s">
        <v>214</v>
      </c>
      <c r="I2571" s="1" t="s">
        <v>27</v>
      </c>
      <c r="J2571" s="1">
        <v>22</v>
      </c>
      <c r="K2571" s="1">
        <v>1.99</v>
      </c>
      <c r="L2571" s="4">
        <v>21.86</v>
      </c>
      <c r="M2571" s="1">
        <v>0.86</v>
      </c>
      <c r="N2571" s="1">
        <v>7</v>
      </c>
      <c r="O2571" s="1">
        <v>0.71</v>
      </c>
      <c r="P2571" s="1">
        <v>703</v>
      </c>
      <c r="Q2571" s="1">
        <v>3.23</v>
      </c>
      <c r="R2571" s="1">
        <v>0.74</v>
      </c>
      <c r="S2571" s="2">
        <v>45460</v>
      </c>
      <c r="T2571" s="1">
        <v>249.7</v>
      </c>
      <c r="U2571" s="1">
        <v>0.50700000000000001</v>
      </c>
      <c r="V2571" s="6">
        <f t="shared" si="120"/>
        <v>4197.12</v>
      </c>
      <c r="W2571" s="6" t="str">
        <f t="shared" si="121"/>
        <v>Sufficient</v>
      </c>
      <c r="X2571" s="8" t="str">
        <f t="shared" si="122"/>
        <v>Medium</v>
      </c>
    </row>
    <row r="2572" spans="1:24">
      <c r="A2572" s="7" t="s">
        <v>2702</v>
      </c>
      <c r="B2572" s="1" t="s">
        <v>25</v>
      </c>
      <c r="C2572" s="1">
        <v>170</v>
      </c>
      <c r="D2572" s="1">
        <v>27</v>
      </c>
      <c r="E2572" s="1">
        <v>14</v>
      </c>
      <c r="F2572" s="1">
        <v>3</v>
      </c>
      <c r="G2572" s="1">
        <v>25.1</v>
      </c>
      <c r="H2572" s="1" t="s">
        <v>126</v>
      </c>
      <c r="I2572" s="1" t="s">
        <v>39</v>
      </c>
      <c r="J2572" s="1">
        <v>123</v>
      </c>
      <c r="K2572" s="1">
        <v>1.81</v>
      </c>
      <c r="L2572" s="4">
        <v>86.7</v>
      </c>
      <c r="M2572" s="1">
        <v>0.98</v>
      </c>
      <c r="N2572" s="1">
        <v>7</v>
      </c>
      <c r="O2572" s="1">
        <v>0.78</v>
      </c>
      <c r="P2572" s="1">
        <v>90</v>
      </c>
      <c r="Q2572" s="1">
        <v>10.98</v>
      </c>
      <c r="R2572" s="1">
        <v>0.85</v>
      </c>
      <c r="S2572" s="2">
        <v>45607</v>
      </c>
      <c r="T2572" s="1">
        <v>201.6</v>
      </c>
      <c r="U2572" s="1">
        <v>0.63400000000000001</v>
      </c>
      <c r="V2572" s="6">
        <f t="shared" si="120"/>
        <v>14739</v>
      </c>
      <c r="W2572" s="6" t="str">
        <f t="shared" si="121"/>
        <v>Sufficient</v>
      </c>
      <c r="X2572" s="8" t="str">
        <f t="shared" si="122"/>
        <v>Medium</v>
      </c>
    </row>
    <row r="2573" spans="1:24">
      <c r="A2573" s="7" t="s">
        <v>2703</v>
      </c>
      <c r="B2573" s="1" t="s">
        <v>66</v>
      </c>
      <c r="C2573" s="1">
        <v>472</v>
      </c>
      <c r="D2573" s="1">
        <v>16</v>
      </c>
      <c r="E2573" s="1">
        <v>14</v>
      </c>
      <c r="F2573" s="1">
        <v>9</v>
      </c>
      <c r="G2573" s="1">
        <v>40.32</v>
      </c>
      <c r="H2573" s="1" t="s">
        <v>119</v>
      </c>
      <c r="I2573" s="1" t="s">
        <v>39</v>
      </c>
      <c r="J2573" s="1">
        <v>115</v>
      </c>
      <c r="K2573" s="1">
        <v>1.72</v>
      </c>
      <c r="L2573" s="4">
        <v>135.02000000000001</v>
      </c>
      <c r="M2573" s="1">
        <v>0.99</v>
      </c>
      <c r="N2573" s="1">
        <v>8</v>
      </c>
      <c r="O2573" s="1">
        <v>0.71</v>
      </c>
      <c r="P2573" s="1">
        <v>535</v>
      </c>
      <c r="Q2573" s="1">
        <v>7.71</v>
      </c>
      <c r="R2573" s="1">
        <v>0.71</v>
      </c>
      <c r="S2573" s="2">
        <v>45629</v>
      </c>
      <c r="T2573" s="1">
        <v>13.52</v>
      </c>
      <c r="U2573" s="1">
        <v>0.52800000000000002</v>
      </c>
      <c r="V2573" s="6">
        <f t="shared" si="120"/>
        <v>63729.440000000002</v>
      </c>
      <c r="W2573" s="6" t="str">
        <f t="shared" si="121"/>
        <v>Sufficient</v>
      </c>
      <c r="X2573" s="8" t="str">
        <f t="shared" si="122"/>
        <v>High</v>
      </c>
    </row>
    <row r="2574" spans="1:24">
      <c r="A2574" s="7" t="s">
        <v>2704</v>
      </c>
      <c r="B2574" s="1" t="s">
        <v>29</v>
      </c>
      <c r="C2574" s="1">
        <v>369</v>
      </c>
      <c r="D2574" s="1">
        <v>13</v>
      </c>
      <c r="E2574" s="1">
        <v>4</v>
      </c>
      <c r="F2574" s="1">
        <v>7</v>
      </c>
      <c r="G2574" s="1">
        <v>33.85</v>
      </c>
      <c r="H2574" s="1" t="s">
        <v>216</v>
      </c>
      <c r="I2574" s="1" t="s">
        <v>31</v>
      </c>
      <c r="J2574" s="1">
        <v>14</v>
      </c>
      <c r="K2574" s="1">
        <v>2.0699999999999998</v>
      </c>
      <c r="L2574" s="4">
        <v>83.13</v>
      </c>
      <c r="M2574" s="1">
        <v>0.61</v>
      </c>
      <c r="N2574" s="1">
        <v>8</v>
      </c>
      <c r="O2574" s="1">
        <v>0.75</v>
      </c>
      <c r="P2574" s="1">
        <v>727</v>
      </c>
      <c r="Q2574" s="1">
        <v>6.85</v>
      </c>
      <c r="R2574" s="1">
        <v>0.54</v>
      </c>
      <c r="S2574" s="2">
        <v>45448</v>
      </c>
      <c r="T2574" s="1">
        <v>155.54</v>
      </c>
      <c r="U2574" s="1">
        <v>0.52800000000000002</v>
      </c>
      <c r="V2574" s="6">
        <f t="shared" si="120"/>
        <v>30674.969999999998</v>
      </c>
      <c r="W2574" s="6" t="str">
        <f t="shared" si="121"/>
        <v>Sufficient</v>
      </c>
      <c r="X2574" s="8" t="str">
        <f t="shared" si="122"/>
        <v>High</v>
      </c>
    </row>
    <row r="2575" spans="1:24">
      <c r="A2575" s="7" t="s">
        <v>2705</v>
      </c>
      <c r="B2575" s="1" t="s">
        <v>66</v>
      </c>
      <c r="C2575" s="1">
        <v>409</v>
      </c>
      <c r="D2575" s="1">
        <v>99</v>
      </c>
      <c r="E2575" s="1">
        <v>12</v>
      </c>
      <c r="F2575" s="1">
        <v>5</v>
      </c>
      <c r="G2575" s="1">
        <v>7.21</v>
      </c>
      <c r="H2575" s="1" t="s">
        <v>346</v>
      </c>
      <c r="I2575" s="1" t="s">
        <v>39</v>
      </c>
      <c r="J2575" s="1">
        <v>106</v>
      </c>
      <c r="K2575" s="1">
        <v>2.11</v>
      </c>
      <c r="L2575" s="4">
        <v>199.92</v>
      </c>
      <c r="M2575" s="1">
        <v>0.72</v>
      </c>
      <c r="N2575" s="1">
        <v>9</v>
      </c>
      <c r="O2575" s="1">
        <v>0.81</v>
      </c>
      <c r="P2575" s="1">
        <v>751</v>
      </c>
      <c r="Q2575" s="1">
        <v>2.59</v>
      </c>
      <c r="R2575" s="1">
        <v>0.9</v>
      </c>
      <c r="S2575" s="2">
        <v>45647</v>
      </c>
      <c r="T2575" s="1">
        <v>88.68</v>
      </c>
      <c r="U2575" s="1">
        <v>0.52500000000000002</v>
      </c>
      <c r="V2575" s="6">
        <f t="shared" si="120"/>
        <v>81767.28</v>
      </c>
      <c r="W2575" s="6" t="str">
        <f t="shared" si="121"/>
        <v>Sufficient</v>
      </c>
      <c r="X2575" s="8" t="str">
        <f t="shared" si="122"/>
        <v>High</v>
      </c>
    </row>
    <row r="2576" spans="1:24">
      <c r="A2576" s="7" t="s">
        <v>2706</v>
      </c>
      <c r="B2576" s="1" t="s">
        <v>66</v>
      </c>
      <c r="C2576" s="1">
        <v>459</v>
      </c>
      <c r="D2576" s="1">
        <v>78</v>
      </c>
      <c r="E2576" s="1">
        <v>6</v>
      </c>
      <c r="F2576" s="1">
        <v>5</v>
      </c>
      <c r="G2576" s="1">
        <v>17.98</v>
      </c>
      <c r="H2576" s="1" t="s">
        <v>97</v>
      </c>
      <c r="I2576" s="1" t="s">
        <v>27</v>
      </c>
      <c r="J2576" s="1">
        <v>23</v>
      </c>
      <c r="K2576" s="1">
        <v>1.72</v>
      </c>
      <c r="L2576" s="4">
        <v>87.02</v>
      </c>
      <c r="M2576" s="1">
        <v>1.71</v>
      </c>
      <c r="N2576" s="1">
        <v>8</v>
      </c>
      <c r="O2576" s="1">
        <v>0.71</v>
      </c>
      <c r="P2576" s="1">
        <v>858</v>
      </c>
      <c r="Q2576" s="1">
        <v>1.9</v>
      </c>
      <c r="R2576" s="1">
        <v>0.55000000000000004</v>
      </c>
      <c r="S2576" s="2">
        <v>45591</v>
      </c>
      <c r="T2576" s="1">
        <v>275.38</v>
      </c>
      <c r="U2576" s="1">
        <v>0.34599999999999997</v>
      </c>
      <c r="V2576" s="6">
        <f t="shared" si="120"/>
        <v>39942.18</v>
      </c>
      <c r="W2576" s="6" t="str">
        <f t="shared" si="121"/>
        <v>Sufficient</v>
      </c>
      <c r="X2576" s="8" t="str">
        <f t="shared" si="122"/>
        <v>High</v>
      </c>
    </row>
    <row r="2577" spans="1:24">
      <c r="A2577" s="7" t="s">
        <v>2707</v>
      </c>
      <c r="B2577" s="1" t="s">
        <v>41</v>
      </c>
      <c r="C2577" s="1">
        <v>141</v>
      </c>
      <c r="D2577" s="1">
        <v>69</v>
      </c>
      <c r="E2577" s="1">
        <v>6</v>
      </c>
      <c r="F2577" s="1">
        <v>6</v>
      </c>
      <c r="G2577" s="1">
        <v>17.61</v>
      </c>
      <c r="H2577" s="1" t="s">
        <v>171</v>
      </c>
      <c r="I2577" s="1" t="s">
        <v>39</v>
      </c>
      <c r="J2577" s="1">
        <v>89</v>
      </c>
      <c r="K2577" s="1">
        <v>3.5</v>
      </c>
      <c r="L2577" s="4">
        <v>113.78</v>
      </c>
      <c r="M2577" s="1">
        <v>0.75</v>
      </c>
      <c r="N2577" s="1">
        <v>4</v>
      </c>
      <c r="O2577" s="1">
        <v>0.93</v>
      </c>
      <c r="P2577" s="1">
        <v>606</v>
      </c>
      <c r="Q2577" s="1">
        <v>14.69</v>
      </c>
      <c r="R2577" s="1">
        <v>0.52</v>
      </c>
      <c r="S2577" s="2">
        <v>45370</v>
      </c>
      <c r="T2577" s="1">
        <v>220.42</v>
      </c>
      <c r="U2577" s="1">
        <v>0.73099999999999998</v>
      </c>
      <c r="V2577" s="6">
        <f t="shared" si="120"/>
        <v>16042.98</v>
      </c>
      <c r="W2577" s="6" t="str">
        <f t="shared" si="121"/>
        <v>Sufficient</v>
      </c>
      <c r="X2577" s="8" t="str">
        <f t="shared" si="122"/>
        <v>Medium</v>
      </c>
    </row>
    <row r="2578" spans="1:24">
      <c r="A2578" s="7" t="s">
        <v>2708</v>
      </c>
      <c r="B2578" s="1" t="s">
        <v>29</v>
      </c>
      <c r="C2578" s="1">
        <v>127</v>
      </c>
      <c r="D2578" s="1">
        <v>64</v>
      </c>
      <c r="E2578" s="1">
        <v>3</v>
      </c>
      <c r="F2578" s="1">
        <v>6</v>
      </c>
      <c r="G2578" s="1">
        <v>28.72</v>
      </c>
      <c r="H2578" s="1" t="s">
        <v>252</v>
      </c>
      <c r="I2578" s="1" t="s">
        <v>31</v>
      </c>
      <c r="J2578" s="1">
        <v>129</v>
      </c>
      <c r="K2578" s="1">
        <v>0.71</v>
      </c>
      <c r="L2578" s="4">
        <v>52.82</v>
      </c>
      <c r="M2578" s="1">
        <v>1.75</v>
      </c>
      <c r="N2578" s="1">
        <v>5</v>
      </c>
      <c r="O2578" s="1">
        <v>0.94</v>
      </c>
      <c r="P2578" s="1">
        <v>769</v>
      </c>
      <c r="Q2578" s="1">
        <v>9.99</v>
      </c>
      <c r="R2578" s="1">
        <v>0.7</v>
      </c>
      <c r="S2578" s="2">
        <v>45581</v>
      </c>
      <c r="T2578" s="1">
        <v>187.37</v>
      </c>
      <c r="U2578" s="1">
        <v>0.58599999999999997</v>
      </c>
      <c r="V2578" s="6">
        <f t="shared" si="120"/>
        <v>6708.14</v>
      </c>
      <c r="W2578" s="6" t="str">
        <f t="shared" si="121"/>
        <v>Sufficient</v>
      </c>
      <c r="X2578" s="8" t="str">
        <f t="shared" si="122"/>
        <v>Medium</v>
      </c>
    </row>
    <row r="2579" spans="1:24">
      <c r="A2579" s="7" t="s">
        <v>2709</v>
      </c>
      <c r="B2579" s="1" t="s">
        <v>25</v>
      </c>
      <c r="C2579" s="1">
        <v>23</v>
      </c>
      <c r="D2579" s="1">
        <v>25</v>
      </c>
      <c r="E2579" s="1">
        <v>12</v>
      </c>
      <c r="F2579" s="1">
        <v>3</v>
      </c>
      <c r="G2579" s="1">
        <v>15.28</v>
      </c>
      <c r="H2579" s="1" t="s">
        <v>77</v>
      </c>
      <c r="I2579" s="1" t="s">
        <v>39</v>
      </c>
      <c r="J2579" s="1">
        <v>169</v>
      </c>
      <c r="K2579" s="1">
        <v>2</v>
      </c>
      <c r="L2579" s="4">
        <v>38.909999999999997</v>
      </c>
      <c r="M2579" s="1">
        <v>0.68</v>
      </c>
      <c r="N2579" s="1">
        <v>4</v>
      </c>
      <c r="O2579" s="1">
        <v>0.82</v>
      </c>
      <c r="P2579" s="1">
        <v>431</v>
      </c>
      <c r="Q2579" s="1">
        <v>7.33</v>
      </c>
      <c r="R2579" s="1">
        <v>0.95</v>
      </c>
      <c r="S2579" s="2">
        <v>45582</v>
      </c>
      <c r="T2579" s="1">
        <v>35.83</v>
      </c>
      <c r="U2579" s="1">
        <v>0.70399999999999996</v>
      </c>
      <c r="V2579" s="6">
        <f t="shared" si="120"/>
        <v>894.93</v>
      </c>
      <c r="W2579" s="6" t="str">
        <f t="shared" si="121"/>
        <v>Reorder Required</v>
      </c>
      <c r="X2579" s="8" t="str">
        <f t="shared" si="122"/>
        <v>LOW</v>
      </c>
    </row>
    <row r="2580" spans="1:24">
      <c r="A2580" s="7" t="s">
        <v>2710</v>
      </c>
      <c r="B2580" s="1" t="s">
        <v>41</v>
      </c>
      <c r="C2580" s="1">
        <v>112</v>
      </c>
      <c r="D2580" s="1">
        <v>99</v>
      </c>
      <c r="E2580" s="1">
        <v>10</v>
      </c>
      <c r="F2580" s="1">
        <v>8</v>
      </c>
      <c r="G2580" s="1">
        <v>6.75</v>
      </c>
      <c r="H2580" s="1" t="s">
        <v>50</v>
      </c>
      <c r="I2580" s="1" t="s">
        <v>45</v>
      </c>
      <c r="J2580" s="1">
        <v>164</v>
      </c>
      <c r="K2580" s="1">
        <v>1.76</v>
      </c>
      <c r="L2580" s="4">
        <v>132.61000000000001</v>
      </c>
      <c r="M2580" s="1">
        <v>0.75</v>
      </c>
      <c r="N2580" s="1">
        <v>0</v>
      </c>
      <c r="O2580" s="1">
        <v>1</v>
      </c>
      <c r="P2580" s="1">
        <v>145</v>
      </c>
      <c r="Q2580" s="1">
        <v>11.66</v>
      </c>
      <c r="R2580" s="1">
        <v>0.55000000000000004</v>
      </c>
      <c r="S2580" s="2">
        <v>45478</v>
      </c>
      <c r="T2580" s="1">
        <v>279.89</v>
      </c>
      <c r="U2580" s="1">
        <v>0.79</v>
      </c>
      <c r="V2580" s="6">
        <f t="shared" si="120"/>
        <v>14852.320000000002</v>
      </c>
      <c r="W2580" s="6" t="str">
        <f t="shared" si="121"/>
        <v>Sufficient</v>
      </c>
      <c r="X2580" s="8" t="str">
        <f t="shared" si="122"/>
        <v>Medium</v>
      </c>
    </row>
    <row r="2581" spans="1:24">
      <c r="A2581" s="7" t="s">
        <v>2711</v>
      </c>
      <c r="B2581" s="1" t="s">
        <v>66</v>
      </c>
      <c r="C2581" s="1">
        <v>426</v>
      </c>
      <c r="D2581" s="1">
        <v>91</v>
      </c>
      <c r="E2581" s="1">
        <v>3</v>
      </c>
      <c r="F2581" s="1">
        <v>3</v>
      </c>
      <c r="G2581" s="1">
        <v>33.03</v>
      </c>
      <c r="H2581" s="1" t="s">
        <v>214</v>
      </c>
      <c r="I2581" s="1" t="s">
        <v>27</v>
      </c>
      <c r="J2581" s="1">
        <v>44</v>
      </c>
      <c r="K2581" s="1">
        <v>3.88</v>
      </c>
      <c r="L2581" s="4">
        <v>121.84</v>
      </c>
      <c r="M2581" s="1">
        <v>1.1599999999999999</v>
      </c>
      <c r="N2581" s="1">
        <v>3</v>
      </c>
      <c r="O2581" s="1">
        <v>0.9</v>
      </c>
      <c r="P2581" s="1">
        <v>961</v>
      </c>
      <c r="Q2581" s="1">
        <v>2.2799999999999998</v>
      </c>
      <c r="R2581" s="1">
        <v>0.66</v>
      </c>
      <c r="S2581" s="2">
        <v>45453</v>
      </c>
      <c r="T2581" s="1">
        <v>51.82</v>
      </c>
      <c r="U2581" s="1">
        <v>0.56599999999999995</v>
      </c>
      <c r="V2581" s="6">
        <f t="shared" si="120"/>
        <v>51903.840000000004</v>
      </c>
      <c r="W2581" s="6" t="str">
        <f t="shared" si="121"/>
        <v>Sufficient</v>
      </c>
      <c r="X2581" s="8" t="str">
        <f t="shared" si="122"/>
        <v>High</v>
      </c>
    </row>
    <row r="2582" spans="1:24">
      <c r="A2582" s="7" t="s">
        <v>2712</v>
      </c>
      <c r="B2582" s="1" t="s">
        <v>66</v>
      </c>
      <c r="C2582" s="1">
        <v>25</v>
      </c>
      <c r="D2582" s="1">
        <v>38</v>
      </c>
      <c r="E2582" s="1">
        <v>10</v>
      </c>
      <c r="F2582" s="1">
        <v>6</v>
      </c>
      <c r="G2582" s="1">
        <v>42.7</v>
      </c>
      <c r="H2582" s="1" t="s">
        <v>333</v>
      </c>
      <c r="I2582" s="1" t="s">
        <v>45</v>
      </c>
      <c r="J2582" s="1">
        <v>12</v>
      </c>
      <c r="K2582" s="1">
        <v>1.1599999999999999</v>
      </c>
      <c r="L2582" s="4">
        <v>10.82</v>
      </c>
      <c r="M2582" s="1">
        <v>0.3</v>
      </c>
      <c r="N2582" s="1">
        <v>0</v>
      </c>
      <c r="O2582" s="1">
        <v>0.92</v>
      </c>
      <c r="P2582" s="1">
        <v>836</v>
      </c>
      <c r="Q2582" s="1">
        <v>9.5</v>
      </c>
      <c r="R2582" s="1">
        <v>0.59</v>
      </c>
      <c r="S2582" s="2">
        <v>45511</v>
      </c>
      <c r="T2582" s="1">
        <v>140.72</v>
      </c>
      <c r="U2582" s="1">
        <v>0.79900000000000004</v>
      </c>
      <c r="V2582" s="6">
        <f t="shared" si="120"/>
        <v>270.5</v>
      </c>
      <c r="W2582" s="6" t="str">
        <f t="shared" si="121"/>
        <v>Reorder Required</v>
      </c>
      <c r="X2582" s="8" t="str">
        <f t="shared" si="122"/>
        <v>LOW</v>
      </c>
    </row>
    <row r="2583" spans="1:24">
      <c r="A2583" s="7" t="s">
        <v>2713</v>
      </c>
      <c r="B2583" s="1" t="s">
        <v>66</v>
      </c>
      <c r="C2583" s="1">
        <v>307</v>
      </c>
      <c r="D2583" s="1">
        <v>32</v>
      </c>
      <c r="E2583" s="1">
        <v>9</v>
      </c>
      <c r="F2583" s="1">
        <v>7</v>
      </c>
      <c r="G2583" s="1">
        <v>46.65</v>
      </c>
      <c r="H2583" s="1" t="s">
        <v>195</v>
      </c>
      <c r="I2583" s="1" t="s">
        <v>31</v>
      </c>
      <c r="J2583" s="1">
        <v>13</v>
      </c>
      <c r="K2583" s="1">
        <v>4.7300000000000004</v>
      </c>
      <c r="L2583" s="4">
        <v>64.11</v>
      </c>
      <c r="M2583" s="1">
        <v>1.85</v>
      </c>
      <c r="N2583" s="1">
        <v>0</v>
      </c>
      <c r="O2583" s="1">
        <v>0.76</v>
      </c>
      <c r="P2583" s="1">
        <v>342</v>
      </c>
      <c r="Q2583" s="1">
        <v>10.25</v>
      </c>
      <c r="R2583" s="1">
        <v>0.93</v>
      </c>
      <c r="S2583" s="2">
        <v>45378</v>
      </c>
      <c r="T2583" s="1">
        <v>207.5</v>
      </c>
      <c r="U2583" s="1">
        <v>0.69</v>
      </c>
      <c r="V2583" s="6">
        <f t="shared" si="120"/>
        <v>19681.77</v>
      </c>
      <c r="W2583" s="6" t="str">
        <f t="shared" si="121"/>
        <v>Sufficient</v>
      </c>
      <c r="X2583" s="8" t="str">
        <f t="shared" si="122"/>
        <v>High</v>
      </c>
    </row>
    <row r="2584" spans="1:24">
      <c r="A2584" s="7" t="s">
        <v>2714</v>
      </c>
      <c r="B2584" s="1" t="s">
        <v>29</v>
      </c>
      <c r="C2584" s="1">
        <v>125</v>
      </c>
      <c r="D2584" s="1">
        <v>23</v>
      </c>
      <c r="E2584" s="1">
        <v>11</v>
      </c>
      <c r="F2584" s="1">
        <v>6</v>
      </c>
      <c r="G2584" s="1">
        <v>48.66</v>
      </c>
      <c r="H2584" s="1" t="s">
        <v>132</v>
      </c>
      <c r="I2584" s="1" t="s">
        <v>45</v>
      </c>
      <c r="J2584" s="1">
        <v>144</v>
      </c>
      <c r="K2584" s="1">
        <v>1.27</v>
      </c>
      <c r="L2584" s="4">
        <v>132.28</v>
      </c>
      <c r="M2584" s="1">
        <v>1.66</v>
      </c>
      <c r="N2584" s="1">
        <v>2</v>
      </c>
      <c r="O2584" s="1">
        <v>0.95</v>
      </c>
      <c r="P2584" s="1">
        <v>284</v>
      </c>
      <c r="Q2584" s="1">
        <v>7.33</v>
      </c>
      <c r="R2584" s="1">
        <v>0.74</v>
      </c>
      <c r="S2584" s="2">
        <v>45294</v>
      </c>
      <c r="T2584" s="1">
        <v>153.47999999999999</v>
      </c>
      <c r="U2584" s="1">
        <v>0.63</v>
      </c>
      <c r="V2584" s="6">
        <f t="shared" si="120"/>
        <v>16535</v>
      </c>
      <c r="W2584" s="6" t="str">
        <f t="shared" si="121"/>
        <v>Sufficient</v>
      </c>
      <c r="X2584" s="8" t="str">
        <f t="shared" si="122"/>
        <v>Medium</v>
      </c>
    </row>
    <row r="2585" spans="1:24">
      <c r="A2585" s="7" t="s">
        <v>2715</v>
      </c>
      <c r="B2585" s="1" t="s">
        <v>29</v>
      </c>
      <c r="C2585" s="1">
        <v>165</v>
      </c>
      <c r="D2585" s="1">
        <v>88</v>
      </c>
      <c r="E2585" s="1">
        <v>10</v>
      </c>
      <c r="F2585" s="1">
        <v>3</v>
      </c>
      <c r="G2585" s="1">
        <v>39.270000000000003</v>
      </c>
      <c r="H2585" s="1" t="s">
        <v>178</v>
      </c>
      <c r="I2585" s="1" t="s">
        <v>39</v>
      </c>
      <c r="J2585" s="1">
        <v>140</v>
      </c>
      <c r="K2585" s="1">
        <v>2.17</v>
      </c>
      <c r="L2585" s="4">
        <v>164.33</v>
      </c>
      <c r="M2585" s="1">
        <v>1.37</v>
      </c>
      <c r="N2585" s="1">
        <v>6</v>
      </c>
      <c r="O2585" s="1">
        <v>0.98</v>
      </c>
      <c r="P2585" s="1">
        <v>390</v>
      </c>
      <c r="Q2585" s="1">
        <v>4.54</v>
      </c>
      <c r="R2585" s="1">
        <v>0.54</v>
      </c>
      <c r="S2585" s="2">
        <v>45452</v>
      </c>
      <c r="T2585" s="1">
        <v>265.92</v>
      </c>
      <c r="U2585" s="1">
        <v>0.50800000000000001</v>
      </c>
      <c r="V2585" s="6">
        <f t="shared" si="120"/>
        <v>27114.45</v>
      </c>
      <c r="W2585" s="6" t="str">
        <f t="shared" si="121"/>
        <v>Sufficient</v>
      </c>
      <c r="X2585" s="8" t="str">
        <f t="shared" si="122"/>
        <v>Medium</v>
      </c>
    </row>
    <row r="2586" spans="1:24">
      <c r="A2586" s="7" t="s">
        <v>2716</v>
      </c>
      <c r="B2586" s="1" t="s">
        <v>41</v>
      </c>
      <c r="C2586" s="1">
        <v>290</v>
      </c>
      <c r="D2586" s="1">
        <v>58</v>
      </c>
      <c r="E2586" s="1">
        <v>7</v>
      </c>
      <c r="F2586" s="1">
        <v>4</v>
      </c>
      <c r="G2586" s="1">
        <v>7.85</v>
      </c>
      <c r="H2586" s="1" t="s">
        <v>91</v>
      </c>
      <c r="I2586" s="1" t="s">
        <v>27</v>
      </c>
      <c r="J2586" s="1">
        <v>90</v>
      </c>
      <c r="K2586" s="1">
        <v>1.4</v>
      </c>
      <c r="L2586" s="4">
        <v>69.349999999999994</v>
      </c>
      <c r="M2586" s="1">
        <v>1.98</v>
      </c>
      <c r="N2586" s="1">
        <v>0</v>
      </c>
      <c r="O2586" s="1">
        <v>0.77</v>
      </c>
      <c r="P2586" s="1">
        <v>768</v>
      </c>
      <c r="Q2586" s="1">
        <v>14.36</v>
      </c>
      <c r="R2586" s="1">
        <v>0.69</v>
      </c>
      <c r="S2586" s="2">
        <v>45418</v>
      </c>
      <c r="T2586" s="1">
        <v>252.25</v>
      </c>
      <c r="U2586" s="1">
        <v>0.68500000000000005</v>
      </c>
      <c r="V2586" s="6">
        <f t="shared" si="120"/>
        <v>20111.5</v>
      </c>
      <c r="W2586" s="6" t="str">
        <f t="shared" si="121"/>
        <v>Sufficient</v>
      </c>
      <c r="X2586" s="8" t="str">
        <f t="shared" si="122"/>
        <v>High</v>
      </c>
    </row>
    <row r="2587" spans="1:24">
      <c r="A2587" s="7" t="s">
        <v>2717</v>
      </c>
      <c r="B2587" s="1" t="s">
        <v>25</v>
      </c>
      <c r="C2587" s="1">
        <v>443</v>
      </c>
      <c r="D2587" s="1">
        <v>42</v>
      </c>
      <c r="E2587" s="1">
        <v>10</v>
      </c>
      <c r="F2587" s="1">
        <v>3</v>
      </c>
      <c r="G2587" s="1">
        <v>42.8</v>
      </c>
      <c r="H2587" s="1" t="s">
        <v>42</v>
      </c>
      <c r="I2587" s="1" t="s">
        <v>45</v>
      </c>
      <c r="J2587" s="1">
        <v>120</v>
      </c>
      <c r="K2587" s="1">
        <v>1.79</v>
      </c>
      <c r="L2587" s="4">
        <v>133.01</v>
      </c>
      <c r="M2587" s="1">
        <v>0.13</v>
      </c>
      <c r="N2587" s="1">
        <v>6</v>
      </c>
      <c r="O2587" s="1">
        <v>0.91</v>
      </c>
      <c r="P2587" s="1">
        <v>587</v>
      </c>
      <c r="Q2587" s="1">
        <v>5.22</v>
      </c>
      <c r="R2587" s="1">
        <v>0.32</v>
      </c>
      <c r="S2587" s="2">
        <v>45405</v>
      </c>
      <c r="T2587" s="1">
        <v>49.26</v>
      </c>
      <c r="U2587" s="1">
        <v>0.58299999999999996</v>
      </c>
      <c r="V2587" s="6">
        <f t="shared" si="120"/>
        <v>58923.429999999993</v>
      </c>
      <c r="W2587" s="6" t="str">
        <f t="shared" si="121"/>
        <v>Sufficient</v>
      </c>
      <c r="X2587" s="8" t="str">
        <f t="shared" si="122"/>
        <v>High</v>
      </c>
    </row>
    <row r="2588" spans="1:24">
      <c r="A2588" s="7" t="s">
        <v>2718</v>
      </c>
      <c r="B2588" s="1" t="s">
        <v>41</v>
      </c>
      <c r="C2588" s="1">
        <v>397</v>
      </c>
      <c r="D2588" s="1">
        <v>34</v>
      </c>
      <c r="E2588" s="1">
        <v>13</v>
      </c>
      <c r="F2588" s="1">
        <v>4</v>
      </c>
      <c r="G2588" s="1">
        <v>20.6</v>
      </c>
      <c r="H2588" s="1" t="s">
        <v>233</v>
      </c>
      <c r="I2588" s="1" t="s">
        <v>39</v>
      </c>
      <c r="J2588" s="1">
        <v>68</v>
      </c>
      <c r="K2588" s="1">
        <v>3.92</v>
      </c>
      <c r="L2588" s="4">
        <v>60.4</v>
      </c>
      <c r="M2588" s="1">
        <v>0.88</v>
      </c>
      <c r="N2588" s="1">
        <v>9</v>
      </c>
      <c r="O2588" s="1">
        <v>0.92</v>
      </c>
      <c r="P2588" s="1">
        <v>399</v>
      </c>
      <c r="Q2588" s="1">
        <v>2.75</v>
      </c>
      <c r="R2588" s="1">
        <v>0.47</v>
      </c>
      <c r="S2588" s="2">
        <v>45656</v>
      </c>
      <c r="T2588" s="1">
        <v>189.11</v>
      </c>
      <c r="U2588" s="1">
        <v>0.44700000000000001</v>
      </c>
      <c r="V2588" s="6">
        <f t="shared" si="120"/>
        <v>23978.799999999999</v>
      </c>
      <c r="W2588" s="6" t="str">
        <f t="shared" si="121"/>
        <v>Sufficient</v>
      </c>
      <c r="X2588" s="8" t="str">
        <f t="shared" si="122"/>
        <v>High</v>
      </c>
    </row>
    <row r="2589" spans="1:24">
      <c r="A2589" s="7" t="s">
        <v>2719</v>
      </c>
      <c r="B2589" s="1" t="s">
        <v>33</v>
      </c>
      <c r="C2589" s="1">
        <v>115</v>
      </c>
      <c r="D2589" s="1">
        <v>30</v>
      </c>
      <c r="E2589" s="1">
        <v>12</v>
      </c>
      <c r="F2589" s="1">
        <v>4</v>
      </c>
      <c r="G2589" s="1">
        <v>36.770000000000003</v>
      </c>
      <c r="H2589" s="1" t="s">
        <v>115</v>
      </c>
      <c r="I2589" s="1" t="s">
        <v>45</v>
      </c>
      <c r="J2589" s="1">
        <v>83</v>
      </c>
      <c r="K2589" s="1">
        <v>2.64</v>
      </c>
      <c r="L2589" s="4">
        <v>141.16999999999999</v>
      </c>
      <c r="M2589" s="1">
        <v>1.73</v>
      </c>
      <c r="N2589" s="1">
        <v>9</v>
      </c>
      <c r="O2589" s="1">
        <v>0.79</v>
      </c>
      <c r="P2589" s="1">
        <v>921</v>
      </c>
      <c r="Q2589" s="1">
        <v>9.83</v>
      </c>
      <c r="R2589" s="1">
        <v>0.79</v>
      </c>
      <c r="S2589" s="2">
        <v>45620</v>
      </c>
      <c r="T2589" s="1">
        <v>25.14</v>
      </c>
      <c r="U2589" s="1">
        <v>0.49399999999999999</v>
      </c>
      <c r="V2589" s="6">
        <f t="shared" si="120"/>
        <v>16234.55</v>
      </c>
      <c r="W2589" s="6" t="str">
        <f t="shared" si="121"/>
        <v>Sufficient</v>
      </c>
      <c r="X2589" s="8" t="str">
        <f t="shared" si="122"/>
        <v>Medium</v>
      </c>
    </row>
    <row r="2590" spans="1:24">
      <c r="A2590" s="7" t="s">
        <v>2720</v>
      </c>
      <c r="B2590" s="1" t="s">
        <v>66</v>
      </c>
      <c r="C2590" s="1">
        <v>476</v>
      </c>
      <c r="D2590" s="1">
        <v>26</v>
      </c>
      <c r="E2590" s="1">
        <v>14</v>
      </c>
      <c r="F2590" s="1">
        <v>3</v>
      </c>
      <c r="G2590" s="1">
        <v>27.03</v>
      </c>
      <c r="H2590" s="1" t="s">
        <v>258</v>
      </c>
      <c r="I2590" s="1" t="s">
        <v>39</v>
      </c>
      <c r="J2590" s="1">
        <v>138</v>
      </c>
      <c r="K2590" s="1">
        <v>1.23</v>
      </c>
      <c r="L2590" s="4">
        <v>142.61000000000001</v>
      </c>
      <c r="M2590" s="1">
        <v>0.92</v>
      </c>
      <c r="N2590" s="1">
        <v>0</v>
      </c>
      <c r="O2590" s="1">
        <v>0.84</v>
      </c>
      <c r="P2590" s="1">
        <v>256</v>
      </c>
      <c r="Q2590" s="1">
        <v>9.0399999999999991</v>
      </c>
      <c r="R2590" s="1">
        <v>0.65</v>
      </c>
      <c r="S2590" s="2">
        <v>45515</v>
      </c>
      <c r="T2590" s="1">
        <v>218.97</v>
      </c>
      <c r="U2590" s="1">
        <v>0.72699999999999998</v>
      </c>
      <c r="V2590" s="6">
        <f t="shared" si="120"/>
        <v>67882.36</v>
      </c>
      <c r="W2590" s="6" t="str">
        <f t="shared" si="121"/>
        <v>Sufficient</v>
      </c>
      <c r="X2590" s="8" t="str">
        <f t="shared" si="122"/>
        <v>High</v>
      </c>
    </row>
    <row r="2591" spans="1:24">
      <c r="A2591" s="7" t="s">
        <v>2721</v>
      </c>
      <c r="B2591" s="1" t="s">
        <v>66</v>
      </c>
      <c r="C2591" s="1">
        <v>248</v>
      </c>
      <c r="D2591" s="1">
        <v>32</v>
      </c>
      <c r="E2591" s="1">
        <v>14</v>
      </c>
      <c r="F2591" s="1">
        <v>8</v>
      </c>
      <c r="G2591" s="1">
        <v>41.6</v>
      </c>
      <c r="H2591" s="1" t="s">
        <v>139</v>
      </c>
      <c r="I2591" s="1" t="s">
        <v>39</v>
      </c>
      <c r="J2591" s="1">
        <v>165</v>
      </c>
      <c r="K2591" s="1">
        <v>0.71</v>
      </c>
      <c r="L2591" s="4">
        <v>34.74</v>
      </c>
      <c r="M2591" s="1">
        <v>0.11</v>
      </c>
      <c r="N2591" s="1">
        <v>8</v>
      </c>
      <c r="O2591" s="1">
        <v>0.73</v>
      </c>
      <c r="P2591" s="1">
        <v>540</v>
      </c>
      <c r="Q2591" s="1">
        <v>11.57</v>
      </c>
      <c r="R2591" s="1">
        <v>0.45</v>
      </c>
      <c r="S2591" s="2">
        <v>45433</v>
      </c>
      <c r="T2591" s="1">
        <v>223.45</v>
      </c>
      <c r="U2591" s="1">
        <v>0.61899999999999999</v>
      </c>
      <c r="V2591" s="6">
        <f t="shared" si="120"/>
        <v>8615.52</v>
      </c>
      <c r="W2591" s="6" t="str">
        <f t="shared" si="121"/>
        <v>Sufficient</v>
      </c>
      <c r="X2591" s="8" t="str">
        <f t="shared" si="122"/>
        <v>Medium</v>
      </c>
    </row>
    <row r="2592" spans="1:24">
      <c r="A2592" s="7" t="s">
        <v>2722</v>
      </c>
      <c r="B2592" s="1" t="s">
        <v>66</v>
      </c>
      <c r="C2592" s="1">
        <v>221</v>
      </c>
      <c r="D2592" s="1">
        <v>66</v>
      </c>
      <c r="E2592" s="1">
        <v>5</v>
      </c>
      <c r="F2592" s="1">
        <v>8</v>
      </c>
      <c r="G2592" s="1">
        <v>21.85</v>
      </c>
      <c r="H2592" s="1" t="s">
        <v>269</v>
      </c>
      <c r="I2592" s="1" t="s">
        <v>45</v>
      </c>
      <c r="J2592" s="1">
        <v>68</v>
      </c>
      <c r="K2592" s="1">
        <v>1.53</v>
      </c>
      <c r="L2592" s="4">
        <v>136.37</v>
      </c>
      <c r="M2592" s="1">
        <v>0.4</v>
      </c>
      <c r="N2592" s="1">
        <v>4</v>
      </c>
      <c r="O2592" s="1">
        <v>0.75</v>
      </c>
      <c r="P2592" s="1">
        <v>430</v>
      </c>
      <c r="Q2592" s="1">
        <v>11.55</v>
      </c>
      <c r="R2592" s="1">
        <v>0.49</v>
      </c>
      <c r="S2592" s="2">
        <v>45476</v>
      </c>
      <c r="T2592" s="1">
        <v>109.9</v>
      </c>
      <c r="U2592" s="1">
        <v>0.68200000000000005</v>
      </c>
      <c r="V2592" s="6">
        <f t="shared" si="120"/>
        <v>30137.77</v>
      </c>
      <c r="W2592" s="6" t="str">
        <f t="shared" si="121"/>
        <v>Sufficient</v>
      </c>
      <c r="X2592" s="8" t="str">
        <f t="shared" si="122"/>
        <v>Medium</v>
      </c>
    </row>
    <row r="2593" spans="1:24">
      <c r="A2593" s="7" t="s">
        <v>2723</v>
      </c>
      <c r="B2593" s="1" t="s">
        <v>41</v>
      </c>
      <c r="C2593" s="1">
        <v>231</v>
      </c>
      <c r="D2593" s="1">
        <v>90</v>
      </c>
      <c r="E2593" s="1">
        <v>12</v>
      </c>
      <c r="F2593" s="1">
        <v>2</v>
      </c>
      <c r="G2593" s="1">
        <v>4.03</v>
      </c>
      <c r="H2593" s="1" t="s">
        <v>558</v>
      </c>
      <c r="I2593" s="1" t="s">
        <v>31</v>
      </c>
      <c r="J2593" s="1">
        <v>127</v>
      </c>
      <c r="K2593" s="1">
        <v>4.76</v>
      </c>
      <c r="L2593" s="4">
        <v>73.38</v>
      </c>
      <c r="M2593" s="1">
        <v>0.92</v>
      </c>
      <c r="N2593" s="1">
        <v>5</v>
      </c>
      <c r="O2593" s="1">
        <v>0.72</v>
      </c>
      <c r="P2593" s="1">
        <v>190</v>
      </c>
      <c r="Q2593" s="1">
        <v>9.68</v>
      </c>
      <c r="R2593" s="1">
        <v>0.85</v>
      </c>
      <c r="S2593" s="2">
        <v>45360</v>
      </c>
      <c r="T2593" s="1">
        <v>238.11</v>
      </c>
      <c r="U2593" s="1">
        <v>0.65100000000000002</v>
      </c>
      <c r="V2593" s="6">
        <f t="shared" si="120"/>
        <v>16950.78</v>
      </c>
      <c r="W2593" s="6" t="str">
        <f t="shared" si="121"/>
        <v>Sufficient</v>
      </c>
      <c r="X2593" s="8" t="str">
        <f t="shared" si="122"/>
        <v>Medium</v>
      </c>
    </row>
    <row r="2594" spans="1:24">
      <c r="A2594" s="7" t="s">
        <v>2724</v>
      </c>
      <c r="B2594" s="1" t="s">
        <v>41</v>
      </c>
      <c r="C2594" s="1">
        <v>25</v>
      </c>
      <c r="D2594" s="1">
        <v>67</v>
      </c>
      <c r="E2594" s="1">
        <v>9</v>
      </c>
      <c r="F2594" s="1">
        <v>6</v>
      </c>
      <c r="G2594" s="1">
        <v>28.28</v>
      </c>
      <c r="H2594" s="1" t="s">
        <v>88</v>
      </c>
      <c r="I2594" s="1" t="s">
        <v>27</v>
      </c>
      <c r="J2594" s="1">
        <v>147</v>
      </c>
      <c r="K2594" s="1">
        <v>4.3</v>
      </c>
      <c r="L2594" s="4">
        <v>42.79</v>
      </c>
      <c r="M2594" s="1">
        <v>1.37</v>
      </c>
      <c r="N2594" s="1">
        <v>8</v>
      </c>
      <c r="O2594" s="1">
        <v>0.87</v>
      </c>
      <c r="P2594" s="1">
        <v>908</v>
      </c>
      <c r="Q2594" s="1">
        <v>3.91</v>
      </c>
      <c r="R2594" s="1">
        <v>0.63</v>
      </c>
      <c r="S2594" s="2">
        <v>45639</v>
      </c>
      <c r="T2594" s="1">
        <v>199.28</v>
      </c>
      <c r="U2594" s="1">
        <v>0.45500000000000002</v>
      </c>
      <c r="V2594" s="6">
        <f t="shared" si="120"/>
        <v>1069.75</v>
      </c>
      <c r="W2594" s="6" t="str">
        <f t="shared" si="121"/>
        <v>Reorder Required</v>
      </c>
      <c r="X2594" s="8" t="str">
        <f t="shared" si="122"/>
        <v>LOW</v>
      </c>
    </row>
    <row r="2595" spans="1:24">
      <c r="A2595" s="7" t="s">
        <v>2725</v>
      </c>
      <c r="B2595" s="1" t="s">
        <v>66</v>
      </c>
      <c r="C2595" s="1">
        <v>131</v>
      </c>
      <c r="D2595" s="1">
        <v>23</v>
      </c>
      <c r="E2595" s="1">
        <v>14</v>
      </c>
      <c r="F2595" s="1">
        <v>8</v>
      </c>
      <c r="G2595" s="1">
        <v>9.39</v>
      </c>
      <c r="H2595" s="1" t="s">
        <v>42</v>
      </c>
      <c r="I2595" s="1" t="s">
        <v>31</v>
      </c>
      <c r="J2595" s="1">
        <v>112</v>
      </c>
      <c r="K2595" s="1">
        <v>2.48</v>
      </c>
      <c r="L2595" s="4">
        <v>105.07</v>
      </c>
      <c r="M2595" s="1">
        <v>0.41</v>
      </c>
      <c r="N2595" s="1">
        <v>2</v>
      </c>
      <c r="O2595" s="1">
        <v>0.89</v>
      </c>
      <c r="P2595" s="1">
        <v>648</v>
      </c>
      <c r="Q2595" s="1">
        <v>13.42</v>
      </c>
      <c r="R2595" s="1">
        <v>0.39</v>
      </c>
      <c r="S2595" s="2">
        <v>45461</v>
      </c>
      <c r="T2595" s="1">
        <v>156.16999999999999</v>
      </c>
      <c r="U2595" s="1">
        <v>0.754</v>
      </c>
      <c r="V2595" s="6">
        <f t="shared" si="120"/>
        <v>13764.169999999998</v>
      </c>
      <c r="W2595" s="6" t="str">
        <f t="shared" si="121"/>
        <v>Sufficient</v>
      </c>
      <c r="X2595" s="8" t="str">
        <f t="shared" si="122"/>
        <v>Medium</v>
      </c>
    </row>
    <row r="2596" spans="1:24">
      <c r="A2596" s="7" t="s">
        <v>2726</v>
      </c>
      <c r="B2596" s="1" t="s">
        <v>41</v>
      </c>
      <c r="C2596" s="1">
        <v>395</v>
      </c>
      <c r="D2596" s="1">
        <v>29</v>
      </c>
      <c r="E2596" s="1">
        <v>6</v>
      </c>
      <c r="F2596" s="1">
        <v>5</v>
      </c>
      <c r="G2596" s="1">
        <v>48.31</v>
      </c>
      <c r="H2596" s="1" t="s">
        <v>99</v>
      </c>
      <c r="I2596" s="1" t="s">
        <v>45</v>
      </c>
      <c r="J2596" s="1">
        <v>140</v>
      </c>
      <c r="K2596" s="1">
        <v>2.67</v>
      </c>
      <c r="L2596" s="4">
        <v>95.94</v>
      </c>
      <c r="M2596" s="1">
        <v>0.95</v>
      </c>
      <c r="N2596" s="1">
        <v>2</v>
      </c>
      <c r="O2596" s="1">
        <v>0.97</v>
      </c>
      <c r="P2596" s="1">
        <v>979</v>
      </c>
      <c r="Q2596" s="1">
        <v>4.4800000000000004</v>
      </c>
      <c r="R2596" s="1">
        <v>0.44</v>
      </c>
      <c r="S2596" s="2">
        <v>45537</v>
      </c>
      <c r="T2596" s="1">
        <v>142.03</v>
      </c>
      <c r="U2596" s="1">
        <v>0.60699999999999998</v>
      </c>
      <c r="V2596" s="6">
        <f t="shared" si="120"/>
        <v>37896.299999999996</v>
      </c>
      <c r="W2596" s="6" t="str">
        <f t="shared" si="121"/>
        <v>Sufficient</v>
      </c>
      <c r="X2596" s="8" t="str">
        <f t="shared" si="122"/>
        <v>High</v>
      </c>
    </row>
    <row r="2597" spans="1:24">
      <c r="A2597" s="7" t="s">
        <v>2727</v>
      </c>
      <c r="B2597" s="1" t="s">
        <v>29</v>
      </c>
      <c r="C2597" s="1">
        <v>398</v>
      </c>
      <c r="D2597" s="1">
        <v>39</v>
      </c>
      <c r="E2597" s="1">
        <v>7</v>
      </c>
      <c r="F2597" s="1">
        <v>3</v>
      </c>
      <c r="G2597" s="1">
        <v>26.82</v>
      </c>
      <c r="H2597" s="1" t="s">
        <v>205</v>
      </c>
      <c r="I2597" s="1" t="s">
        <v>39</v>
      </c>
      <c r="J2597" s="1">
        <v>144</v>
      </c>
      <c r="K2597" s="1">
        <v>4.55</v>
      </c>
      <c r="L2597" s="4">
        <v>157.04</v>
      </c>
      <c r="M2597" s="1">
        <v>0.12</v>
      </c>
      <c r="N2597" s="1">
        <v>4</v>
      </c>
      <c r="O2597" s="1">
        <v>0.86</v>
      </c>
      <c r="P2597" s="1">
        <v>940</v>
      </c>
      <c r="Q2597" s="1">
        <v>2.3199999999999998</v>
      </c>
      <c r="R2597" s="1">
        <v>0.56999999999999995</v>
      </c>
      <c r="S2597" s="2">
        <v>45528</v>
      </c>
      <c r="T2597" s="1">
        <v>41.65</v>
      </c>
      <c r="U2597" s="1">
        <v>0.625</v>
      </c>
      <c r="V2597" s="6">
        <f t="shared" si="120"/>
        <v>62501.919999999998</v>
      </c>
      <c r="W2597" s="6" t="str">
        <f t="shared" si="121"/>
        <v>Sufficient</v>
      </c>
      <c r="X2597" s="8" t="str">
        <f t="shared" si="122"/>
        <v>High</v>
      </c>
    </row>
    <row r="2598" spans="1:24">
      <c r="A2598" s="7" t="s">
        <v>2728</v>
      </c>
      <c r="B2598" s="1" t="s">
        <v>29</v>
      </c>
      <c r="C2598" s="1">
        <v>466</v>
      </c>
      <c r="D2598" s="1">
        <v>28</v>
      </c>
      <c r="E2598" s="1">
        <v>11</v>
      </c>
      <c r="F2598" s="1">
        <v>4</v>
      </c>
      <c r="G2598" s="1">
        <v>28.12</v>
      </c>
      <c r="H2598" s="1" t="s">
        <v>147</v>
      </c>
      <c r="I2598" s="1" t="s">
        <v>45</v>
      </c>
      <c r="J2598" s="1">
        <v>18</v>
      </c>
      <c r="K2598" s="1">
        <v>3.16</v>
      </c>
      <c r="L2598" s="4">
        <v>26.06</v>
      </c>
      <c r="M2598" s="1">
        <v>1.01</v>
      </c>
      <c r="N2598" s="1">
        <v>6</v>
      </c>
      <c r="O2598" s="1">
        <v>0.78</v>
      </c>
      <c r="P2598" s="1">
        <v>659</v>
      </c>
      <c r="Q2598" s="1">
        <v>5.22</v>
      </c>
      <c r="R2598" s="1">
        <v>0.81</v>
      </c>
      <c r="S2598" s="2">
        <v>45520</v>
      </c>
      <c r="T2598" s="1">
        <v>164.02</v>
      </c>
      <c r="U2598" s="1">
        <v>0.56699999999999995</v>
      </c>
      <c r="V2598" s="6">
        <f t="shared" si="120"/>
        <v>12143.96</v>
      </c>
      <c r="W2598" s="6" t="str">
        <f t="shared" si="121"/>
        <v>Sufficient</v>
      </c>
      <c r="X2598" s="8" t="str">
        <f t="shared" si="122"/>
        <v>High</v>
      </c>
    </row>
    <row r="2599" spans="1:24">
      <c r="A2599" s="7" t="s">
        <v>2729</v>
      </c>
      <c r="B2599" s="1" t="s">
        <v>41</v>
      </c>
      <c r="C2599" s="1">
        <v>342</v>
      </c>
      <c r="D2599" s="1">
        <v>62</v>
      </c>
      <c r="E2599" s="1">
        <v>9</v>
      </c>
      <c r="F2599" s="1">
        <v>3</v>
      </c>
      <c r="G2599" s="1">
        <v>45.46</v>
      </c>
      <c r="H2599" s="1" t="s">
        <v>282</v>
      </c>
      <c r="I2599" s="1" t="s">
        <v>39</v>
      </c>
      <c r="J2599" s="1">
        <v>108</v>
      </c>
      <c r="K2599" s="1">
        <v>4.46</v>
      </c>
      <c r="L2599" s="4">
        <v>160.05000000000001</v>
      </c>
      <c r="M2599" s="1">
        <v>1.8</v>
      </c>
      <c r="N2599" s="1">
        <v>2</v>
      </c>
      <c r="O2599" s="1">
        <v>0.72</v>
      </c>
      <c r="P2599" s="1">
        <v>72</v>
      </c>
      <c r="Q2599" s="1">
        <v>7.77</v>
      </c>
      <c r="R2599" s="1">
        <v>1</v>
      </c>
      <c r="S2599" s="2">
        <v>45475</v>
      </c>
      <c r="T2599" s="1">
        <v>55.27</v>
      </c>
      <c r="U2599" s="1">
        <v>0.628</v>
      </c>
      <c r="V2599" s="6">
        <f t="shared" si="120"/>
        <v>54737.100000000006</v>
      </c>
      <c r="W2599" s="6" t="str">
        <f t="shared" si="121"/>
        <v>Sufficient</v>
      </c>
      <c r="X2599" s="8" t="str">
        <f t="shared" si="122"/>
        <v>High</v>
      </c>
    </row>
    <row r="2600" spans="1:24">
      <c r="A2600" s="7" t="s">
        <v>2730</v>
      </c>
      <c r="B2600" s="1" t="s">
        <v>66</v>
      </c>
      <c r="C2600" s="1">
        <v>125</v>
      </c>
      <c r="D2600" s="1">
        <v>65</v>
      </c>
      <c r="E2600" s="1">
        <v>6</v>
      </c>
      <c r="F2600" s="1">
        <v>6</v>
      </c>
      <c r="G2600" s="1">
        <v>31.6</v>
      </c>
      <c r="H2600" s="1" t="s">
        <v>214</v>
      </c>
      <c r="I2600" s="1" t="s">
        <v>39</v>
      </c>
      <c r="J2600" s="1">
        <v>150</v>
      </c>
      <c r="K2600" s="1">
        <v>2.71</v>
      </c>
      <c r="L2600" s="4">
        <v>30.16</v>
      </c>
      <c r="M2600" s="1">
        <v>1.23</v>
      </c>
      <c r="N2600" s="1">
        <v>3</v>
      </c>
      <c r="O2600" s="1">
        <v>0.97</v>
      </c>
      <c r="P2600" s="1">
        <v>811</v>
      </c>
      <c r="Q2600" s="1">
        <v>3.9</v>
      </c>
      <c r="R2600" s="1">
        <v>0.35</v>
      </c>
      <c r="S2600" s="2">
        <v>45448</v>
      </c>
      <c r="T2600" s="1">
        <v>200.25</v>
      </c>
      <c r="U2600" s="1">
        <v>0.53300000000000003</v>
      </c>
      <c r="V2600" s="6">
        <f t="shared" si="120"/>
        <v>3770</v>
      </c>
      <c r="W2600" s="6" t="str">
        <f t="shared" si="121"/>
        <v>Sufficient</v>
      </c>
      <c r="X2600" s="8" t="str">
        <f t="shared" si="122"/>
        <v>Medium</v>
      </c>
    </row>
    <row r="2601" spans="1:24">
      <c r="A2601" s="7" t="s">
        <v>2731</v>
      </c>
      <c r="B2601" s="1" t="s">
        <v>41</v>
      </c>
      <c r="C2601" s="1">
        <v>158</v>
      </c>
      <c r="D2601" s="1">
        <v>86</v>
      </c>
      <c r="E2601" s="1">
        <v>8</v>
      </c>
      <c r="F2601" s="1">
        <v>7</v>
      </c>
      <c r="G2601" s="1">
        <v>15.83</v>
      </c>
      <c r="H2601" s="1" t="s">
        <v>149</v>
      </c>
      <c r="I2601" s="1" t="s">
        <v>31</v>
      </c>
      <c r="J2601" s="1">
        <v>177</v>
      </c>
      <c r="K2601" s="1">
        <v>1.4</v>
      </c>
      <c r="L2601" s="4">
        <v>49.42</v>
      </c>
      <c r="M2601" s="1">
        <v>0.94</v>
      </c>
      <c r="N2601" s="1">
        <v>1</v>
      </c>
      <c r="O2601" s="1">
        <v>0.84</v>
      </c>
      <c r="P2601" s="1">
        <v>413</v>
      </c>
      <c r="Q2601" s="1">
        <v>5.67</v>
      </c>
      <c r="R2601" s="1">
        <v>0.8</v>
      </c>
      <c r="S2601" s="2">
        <v>45541</v>
      </c>
      <c r="T2601" s="1">
        <v>182.47</v>
      </c>
      <c r="U2601" s="1">
        <v>0.69</v>
      </c>
      <c r="V2601" s="6">
        <f t="shared" si="120"/>
        <v>7808.3600000000006</v>
      </c>
      <c r="W2601" s="6" t="str">
        <f t="shared" si="121"/>
        <v>Sufficient</v>
      </c>
      <c r="X2601" s="8" t="str">
        <f t="shared" si="122"/>
        <v>Medium</v>
      </c>
    </row>
    <row r="2602" spans="1:24">
      <c r="A2602" s="7" t="s">
        <v>2732</v>
      </c>
      <c r="B2602" s="1" t="s">
        <v>41</v>
      </c>
      <c r="C2602" s="1">
        <v>318</v>
      </c>
      <c r="D2602" s="1">
        <v>91</v>
      </c>
      <c r="E2602" s="1">
        <v>12</v>
      </c>
      <c r="F2602" s="1">
        <v>8</v>
      </c>
      <c r="G2602" s="1">
        <v>15.51</v>
      </c>
      <c r="H2602" s="1" t="s">
        <v>97</v>
      </c>
      <c r="I2602" s="1" t="s">
        <v>31</v>
      </c>
      <c r="J2602" s="1">
        <v>123</v>
      </c>
      <c r="K2602" s="1">
        <v>3.77</v>
      </c>
      <c r="L2602" s="4">
        <v>108.02</v>
      </c>
      <c r="M2602" s="1">
        <v>0.41</v>
      </c>
      <c r="N2602" s="1">
        <v>8</v>
      </c>
      <c r="O2602" s="1">
        <v>0.92</v>
      </c>
      <c r="P2602" s="1">
        <v>811</v>
      </c>
      <c r="Q2602" s="1">
        <v>8.19</v>
      </c>
      <c r="R2602" s="1">
        <v>0.69</v>
      </c>
      <c r="S2602" s="2">
        <v>45574</v>
      </c>
      <c r="T2602" s="1">
        <v>94.25</v>
      </c>
      <c r="U2602" s="1">
        <v>0.63</v>
      </c>
      <c r="V2602" s="6">
        <f t="shared" si="120"/>
        <v>34350.36</v>
      </c>
      <c r="W2602" s="6" t="str">
        <f t="shared" si="121"/>
        <v>Sufficient</v>
      </c>
      <c r="X2602" s="8" t="str">
        <f t="shared" si="122"/>
        <v>High</v>
      </c>
    </row>
    <row r="2603" spans="1:24">
      <c r="A2603" s="7" t="s">
        <v>2733</v>
      </c>
      <c r="B2603" s="1" t="s">
        <v>41</v>
      </c>
      <c r="C2603" s="1">
        <v>420</v>
      </c>
      <c r="D2603" s="1">
        <v>32</v>
      </c>
      <c r="E2603" s="1">
        <v>13</v>
      </c>
      <c r="F2603" s="1">
        <v>8</v>
      </c>
      <c r="G2603" s="1">
        <v>25.58</v>
      </c>
      <c r="H2603" s="1" t="s">
        <v>99</v>
      </c>
      <c r="I2603" s="1" t="s">
        <v>45</v>
      </c>
      <c r="J2603" s="1">
        <v>71</v>
      </c>
      <c r="K2603" s="1">
        <v>2.87</v>
      </c>
      <c r="L2603" s="4">
        <v>98</v>
      </c>
      <c r="M2603" s="1">
        <v>0.48</v>
      </c>
      <c r="N2603" s="1">
        <v>9</v>
      </c>
      <c r="O2603" s="1">
        <v>0.7</v>
      </c>
      <c r="P2603" s="1">
        <v>197</v>
      </c>
      <c r="Q2603" s="1">
        <v>5.52</v>
      </c>
      <c r="R2603" s="1">
        <v>0.62</v>
      </c>
      <c r="S2603" s="2">
        <v>45347</v>
      </c>
      <c r="T2603" s="1">
        <v>81.63</v>
      </c>
      <c r="U2603" s="1">
        <v>0.51</v>
      </c>
      <c r="V2603" s="6">
        <f t="shared" si="120"/>
        <v>41160</v>
      </c>
      <c r="W2603" s="6" t="str">
        <f t="shared" si="121"/>
        <v>Sufficient</v>
      </c>
      <c r="X2603" s="8" t="str">
        <f t="shared" si="122"/>
        <v>High</v>
      </c>
    </row>
    <row r="2604" spans="1:24">
      <c r="A2604" s="7" t="s">
        <v>2734</v>
      </c>
      <c r="B2604" s="1" t="s">
        <v>33</v>
      </c>
      <c r="C2604" s="1">
        <v>115</v>
      </c>
      <c r="D2604" s="1">
        <v>71</v>
      </c>
      <c r="E2604" s="1">
        <v>9</v>
      </c>
      <c r="F2604" s="1">
        <v>8</v>
      </c>
      <c r="G2604" s="1">
        <v>43.46</v>
      </c>
      <c r="H2604" s="1" t="s">
        <v>227</v>
      </c>
      <c r="I2604" s="1" t="s">
        <v>27</v>
      </c>
      <c r="J2604" s="1">
        <v>71</v>
      </c>
      <c r="K2604" s="1">
        <v>3.51</v>
      </c>
      <c r="L2604" s="4">
        <v>197.88</v>
      </c>
      <c r="M2604" s="1">
        <v>0.25</v>
      </c>
      <c r="N2604" s="1">
        <v>8</v>
      </c>
      <c r="O2604" s="1">
        <v>0.85</v>
      </c>
      <c r="P2604" s="1">
        <v>615</v>
      </c>
      <c r="Q2604" s="1">
        <v>2.25</v>
      </c>
      <c r="R2604" s="1">
        <v>0.97</v>
      </c>
      <c r="S2604" s="2">
        <v>45381</v>
      </c>
      <c r="T2604" s="1">
        <v>148.06</v>
      </c>
      <c r="U2604" s="1">
        <v>0.60899999999999999</v>
      </c>
      <c r="V2604" s="6">
        <f t="shared" si="120"/>
        <v>22756.2</v>
      </c>
      <c r="W2604" s="6" t="str">
        <f t="shared" si="121"/>
        <v>Sufficient</v>
      </c>
      <c r="X2604" s="8" t="str">
        <f t="shared" si="122"/>
        <v>Medium</v>
      </c>
    </row>
    <row r="2605" spans="1:24">
      <c r="A2605" s="7" t="s">
        <v>2735</v>
      </c>
      <c r="B2605" s="1" t="s">
        <v>29</v>
      </c>
      <c r="C2605" s="1">
        <v>407</v>
      </c>
      <c r="D2605" s="1">
        <v>42</v>
      </c>
      <c r="E2605" s="1">
        <v>12</v>
      </c>
      <c r="F2605" s="1">
        <v>4</v>
      </c>
      <c r="G2605" s="1">
        <v>39.94</v>
      </c>
      <c r="H2605" s="1" t="s">
        <v>252</v>
      </c>
      <c r="I2605" s="1" t="s">
        <v>31</v>
      </c>
      <c r="J2605" s="1">
        <v>19</v>
      </c>
      <c r="K2605" s="1">
        <v>1.21</v>
      </c>
      <c r="L2605" s="4">
        <v>122</v>
      </c>
      <c r="M2605" s="1">
        <v>1.51</v>
      </c>
      <c r="N2605" s="1">
        <v>1</v>
      </c>
      <c r="O2605" s="1">
        <v>0.8</v>
      </c>
      <c r="P2605" s="1">
        <v>876</v>
      </c>
      <c r="Q2605" s="1">
        <v>3.76</v>
      </c>
      <c r="R2605" s="1">
        <v>0.46</v>
      </c>
      <c r="S2605" s="2">
        <v>45622</v>
      </c>
      <c r="T2605" s="1">
        <v>158.62</v>
      </c>
      <c r="U2605" s="1">
        <v>0.53100000000000003</v>
      </c>
      <c r="V2605" s="6">
        <f t="shared" si="120"/>
        <v>49654</v>
      </c>
      <c r="W2605" s="6" t="str">
        <f t="shared" si="121"/>
        <v>Sufficient</v>
      </c>
      <c r="X2605" s="8" t="str">
        <f t="shared" si="122"/>
        <v>High</v>
      </c>
    </row>
    <row r="2606" spans="1:24">
      <c r="A2606" s="7" t="s">
        <v>2736</v>
      </c>
      <c r="B2606" s="1" t="s">
        <v>25</v>
      </c>
      <c r="C2606" s="1">
        <v>466</v>
      </c>
      <c r="D2606" s="1">
        <v>27</v>
      </c>
      <c r="E2606" s="1">
        <v>11</v>
      </c>
      <c r="F2606" s="1">
        <v>5</v>
      </c>
      <c r="G2606" s="1">
        <v>48.17</v>
      </c>
      <c r="H2606" s="1" t="s">
        <v>195</v>
      </c>
      <c r="I2606" s="1" t="s">
        <v>39</v>
      </c>
      <c r="J2606" s="1">
        <v>96</v>
      </c>
      <c r="K2606" s="1">
        <v>3.41</v>
      </c>
      <c r="L2606" s="4">
        <v>72.209999999999994</v>
      </c>
      <c r="M2606" s="1">
        <v>0.25</v>
      </c>
      <c r="N2606" s="1">
        <v>4</v>
      </c>
      <c r="O2606" s="1">
        <v>0.71</v>
      </c>
      <c r="P2606" s="1">
        <v>965</v>
      </c>
      <c r="Q2606" s="1">
        <v>12.12</v>
      </c>
      <c r="R2606" s="1">
        <v>0.34</v>
      </c>
      <c r="S2606" s="2">
        <v>45602</v>
      </c>
      <c r="T2606" s="1">
        <v>241.4</v>
      </c>
      <c r="U2606" s="1">
        <v>0.66700000000000004</v>
      </c>
      <c r="V2606" s="6">
        <f t="shared" si="120"/>
        <v>33649.86</v>
      </c>
      <c r="W2606" s="6" t="str">
        <f t="shared" si="121"/>
        <v>Sufficient</v>
      </c>
      <c r="X2606" s="8" t="str">
        <f t="shared" si="122"/>
        <v>High</v>
      </c>
    </row>
    <row r="2607" spans="1:24">
      <c r="A2607" s="7" t="s">
        <v>2737</v>
      </c>
      <c r="B2607" s="1" t="s">
        <v>25</v>
      </c>
      <c r="C2607" s="1">
        <v>471</v>
      </c>
      <c r="D2607" s="1">
        <v>82</v>
      </c>
      <c r="E2607" s="1">
        <v>6</v>
      </c>
      <c r="F2607" s="1">
        <v>9</v>
      </c>
      <c r="G2607" s="1">
        <v>4.5199999999999996</v>
      </c>
      <c r="H2607" s="1" t="s">
        <v>227</v>
      </c>
      <c r="I2607" s="1" t="s">
        <v>45</v>
      </c>
      <c r="J2607" s="1">
        <v>20</v>
      </c>
      <c r="K2607" s="1">
        <v>2.2200000000000002</v>
      </c>
      <c r="L2607" s="4">
        <v>181.03</v>
      </c>
      <c r="M2607" s="1">
        <v>0.83</v>
      </c>
      <c r="N2607" s="1">
        <v>0</v>
      </c>
      <c r="O2607" s="1">
        <v>0.93</v>
      </c>
      <c r="P2607" s="1">
        <v>600</v>
      </c>
      <c r="Q2607" s="1">
        <v>14.36</v>
      </c>
      <c r="R2607" s="1">
        <v>0.9</v>
      </c>
      <c r="S2607" s="2">
        <v>45333</v>
      </c>
      <c r="T2607" s="1">
        <v>98.15</v>
      </c>
      <c r="U2607" s="1">
        <v>0.874</v>
      </c>
      <c r="V2607" s="6">
        <f t="shared" si="120"/>
        <v>85265.13</v>
      </c>
      <c r="W2607" s="6" t="str">
        <f t="shared" si="121"/>
        <v>Sufficient</v>
      </c>
      <c r="X2607" s="8" t="str">
        <f t="shared" si="122"/>
        <v>High</v>
      </c>
    </row>
    <row r="2608" spans="1:24">
      <c r="A2608" s="7" t="s">
        <v>2738</v>
      </c>
      <c r="B2608" s="1" t="s">
        <v>33</v>
      </c>
      <c r="C2608" s="1">
        <v>356</v>
      </c>
      <c r="D2608" s="1">
        <v>42</v>
      </c>
      <c r="E2608" s="1">
        <v>12</v>
      </c>
      <c r="F2608" s="1">
        <v>5</v>
      </c>
      <c r="G2608" s="1">
        <v>14.15</v>
      </c>
      <c r="H2608" s="1" t="s">
        <v>331</v>
      </c>
      <c r="I2608" s="1" t="s">
        <v>45</v>
      </c>
      <c r="J2608" s="1">
        <v>71</v>
      </c>
      <c r="K2608" s="1">
        <v>1.99</v>
      </c>
      <c r="L2608" s="4">
        <v>69.319999999999993</v>
      </c>
      <c r="M2608" s="1">
        <v>1.52</v>
      </c>
      <c r="N2608" s="1">
        <v>7</v>
      </c>
      <c r="O2608" s="1">
        <v>0.85</v>
      </c>
      <c r="P2608" s="1">
        <v>554</v>
      </c>
      <c r="Q2608" s="1">
        <v>3.08</v>
      </c>
      <c r="R2608" s="1">
        <v>0.25</v>
      </c>
      <c r="S2608" s="2">
        <v>45435</v>
      </c>
      <c r="T2608" s="1">
        <v>126.99</v>
      </c>
      <c r="U2608" s="1">
        <v>0.36899999999999999</v>
      </c>
      <c r="V2608" s="6">
        <f t="shared" si="120"/>
        <v>24677.919999999998</v>
      </c>
      <c r="W2608" s="6" t="str">
        <f t="shared" si="121"/>
        <v>Sufficient</v>
      </c>
      <c r="X2608" s="8" t="str">
        <f t="shared" si="122"/>
        <v>High</v>
      </c>
    </row>
    <row r="2609" spans="1:24">
      <c r="A2609" s="7" t="s">
        <v>2739</v>
      </c>
      <c r="B2609" s="1" t="s">
        <v>41</v>
      </c>
      <c r="C2609" s="1">
        <v>316</v>
      </c>
      <c r="D2609" s="1">
        <v>41</v>
      </c>
      <c r="E2609" s="1">
        <v>5</v>
      </c>
      <c r="F2609" s="1">
        <v>8</v>
      </c>
      <c r="G2609" s="1">
        <v>4.93</v>
      </c>
      <c r="H2609" s="1" t="s">
        <v>227</v>
      </c>
      <c r="I2609" s="1" t="s">
        <v>27</v>
      </c>
      <c r="J2609" s="1">
        <v>86</v>
      </c>
      <c r="K2609" s="1">
        <v>3.52</v>
      </c>
      <c r="L2609" s="4">
        <v>62.02</v>
      </c>
      <c r="M2609" s="1">
        <v>1.45</v>
      </c>
      <c r="N2609" s="1">
        <v>5</v>
      </c>
      <c r="O2609" s="1">
        <v>0.8</v>
      </c>
      <c r="P2609" s="1">
        <v>895</v>
      </c>
      <c r="Q2609" s="1">
        <v>10.53</v>
      </c>
      <c r="R2609" s="1">
        <v>0.85</v>
      </c>
      <c r="S2609" s="2">
        <v>45363</v>
      </c>
      <c r="T2609" s="1">
        <v>109.56</v>
      </c>
      <c r="U2609" s="1">
        <v>0.625</v>
      </c>
      <c r="V2609" s="6">
        <f t="shared" si="120"/>
        <v>19598.32</v>
      </c>
      <c r="W2609" s="6" t="str">
        <f t="shared" si="121"/>
        <v>Sufficient</v>
      </c>
      <c r="X2609" s="8" t="str">
        <f t="shared" si="122"/>
        <v>High</v>
      </c>
    </row>
    <row r="2610" spans="1:24">
      <c r="A2610" s="7" t="s">
        <v>2740</v>
      </c>
      <c r="B2610" s="1" t="s">
        <v>33</v>
      </c>
      <c r="C2610" s="1">
        <v>486</v>
      </c>
      <c r="D2610" s="1">
        <v>70</v>
      </c>
      <c r="E2610" s="1">
        <v>10</v>
      </c>
      <c r="F2610" s="1">
        <v>5</v>
      </c>
      <c r="G2610" s="1">
        <v>37.799999999999997</v>
      </c>
      <c r="H2610" s="1" t="s">
        <v>327</v>
      </c>
      <c r="I2610" s="1" t="s">
        <v>45</v>
      </c>
      <c r="J2610" s="1">
        <v>113</v>
      </c>
      <c r="K2610" s="1">
        <v>3.17</v>
      </c>
      <c r="L2610" s="4">
        <v>103.93</v>
      </c>
      <c r="M2610" s="1">
        <v>1.2</v>
      </c>
      <c r="N2610" s="1">
        <v>9</v>
      </c>
      <c r="O2610" s="1">
        <v>0.94</v>
      </c>
      <c r="P2610" s="1">
        <v>267</v>
      </c>
      <c r="Q2610" s="1">
        <v>13.68</v>
      </c>
      <c r="R2610" s="1">
        <v>0.67</v>
      </c>
      <c r="S2610" s="2">
        <v>45567</v>
      </c>
      <c r="T2610" s="1">
        <v>124.29</v>
      </c>
      <c r="U2610" s="1">
        <v>0.60399999999999998</v>
      </c>
      <c r="V2610" s="6">
        <f t="shared" si="120"/>
        <v>50509.98</v>
      </c>
      <c r="W2610" s="6" t="str">
        <f t="shared" si="121"/>
        <v>Sufficient</v>
      </c>
      <c r="X2610" s="8" t="str">
        <f t="shared" si="122"/>
        <v>High</v>
      </c>
    </row>
    <row r="2611" spans="1:24">
      <c r="A2611" s="7" t="s">
        <v>2741</v>
      </c>
      <c r="B2611" s="1" t="s">
        <v>33</v>
      </c>
      <c r="C2611" s="1">
        <v>408</v>
      </c>
      <c r="D2611" s="1">
        <v>63</v>
      </c>
      <c r="E2611" s="1">
        <v>3</v>
      </c>
      <c r="F2611" s="1">
        <v>7</v>
      </c>
      <c r="G2611" s="1">
        <v>7.9</v>
      </c>
      <c r="H2611" s="1" t="s">
        <v>57</v>
      </c>
      <c r="I2611" s="1" t="s">
        <v>31</v>
      </c>
      <c r="J2611" s="1">
        <v>65</v>
      </c>
      <c r="K2611" s="1">
        <v>3.42</v>
      </c>
      <c r="L2611" s="4">
        <v>183.5</v>
      </c>
      <c r="M2611" s="1">
        <v>1.19</v>
      </c>
      <c r="N2611" s="1">
        <v>9</v>
      </c>
      <c r="O2611" s="1">
        <v>0.83</v>
      </c>
      <c r="P2611" s="1">
        <v>908</v>
      </c>
      <c r="Q2611" s="1">
        <v>5.19</v>
      </c>
      <c r="R2611" s="1">
        <v>0.33</v>
      </c>
      <c r="S2611" s="2">
        <v>45392</v>
      </c>
      <c r="T2611" s="1">
        <v>174.46</v>
      </c>
      <c r="U2611" s="1">
        <v>0.40200000000000002</v>
      </c>
      <c r="V2611" s="6">
        <f t="shared" si="120"/>
        <v>74868</v>
      </c>
      <c r="W2611" s="6" t="str">
        <f t="shared" si="121"/>
        <v>Sufficient</v>
      </c>
      <c r="X2611" s="8" t="str">
        <f t="shared" si="122"/>
        <v>High</v>
      </c>
    </row>
    <row r="2612" spans="1:24">
      <c r="A2612" s="7" t="s">
        <v>2742</v>
      </c>
      <c r="B2612" s="1" t="s">
        <v>66</v>
      </c>
      <c r="C2612" s="1">
        <v>435</v>
      </c>
      <c r="D2612" s="1">
        <v>26</v>
      </c>
      <c r="E2612" s="1">
        <v>11</v>
      </c>
      <c r="F2612" s="1">
        <v>8</v>
      </c>
      <c r="G2612" s="1">
        <v>5.89</v>
      </c>
      <c r="H2612" s="1" t="s">
        <v>229</v>
      </c>
      <c r="I2612" s="1" t="s">
        <v>39</v>
      </c>
      <c r="J2612" s="1">
        <v>119</v>
      </c>
      <c r="K2612" s="1">
        <v>4.84</v>
      </c>
      <c r="L2612" s="4">
        <v>144.62</v>
      </c>
      <c r="M2612" s="1">
        <v>0.27</v>
      </c>
      <c r="N2612" s="1">
        <v>1</v>
      </c>
      <c r="O2612" s="1">
        <v>0.7</v>
      </c>
      <c r="P2612" s="1">
        <v>531</v>
      </c>
      <c r="Q2612" s="1">
        <v>12.61</v>
      </c>
      <c r="R2612" s="1">
        <v>0.38</v>
      </c>
      <c r="S2612" s="2">
        <v>45426</v>
      </c>
      <c r="T2612" s="1">
        <v>171.67</v>
      </c>
      <c r="U2612" s="1">
        <v>0.73699999999999999</v>
      </c>
      <c r="V2612" s="6">
        <f t="shared" si="120"/>
        <v>62909.700000000004</v>
      </c>
      <c r="W2612" s="6" t="str">
        <f t="shared" si="121"/>
        <v>Sufficient</v>
      </c>
      <c r="X2612" s="8" t="str">
        <f t="shared" si="122"/>
        <v>High</v>
      </c>
    </row>
    <row r="2613" spans="1:24">
      <c r="A2613" s="7" t="s">
        <v>2743</v>
      </c>
      <c r="B2613" s="1" t="s">
        <v>29</v>
      </c>
      <c r="C2613" s="1">
        <v>233</v>
      </c>
      <c r="D2613" s="1">
        <v>28</v>
      </c>
      <c r="E2613" s="1">
        <v>3</v>
      </c>
      <c r="F2613" s="1">
        <v>2</v>
      </c>
      <c r="G2613" s="1">
        <v>28.52</v>
      </c>
      <c r="H2613" s="1" t="s">
        <v>72</v>
      </c>
      <c r="I2613" s="1" t="s">
        <v>45</v>
      </c>
      <c r="J2613" s="1">
        <v>58</v>
      </c>
      <c r="K2613" s="1">
        <v>3.66</v>
      </c>
      <c r="L2613" s="4">
        <v>138.72</v>
      </c>
      <c r="M2613" s="1">
        <v>0.43</v>
      </c>
      <c r="N2613" s="1">
        <v>1</v>
      </c>
      <c r="O2613" s="1">
        <v>0.98</v>
      </c>
      <c r="P2613" s="1">
        <v>465</v>
      </c>
      <c r="Q2613" s="1">
        <v>13.67</v>
      </c>
      <c r="R2613" s="1">
        <v>0.32</v>
      </c>
      <c r="S2613" s="2">
        <v>45612</v>
      </c>
      <c r="T2613" s="1">
        <v>114.79</v>
      </c>
      <c r="U2613" s="1">
        <v>0.77900000000000003</v>
      </c>
      <c r="V2613" s="6">
        <f t="shared" si="120"/>
        <v>32321.759999999998</v>
      </c>
      <c r="W2613" s="6" t="str">
        <f t="shared" si="121"/>
        <v>Sufficient</v>
      </c>
      <c r="X2613" s="8" t="str">
        <f t="shared" si="122"/>
        <v>Medium</v>
      </c>
    </row>
    <row r="2614" spans="1:24">
      <c r="A2614" s="7" t="s">
        <v>2744</v>
      </c>
      <c r="B2614" s="1" t="s">
        <v>25</v>
      </c>
      <c r="C2614" s="1">
        <v>473</v>
      </c>
      <c r="D2614" s="1">
        <v>79</v>
      </c>
      <c r="E2614" s="1">
        <v>4</v>
      </c>
      <c r="F2614" s="1">
        <v>4</v>
      </c>
      <c r="G2614" s="1">
        <v>21.16</v>
      </c>
      <c r="H2614" s="1" t="s">
        <v>128</v>
      </c>
      <c r="I2614" s="1" t="s">
        <v>45</v>
      </c>
      <c r="J2614" s="1">
        <v>25</v>
      </c>
      <c r="K2614" s="1">
        <v>3.38</v>
      </c>
      <c r="L2614" s="4">
        <v>147.94999999999999</v>
      </c>
      <c r="M2614" s="1">
        <v>1.1200000000000001</v>
      </c>
      <c r="N2614" s="1">
        <v>9</v>
      </c>
      <c r="O2614" s="1">
        <v>0.78</v>
      </c>
      <c r="P2614" s="1">
        <v>986</v>
      </c>
      <c r="Q2614" s="1">
        <v>5.19</v>
      </c>
      <c r="R2614" s="1">
        <v>0.77</v>
      </c>
      <c r="S2614" s="2">
        <v>45331</v>
      </c>
      <c r="T2614" s="1">
        <v>184.71</v>
      </c>
      <c r="U2614" s="1">
        <v>0.48699999999999999</v>
      </c>
      <c r="V2614" s="6">
        <f t="shared" si="120"/>
        <v>69980.349999999991</v>
      </c>
      <c r="W2614" s="6" t="str">
        <f t="shared" si="121"/>
        <v>Sufficient</v>
      </c>
      <c r="X2614" s="8" t="str">
        <f t="shared" si="122"/>
        <v>High</v>
      </c>
    </row>
    <row r="2615" spans="1:24">
      <c r="A2615" s="7" t="s">
        <v>2745</v>
      </c>
      <c r="B2615" s="1" t="s">
        <v>41</v>
      </c>
      <c r="C2615" s="1">
        <v>310</v>
      </c>
      <c r="D2615" s="1">
        <v>43</v>
      </c>
      <c r="E2615" s="1">
        <v>10</v>
      </c>
      <c r="F2615" s="1">
        <v>7</v>
      </c>
      <c r="G2615" s="1">
        <v>36.04</v>
      </c>
      <c r="H2615" s="1" t="s">
        <v>333</v>
      </c>
      <c r="I2615" s="1" t="s">
        <v>39</v>
      </c>
      <c r="J2615" s="1">
        <v>82</v>
      </c>
      <c r="K2615" s="1">
        <v>3.26</v>
      </c>
      <c r="L2615" s="4">
        <v>135.33000000000001</v>
      </c>
      <c r="M2615" s="1">
        <v>0.76</v>
      </c>
      <c r="N2615" s="1">
        <v>4</v>
      </c>
      <c r="O2615" s="1">
        <v>0.95</v>
      </c>
      <c r="P2615" s="1">
        <v>798</v>
      </c>
      <c r="Q2615" s="1">
        <v>1.79</v>
      </c>
      <c r="R2615" s="1">
        <v>0.32</v>
      </c>
      <c r="S2615" s="2">
        <v>45330</v>
      </c>
      <c r="T2615" s="1">
        <v>188.65</v>
      </c>
      <c r="U2615" s="1">
        <v>0.52200000000000002</v>
      </c>
      <c r="V2615" s="6">
        <f t="shared" si="120"/>
        <v>41952.3</v>
      </c>
      <c r="W2615" s="6" t="str">
        <f t="shared" si="121"/>
        <v>Sufficient</v>
      </c>
      <c r="X2615" s="8" t="str">
        <f t="shared" si="122"/>
        <v>High</v>
      </c>
    </row>
    <row r="2616" spans="1:24">
      <c r="A2616" s="7" t="s">
        <v>2746</v>
      </c>
      <c r="B2616" s="1" t="s">
        <v>25</v>
      </c>
      <c r="C2616" s="1">
        <v>41</v>
      </c>
      <c r="D2616" s="1">
        <v>93</v>
      </c>
      <c r="E2616" s="1">
        <v>11</v>
      </c>
      <c r="F2616" s="1">
        <v>9</v>
      </c>
      <c r="G2616" s="1">
        <v>24.86</v>
      </c>
      <c r="H2616" s="1" t="s">
        <v>68</v>
      </c>
      <c r="I2616" s="1" t="s">
        <v>45</v>
      </c>
      <c r="J2616" s="1">
        <v>125</v>
      </c>
      <c r="K2616" s="1">
        <v>2.29</v>
      </c>
      <c r="L2616" s="4">
        <v>154.36000000000001</v>
      </c>
      <c r="M2616" s="1">
        <v>0.14000000000000001</v>
      </c>
      <c r="N2616" s="1">
        <v>6</v>
      </c>
      <c r="O2616" s="1">
        <v>0.94</v>
      </c>
      <c r="P2616" s="1">
        <v>374</v>
      </c>
      <c r="Q2616" s="1">
        <v>13.84</v>
      </c>
      <c r="R2616" s="1">
        <v>0.75</v>
      </c>
      <c r="S2616" s="2">
        <v>45301</v>
      </c>
      <c r="T2616" s="1">
        <v>162.80000000000001</v>
      </c>
      <c r="U2616" s="1">
        <v>0.78900000000000003</v>
      </c>
      <c r="V2616" s="6">
        <f t="shared" si="120"/>
        <v>6328.76</v>
      </c>
      <c r="W2616" s="6" t="str">
        <f t="shared" si="121"/>
        <v>Reorder Required</v>
      </c>
      <c r="X2616" s="8" t="str">
        <f t="shared" si="122"/>
        <v>LOW</v>
      </c>
    </row>
    <row r="2617" spans="1:24">
      <c r="A2617" s="7" t="s">
        <v>2747</v>
      </c>
      <c r="B2617" s="1" t="s">
        <v>25</v>
      </c>
      <c r="C2617" s="1">
        <v>212</v>
      </c>
      <c r="D2617" s="1">
        <v>34</v>
      </c>
      <c r="E2617" s="1">
        <v>9</v>
      </c>
      <c r="F2617" s="1">
        <v>4</v>
      </c>
      <c r="G2617" s="1">
        <v>21.84</v>
      </c>
      <c r="H2617" s="1" t="s">
        <v>244</v>
      </c>
      <c r="I2617" s="1" t="s">
        <v>45</v>
      </c>
      <c r="J2617" s="1">
        <v>102</v>
      </c>
      <c r="K2617" s="1">
        <v>4.28</v>
      </c>
      <c r="L2617" s="4">
        <v>46.62</v>
      </c>
      <c r="M2617" s="1">
        <v>1.62</v>
      </c>
      <c r="N2617" s="1">
        <v>8</v>
      </c>
      <c r="O2617" s="1">
        <v>0.75</v>
      </c>
      <c r="P2617" s="1">
        <v>885</v>
      </c>
      <c r="Q2617" s="1">
        <v>5.63</v>
      </c>
      <c r="R2617" s="1">
        <v>0.3</v>
      </c>
      <c r="S2617" s="2">
        <v>45551</v>
      </c>
      <c r="T2617" s="1">
        <v>141.18</v>
      </c>
      <c r="U2617" s="1">
        <v>0.36299999999999999</v>
      </c>
      <c r="V2617" s="6">
        <f t="shared" si="120"/>
        <v>9883.4399999999987</v>
      </c>
      <c r="W2617" s="6" t="str">
        <f t="shared" si="121"/>
        <v>Sufficient</v>
      </c>
      <c r="X2617" s="8" t="str">
        <f t="shared" si="122"/>
        <v>Medium</v>
      </c>
    </row>
    <row r="2618" spans="1:24">
      <c r="A2618" s="7" t="s">
        <v>2748</v>
      </c>
      <c r="B2618" s="1" t="s">
        <v>29</v>
      </c>
      <c r="C2618" s="1">
        <v>487</v>
      </c>
      <c r="D2618" s="1">
        <v>77</v>
      </c>
      <c r="E2618" s="1">
        <v>5</v>
      </c>
      <c r="F2618" s="1">
        <v>9</v>
      </c>
      <c r="G2618" s="1">
        <v>21.85</v>
      </c>
      <c r="H2618" s="1" t="s">
        <v>117</v>
      </c>
      <c r="I2618" s="1" t="s">
        <v>27</v>
      </c>
      <c r="J2618" s="1">
        <v>146</v>
      </c>
      <c r="K2618" s="1">
        <v>2.21</v>
      </c>
      <c r="L2618" s="4">
        <v>43.68</v>
      </c>
      <c r="M2618" s="1">
        <v>1.34</v>
      </c>
      <c r="N2618" s="1">
        <v>8</v>
      </c>
      <c r="O2618" s="1">
        <v>0.84</v>
      </c>
      <c r="P2618" s="1">
        <v>904</v>
      </c>
      <c r="Q2618" s="1">
        <v>1.19</v>
      </c>
      <c r="R2618" s="1">
        <v>0.84</v>
      </c>
      <c r="S2618" s="2">
        <v>45615</v>
      </c>
      <c r="T2618" s="1">
        <v>32.6</v>
      </c>
      <c r="U2618" s="1">
        <v>0.45800000000000002</v>
      </c>
      <c r="V2618" s="6">
        <f t="shared" si="120"/>
        <v>21272.16</v>
      </c>
      <c r="W2618" s="6" t="str">
        <f t="shared" si="121"/>
        <v>Sufficient</v>
      </c>
      <c r="X2618" s="8" t="str">
        <f t="shared" si="122"/>
        <v>High</v>
      </c>
    </row>
    <row r="2619" spans="1:24">
      <c r="A2619" s="7" t="s">
        <v>2749</v>
      </c>
      <c r="B2619" s="1" t="s">
        <v>25</v>
      </c>
      <c r="C2619" s="1">
        <v>169</v>
      </c>
      <c r="D2619" s="1">
        <v>83</v>
      </c>
      <c r="E2619" s="1">
        <v>9</v>
      </c>
      <c r="F2619" s="1">
        <v>8</v>
      </c>
      <c r="G2619" s="1">
        <v>43.72</v>
      </c>
      <c r="H2619" s="1" t="s">
        <v>258</v>
      </c>
      <c r="I2619" s="1" t="s">
        <v>31</v>
      </c>
      <c r="J2619" s="1">
        <v>42</v>
      </c>
      <c r="K2619" s="1">
        <v>3.65</v>
      </c>
      <c r="L2619" s="4">
        <v>78.81</v>
      </c>
      <c r="M2619" s="1">
        <v>0.72</v>
      </c>
      <c r="N2619" s="1">
        <v>5</v>
      </c>
      <c r="O2619" s="1">
        <v>0.71</v>
      </c>
      <c r="P2619" s="1">
        <v>838</v>
      </c>
      <c r="Q2619" s="1">
        <v>7.65</v>
      </c>
      <c r="R2619" s="1">
        <v>0.94</v>
      </c>
      <c r="S2619" s="2">
        <v>45307</v>
      </c>
      <c r="T2619" s="1">
        <v>166.97</v>
      </c>
      <c r="U2619" s="1">
        <v>0.66</v>
      </c>
      <c r="V2619" s="6">
        <f t="shared" si="120"/>
        <v>13318.890000000001</v>
      </c>
      <c r="W2619" s="6" t="str">
        <f t="shared" si="121"/>
        <v>Sufficient</v>
      </c>
      <c r="X2619" s="8" t="str">
        <f t="shared" si="122"/>
        <v>Medium</v>
      </c>
    </row>
    <row r="2620" spans="1:24">
      <c r="A2620" s="7" t="s">
        <v>2750</v>
      </c>
      <c r="B2620" s="1" t="s">
        <v>25</v>
      </c>
      <c r="C2620" s="1">
        <v>387</v>
      </c>
      <c r="D2620" s="1">
        <v>83</v>
      </c>
      <c r="E2620" s="1">
        <v>8</v>
      </c>
      <c r="F2620" s="1">
        <v>7</v>
      </c>
      <c r="G2620" s="1">
        <v>20.37</v>
      </c>
      <c r="H2620" s="1" t="s">
        <v>258</v>
      </c>
      <c r="I2620" s="1" t="s">
        <v>45</v>
      </c>
      <c r="J2620" s="1">
        <v>97</v>
      </c>
      <c r="K2620" s="1">
        <v>1.82</v>
      </c>
      <c r="L2620" s="4">
        <v>171.68</v>
      </c>
      <c r="M2620" s="1">
        <v>0.28999999999999998</v>
      </c>
      <c r="N2620" s="1">
        <v>1</v>
      </c>
      <c r="O2620" s="1">
        <v>0.81</v>
      </c>
      <c r="P2620" s="1">
        <v>786</v>
      </c>
      <c r="Q2620" s="1">
        <v>2.62</v>
      </c>
      <c r="R2620" s="1">
        <v>0.65</v>
      </c>
      <c r="S2620" s="2">
        <v>45589</v>
      </c>
      <c r="T2620" s="1">
        <v>216.68</v>
      </c>
      <c r="U2620" s="1">
        <v>0.67800000000000005</v>
      </c>
      <c r="V2620" s="6">
        <f t="shared" si="120"/>
        <v>66440.160000000003</v>
      </c>
      <c r="W2620" s="6" t="str">
        <f t="shared" si="121"/>
        <v>Sufficient</v>
      </c>
      <c r="X2620" s="8" t="str">
        <f t="shared" si="122"/>
        <v>High</v>
      </c>
    </row>
    <row r="2621" spans="1:24">
      <c r="A2621" s="7" t="s">
        <v>2751</v>
      </c>
      <c r="B2621" s="1" t="s">
        <v>33</v>
      </c>
      <c r="C2621" s="1">
        <v>266</v>
      </c>
      <c r="D2621" s="1">
        <v>97</v>
      </c>
      <c r="E2621" s="1">
        <v>4</v>
      </c>
      <c r="F2621" s="1">
        <v>8</v>
      </c>
      <c r="G2621" s="1">
        <v>17.34</v>
      </c>
      <c r="H2621" s="1" t="s">
        <v>470</v>
      </c>
      <c r="I2621" s="1" t="s">
        <v>31</v>
      </c>
      <c r="J2621" s="1">
        <v>172</v>
      </c>
      <c r="K2621" s="1">
        <v>1.1599999999999999</v>
      </c>
      <c r="L2621" s="4">
        <v>145.75</v>
      </c>
      <c r="M2621" s="1">
        <v>1.22</v>
      </c>
      <c r="N2621" s="1">
        <v>5</v>
      </c>
      <c r="O2621" s="1">
        <v>0.92</v>
      </c>
      <c r="P2621" s="1">
        <v>538</v>
      </c>
      <c r="Q2621" s="1">
        <v>13.62</v>
      </c>
      <c r="R2621" s="1">
        <v>0.97</v>
      </c>
      <c r="S2621" s="2">
        <v>45588</v>
      </c>
      <c r="T2621" s="1">
        <v>72.44</v>
      </c>
      <c r="U2621" s="1">
        <v>0.73799999999999999</v>
      </c>
      <c r="V2621" s="6">
        <f t="shared" si="120"/>
        <v>38769.5</v>
      </c>
      <c r="W2621" s="6" t="str">
        <f t="shared" si="121"/>
        <v>Sufficient</v>
      </c>
      <c r="X2621" s="8" t="str">
        <f t="shared" si="122"/>
        <v>High</v>
      </c>
    </row>
    <row r="2622" spans="1:24">
      <c r="A2622" s="7" t="s">
        <v>2752</v>
      </c>
      <c r="B2622" s="1" t="s">
        <v>29</v>
      </c>
      <c r="C2622" s="1">
        <v>286</v>
      </c>
      <c r="D2622" s="1">
        <v>94</v>
      </c>
      <c r="E2622" s="1">
        <v>5</v>
      </c>
      <c r="F2622" s="1">
        <v>9</v>
      </c>
      <c r="G2622" s="1">
        <v>17.59</v>
      </c>
      <c r="H2622" s="1" t="s">
        <v>227</v>
      </c>
      <c r="I2622" s="1" t="s">
        <v>27</v>
      </c>
      <c r="J2622" s="1">
        <v>48</v>
      </c>
      <c r="K2622" s="1">
        <v>1.08</v>
      </c>
      <c r="L2622" s="4">
        <v>117.63</v>
      </c>
      <c r="M2622" s="1">
        <v>0.76</v>
      </c>
      <c r="N2622" s="1">
        <v>0</v>
      </c>
      <c r="O2622" s="1">
        <v>0.77</v>
      </c>
      <c r="P2622" s="1">
        <v>457</v>
      </c>
      <c r="Q2622" s="1">
        <v>3.17</v>
      </c>
      <c r="R2622" s="1">
        <v>0.51</v>
      </c>
      <c r="S2622" s="2">
        <v>45499</v>
      </c>
      <c r="T2622" s="1">
        <v>235.57</v>
      </c>
      <c r="U2622" s="1">
        <v>0.622</v>
      </c>
      <c r="V2622" s="6">
        <f t="shared" si="120"/>
        <v>33642.18</v>
      </c>
      <c r="W2622" s="6" t="str">
        <f t="shared" si="121"/>
        <v>Sufficient</v>
      </c>
      <c r="X2622" s="8" t="str">
        <f t="shared" si="122"/>
        <v>High</v>
      </c>
    </row>
    <row r="2623" spans="1:24">
      <c r="A2623" s="7" t="s">
        <v>2753</v>
      </c>
      <c r="B2623" s="1" t="s">
        <v>66</v>
      </c>
      <c r="C2623" s="1">
        <v>480</v>
      </c>
      <c r="D2623" s="1">
        <v>20</v>
      </c>
      <c r="E2623" s="1">
        <v>13</v>
      </c>
      <c r="F2623" s="1">
        <v>9</v>
      </c>
      <c r="G2623" s="1">
        <v>10.63</v>
      </c>
      <c r="H2623" s="1" t="s">
        <v>266</v>
      </c>
      <c r="I2623" s="1" t="s">
        <v>31</v>
      </c>
      <c r="J2623" s="1">
        <v>123</v>
      </c>
      <c r="K2623" s="1">
        <v>3.36</v>
      </c>
      <c r="L2623" s="4">
        <v>13.7</v>
      </c>
      <c r="M2623" s="1">
        <v>0.59</v>
      </c>
      <c r="N2623" s="1">
        <v>1</v>
      </c>
      <c r="O2623" s="1">
        <v>0.74</v>
      </c>
      <c r="P2623" s="1">
        <v>193</v>
      </c>
      <c r="Q2623" s="1">
        <v>5.26</v>
      </c>
      <c r="R2623" s="1">
        <v>0.4</v>
      </c>
      <c r="S2623" s="2">
        <v>45594</v>
      </c>
      <c r="T2623" s="1">
        <v>180.06</v>
      </c>
      <c r="U2623" s="1">
        <v>0.61899999999999999</v>
      </c>
      <c r="V2623" s="6">
        <f t="shared" si="120"/>
        <v>6576</v>
      </c>
      <c r="W2623" s="6" t="str">
        <f t="shared" si="121"/>
        <v>Sufficient</v>
      </c>
      <c r="X2623" s="8" t="str">
        <f t="shared" si="122"/>
        <v>High</v>
      </c>
    </row>
    <row r="2624" spans="1:24">
      <c r="A2624" s="7" t="s">
        <v>2754</v>
      </c>
      <c r="B2624" s="1" t="s">
        <v>41</v>
      </c>
      <c r="C2624" s="1">
        <v>270</v>
      </c>
      <c r="D2624" s="1">
        <v>25</v>
      </c>
      <c r="E2624" s="1">
        <v>14</v>
      </c>
      <c r="F2624" s="1">
        <v>7</v>
      </c>
      <c r="G2624" s="1">
        <v>43.17</v>
      </c>
      <c r="H2624" s="1" t="s">
        <v>83</v>
      </c>
      <c r="I2624" s="1" t="s">
        <v>27</v>
      </c>
      <c r="J2624" s="1">
        <v>86</v>
      </c>
      <c r="K2624" s="1">
        <v>1.98</v>
      </c>
      <c r="L2624" s="4">
        <v>54.8</v>
      </c>
      <c r="M2624" s="1">
        <v>1.47</v>
      </c>
      <c r="N2624" s="1">
        <v>2</v>
      </c>
      <c r="O2624" s="1">
        <v>0.85</v>
      </c>
      <c r="P2624" s="1">
        <v>849</v>
      </c>
      <c r="Q2624" s="1">
        <v>12.07</v>
      </c>
      <c r="R2624" s="1">
        <v>0.34</v>
      </c>
      <c r="S2624" s="2">
        <v>45400</v>
      </c>
      <c r="T2624" s="1">
        <v>78.88</v>
      </c>
      <c r="U2624" s="1">
        <v>0.61199999999999999</v>
      </c>
      <c r="V2624" s="6">
        <f t="shared" si="120"/>
        <v>14796</v>
      </c>
      <c r="W2624" s="6" t="str">
        <f t="shared" si="121"/>
        <v>Sufficient</v>
      </c>
      <c r="X2624" s="8" t="str">
        <f t="shared" si="122"/>
        <v>High</v>
      </c>
    </row>
    <row r="2625" spans="1:24">
      <c r="A2625" s="7" t="s">
        <v>2755</v>
      </c>
      <c r="B2625" s="1" t="s">
        <v>25</v>
      </c>
      <c r="C2625" s="1">
        <v>22</v>
      </c>
      <c r="D2625" s="1">
        <v>99</v>
      </c>
      <c r="E2625" s="1">
        <v>12</v>
      </c>
      <c r="F2625" s="1">
        <v>8</v>
      </c>
      <c r="G2625" s="1">
        <v>8.18</v>
      </c>
      <c r="H2625" s="1" t="s">
        <v>52</v>
      </c>
      <c r="I2625" s="1" t="s">
        <v>31</v>
      </c>
      <c r="J2625" s="1">
        <v>96</v>
      </c>
      <c r="K2625" s="1">
        <v>1.74</v>
      </c>
      <c r="L2625" s="4">
        <v>162.66999999999999</v>
      </c>
      <c r="M2625" s="1">
        <v>0.72</v>
      </c>
      <c r="N2625" s="1">
        <v>4</v>
      </c>
      <c r="O2625" s="1">
        <v>0.86</v>
      </c>
      <c r="P2625" s="1">
        <v>260</v>
      </c>
      <c r="Q2625" s="1">
        <v>12.29</v>
      </c>
      <c r="R2625" s="1">
        <v>0.57999999999999996</v>
      </c>
      <c r="S2625" s="2">
        <v>45310</v>
      </c>
      <c r="T2625" s="1">
        <v>57.26</v>
      </c>
      <c r="U2625" s="1">
        <v>0.7</v>
      </c>
      <c r="V2625" s="6">
        <f t="shared" si="120"/>
        <v>3578.74</v>
      </c>
      <c r="W2625" s="6" t="str">
        <f t="shared" si="121"/>
        <v>Reorder Required</v>
      </c>
      <c r="X2625" s="8" t="str">
        <f t="shared" si="122"/>
        <v>LOW</v>
      </c>
    </row>
    <row r="2626" spans="1:24">
      <c r="A2626" s="7" t="s">
        <v>2756</v>
      </c>
      <c r="B2626" s="1" t="s">
        <v>41</v>
      </c>
      <c r="C2626" s="1">
        <v>412</v>
      </c>
      <c r="D2626" s="1">
        <v>70</v>
      </c>
      <c r="E2626" s="1">
        <v>12</v>
      </c>
      <c r="F2626" s="1">
        <v>2</v>
      </c>
      <c r="G2626" s="1">
        <v>45.52</v>
      </c>
      <c r="H2626" s="1" t="s">
        <v>350</v>
      </c>
      <c r="I2626" s="1" t="s">
        <v>31</v>
      </c>
      <c r="J2626" s="1">
        <v>162</v>
      </c>
      <c r="K2626" s="1">
        <v>3.16</v>
      </c>
      <c r="L2626" s="4">
        <v>56.07</v>
      </c>
      <c r="M2626" s="1">
        <v>0.36</v>
      </c>
      <c r="N2626" s="1">
        <v>9</v>
      </c>
      <c r="O2626" s="1">
        <v>0.9</v>
      </c>
      <c r="P2626" s="1">
        <v>715</v>
      </c>
      <c r="Q2626" s="1">
        <v>13.62</v>
      </c>
      <c r="R2626" s="1">
        <v>0.3</v>
      </c>
      <c r="S2626" s="2">
        <v>45574</v>
      </c>
      <c r="T2626" s="1">
        <v>81.17</v>
      </c>
      <c r="U2626" s="1">
        <v>0.60599999999999998</v>
      </c>
      <c r="V2626" s="6">
        <f t="shared" si="120"/>
        <v>23100.84</v>
      </c>
      <c r="W2626" s="6" t="str">
        <f t="shared" si="121"/>
        <v>Sufficient</v>
      </c>
      <c r="X2626" s="8" t="str">
        <f t="shared" si="122"/>
        <v>High</v>
      </c>
    </row>
    <row r="2627" spans="1:24">
      <c r="A2627" s="7" t="s">
        <v>2757</v>
      </c>
      <c r="B2627" s="1" t="s">
        <v>66</v>
      </c>
      <c r="C2627" s="1">
        <v>335</v>
      </c>
      <c r="D2627" s="1">
        <v>89</v>
      </c>
      <c r="E2627" s="1">
        <v>14</v>
      </c>
      <c r="F2627" s="1">
        <v>4</v>
      </c>
      <c r="G2627" s="1">
        <v>14.89</v>
      </c>
      <c r="H2627" s="1" t="s">
        <v>470</v>
      </c>
      <c r="I2627" s="1" t="s">
        <v>45</v>
      </c>
      <c r="J2627" s="1">
        <v>123</v>
      </c>
      <c r="K2627" s="1">
        <v>0.62</v>
      </c>
      <c r="L2627" s="4">
        <v>148.76</v>
      </c>
      <c r="M2627" s="1">
        <v>1.02</v>
      </c>
      <c r="N2627" s="1">
        <v>0</v>
      </c>
      <c r="O2627" s="1">
        <v>0.93</v>
      </c>
      <c r="P2627" s="1">
        <v>308</v>
      </c>
      <c r="Q2627" s="1">
        <v>7.96</v>
      </c>
      <c r="R2627" s="1">
        <v>0.9</v>
      </c>
      <c r="S2627" s="2">
        <v>45425</v>
      </c>
      <c r="T2627" s="1">
        <v>230.13</v>
      </c>
      <c r="U2627" s="1">
        <v>0.77</v>
      </c>
      <c r="V2627" s="6">
        <f t="shared" si="120"/>
        <v>49834.6</v>
      </c>
      <c r="W2627" s="6" t="str">
        <f t="shared" si="121"/>
        <v>Sufficient</v>
      </c>
      <c r="X2627" s="8" t="str">
        <f t="shared" si="122"/>
        <v>High</v>
      </c>
    </row>
    <row r="2628" spans="1:24">
      <c r="A2628" s="7" t="s">
        <v>2758</v>
      </c>
      <c r="B2628" s="1" t="s">
        <v>41</v>
      </c>
      <c r="C2628" s="1">
        <v>95</v>
      </c>
      <c r="D2628" s="1">
        <v>16</v>
      </c>
      <c r="E2628" s="1">
        <v>7</v>
      </c>
      <c r="F2628" s="1">
        <v>7</v>
      </c>
      <c r="G2628" s="1">
        <v>45.07</v>
      </c>
      <c r="H2628" s="1" t="s">
        <v>130</v>
      </c>
      <c r="I2628" s="1" t="s">
        <v>31</v>
      </c>
      <c r="J2628" s="1">
        <v>65</v>
      </c>
      <c r="K2628" s="1">
        <v>1.61</v>
      </c>
      <c r="L2628" s="4">
        <v>45.08</v>
      </c>
      <c r="M2628" s="1">
        <v>1.67</v>
      </c>
      <c r="N2628" s="1">
        <v>9</v>
      </c>
      <c r="O2628" s="1">
        <v>0.91</v>
      </c>
      <c r="P2628" s="1">
        <v>276</v>
      </c>
      <c r="Q2628" s="1">
        <v>14.81</v>
      </c>
      <c r="R2628" s="1">
        <v>0.83</v>
      </c>
      <c r="S2628" s="2">
        <v>45570</v>
      </c>
      <c r="T2628" s="1">
        <v>82.65</v>
      </c>
      <c r="U2628" s="1">
        <v>0.59799999999999998</v>
      </c>
      <c r="V2628" s="6">
        <f t="shared" ref="V2628:V2691" si="123">C2628*L2628</f>
        <v>4282.5999999999995</v>
      </c>
      <c r="W2628" s="6" t="str">
        <f t="shared" ref="W2628:W2691" si="124">IF(C2628&lt;=D2628,"Reorder Required","Sufficient")</f>
        <v>Sufficient</v>
      </c>
      <c r="X2628" s="8" t="str">
        <f t="shared" ref="X2628:X2691" si="125">IF(C2628&lt;100,"LOW",IF(C2628&lt;250,"Medium","High"))</f>
        <v>LOW</v>
      </c>
    </row>
    <row r="2629" spans="1:24">
      <c r="A2629" s="7" t="s">
        <v>2759</v>
      </c>
      <c r="B2629" s="1" t="s">
        <v>66</v>
      </c>
      <c r="C2629" s="1">
        <v>106</v>
      </c>
      <c r="D2629" s="1">
        <v>25</v>
      </c>
      <c r="E2629" s="1">
        <v>12</v>
      </c>
      <c r="F2629" s="1">
        <v>2</v>
      </c>
      <c r="G2629" s="1">
        <v>39.75</v>
      </c>
      <c r="H2629" s="1" t="s">
        <v>279</v>
      </c>
      <c r="I2629" s="1" t="s">
        <v>45</v>
      </c>
      <c r="J2629" s="1">
        <v>147</v>
      </c>
      <c r="K2629" s="1">
        <v>2.0299999999999998</v>
      </c>
      <c r="L2629" s="4">
        <v>125.21</v>
      </c>
      <c r="M2629" s="1">
        <v>1.71</v>
      </c>
      <c r="N2629" s="1">
        <v>4</v>
      </c>
      <c r="O2629" s="1">
        <v>0.95</v>
      </c>
      <c r="P2629" s="1">
        <v>643</v>
      </c>
      <c r="Q2629" s="1">
        <v>8.23</v>
      </c>
      <c r="R2629" s="1">
        <v>0.65</v>
      </c>
      <c r="S2629" s="2">
        <v>45568</v>
      </c>
      <c r="T2629" s="1">
        <v>208.13</v>
      </c>
      <c r="U2629" s="1">
        <v>0.57899999999999996</v>
      </c>
      <c r="V2629" s="6">
        <f t="shared" si="123"/>
        <v>13272.26</v>
      </c>
      <c r="W2629" s="6" t="str">
        <f t="shared" si="124"/>
        <v>Sufficient</v>
      </c>
      <c r="X2629" s="8" t="str">
        <f t="shared" si="125"/>
        <v>Medium</v>
      </c>
    </row>
    <row r="2630" spans="1:24">
      <c r="A2630" s="7" t="s">
        <v>2760</v>
      </c>
      <c r="B2630" s="1" t="s">
        <v>33</v>
      </c>
      <c r="C2630" s="1">
        <v>289</v>
      </c>
      <c r="D2630" s="1">
        <v>25</v>
      </c>
      <c r="E2630" s="1">
        <v>6</v>
      </c>
      <c r="F2630" s="1">
        <v>3</v>
      </c>
      <c r="G2630" s="1">
        <v>29.52</v>
      </c>
      <c r="H2630" s="1" t="s">
        <v>50</v>
      </c>
      <c r="I2630" s="1" t="s">
        <v>45</v>
      </c>
      <c r="J2630" s="1">
        <v>50</v>
      </c>
      <c r="K2630" s="1">
        <v>3.69</v>
      </c>
      <c r="L2630" s="4">
        <v>129.36000000000001</v>
      </c>
      <c r="M2630" s="1">
        <v>1.71</v>
      </c>
      <c r="N2630" s="1">
        <v>4</v>
      </c>
      <c r="O2630" s="1">
        <v>0.77</v>
      </c>
      <c r="P2630" s="1">
        <v>938</v>
      </c>
      <c r="Q2630" s="1">
        <v>12.07</v>
      </c>
      <c r="R2630" s="1">
        <v>0.78</v>
      </c>
      <c r="S2630" s="2">
        <v>45533</v>
      </c>
      <c r="T2630" s="1">
        <v>168.29</v>
      </c>
      <c r="U2630" s="1">
        <v>0.62</v>
      </c>
      <c r="V2630" s="6">
        <f t="shared" si="123"/>
        <v>37385.040000000001</v>
      </c>
      <c r="W2630" s="6" t="str">
        <f t="shared" si="124"/>
        <v>Sufficient</v>
      </c>
      <c r="X2630" s="8" t="str">
        <f t="shared" si="125"/>
        <v>High</v>
      </c>
    </row>
    <row r="2631" spans="1:24">
      <c r="A2631" s="7" t="s">
        <v>2761</v>
      </c>
      <c r="B2631" s="1" t="s">
        <v>25</v>
      </c>
      <c r="C2631" s="1">
        <v>244</v>
      </c>
      <c r="D2631" s="1">
        <v>49</v>
      </c>
      <c r="E2631" s="1">
        <v>4</v>
      </c>
      <c r="F2631" s="1">
        <v>8</v>
      </c>
      <c r="G2631" s="1">
        <v>33.799999999999997</v>
      </c>
      <c r="H2631" s="1" t="s">
        <v>294</v>
      </c>
      <c r="I2631" s="1" t="s">
        <v>31</v>
      </c>
      <c r="J2631" s="1">
        <v>113</v>
      </c>
      <c r="K2631" s="1">
        <v>2.95</v>
      </c>
      <c r="L2631" s="4">
        <v>152.87</v>
      </c>
      <c r="M2631" s="1">
        <v>0.9</v>
      </c>
      <c r="N2631" s="1">
        <v>3</v>
      </c>
      <c r="O2631" s="1">
        <v>0.87</v>
      </c>
      <c r="P2631" s="1">
        <v>421</v>
      </c>
      <c r="Q2631" s="1">
        <v>6.07</v>
      </c>
      <c r="R2631" s="1">
        <v>0.24</v>
      </c>
      <c r="S2631" s="2">
        <v>45626</v>
      </c>
      <c r="T2631" s="1">
        <v>168.59</v>
      </c>
      <c r="U2631" s="1">
        <v>0.55300000000000005</v>
      </c>
      <c r="V2631" s="6">
        <f t="shared" si="123"/>
        <v>37300.28</v>
      </c>
      <c r="W2631" s="6" t="str">
        <f t="shared" si="124"/>
        <v>Sufficient</v>
      </c>
      <c r="X2631" s="8" t="str">
        <f t="shared" si="125"/>
        <v>Medium</v>
      </c>
    </row>
    <row r="2632" spans="1:24">
      <c r="A2632" s="7" t="s">
        <v>2762</v>
      </c>
      <c r="B2632" s="1" t="s">
        <v>66</v>
      </c>
      <c r="C2632" s="1">
        <v>37</v>
      </c>
      <c r="D2632" s="1">
        <v>21</v>
      </c>
      <c r="E2632" s="1">
        <v>6</v>
      </c>
      <c r="F2632" s="1">
        <v>6</v>
      </c>
      <c r="G2632" s="1">
        <v>16.97</v>
      </c>
      <c r="H2632" s="1" t="s">
        <v>47</v>
      </c>
      <c r="I2632" s="1" t="s">
        <v>45</v>
      </c>
      <c r="J2632" s="1">
        <v>108</v>
      </c>
      <c r="K2632" s="1">
        <v>4.3499999999999996</v>
      </c>
      <c r="L2632" s="4">
        <v>93.29</v>
      </c>
      <c r="M2632" s="1">
        <v>1.6</v>
      </c>
      <c r="N2632" s="1">
        <v>2</v>
      </c>
      <c r="O2632" s="1">
        <v>0.81</v>
      </c>
      <c r="P2632" s="1">
        <v>440</v>
      </c>
      <c r="Q2632" s="1">
        <v>14.18</v>
      </c>
      <c r="R2632" s="1">
        <v>0.36</v>
      </c>
      <c r="S2632" s="2">
        <v>45368</v>
      </c>
      <c r="T2632" s="1">
        <v>257.25</v>
      </c>
      <c r="U2632" s="1">
        <v>0.623</v>
      </c>
      <c r="V2632" s="6">
        <f t="shared" si="123"/>
        <v>3451.73</v>
      </c>
      <c r="W2632" s="6" t="str">
        <f t="shared" si="124"/>
        <v>Sufficient</v>
      </c>
      <c r="X2632" s="8" t="str">
        <f t="shared" si="125"/>
        <v>LOW</v>
      </c>
    </row>
    <row r="2633" spans="1:24">
      <c r="A2633" s="7" t="s">
        <v>2763</v>
      </c>
      <c r="B2633" s="1" t="s">
        <v>41</v>
      </c>
      <c r="C2633" s="1">
        <v>132</v>
      </c>
      <c r="D2633" s="1">
        <v>44</v>
      </c>
      <c r="E2633" s="1">
        <v>14</v>
      </c>
      <c r="F2633" s="1">
        <v>7</v>
      </c>
      <c r="G2633" s="1">
        <v>29.14</v>
      </c>
      <c r="H2633" s="1" t="s">
        <v>122</v>
      </c>
      <c r="I2633" s="1" t="s">
        <v>31</v>
      </c>
      <c r="J2633" s="1">
        <v>68</v>
      </c>
      <c r="K2633" s="1">
        <v>2.0099999999999998</v>
      </c>
      <c r="L2633" s="4">
        <v>130.21</v>
      </c>
      <c r="M2633" s="1">
        <v>1.72</v>
      </c>
      <c r="N2633" s="1">
        <v>6</v>
      </c>
      <c r="O2633" s="1">
        <v>0.99</v>
      </c>
      <c r="P2633" s="1">
        <v>137</v>
      </c>
      <c r="Q2633" s="1">
        <v>10.59</v>
      </c>
      <c r="R2633" s="1">
        <v>0.7</v>
      </c>
      <c r="S2633" s="2">
        <v>45479</v>
      </c>
      <c r="T2633" s="1">
        <v>263.67</v>
      </c>
      <c r="U2633" s="1">
        <v>0.58699999999999997</v>
      </c>
      <c r="V2633" s="6">
        <f t="shared" si="123"/>
        <v>17187.72</v>
      </c>
      <c r="W2633" s="6" t="str">
        <f t="shared" si="124"/>
        <v>Sufficient</v>
      </c>
      <c r="X2633" s="8" t="str">
        <f t="shared" si="125"/>
        <v>Medium</v>
      </c>
    </row>
    <row r="2634" spans="1:24">
      <c r="A2634" s="7" t="s">
        <v>2764</v>
      </c>
      <c r="B2634" s="1" t="s">
        <v>25</v>
      </c>
      <c r="C2634" s="1">
        <v>270</v>
      </c>
      <c r="D2634" s="1">
        <v>30</v>
      </c>
      <c r="E2634" s="1">
        <v>10</v>
      </c>
      <c r="F2634" s="1">
        <v>5</v>
      </c>
      <c r="G2634" s="1">
        <v>15.33</v>
      </c>
      <c r="H2634" s="1" t="s">
        <v>126</v>
      </c>
      <c r="I2634" s="1" t="s">
        <v>39</v>
      </c>
      <c r="J2634" s="1">
        <v>165</v>
      </c>
      <c r="K2634" s="1">
        <v>1.83</v>
      </c>
      <c r="L2634" s="4">
        <v>102.52</v>
      </c>
      <c r="M2634" s="1">
        <v>0.97</v>
      </c>
      <c r="N2634" s="1">
        <v>6</v>
      </c>
      <c r="O2634" s="1">
        <v>0.83</v>
      </c>
      <c r="P2634" s="1">
        <v>449</v>
      </c>
      <c r="Q2634" s="1">
        <v>2.08</v>
      </c>
      <c r="R2634" s="1">
        <v>0.57999999999999996</v>
      </c>
      <c r="S2634" s="2">
        <v>45492</v>
      </c>
      <c r="T2634" s="1">
        <v>165.7</v>
      </c>
      <c r="U2634" s="1">
        <v>0.49299999999999999</v>
      </c>
      <c r="V2634" s="6">
        <f t="shared" si="123"/>
        <v>27680.399999999998</v>
      </c>
      <c r="W2634" s="6" t="str">
        <f t="shared" si="124"/>
        <v>Sufficient</v>
      </c>
      <c r="X2634" s="8" t="str">
        <f t="shared" si="125"/>
        <v>High</v>
      </c>
    </row>
    <row r="2635" spans="1:24">
      <c r="A2635" s="7" t="s">
        <v>2765</v>
      </c>
      <c r="B2635" s="1" t="s">
        <v>33</v>
      </c>
      <c r="C2635" s="1">
        <v>252</v>
      </c>
      <c r="D2635" s="1">
        <v>59</v>
      </c>
      <c r="E2635" s="1">
        <v>7</v>
      </c>
      <c r="F2635" s="1">
        <v>2</v>
      </c>
      <c r="G2635" s="1">
        <v>20.71</v>
      </c>
      <c r="H2635" s="1" t="s">
        <v>145</v>
      </c>
      <c r="I2635" s="1" t="s">
        <v>45</v>
      </c>
      <c r="J2635" s="1">
        <v>131</v>
      </c>
      <c r="K2635" s="1">
        <v>0.65</v>
      </c>
      <c r="L2635" s="4">
        <v>189.99</v>
      </c>
      <c r="M2635" s="1">
        <v>0.71</v>
      </c>
      <c r="N2635" s="1">
        <v>0</v>
      </c>
      <c r="O2635" s="1">
        <v>0.99</v>
      </c>
      <c r="P2635" s="1">
        <v>358</v>
      </c>
      <c r="Q2635" s="1">
        <v>2.52</v>
      </c>
      <c r="R2635" s="1">
        <v>0.68</v>
      </c>
      <c r="S2635" s="2">
        <v>45406</v>
      </c>
      <c r="T2635" s="1">
        <v>28.93</v>
      </c>
      <c r="U2635" s="1">
        <v>0.69699999999999995</v>
      </c>
      <c r="V2635" s="6">
        <f t="shared" si="123"/>
        <v>47877.48</v>
      </c>
      <c r="W2635" s="6" t="str">
        <f t="shared" si="124"/>
        <v>Sufficient</v>
      </c>
      <c r="X2635" s="8" t="str">
        <f t="shared" si="125"/>
        <v>High</v>
      </c>
    </row>
    <row r="2636" spans="1:24">
      <c r="A2636" s="7" t="s">
        <v>2766</v>
      </c>
      <c r="B2636" s="1" t="s">
        <v>25</v>
      </c>
      <c r="C2636" s="1">
        <v>348</v>
      </c>
      <c r="D2636" s="1">
        <v>52</v>
      </c>
      <c r="E2636" s="1">
        <v>7</v>
      </c>
      <c r="F2636" s="1">
        <v>2</v>
      </c>
      <c r="G2636" s="1">
        <v>38.47</v>
      </c>
      <c r="H2636" s="1" t="s">
        <v>97</v>
      </c>
      <c r="I2636" s="1" t="s">
        <v>39</v>
      </c>
      <c r="J2636" s="1">
        <v>129</v>
      </c>
      <c r="K2636" s="1">
        <v>4.78</v>
      </c>
      <c r="L2636" s="4">
        <v>109.16</v>
      </c>
      <c r="M2636" s="1">
        <v>1.43</v>
      </c>
      <c r="N2636" s="1">
        <v>6</v>
      </c>
      <c r="O2636" s="1">
        <v>0.93</v>
      </c>
      <c r="P2636" s="1">
        <v>53</v>
      </c>
      <c r="Q2636" s="1">
        <v>13.47</v>
      </c>
      <c r="R2636" s="1">
        <v>0.27</v>
      </c>
      <c r="S2636" s="2">
        <v>45593</v>
      </c>
      <c r="T2636" s="1">
        <v>56.74</v>
      </c>
      <c r="U2636" s="1">
        <v>0.55700000000000005</v>
      </c>
      <c r="V2636" s="6">
        <f t="shared" si="123"/>
        <v>37987.68</v>
      </c>
      <c r="W2636" s="6" t="str">
        <f t="shared" si="124"/>
        <v>Sufficient</v>
      </c>
      <c r="X2636" s="8" t="str">
        <f t="shared" si="125"/>
        <v>High</v>
      </c>
    </row>
    <row r="2637" spans="1:24">
      <c r="A2637" s="7" t="s">
        <v>2767</v>
      </c>
      <c r="B2637" s="1" t="s">
        <v>66</v>
      </c>
      <c r="C2637" s="1">
        <v>298</v>
      </c>
      <c r="D2637" s="1">
        <v>26</v>
      </c>
      <c r="E2637" s="1">
        <v>14</v>
      </c>
      <c r="F2637" s="1">
        <v>7</v>
      </c>
      <c r="G2637" s="1">
        <v>12.95</v>
      </c>
      <c r="H2637" s="1" t="s">
        <v>216</v>
      </c>
      <c r="I2637" s="1" t="s">
        <v>39</v>
      </c>
      <c r="J2637" s="1">
        <v>50</v>
      </c>
      <c r="K2637" s="1">
        <v>2.76</v>
      </c>
      <c r="L2637" s="4">
        <v>49.82</v>
      </c>
      <c r="M2637" s="1">
        <v>1.82</v>
      </c>
      <c r="N2637" s="1">
        <v>2</v>
      </c>
      <c r="O2637" s="1">
        <v>0.92</v>
      </c>
      <c r="P2637" s="1">
        <v>222</v>
      </c>
      <c r="Q2637" s="1">
        <v>12.33</v>
      </c>
      <c r="R2637" s="1">
        <v>0.72</v>
      </c>
      <c r="S2637" s="2">
        <v>45440</v>
      </c>
      <c r="T2637" s="1">
        <v>285.11</v>
      </c>
      <c r="U2637" s="1">
        <v>0.67</v>
      </c>
      <c r="V2637" s="6">
        <f t="shared" si="123"/>
        <v>14846.36</v>
      </c>
      <c r="W2637" s="6" t="str">
        <f t="shared" si="124"/>
        <v>Sufficient</v>
      </c>
      <c r="X2637" s="8" t="str">
        <f t="shared" si="125"/>
        <v>High</v>
      </c>
    </row>
    <row r="2638" spans="1:24">
      <c r="A2638" s="7" t="s">
        <v>2768</v>
      </c>
      <c r="B2638" s="1" t="s">
        <v>33</v>
      </c>
      <c r="C2638" s="1">
        <v>221</v>
      </c>
      <c r="D2638" s="1">
        <v>41</v>
      </c>
      <c r="E2638" s="1">
        <v>14</v>
      </c>
      <c r="F2638" s="1">
        <v>9</v>
      </c>
      <c r="G2638" s="1">
        <v>42.1</v>
      </c>
      <c r="H2638" s="1" t="s">
        <v>145</v>
      </c>
      <c r="I2638" s="1" t="s">
        <v>45</v>
      </c>
      <c r="J2638" s="1">
        <v>75</v>
      </c>
      <c r="K2638" s="1">
        <v>2.76</v>
      </c>
      <c r="L2638" s="4">
        <v>136.9</v>
      </c>
      <c r="M2638" s="1">
        <v>1.95</v>
      </c>
      <c r="N2638" s="1">
        <v>2</v>
      </c>
      <c r="O2638" s="1">
        <v>0.85</v>
      </c>
      <c r="P2638" s="1">
        <v>593</v>
      </c>
      <c r="Q2638" s="1">
        <v>5.62</v>
      </c>
      <c r="R2638" s="1">
        <v>0.84</v>
      </c>
      <c r="S2638" s="2">
        <v>45360</v>
      </c>
      <c r="T2638" s="1">
        <v>49.06</v>
      </c>
      <c r="U2638" s="1">
        <v>0.57799999999999996</v>
      </c>
      <c r="V2638" s="6">
        <f t="shared" si="123"/>
        <v>30254.9</v>
      </c>
      <c r="W2638" s="6" t="str">
        <f t="shared" si="124"/>
        <v>Sufficient</v>
      </c>
      <c r="X2638" s="8" t="str">
        <f t="shared" si="125"/>
        <v>Medium</v>
      </c>
    </row>
    <row r="2639" spans="1:24">
      <c r="A2639" s="7" t="s">
        <v>2769</v>
      </c>
      <c r="B2639" s="1" t="s">
        <v>41</v>
      </c>
      <c r="C2639" s="1">
        <v>102</v>
      </c>
      <c r="D2639" s="1">
        <v>50</v>
      </c>
      <c r="E2639" s="1">
        <v>12</v>
      </c>
      <c r="F2639" s="1">
        <v>2</v>
      </c>
      <c r="G2639" s="1">
        <v>19.420000000000002</v>
      </c>
      <c r="H2639" s="1" t="s">
        <v>124</v>
      </c>
      <c r="I2639" s="1" t="s">
        <v>27</v>
      </c>
      <c r="J2639" s="1">
        <v>71</v>
      </c>
      <c r="K2639" s="1">
        <v>4.66</v>
      </c>
      <c r="L2639" s="4">
        <v>114.21</v>
      </c>
      <c r="M2639" s="1">
        <v>0.65</v>
      </c>
      <c r="N2639" s="1">
        <v>5</v>
      </c>
      <c r="O2639" s="1">
        <v>0.83</v>
      </c>
      <c r="P2639" s="1">
        <v>795</v>
      </c>
      <c r="Q2639" s="1">
        <v>8.3000000000000007</v>
      </c>
      <c r="R2639" s="1">
        <v>0.64</v>
      </c>
      <c r="S2639" s="2">
        <v>45529</v>
      </c>
      <c r="T2639" s="1">
        <v>252.25</v>
      </c>
      <c r="U2639" s="1">
        <v>0.64</v>
      </c>
      <c r="V2639" s="6">
        <f t="shared" si="123"/>
        <v>11649.42</v>
      </c>
      <c r="W2639" s="6" t="str">
        <f t="shared" si="124"/>
        <v>Sufficient</v>
      </c>
      <c r="X2639" s="8" t="str">
        <f t="shared" si="125"/>
        <v>Medium</v>
      </c>
    </row>
    <row r="2640" spans="1:24">
      <c r="A2640" s="7" t="s">
        <v>2770</v>
      </c>
      <c r="B2640" s="1" t="s">
        <v>33</v>
      </c>
      <c r="C2640" s="1">
        <v>144</v>
      </c>
      <c r="D2640" s="1">
        <v>15</v>
      </c>
      <c r="E2640" s="1">
        <v>5</v>
      </c>
      <c r="F2640" s="1">
        <v>3</v>
      </c>
      <c r="G2640" s="1">
        <v>27.08</v>
      </c>
      <c r="H2640" s="1" t="s">
        <v>216</v>
      </c>
      <c r="I2640" s="1" t="s">
        <v>27</v>
      </c>
      <c r="J2640" s="1">
        <v>167</v>
      </c>
      <c r="K2640" s="1">
        <v>1.8</v>
      </c>
      <c r="L2640" s="4">
        <v>162.72999999999999</v>
      </c>
      <c r="M2640" s="1">
        <v>1.92</v>
      </c>
      <c r="N2640" s="1">
        <v>5</v>
      </c>
      <c r="O2640" s="1">
        <v>0.86</v>
      </c>
      <c r="P2640" s="1">
        <v>275</v>
      </c>
      <c r="Q2640" s="1">
        <v>12.94</v>
      </c>
      <c r="R2640" s="1">
        <v>0.49</v>
      </c>
      <c r="S2640" s="2">
        <v>45548</v>
      </c>
      <c r="T2640" s="1">
        <v>166.72</v>
      </c>
      <c r="U2640" s="1">
        <v>0.55100000000000005</v>
      </c>
      <c r="V2640" s="6">
        <f t="shared" si="123"/>
        <v>23433.119999999999</v>
      </c>
      <c r="W2640" s="6" t="str">
        <f t="shared" si="124"/>
        <v>Sufficient</v>
      </c>
      <c r="X2640" s="8" t="str">
        <f t="shared" si="125"/>
        <v>Medium</v>
      </c>
    </row>
    <row r="2641" spans="1:24">
      <c r="A2641" s="7" t="s">
        <v>2771</v>
      </c>
      <c r="B2641" s="1" t="s">
        <v>33</v>
      </c>
      <c r="C2641" s="1">
        <v>194</v>
      </c>
      <c r="D2641" s="1">
        <v>97</v>
      </c>
      <c r="E2641" s="1">
        <v>10</v>
      </c>
      <c r="F2641" s="1">
        <v>2</v>
      </c>
      <c r="G2641" s="1">
        <v>47.16</v>
      </c>
      <c r="H2641" s="1" t="s">
        <v>258</v>
      </c>
      <c r="I2641" s="1" t="s">
        <v>39</v>
      </c>
      <c r="J2641" s="1">
        <v>49</v>
      </c>
      <c r="K2641" s="1">
        <v>1.99</v>
      </c>
      <c r="L2641" s="4">
        <v>43.61</v>
      </c>
      <c r="M2641" s="1">
        <v>1.05</v>
      </c>
      <c r="N2641" s="1">
        <v>3</v>
      </c>
      <c r="O2641" s="1">
        <v>0.79</v>
      </c>
      <c r="P2641" s="1">
        <v>388</v>
      </c>
      <c r="Q2641" s="1">
        <v>2.4500000000000002</v>
      </c>
      <c r="R2641" s="1">
        <v>0.34</v>
      </c>
      <c r="S2641" s="2">
        <v>45553</v>
      </c>
      <c r="T2641" s="1">
        <v>43.06</v>
      </c>
      <c r="U2641" s="1">
        <v>0.49399999999999999</v>
      </c>
      <c r="V2641" s="6">
        <f t="shared" si="123"/>
        <v>8460.34</v>
      </c>
      <c r="W2641" s="6" t="str">
        <f t="shared" si="124"/>
        <v>Sufficient</v>
      </c>
      <c r="X2641" s="8" t="str">
        <f t="shared" si="125"/>
        <v>Medium</v>
      </c>
    </row>
    <row r="2642" spans="1:24">
      <c r="A2642" s="7" t="s">
        <v>2772</v>
      </c>
      <c r="B2642" s="1" t="s">
        <v>29</v>
      </c>
      <c r="C2642" s="1">
        <v>88</v>
      </c>
      <c r="D2642" s="1">
        <v>36</v>
      </c>
      <c r="E2642" s="1">
        <v>8</v>
      </c>
      <c r="F2642" s="1">
        <v>6</v>
      </c>
      <c r="G2642" s="1">
        <v>34.380000000000003</v>
      </c>
      <c r="H2642" s="1" t="s">
        <v>221</v>
      </c>
      <c r="I2642" s="1" t="s">
        <v>39</v>
      </c>
      <c r="J2642" s="1">
        <v>49</v>
      </c>
      <c r="K2642" s="1">
        <v>3.45</v>
      </c>
      <c r="L2642" s="4">
        <v>59.58</v>
      </c>
      <c r="M2642" s="1">
        <v>0.68</v>
      </c>
      <c r="N2642" s="1">
        <v>4</v>
      </c>
      <c r="O2642" s="1">
        <v>0.97</v>
      </c>
      <c r="P2642" s="1">
        <v>255</v>
      </c>
      <c r="Q2642" s="1">
        <v>2.93</v>
      </c>
      <c r="R2642" s="1">
        <v>0.41</v>
      </c>
      <c r="S2642" s="2">
        <v>45338</v>
      </c>
      <c r="T2642" s="1">
        <v>276.66000000000003</v>
      </c>
      <c r="U2642" s="1">
        <v>0.56699999999999995</v>
      </c>
      <c r="V2642" s="6">
        <f t="shared" si="123"/>
        <v>5243.04</v>
      </c>
      <c r="W2642" s="6" t="str">
        <f t="shared" si="124"/>
        <v>Sufficient</v>
      </c>
      <c r="X2642" s="8" t="str">
        <f t="shared" si="125"/>
        <v>LOW</v>
      </c>
    </row>
    <row r="2643" spans="1:24">
      <c r="A2643" s="7" t="s">
        <v>2773</v>
      </c>
      <c r="B2643" s="1" t="s">
        <v>33</v>
      </c>
      <c r="C2643" s="1">
        <v>66</v>
      </c>
      <c r="D2643" s="1">
        <v>29</v>
      </c>
      <c r="E2643" s="1">
        <v>4</v>
      </c>
      <c r="F2643" s="1">
        <v>6</v>
      </c>
      <c r="G2643" s="1">
        <v>32.630000000000003</v>
      </c>
      <c r="H2643" s="1" t="s">
        <v>77</v>
      </c>
      <c r="I2643" s="1" t="s">
        <v>31</v>
      </c>
      <c r="J2643" s="1">
        <v>111</v>
      </c>
      <c r="K2643" s="1">
        <v>4.03</v>
      </c>
      <c r="L2643" s="4">
        <v>185.11</v>
      </c>
      <c r="M2643" s="1">
        <v>1.98</v>
      </c>
      <c r="N2643" s="1">
        <v>2</v>
      </c>
      <c r="O2643" s="1">
        <v>0.94</v>
      </c>
      <c r="P2643" s="1">
        <v>151</v>
      </c>
      <c r="Q2643" s="1">
        <v>11.02</v>
      </c>
      <c r="R2643" s="1">
        <v>0.62</v>
      </c>
      <c r="S2643" s="2">
        <v>45495</v>
      </c>
      <c r="T2643" s="1">
        <v>279.14999999999998</v>
      </c>
      <c r="U2643" s="1">
        <v>0.621</v>
      </c>
      <c r="V2643" s="6">
        <f t="shared" si="123"/>
        <v>12217.26</v>
      </c>
      <c r="W2643" s="6" t="str">
        <f t="shared" si="124"/>
        <v>Sufficient</v>
      </c>
      <c r="X2643" s="8" t="str">
        <f t="shared" si="125"/>
        <v>LOW</v>
      </c>
    </row>
    <row r="2644" spans="1:24">
      <c r="A2644" s="7" t="s">
        <v>2774</v>
      </c>
      <c r="B2644" s="1" t="s">
        <v>33</v>
      </c>
      <c r="C2644" s="1">
        <v>391</v>
      </c>
      <c r="D2644" s="1">
        <v>34</v>
      </c>
      <c r="E2644" s="1">
        <v>4</v>
      </c>
      <c r="F2644" s="1">
        <v>9</v>
      </c>
      <c r="G2644" s="1">
        <v>35.869999999999997</v>
      </c>
      <c r="H2644" s="1" t="s">
        <v>149</v>
      </c>
      <c r="I2644" s="1" t="s">
        <v>39</v>
      </c>
      <c r="J2644" s="1">
        <v>24</v>
      </c>
      <c r="K2644" s="1">
        <v>3.65</v>
      </c>
      <c r="L2644" s="4">
        <v>186.7</v>
      </c>
      <c r="M2644" s="1">
        <v>1.77</v>
      </c>
      <c r="N2644" s="1">
        <v>2</v>
      </c>
      <c r="O2644" s="1">
        <v>0.94</v>
      </c>
      <c r="P2644" s="1">
        <v>107</v>
      </c>
      <c r="Q2644" s="1">
        <v>2.15</v>
      </c>
      <c r="R2644" s="1">
        <v>0.4</v>
      </c>
      <c r="S2644" s="2">
        <v>45478</v>
      </c>
      <c r="T2644" s="1">
        <v>188.45</v>
      </c>
      <c r="U2644" s="1">
        <v>0.48</v>
      </c>
      <c r="V2644" s="6">
        <f t="shared" si="123"/>
        <v>72999.7</v>
      </c>
      <c r="W2644" s="6" t="str">
        <f t="shared" si="124"/>
        <v>Sufficient</v>
      </c>
      <c r="X2644" s="8" t="str">
        <f t="shared" si="125"/>
        <v>High</v>
      </c>
    </row>
    <row r="2645" spans="1:24">
      <c r="A2645" s="7" t="s">
        <v>2775</v>
      </c>
      <c r="B2645" s="1" t="s">
        <v>25</v>
      </c>
      <c r="C2645" s="1">
        <v>275</v>
      </c>
      <c r="D2645" s="1">
        <v>75</v>
      </c>
      <c r="E2645" s="1">
        <v>11</v>
      </c>
      <c r="F2645" s="1">
        <v>8</v>
      </c>
      <c r="G2645" s="1">
        <v>45.99</v>
      </c>
      <c r="H2645" s="1" t="s">
        <v>145</v>
      </c>
      <c r="I2645" s="1" t="s">
        <v>45</v>
      </c>
      <c r="J2645" s="1">
        <v>133</v>
      </c>
      <c r="K2645" s="1">
        <v>4.05</v>
      </c>
      <c r="L2645" s="4">
        <v>94.03</v>
      </c>
      <c r="M2645" s="1">
        <v>1.42</v>
      </c>
      <c r="N2645" s="1">
        <v>8</v>
      </c>
      <c r="O2645" s="1">
        <v>0.83</v>
      </c>
      <c r="P2645" s="1">
        <v>830</v>
      </c>
      <c r="Q2645" s="1">
        <v>5.94</v>
      </c>
      <c r="R2645" s="1">
        <v>0.82</v>
      </c>
      <c r="S2645" s="2">
        <v>45549</v>
      </c>
      <c r="T2645" s="1">
        <v>122.77</v>
      </c>
      <c r="U2645" s="1">
        <v>0.50700000000000001</v>
      </c>
      <c r="V2645" s="6">
        <f t="shared" si="123"/>
        <v>25858.25</v>
      </c>
      <c r="W2645" s="6" t="str">
        <f t="shared" si="124"/>
        <v>Sufficient</v>
      </c>
      <c r="X2645" s="8" t="str">
        <f t="shared" si="125"/>
        <v>High</v>
      </c>
    </row>
    <row r="2646" spans="1:24">
      <c r="A2646" s="7" t="s">
        <v>2776</v>
      </c>
      <c r="B2646" s="1" t="s">
        <v>41</v>
      </c>
      <c r="C2646" s="1">
        <v>234</v>
      </c>
      <c r="D2646" s="1">
        <v>18</v>
      </c>
      <c r="E2646" s="1">
        <v>9</v>
      </c>
      <c r="F2646" s="1">
        <v>8</v>
      </c>
      <c r="G2646" s="1">
        <v>13.18</v>
      </c>
      <c r="H2646" s="1" t="s">
        <v>137</v>
      </c>
      <c r="I2646" s="1" t="s">
        <v>27</v>
      </c>
      <c r="J2646" s="1">
        <v>140</v>
      </c>
      <c r="K2646" s="1">
        <v>3.09</v>
      </c>
      <c r="L2646" s="4">
        <v>19.07</v>
      </c>
      <c r="M2646" s="1">
        <v>1.8</v>
      </c>
      <c r="N2646" s="1">
        <v>4</v>
      </c>
      <c r="O2646" s="1">
        <v>0.72</v>
      </c>
      <c r="P2646" s="1">
        <v>199</v>
      </c>
      <c r="Q2646" s="1">
        <v>4.53</v>
      </c>
      <c r="R2646" s="1">
        <v>0.31</v>
      </c>
      <c r="S2646" s="2">
        <v>45297</v>
      </c>
      <c r="T2646" s="1">
        <v>186.17</v>
      </c>
      <c r="U2646" s="1">
        <v>0.40600000000000003</v>
      </c>
      <c r="V2646" s="6">
        <f t="shared" si="123"/>
        <v>4462.38</v>
      </c>
      <c r="W2646" s="6" t="str">
        <f t="shared" si="124"/>
        <v>Sufficient</v>
      </c>
      <c r="X2646" s="8" t="str">
        <f t="shared" si="125"/>
        <v>Medium</v>
      </c>
    </row>
    <row r="2647" spans="1:24">
      <c r="A2647" s="7" t="s">
        <v>2777</v>
      </c>
      <c r="B2647" s="1" t="s">
        <v>25</v>
      </c>
      <c r="C2647" s="1">
        <v>49</v>
      </c>
      <c r="D2647" s="1">
        <v>62</v>
      </c>
      <c r="E2647" s="1">
        <v>12</v>
      </c>
      <c r="F2647" s="1">
        <v>9</v>
      </c>
      <c r="G2647" s="1">
        <v>31.05</v>
      </c>
      <c r="H2647" s="1" t="s">
        <v>470</v>
      </c>
      <c r="I2647" s="1" t="s">
        <v>27</v>
      </c>
      <c r="J2647" s="1">
        <v>33</v>
      </c>
      <c r="K2647" s="1">
        <v>4.38</v>
      </c>
      <c r="L2647" s="4">
        <v>68.25</v>
      </c>
      <c r="M2647" s="1">
        <v>1.39</v>
      </c>
      <c r="N2647" s="1">
        <v>0</v>
      </c>
      <c r="O2647" s="1">
        <v>0.9</v>
      </c>
      <c r="P2647" s="1">
        <v>301</v>
      </c>
      <c r="Q2647" s="1">
        <v>11.64</v>
      </c>
      <c r="R2647" s="1">
        <v>0.61</v>
      </c>
      <c r="S2647" s="2">
        <v>45631</v>
      </c>
      <c r="T2647" s="1">
        <v>192.05</v>
      </c>
      <c r="U2647" s="1">
        <v>0.71799999999999997</v>
      </c>
      <c r="V2647" s="6">
        <f t="shared" si="123"/>
        <v>3344.25</v>
      </c>
      <c r="W2647" s="6" t="str">
        <f t="shared" si="124"/>
        <v>Reorder Required</v>
      </c>
      <c r="X2647" s="8" t="str">
        <f t="shared" si="125"/>
        <v>LOW</v>
      </c>
    </row>
    <row r="2648" spans="1:24">
      <c r="A2648" s="7" t="s">
        <v>2778</v>
      </c>
      <c r="B2648" s="1" t="s">
        <v>25</v>
      </c>
      <c r="C2648" s="1">
        <v>300</v>
      </c>
      <c r="D2648" s="1">
        <v>70</v>
      </c>
      <c r="E2648" s="1">
        <v>11</v>
      </c>
      <c r="F2648" s="1">
        <v>5</v>
      </c>
      <c r="G2648" s="1">
        <v>20.62</v>
      </c>
      <c r="H2648" s="1" t="s">
        <v>185</v>
      </c>
      <c r="I2648" s="1" t="s">
        <v>27</v>
      </c>
      <c r="J2648" s="1">
        <v>178</v>
      </c>
      <c r="K2648" s="1">
        <v>2.98</v>
      </c>
      <c r="L2648" s="4">
        <v>56.95</v>
      </c>
      <c r="M2648" s="1">
        <v>0.94</v>
      </c>
      <c r="N2648" s="1">
        <v>8</v>
      </c>
      <c r="O2648" s="1">
        <v>0.81</v>
      </c>
      <c r="P2648" s="1">
        <v>528</v>
      </c>
      <c r="Q2648" s="1">
        <v>1.03</v>
      </c>
      <c r="R2648" s="1">
        <v>0.6</v>
      </c>
      <c r="S2648" s="2">
        <v>45414</v>
      </c>
      <c r="T2648" s="1">
        <v>190.42</v>
      </c>
      <c r="U2648" s="1">
        <v>0.442</v>
      </c>
      <c r="V2648" s="6">
        <f t="shared" si="123"/>
        <v>17085</v>
      </c>
      <c r="W2648" s="6" t="str">
        <f t="shared" si="124"/>
        <v>Sufficient</v>
      </c>
      <c r="X2648" s="8" t="str">
        <f t="shared" si="125"/>
        <v>High</v>
      </c>
    </row>
    <row r="2649" spans="1:24">
      <c r="A2649" s="7" t="s">
        <v>2779</v>
      </c>
      <c r="B2649" s="1" t="s">
        <v>66</v>
      </c>
      <c r="C2649" s="1">
        <v>431</v>
      </c>
      <c r="D2649" s="1">
        <v>47</v>
      </c>
      <c r="E2649" s="1">
        <v>8</v>
      </c>
      <c r="F2649" s="1">
        <v>3</v>
      </c>
      <c r="G2649" s="1">
        <v>1.58</v>
      </c>
      <c r="H2649" s="1" t="s">
        <v>269</v>
      </c>
      <c r="I2649" s="1" t="s">
        <v>45</v>
      </c>
      <c r="J2649" s="1">
        <v>57</v>
      </c>
      <c r="K2649" s="1">
        <v>1.53</v>
      </c>
      <c r="L2649" s="4">
        <v>88.79</v>
      </c>
      <c r="M2649" s="1">
        <v>1.9</v>
      </c>
      <c r="N2649" s="1">
        <v>9</v>
      </c>
      <c r="O2649" s="1">
        <v>0.96</v>
      </c>
      <c r="P2649" s="1">
        <v>605</v>
      </c>
      <c r="Q2649" s="1">
        <v>2.62</v>
      </c>
      <c r="R2649" s="1">
        <v>0.31</v>
      </c>
      <c r="S2649" s="2">
        <v>45606</v>
      </c>
      <c r="T2649" s="1">
        <v>222.69</v>
      </c>
      <c r="U2649" s="1">
        <v>0.31900000000000001</v>
      </c>
      <c r="V2649" s="6">
        <f t="shared" si="123"/>
        <v>38268.490000000005</v>
      </c>
      <c r="W2649" s="6" t="str">
        <f t="shared" si="124"/>
        <v>Sufficient</v>
      </c>
      <c r="X2649" s="8" t="str">
        <f t="shared" si="125"/>
        <v>High</v>
      </c>
    </row>
    <row r="2650" spans="1:24">
      <c r="A2650" s="7" t="s">
        <v>2780</v>
      </c>
      <c r="B2650" s="1" t="s">
        <v>25</v>
      </c>
      <c r="C2650" s="1">
        <v>256</v>
      </c>
      <c r="D2650" s="1">
        <v>12</v>
      </c>
      <c r="E2650" s="1">
        <v>7</v>
      </c>
      <c r="F2650" s="1">
        <v>6</v>
      </c>
      <c r="G2650" s="1">
        <v>7.14</v>
      </c>
      <c r="H2650" s="1" t="s">
        <v>72</v>
      </c>
      <c r="I2650" s="1" t="s">
        <v>31</v>
      </c>
      <c r="J2650" s="1">
        <v>57</v>
      </c>
      <c r="K2650" s="1">
        <v>2.94</v>
      </c>
      <c r="L2650" s="4">
        <v>70.38</v>
      </c>
      <c r="M2650" s="1">
        <v>1.93</v>
      </c>
      <c r="N2650" s="1">
        <v>5</v>
      </c>
      <c r="O2650" s="1">
        <v>0.93</v>
      </c>
      <c r="P2650" s="1">
        <v>477</v>
      </c>
      <c r="Q2650" s="1">
        <v>2.39</v>
      </c>
      <c r="R2650" s="1">
        <v>1</v>
      </c>
      <c r="S2650" s="2">
        <v>45642</v>
      </c>
      <c r="T2650" s="1">
        <v>29.47</v>
      </c>
      <c r="U2650" s="1">
        <v>0.52500000000000002</v>
      </c>
      <c r="V2650" s="6">
        <f t="shared" si="123"/>
        <v>18017.28</v>
      </c>
      <c r="W2650" s="6" t="str">
        <f t="shared" si="124"/>
        <v>Sufficient</v>
      </c>
      <c r="X2650" s="8" t="str">
        <f t="shared" si="125"/>
        <v>High</v>
      </c>
    </row>
    <row r="2651" spans="1:24">
      <c r="A2651" s="7" t="s">
        <v>2781</v>
      </c>
      <c r="B2651" s="1" t="s">
        <v>29</v>
      </c>
      <c r="C2651" s="1">
        <v>267</v>
      </c>
      <c r="D2651" s="1">
        <v>93</v>
      </c>
      <c r="E2651" s="1">
        <v>14</v>
      </c>
      <c r="F2651" s="1">
        <v>9</v>
      </c>
      <c r="G2651" s="1">
        <v>16.920000000000002</v>
      </c>
      <c r="H2651" s="1" t="s">
        <v>91</v>
      </c>
      <c r="I2651" s="1" t="s">
        <v>45</v>
      </c>
      <c r="J2651" s="1">
        <v>56</v>
      </c>
      <c r="K2651" s="1">
        <v>3.71</v>
      </c>
      <c r="L2651" s="4">
        <v>167.51</v>
      </c>
      <c r="M2651" s="1">
        <v>0.7</v>
      </c>
      <c r="N2651" s="1">
        <v>8</v>
      </c>
      <c r="O2651" s="1">
        <v>0.74</v>
      </c>
      <c r="P2651" s="1">
        <v>591</v>
      </c>
      <c r="Q2651" s="1">
        <v>5.45</v>
      </c>
      <c r="R2651" s="1">
        <v>0.86</v>
      </c>
      <c r="S2651" s="2">
        <v>45376</v>
      </c>
      <c r="T2651" s="1">
        <v>39.729999999999997</v>
      </c>
      <c r="U2651" s="1">
        <v>0.56299999999999994</v>
      </c>
      <c r="V2651" s="6">
        <f t="shared" si="123"/>
        <v>44725.17</v>
      </c>
      <c r="W2651" s="6" t="str">
        <f t="shared" si="124"/>
        <v>Sufficient</v>
      </c>
      <c r="X2651" s="8" t="str">
        <f t="shared" si="125"/>
        <v>High</v>
      </c>
    </row>
    <row r="2652" spans="1:24">
      <c r="A2652" s="7" t="s">
        <v>2782</v>
      </c>
      <c r="B2652" s="1" t="s">
        <v>29</v>
      </c>
      <c r="C2652" s="1">
        <v>387</v>
      </c>
      <c r="D2652" s="1">
        <v>79</v>
      </c>
      <c r="E2652" s="1">
        <v>3</v>
      </c>
      <c r="F2652" s="1">
        <v>7</v>
      </c>
      <c r="G2652" s="1">
        <v>28.68</v>
      </c>
      <c r="H2652" s="1" t="s">
        <v>97</v>
      </c>
      <c r="I2652" s="1" t="s">
        <v>45</v>
      </c>
      <c r="J2652" s="1">
        <v>114</v>
      </c>
      <c r="K2652" s="1">
        <v>3.44</v>
      </c>
      <c r="L2652" s="4">
        <v>10.58</v>
      </c>
      <c r="M2652" s="1">
        <v>0.77</v>
      </c>
      <c r="N2652" s="1">
        <v>6</v>
      </c>
      <c r="O2652" s="1">
        <v>0.88</v>
      </c>
      <c r="P2652" s="1">
        <v>968</v>
      </c>
      <c r="Q2652" s="1">
        <v>4.25</v>
      </c>
      <c r="R2652" s="1">
        <v>0.51</v>
      </c>
      <c r="S2652" s="2">
        <v>45555</v>
      </c>
      <c r="T2652" s="1">
        <v>92.01</v>
      </c>
      <c r="U2652" s="1">
        <v>0.53800000000000003</v>
      </c>
      <c r="V2652" s="6">
        <f t="shared" si="123"/>
        <v>4094.46</v>
      </c>
      <c r="W2652" s="6" t="str">
        <f t="shared" si="124"/>
        <v>Sufficient</v>
      </c>
      <c r="X2652" s="8" t="str">
        <f t="shared" si="125"/>
        <v>High</v>
      </c>
    </row>
    <row r="2653" spans="1:24">
      <c r="A2653" s="7" t="s">
        <v>2783</v>
      </c>
      <c r="B2653" s="1" t="s">
        <v>66</v>
      </c>
      <c r="C2653" s="1">
        <v>44</v>
      </c>
      <c r="D2653" s="1">
        <v>64</v>
      </c>
      <c r="E2653" s="1">
        <v>14</v>
      </c>
      <c r="F2653" s="1">
        <v>4</v>
      </c>
      <c r="G2653" s="1">
        <v>44.19</v>
      </c>
      <c r="H2653" s="1" t="s">
        <v>137</v>
      </c>
      <c r="I2653" s="1" t="s">
        <v>27</v>
      </c>
      <c r="J2653" s="1">
        <v>122</v>
      </c>
      <c r="K2653" s="1">
        <v>1.59</v>
      </c>
      <c r="L2653" s="4">
        <v>132.47999999999999</v>
      </c>
      <c r="M2653" s="1">
        <v>0.83</v>
      </c>
      <c r="N2653" s="1">
        <v>9</v>
      </c>
      <c r="O2653" s="1">
        <v>0.91</v>
      </c>
      <c r="P2653" s="1">
        <v>573</v>
      </c>
      <c r="Q2653" s="1">
        <v>4.2</v>
      </c>
      <c r="R2653" s="1">
        <v>0.75</v>
      </c>
      <c r="S2653" s="2">
        <v>45363</v>
      </c>
      <c r="T2653" s="1">
        <v>111.41</v>
      </c>
      <c r="U2653" s="1">
        <v>0.52500000000000002</v>
      </c>
      <c r="V2653" s="6">
        <f t="shared" si="123"/>
        <v>5829.12</v>
      </c>
      <c r="W2653" s="6" t="str">
        <f t="shared" si="124"/>
        <v>Reorder Required</v>
      </c>
      <c r="X2653" s="8" t="str">
        <f t="shared" si="125"/>
        <v>LOW</v>
      </c>
    </row>
    <row r="2654" spans="1:24">
      <c r="A2654" s="7" t="s">
        <v>2784</v>
      </c>
      <c r="B2654" s="1" t="s">
        <v>41</v>
      </c>
      <c r="C2654" s="1">
        <v>93</v>
      </c>
      <c r="D2654" s="1">
        <v>10</v>
      </c>
      <c r="E2654" s="1">
        <v>8</v>
      </c>
      <c r="F2654" s="1">
        <v>4</v>
      </c>
      <c r="G2654" s="1">
        <v>39.76</v>
      </c>
      <c r="H2654" s="1" t="s">
        <v>38</v>
      </c>
      <c r="I2654" s="1" t="s">
        <v>45</v>
      </c>
      <c r="J2654" s="1">
        <v>17</v>
      </c>
      <c r="K2654" s="1">
        <v>0.68</v>
      </c>
      <c r="L2654" s="4">
        <v>136.21</v>
      </c>
      <c r="M2654" s="1">
        <v>1.66</v>
      </c>
      <c r="N2654" s="1">
        <v>9</v>
      </c>
      <c r="O2654" s="1">
        <v>0.87</v>
      </c>
      <c r="P2654" s="1">
        <v>540</v>
      </c>
      <c r="Q2654" s="1">
        <v>6.19</v>
      </c>
      <c r="R2654" s="1">
        <v>0.77</v>
      </c>
      <c r="S2654" s="2">
        <v>45520</v>
      </c>
      <c r="T2654" s="1">
        <v>195.03</v>
      </c>
      <c r="U2654" s="1">
        <v>0.46500000000000002</v>
      </c>
      <c r="V2654" s="6">
        <f t="shared" si="123"/>
        <v>12667.53</v>
      </c>
      <c r="W2654" s="6" t="str">
        <f t="shared" si="124"/>
        <v>Sufficient</v>
      </c>
      <c r="X2654" s="8" t="str">
        <f t="shared" si="125"/>
        <v>LOW</v>
      </c>
    </row>
    <row r="2655" spans="1:24">
      <c r="A2655" s="7" t="s">
        <v>2785</v>
      </c>
      <c r="B2655" s="1" t="s">
        <v>41</v>
      </c>
      <c r="C2655" s="1">
        <v>225</v>
      </c>
      <c r="D2655" s="1">
        <v>79</v>
      </c>
      <c r="E2655" s="1">
        <v>8</v>
      </c>
      <c r="F2655" s="1">
        <v>4</v>
      </c>
      <c r="G2655" s="1">
        <v>28.11</v>
      </c>
      <c r="H2655" s="1" t="s">
        <v>143</v>
      </c>
      <c r="I2655" s="1" t="s">
        <v>39</v>
      </c>
      <c r="J2655" s="1">
        <v>27</v>
      </c>
      <c r="K2655" s="1">
        <v>1.64</v>
      </c>
      <c r="L2655" s="4">
        <v>135.52000000000001</v>
      </c>
      <c r="M2655" s="1">
        <v>1.6</v>
      </c>
      <c r="N2655" s="1">
        <v>6</v>
      </c>
      <c r="O2655" s="1">
        <v>0.85</v>
      </c>
      <c r="P2655" s="1">
        <v>575</v>
      </c>
      <c r="Q2655" s="1">
        <v>4</v>
      </c>
      <c r="R2655" s="1">
        <v>0.72</v>
      </c>
      <c r="S2655" s="2">
        <v>45373</v>
      </c>
      <c r="T2655" s="1">
        <v>59.84</v>
      </c>
      <c r="U2655" s="1">
        <v>0.48699999999999999</v>
      </c>
      <c r="V2655" s="6">
        <f t="shared" si="123"/>
        <v>30492.000000000004</v>
      </c>
      <c r="W2655" s="6" t="str">
        <f t="shared" si="124"/>
        <v>Sufficient</v>
      </c>
      <c r="X2655" s="8" t="str">
        <f t="shared" si="125"/>
        <v>Medium</v>
      </c>
    </row>
    <row r="2656" spans="1:24">
      <c r="A2656" s="7" t="s">
        <v>2786</v>
      </c>
      <c r="B2656" s="1" t="s">
        <v>25</v>
      </c>
      <c r="C2656" s="1">
        <v>333</v>
      </c>
      <c r="D2656" s="1">
        <v>54</v>
      </c>
      <c r="E2656" s="1">
        <v>5</v>
      </c>
      <c r="F2656" s="1">
        <v>8</v>
      </c>
      <c r="G2656" s="1">
        <v>4.62</v>
      </c>
      <c r="H2656" s="1" t="s">
        <v>181</v>
      </c>
      <c r="I2656" s="1" t="s">
        <v>45</v>
      </c>
      <c r="J2656" s="1">
        <v>117</v>
      </c>
      <c r="K2656" s="1">
        <v>4.93</v>
      </c>
      <c r="L2656" s="4">
        <v>108.91</v>
      </c>
      <c r="M2656" s="1">
        <v>1.97</v>
      </c>
      <c r="N2656" s="1">
        <v>4</v>
      </c>
      <c r="O2656" s="1">
        <v>0.77</v>
      </c>
      <c r="P2656" s="1">
        <v>341</v>
      </c>
      <c r="Q2656" s="1">
        <v>2.4900000000000002</v>
      </c>
      <c r="R2656" s="1">
        <v>0.55000000000000004</v>
      </c>
      <c r="S2656" s="2">
        <v>45383</v>
      </c>
      <c r="T2656" s="1">
        <v>166.9</v>
      </c>
      <c r="U2656" s="1">
        <v>0.42</v>
      </c>
      <c r="V2656" s="6">
        <f t="shared" si="123"/>
        <v>36267.03</v>
      </c>
      <c r="W2656" s="6" t="str">
        <f t="shared" si="124"/>
        <v>Sufficient</v>
      </c>
      <c r="X2656" s="8" t="str">
        <f t="shared" si="125"/>
        <v>High</v>
      </c>
    </row>
    <row r="2657" spans="1:24">
      <c r="A2657" s="7" t="s">
        <v>2787</v>
      </c>
      <c r="B2657" s="1" t="s">
        <v>25</v>
      </c>
      <c r="C2657" s="1">
        <v>113</v>
      </c>
      <c r="D2657" s="1">
        <v>56</v>
      </c>
      <c r="E2657" s="1">
        <v>5</v>
      </c>
      <c r="F2657" s="1">
        <v>7</v>
      </c>
      <c r="G2657" s="1">
        <v>15.01</v>
      </c>
      <c r="H2657" s="1" t="s">
        <v>558</v>
      </c>
      <c r="I2657" s="1" t="s">
        <v>27</v>
      </c>
      <c r="J2657" s="1">
        <v>93</v>
      </c>
      <c r="K2657" s="1">
        <v>1.33</v>
      </c>
      <c r="L2657" s="4">
        <v>126.11</v>
      </c>
      <c r="M2657" s="1">
        <v>0.98</v>
      </c>
      <c r="N2657" s="1">
        <v>6</v>
      </c>
      <c r="O2657" s="1">
        <v>0.77</v>
      </c>
      <c r="P2657" s="1">
        <v>94</v>
      </c>
      <c r="Q2657" s="1">
        <v>9.17</v>
      </c>
      <c r="R2657" s="1">
        <v>0.91</v>
      </c>
      <c r="S2657" s="2">
        <v>45581</v>
      </c>
      <c r="T2657" s="1">
        <v>63.75</v>
      </c>
      <c r="U2657" s="1">
        <v>0.64</v>
      </c>
      <c r="V2657" s="6">
        <f t="shared" si="123"/>
        <v>14250.43</v>
      </c>
      <c r="W2657" s="6" t="str">
        <f t="shared" si="124"/>
        <v>Sufficient</v>
      </c>
      <c r="X2657" s="8" t="str">
        <f t="shared" si="125"/>
        <v>Medium</v>
      </c>
    </row>
    <row r="2658" spans="1:24">
      <c r="A2658" s="7" t="s">
        <v>2788</v>
      </c>
      <c r="B2658" s="1" t="s">
        <v>25</v>
      </c>
      <c r="C2658" s="1">
        <v>394</v>
      </c>
      <c r="D2658" s="1">
        <v>88</v>
      </c>
      <c r="E2658" s="1">
        <v>5</v>
      </c>
      <c r="F2658" s="1">
        <v>2</v>
      </c>
      <c r="G2658" s="1">
        <v>18.97</v>
      </c>
      <c r="H2658" s="1" t="s">
        <v>132</v>
      </c>
      <c r="I2658" s="1" t="s">
        <v>27</v>
      </c>
      <c r="J2658" s="1">
        <v>160</v>
      </c>
      <c r="K2658" s="1">
        <v>2.59</v>
      </c>
      <c r="L2658" s="4">
        <v>163.99</v>
      </c>
      <c r="M2658" s="1">
        <v>1.5</v>
      </c>
      <c r="N2658" s="1">
        <v>9</v>
      </c>
      <c r="O2658" s="1">
        <v>0.93</v>
      </c>
      <c r="P2658" s="1">
        <v>249</v>
      </c>
      <c r="Q2658" s="1">
        <v>14.32</v>
      </c>
      <c r="R2658" s="1">
        <v>0.82</v>
      </c>
      <c r="S2658" s="2">
        <v>45581</v>
      </c>
      <c r="T2658" s="1">
        <v>113.09</v>
      </c>
      <c r="U2658" s="1">
        <v>0.61099999999999999</v>
      </c>
      <c r="V2658" s="6">
        <f t="shared" si="123"/>
        <v>64612.060000000005</v>
      </c>
      <c r="W2658" s="6" t="str">
        <f t="shared" si="124"/>
        <v>Sufficient</v>
      </c>
      <c r="X2658" s="8" t="str">
        <f t="shared" si="125"/>
        <v>High</v>
      </c>
    </row>
    <row r="2659" spans="1:24">
      <c r="A2659" s="7" t="s">
        <v>2789</v>
      </c>
      <c r="B2659" s="1" t="s">
        <v>41</v>
      </c>
      <c r="C2659" s="1">
        <v>146</v>
      </c>
      <c r="D2659" s="1">
        <v>35</v>
      </c>
      <c r="E2659" s="1">
        <v>5</v>
      </c>
      <c r="F2659" s="1">
        <v>7</v>
      </c>
      <c r="G2659" s="1">
        <v>31.46</v>
      </c>
      <c r="H2659" s="1" t="s">
        <v>346</v>
      </c>
      <c r="I2659" s="1" t="s">
        <v>45</v>
      </c>
      <c r="J2659" s="1">
        <v>74</v>
      </c>
      <c r="K2659" s="1">
        <v>3.37</v>
      </c>
      <c r="L2659" s="4">
        <v>159</v>
      </c>
      <c r="M2659" s="1">
        <v>1.73</v>
      </c>
      <c r="N2659" s="1">
        <v>3</v>
      </c>
      <c r="O2659" s="1">
        <v>0.71</v>
      </c>
      <c r="P2659" s="1">
        <v>73</v>
      </c>
      <c r="Q2659" s="1">
        <v>9.5</v>
      </c>
      <c r="R2659" s="1">
        <v>0.63</v>
      </c>
      <c r="S2659" s="2">
        <v>45629</v>
      </c>
      <c r="T2659" s="1">
        <v>281.29000000000002</v>
      </c>
      <c r="U2659" s="1">
        <v>0.56200000000000006</v>
      </c>
      <c r="V2659" s="6">
        <f t="shared" si="123"/>
        <v>23214</v>
      </c>
      <c r="W2659" s="6" t="str">
        <f t="shared" si="124"/>
        <v>Sufficient</v>
      </c>
      <c r="X2659" s="8" t="str">
        <f t="shared" si="125"/>
        <v>Medium</v>
      </c>
    </row>
    <row r="2660" spans="1:24">
      <c r="A2660" s="7" t="s">
        <v>2790</v>
      </c>
      <c r="B2660" s="1" t="s">
        <v>33</v>
      </c>
      <c r="C2660" s="1">
        <v>444</v>
      </c>
      <c r="D2660" s="1">
        <v>23</v>
      </c>
      <c r="E2660" s="1">
        <v>9</v>
      </c>
      <c r="F2660" s="1">
        <v>2</v>
      </c>
      <c r="G2660" s="1">
        <v>4.18</v>
      </c>
      <c r="H2660" s="1" t="s">
        <v>115</v>
      </c>
      <c r="I2660" s="1" t="s">
        <v>39</v>
      </c>
      <c r="J2660" s="1">
        <v>118</v>
      </c>
      <c r="K2660" s="1">
        <v>4.46</v>
      </c>
      <c r="L2660" s="4">
        <v>16.579999999999998</v>
      </c>
      <c r="M2660" s="1">
        <v>0.52</v>
      </c>
      <c r="N2660" s="1">
        <v>5</v>
      </c>
      <c r="O2660" s="1">
        <v>0.93</v>
      </c>
      <c r="P2660" s="1">
        <v>812</v>
      </c>
      <c r="Q2660" s="1">
        <v>11.6</v>
      </c>
      <c r="R2660" s="1">
        <v>0.2</v>
      </c>
      <c r="S2660" s="2">
        <v>45366</v>
      </c>
      <c r="T2660" s="1">
        <v>269.75</v>
      </c>
      <c r="U2660" s="1">
        <v>0.629</v>
      </c>
      <c r="V2660" s="6">
        <f t="shared" si="123"/>
        <v>7361.5199999999995</v>
      </c>
      <c r="W2660" s="6" t="str">
        <f t="shared" si="124"/>
        <v>Sufficient</v>
      </c>
      <c r="X2660" s="8" t="str">
        <f t="shared" si="125"/>
        <v>High</v>
      </c>
    </row>
    <row r="2661" spans="1:24">
      <c r="A2661" s="7" t="s">
        <v>2791</v>
      </c>
      <c r="B2661" s="1" t="s">
        <v>29</v>
      </c>
      <c r="C2661" s="1">
        <v>44</v>
      </c>
      <c r="D2661" s="1">
        <v>63</v>
      </c>
      <c r="E2661" s="1">
        <v>12</v>
      </c>
      <c r="F2661" s="1">
        <v>4</v>
      </c>
      <c r="G2661" s="1">
        <v>26.98</v>
      </c>
      <c r="H2661" s="1" t="s">
        <v>229</v>
      </c>
      <c r="I2661" s="1" t="s">
        <v>39</v>
      </c>
      <c r="J2661" s="1">
        <v>55</v>
      </c>
      <c r="K2661" s="1">
        <v>3.92</v>
      </c>
      <c r="L2661" s="4">
        <v>15.78</v>
      </c>
      <c r="M2661" s="1">
        <v>1.28</v>
      </c>
      <c r="N2661" s="1">
        <v>1</v>
      </c>
      <c r="O2661" s="1">
        <v>0.86</v>
      </c>
      <c r="P2661" s="1">
        <v>680</v>
      </c>
      <c r="Q2661" s="1">
        <v>14.61</v>
      </c>
      <c r="R2661" s="1">
        <v>0.38</v>
      </c>
      <c r="S2661" s="2">
        <v>45539</v>
      </c>
      <c r="T2661" s="1">
        <v>286.39999999999998</v>
      </c>
      <c r="U2661" s="1">
        <v>0.69499999999999995</v>
      </c>
      <c r="V2661" s="6">
        <f t="shared" si="123"/>
        <v>694.31999999999994</v>
      </c>
      <c r="W2661" s="6" t="str">
        <f t="shared" si="124"/>
        <v>Reorder Required</v>
      </c>
      <c r="X2661" s="8" t="str">
        <f t="shared" si="125"/>
        <v>LOW</v>
      </c>
    </row>
    <row r="2662" spans="1:24">
      <c r="A2662" s="7" t="s">
        <v>2792</v>
      </c>
      <c r="B2662" s="1" t="s">
        <v>33</v>
      </c>
      <c r="C2662" s="1">
        <v>353</v>
      </c>
      <c r="D2662" s="1">
        <v>80</v>
      </c>
      <c r="E2662" s="1">
        <v>13</v>
      </c>
      <c r="F2662" s="1">
        <v>5</v>
      </c>
      <c r="G2662" s="1">
        <v>45.17</v>
      </c>
      <c r="H2662" s="1" t="s">
        <v>171</v>
      </c>
      <c r="I2662" s="1" t="s">
        <v>27</v>
      </c>
      <c r="J2662" s="1">
        <v>75</v>
      </c>
      <c r="K2662" s="1">
        <v>4.59</v>
      </c>
      <c r="L2662" s="4">
        <v>169.4</v>
      </c>
      <c r="M2662" s="1">
        <v>1.1399999999999999</v>
      </c>
      <c r="N2662" s="1">
        <v>9</v>
      </c>
      <c r="O2662" s="1">
        <v>0.98</v>
      </c>
      <c r="P2662" s="1">
        <v>436</v>
      </c>
      <c r="Q2662" s="1">
        <v>3.14</v>
      </c>
      <c r="R2662" s="1">
        <v>0.61</v>
      </c>
      <c r="S2662" s="2">
        <v>45475</v>
      </c>
      <c r="T2662" s="1">
        <v>181.51</v>
      </c>
      <c r="U2662" s="1">
        <v>0.46600000000000003</v>
      </c>
      <c r="V2662" s="6">
        <f t="shared" si="123"/>
        <v>59798.200000000004</v>
      </c>
      <c r="W2662" s="6" t="str">
        <f t="shared" si="124"/>
        <v>Sufficient</v>
      </c>
      <c r="X2662" s="8" t="str">
        <f t="shared" si="125"/>
        <v>High</v>
      </c>
    </row>
    <row r="2663" spans="1:24">
      <c r="A2663" s="7" t="s">
        <v>2793</v>
      </c>
      <c r="B2663" s="1" t="s">
        <v>33</v>
      </c>
      <c r="C2663" s="1">
        <v>374</v>
      </c>
      <c r="D2663" s="1">
        <v>55</v>
      </c>
      <c r="E2663" s="1">
        <v>4</v>
      </c>
      <c r="F2663" s="1">
        <v>5</v>
      </c>
      <c r="G2663" s="1">
        <v>35.57</v>
      </c>
      <c r="H2663" s="1" t="s">
        <v>103</v>
      </c>
      <c r="I2663" s="1" t="s">
        <v>39</v>
      </c>
      <c r="J2663" s="1">
        <v>89</v>
      </c>
      <c r="K2663" s="1">
        <v>3.22</v>
      </c>
      <c r="L2663" s="4">
        <v>119.2</v>
      </c>
      <c r="M2663" s="1">
        <v>1.51</v>
      </c>
      <c r="N2663" s="1">
        <v>2</v>
      </c>
      <c r="O2663" s="1">
        <v>1</v>
      </c>
      <c r="P2663" s="1">
        <v>639</v>
      </c>
      <c r="Q2663" s="1">
        <v>7.44</v>
      </c>
      <c r="R2663" s="1">
        <v>0.92</v>
      </c>
      <c r="S2663" s="2">
        <v>45312</v>
      </c>
      <c r="T2663" s="1">
        <v>155.38</v>
      </c>
      <c r="U2663" s="1">
        <v>0.69199999999999995</v>
      </c>
      <c r="V2663" s="6">
        <f t="shared" si="123"/>
        <v>44580.800000000003</v>
      </c>
      <c r="W2663" s="6" t="str">
        <f t="shared" si="124"/>
        <v>Sufficient</v>
      </c>
      <c r="X2663" s="8" t="str">
        <f t="shared" si="125"/>
        <v>High</v>
      </c>
    </row>
    <row r="2664" spans="1:24">
      <c r="A2664" s="7" t="s">
        <v>2794</v>
      </c>
      <c r="B2664" s="1" t="s">
        <v>41</v>
      </c>
      <c r="C2664" s="1">
        <v>135</v>
      </c>
      <c r="D2664" s="1">
        <v>40</v>
      </c>
      <c r="E2664" s="1">
        <v>12</v>
      </c>
      <c r="F2664" s="1">
        <v>9</v>
      </c>
      <c r="G2664" s="1">
        <v>40.06</v>
      </c>
      <c r="H2664" s="1" t="s">
        <v>77</v>
      </c>
      <c r="I2664" s="1" t="s">
        <v>39</v>
      </c>
      <c r="J2664" s="1">
        <v>159</v>
      </c>
      <c r="K2664" s="1">
        <v>4.3899999999999997</v>
      </c>
      <c r="L2664" s="4">
        <v>191.91</v>
      </c>
      <c r="M2664" s="1">
        <v>1.42</v>
      </c>
      <c r="N2664" s="1">
        <v>1</v>
      </c>
      <c r="O2664" s="1">
        <v>0.9</v>
      </c>
      <c r="P2664" s="1">
        <v>484</v>
      </c>
      <c r="Q2664" s="1">
        <v>9.15</v>
      </c>
      <c r="R2664" s="1">
        <v>0.7</v>
      </c>
      <c r="S2664" s="2">
        <v>45404</v>
      </c>
      <c r="T2664" s="1">
        <v>256.19</v>
      </c>
      <c r="U2664" s="1">
        <v>0.68</v>
      </c>
      <c r="V2664" s="6">
        <f t="shared" si="123"/>
        <v>25907.85</v>
      </c>
      <c r="W2664" s="6" t="str">
        <f t="shared" si="124"/>
        <v>Sufficient</v>
      </c>
      <c r="X2664" s="8" t="str">
        <f t="shared" si="125"/>
        <v>Medium</v>
      </c>
    </row>
    <row r="2665" spans="1:24">
      <c r="A2665" s="7" t="s">
        <v>2795</v>
      </c>
      <c r="B2665" s="1" t="s">
        <v>33</v>
      </c>
      <c r="C2665" s="1">
        <v>67</v>
      </c>
      <c r="D2665" s="1">
        <v>97</v>
      </c>
      <c r="E2665" s="1">
        <v>12</v>
      </c>
      <c r="F2665" s="1">
        <v>2</v>
      </c>
      <c r="G2665" s="1">
        <v>34.4</v>
      </c>
      <c r="H2665" s="1" t="s">
        <v>145</v>
      </c>
      <c r="I2665" s="1" t="s">
        <v>31</v>
      </c>
      <c r="J2665" s="1">
        <v>149</v>
      </c>
      <c r="K2665" s="1">
        <v>1.69</v>
      </c>
      <c r="L2665" s="4">
        <v>92</v>
      </c>
      <c r="M2665" s="1">
        <v>1.64</v>
      </c>
      <c r="N2665" s="1">
        <v>9</v>
      </c>
      <c r="O2665" s="1">
        <v>0.82</v>
      </c>
      <c r="P2665" s="1">
        <v>291</v>
      </c>
      <c r="Q2665" s="1">
        <v>5.51</v>
      </c>
      <c r="R2665" s="1">
        <v>0.53</v>
      </c>
      <c r="S2665" s="2">
        <v>45541</v>
      </c>
      <c r="T2665" s="1">
        <v>33.1</v>
      </c>
      <c r="U2665" s="1">
        <v>0.39900000000000002</v>
      </c>
      <c r="V2665" s="6">
        <f t="shared" si="123"/>
        <v>6164</v>
      </c>
      <c r="W2665" s="6" t="str">
        <f t="shared" si="124"/>
        <v>Reorder Required</v>
      </c>
      <c r="X2665" s="8" t="str">
        <f t="shared" si="125"/>
        <v>LOW</v>
      </c>
    </row>
    <row r="2666" spans="1:24">
      <c r="A2666" s="7" t="s">
        <v>2796</v>
      </c>
      <c r="B2666" s="1" t="s">
        <v>66</v>
      </c>
      <c r="C2666" s="1">
        <v>245</v>
      </c>
      <c r="D2666" s="1">
        <v>68</v>
      </c>
      <c r="E2666" s="1">
        <v>4</v>
      </c>
      <c r="F2666" s="1">
        <v>4</v>
      </c>
      <c r="G2666" s="1">
        <v>11.12</v>
      </c>
      <c r="H2666" s="1" t="s">
        <v>256</v>
      </c>
      <c r="I2666" s="1" t="s">
        <v>31</v>
      </c>
      <c r="J2666" s="1">
        <v>156</v>
      </c>
      <c r="K2666" s="1">
        <v>2.44</v>
      </c>
      <c r="L2666" s="4">
        <v>43.58</v>
      </c>
      <c r="M2666" s="1">
        <v>0.69</v>
      </c>
      <c r="N2666" s="1">
        <v>1</v>
      </c>
      <c r="O2666" s="1">
        <v>0.84</v>
      </c>
      <c r="P2666" s="1">
        <v>252</v>
      </c>
      <c r="Q2666" s="1">
        <v>9.58</v>
      </c>
      <c r="R2666" s="1">
        <v>0.24</v>
      </c>
      <c r="S2666" s="2">
        <v>45410</v>
      </c>
      <c r="T2666" s="1">
        <v>293.75</v>
      </c>
      <c r="U2666" s="1">
        <v>0.65500000000000003</v>
      </c>
      <c r="V2666" s="6">
        <f t="shared" si="123"/>
        <v>10677.1</v>
      </c>
      <c r="W2666" s="6" t="str">
        <f t="shared" si="124"/>
        <v>Sufficient</v>
      </c>
      <c r="X2666" s="8" t="str">
        <f t="shared" si="125"/>
        <v>Medium</v>
      </c>
    </row>
    <row r="2667" spans="1:24">
      <c r="A2667" s="7" t="s">
        <v>2797</v>
      </c>
      <c r="B2667" s="1" t="s">
        <v>25</v>
      </c>
      <c r="C2667" s="1">
        <v>285</v>
      </c>
      <c r="D2667" s="1">
        <v>38</v>
      </c>
      <c r="E2667" s="1">
        <v>5</v>
      </c>
      <c r="F2667" s="1">
        <v>7</v>
      </c>
      <c r="G2667" s="1">
        <v>6.41</v>
      </c>
      <c r="H2667" s="1" t="s">
        <v>233</v>
      </c>
      <c r="I2667" s="1" t="s">
        <v>39</v>
      </c>
      <c r="J2667" s="1">
        <v>159</v>
      </c>
      <c r="K2667" s="1">
        <v>4.3</v>
      </c>
      <c r="L2667" s="4">
        <v>99.91</v>
      </c>
      <c r="M2667" s="1">
        <v>0.51</v>
      </c>
      <c r="N2667" s="1">
        <v>6</v>
      </c>
      <c r="O2667" s="1">
        <v>0.76</v>
      </c>
      <c r="P2667" s="1">
        <v>286</v>
      </c>
      <c r="Q2667" s="1">
        <v>9.73</v>
      </c>
      <c r="R2667" s="1">
        <v>0.68</v>
      </c>
      <c r="S2667" s="2">
        <v>45324</v>
      </c>
      <c r="T2667" s="1">
        <v>144.09</v>
      </c>
      <c r="U2667" s="1">
        <v>0.64700000000000002</v>
      </c>
      <c r="V2667" s="6">
        <f t="shared" si="123"/>
        <v>28474.35</v>
      </c>
      <c r="W2667" s="6" t="str">
        <f t="shared" si="124"/>
        <v>Sufficient</v>
      </c>
      <c r="X2667" s="8" t="str">
        <f t="shared" si="125"/>
        <v>High</v>
      </c>
    </row>
    <row r="2668" spans="1:24">
      <c r="A2668" s="7" t="s">
        <v>2798</v>
      </c>
      <c r="B2668" s="1" t="s">
        <v>66</v>
      </c>
      <c r="C2668" s="1">
        <v>118</v>
      </c>
      <c r="D2668" s="1">
        <v>26</v>
      </c>
      <c r="E2668" s="1">
        <v>12</v>
      </c>
      <c r="F2668" s="1">
        <v>5</v>
      </c>
      <c r="G2668" s="1">
        <v>41.65</v>
      </c>
      <c r="H2668" s="1" t="s">
        <v>79</v>
      </c>
      <c r="I2668" s="1" t="s">
        <v>39</v>
      </c>
      <c r="J2668" s="1">
        <v>115</v>
      </c>
      <c r="K2668" s="1">
        <v>1.97</v>
      </c>
      <c r="L2668" s="4">
        <v>92.94</v>
      </c>
      <c r="M2668" s="1">
        <v>1.63</v>
      </c>
      <c r="N2668" s="1">
        <v>4</v>
      </c>
      <c r="O2668" s="1">
        <v>0.73</v>
      </c>
      <c r="P2668" s="1">
        <v>343</v>
      </c>
      <c r="Q2668" s="1">
        <v>12.79</v>
      </c>
      <c r="R2668" s="1">
        <v>0.48</v>
      </c>
      <c r="S2668" s="2">
        <v>45427</v>
      </c>
      <c r="T2668" s="1">
        <v>205.98</v>
      </c>
      <c r="U2668" s="1">
        <v>0.56999999999999995</v>
      </c>
      <c r="V2668" s="6">
        <f t="shared" si="123"/>
        <v>10966.92</v>
      </c>
      <c r="W2668" s="6" t="str">
        <f t="shared" si="124"/>
        <v>Sufficient</v>
      </c>
      <c r="X2668" s="8" t="str">
        <f t="shared" si="125"/>
        <v>Medium</v>
      </c>
    </row>
    <row r="2669" spans="1:24">
      <c r="A2669" s="7" t="s">
        <v>2799</v>
      </c>
      <c r="B2669" s="1" t="s">
        <v>29</v>
      </c>
      <c r="C2669" s="1">
        <v>478</v>
      </c>
      <c r="D2669" s="1">
        <v>23</v>
      </c>
      <c r="E2669" s="1">
        <v>14</v>
      </c>
      <c r="F2669" s="1">
        <v>2</v>
      </c>
      <c r="G2669" s="1">
        <v>35.08</v>
      </c>
      <c r="H2669" s="1" t="s">
        <v>74</v>
      </c>
      <c r="I2669" s="1" t="s">
        <v>31</v>
      </c>
      <c r="J2669" s="1">
        <v>135</v>
      </c>
      <c r="K2669" s="1">
        <v>4.42</v>
      </c>
      <c r="L2669" s="4">
        <v>108.26</v>
      </c>
      <c r="M2669" s="1">
        <v>0.79</v>
      </c>
      <c r="N2669" s="1">
        <v>5</v>
      </c>
      <c r="O2669" s="1">
        <v>0.87</v>
      </c>
      <c r="P2669" s="1">
        <v>397</v>
      </c>
      <c r="Q2669" s="1">
        <v>12.66</v>
      </c>
      <c r="R2669" s="1">
        <v>0.63</v>
      </c>
      <c r="S2669" s="2">
        <v>45481</v>
      </c>
      <c r="T2669" s="1">
        <v>221.26</v>
      </c>
      <c r="U2669" s="1">
        <v>0.69</v>
      </c>
      <c r="V2669" s="6">
        <f t="shared" si="123"/>
        <v>51748.28</v>
      </c>
      <c r="W2669" s="6" t="str">
        <f t="shared" si="124"/>
        <v>Sufficient</v>
      </c>
      <c r="X2669" s="8" t="str">
        <f t="shared" si="125"/>
        <v>High</v>
      </c>
    </row>
    <row r="2670" spans="1:24">
      <c r="A2670" s="7" t="s">
        <v>2800</v>
      </c>
      <c r="B2670" s="1" t="s">
        <v>25</v>
      </c>
      <c r="C2670" s="1">
        <v>30</v>
      </c>
      <c r="D2670" s="1">
        <v>45</v>
      </c>
      <c r="E2670" s="1">
        <v>9</v>
      </c>
      <c r="F2670" s="1">
        <v>9</v>
      </c>
      <c r="G2670" s="1">
        <v>29.18</v>
      </c>
      <c r="H2670" s="1" t="s">
        <v>252</v>
      </c>
      <c r="I2670" s="1" t="s">
        <v>31</v>
      </c>
      <c r="J2670" s="1">
        <v>154</v>
      </c>
      <c r="K2670" s="1">
        <v>2.13</v>
      </c>
      <c r="L2670" s="4">
        <v>163.51</v>
      </c>
      <c r="M2670" s="1">
        <v>0.65</v>
      </c>
      <c r="N2670" s="1">
        <v>2</v>
      </c>
      <c r="O2670" s="1">
        <v>0.94</v>
      </c>
      <c r="P2670" s="1">
        <v>136</v>
      </c>
      <c r="Q2670" s="1">
        <v>3</v>
      </c>
      <c r="R2670" s="1">
        <v>0.81</v>
      </c>
      <c r="S2670" s="2">
        <v>45411</v>
      </c>
      <c r="T2670" s="1">
        <v>192.36</v>
      </c>
      <c r="U2670" s="1">
        <v>0.68500000000000005</v>
      </c>
      <c r="V2670" s="6">
        <f t="shared" si="123"/>
        <v>4905.2999999999993</v>
      </c>
      <c r="W2670" s="6" t="str">
        <f t="shared" si="124"/>
        <v>Reorder Required</v>
      </c>
      <c r="X2670" s="8" t="str">
        <f t="shared" si="125"/>
        <v>LOW</v>
      </c>
    </row>
    <row r="2671" spans="1:24">
      <c r="A2671" s="7" t="s">
        <v>2801</v>
      </c>
      <c r="B2671" s="1" t="s">
        <v>33</v>
      </c>
      <c r="C2671" s="1">
        <v>104</v>
      </c>
      <c r="D2671" s="1">
        <v>67</v>
      </c>
      <c r="E2671" s="1">
        <v>5</v>
      </c>
      <c r="F2671" s="1">
        <v>7</v>
      </c>
      <c r="G2671" s="1">
        <v>10.27</v>
      </c>
      <c r="H2671" s="1" t="s">
        <v>216</v>
      </c>
      <c r="I2671" s="1" t="s">
        <v>31</v>
      </c>
      <c r="J2671" s="1">
        <v>22</v>
      </c>
      <c r="K2671" s="1">
        <v>2.14</v>
      </c>
      <c r="L2671" s="4">
        <v>134.56</v>
      </c>
      <c r="M2671" s="1">
        <v>0.74</v>
      </c>
      <c r="N2671" s="1">
        <v>9</v>
      </c>
      <c r="O2671" s="1">
        <v>0.78</v>
      </c>
      <c r="P2671" s="1">
        <v>259</v>
      </c>
      <c r="Q2671" s="1">
        <v>3.36</v>
      </c>
      <c r="R2671" s="1">
        <v>0.84</v>
      </c>
      <c r="S2671" s="2">
        <v>45313</v>
      </c>
      <c r="T2671" s="1">
        <v>268.54000000000002</v>
      </c>
      <c r="U2671" s="1">
        <v>0.51500000000000001</v>
      </c>
      <c r="V2671" s="6">
        <f t="shared" si="123"/>
        <v>13994.24</v>
      </c>
      <c r="W2671" s="6" t="str">
        <f t="shared" si="124"/>
        <v>Sufficient</v>
      </c>
      <c r="X2671" s="8" t="str">
        <f t="shared" si="125"/>
        <v>Medium</v>
      </c>
    </row>
    <row r="2672" spans="1:24">
      <c r="A2672" s="7" t="s">
        <v>2802</v>
      </c>
      <c r="B2672" s="1" t="s">
        <v>29</v>
      </c>
      <c r="C2672" s="1">
        <v>424</v>
      </c>
      <c r="D2672" s="1">
        <v>33</v>
      </c>
      <c r="E2672" s="1">
        <v>9</v>
      </c>
      <c r="F2672" s="1">
        <v>4</v>
      </c>
      <c r="G2672" s="1">
        <v>30.56</v>
      </c>
      <c r="H2672" s="1" t="s">
        <v>72</v>
      </c>
      <c r="I2672" s="1" t="s">
        <v>27</v>
      </c>
      <c r="J2672" s="1">
        <v>37</v>
      </c>
      <c r="K2672" s="1">
        <v>1.89</v>
      </c>
      <c r="L2672" s="4">
        <v>45.2</v>
      </c>
      <c r="M2672" s="1">
        <v>0.23</v>
      </c>
      <c r="N2672" s="1">
        <v>4</v>
      </c>
      <c r="O2672" s="1">
        <v>0.83</v>
      </c>
      <c r="P2672" s="1">
        <v>837</v>
      </c>
      <c r="Q2672" s="1">
        <v>4.1100000000000003</v>
      </c>
      <c r="R2672" s="1">
        <v>0.89</v>
      </c>
      <c r="S2672" s="2">
        <v>45634</v>
      </c>
      <c r="T2672" s="1">
        <v>93.57</v>
      </c>
      <c r="U2672" s="1">
        <v>0.69599999999999995</v>
      </c>
      <c r="V2672" s="6">
        <f t="shared" si="123"/>
        <v>19164.800000000003</v>
      </c>
      <c r="W2672" s="6" t="str">
        <f t="shared" si="124"/>
        <v>Sufficient</v>
      </c>
      <c r="X2672" s="8" t="str">
        <f t="shared" si="125"/>
        <v>High</v>
      </c>
    </row>
    <row r="2673" spans="1:24">
      <c r="A2673" s="7" t="s">
        <v>2803</v>
      </c>
      <c r="B2673" s="1" t="s">
        <v>25</v>
      </c>
      <c r="C2673" s="1">
        <v>233</v>
      </c>
      <c r="D2673" s="1">
        <v>72</v>
      </c>
      <c r="E2673" s="1">
        <v>11</v>
      </c>
      <c r="F2673" s="1">
        <v>3</v>
      </c>
      <c r="G2673" s="1">
        <v>2.5299999999999998</v>
      </c>
      <c r="H2673" s="1" t="s">
        <v>124</v>
      </c>
      <c r="I2673" s="1" t="s">
        <v>27</v>
      </c>
      <c r="J2673" s="1">
        <v>132</v>
      </c>
      <c r="K2673" s="1">
        <v>2.96</v>
      </c>
      <c r="L2673" s="4">
        <v>149.55000000000001</v>
      </c>
      <c r="M2673" s="1">
        <v>1.57</v>
      </c>
      <c r="N2673" s="1">
        <v>4</v>
      </c>
      <c r="O2673" s="1">
        <v>0.87</v>
      </c>
      <c r="P2673" s="1">
        <v>658</v>
      </c>
      <c r="Q2673" s="1">
        <v>4.66</v>
      </c>
      <c r="R2673" s="1">
        <v>0.71</v>
      </c>
      <c r="S2673" s="2">
        <v>45397</v>
      </c>
      <c r="T2673" s="1">
        <v>164.37</v>
      </c>
      <c r="U2673" s="1">
        <v>0.54100000000000004</v>
      </c>
      <c r="V2673" s="6">
        <f t="shared" si="123"/>
        <v>34845.15</v>
      </c>
      <c r="W2673" s="6" t="str">
        <f t="shared" si="124"/>
        <v>Sufficient</v>
      </c>
      <c r="X2673" s="8" t="str">
        <f t="shared" si="125"/>
        <v>Medium</v>
      </c>
    </row>
    <row r="2674" spans="1:24">
      <c r="A2674" s="7" t="s">
        <v>2804</v>
      </c>
      <c r="B2674" s="1" t="s">
        <v>33</v>
      </c>
      <c r="C2674" s="1">
        <v>192</v>
      </c>
      <c r="D2674" s="1">
        <v>34</v>
      </c>
      <c r="E2674" s="1">
        <v>13</v>
      </c>
      <c r="F2674" s="1">
        <v>4</v>
      </c>
      <c r="G2674" s="1">
        <v>6.82</v>
      </c>
      <c r="H2674" s="1" t="s">
        <v>124</v>
      </c>
      <c r="I2674" s="1" t="s">
        <v>31</v>
      </c>
      <c r="J2674" s="1">
        <v>76</v>
      </c>
      <c r="K2674" s="1">
        <v>1.08</v>
      </c>
      <c r="L2674" s="4">
        <v>122.46</v>
      </c>
      <c r="M2674" s="1">
        <v>1.46</v>
      </c>
      <c r="N2674" s="1">
        <v>3</v>
      </c>
      <c r="O2674" s="1">
        <v>0.97</v>
      </c>
      <c r="P2674" s="1">
        <v>51</v>
      </c>
      <c r="Q2674" s="1">
        <v>8.9</v>
      </c>
      <c r="R2674" s="1">
        <v>0.92</v>
      </c>
      <c r="S2674" s="2">
        <v>45557</v>
      </c>
      <c r="T2674" s="1">
        <v>134.79</v>
      </c>
      <c r="U2674" s="1">
        <v>0.69099999999999995</v>
      </c>
      <c r="V2674" s="6">
        <f t="shared" si="123"/>
        <v>23512.32</v>
      </c>
      <c r="W2674" s="6" t="str">
        <f t="shared" si="124"/>
        <v>Sufficient</v>
      </c>
      <c r="X2674" s="8" t="str">
        <f t="shared" si="125"/>
        <v>Medium</v>
      </c>
    </row>
    <row r="2675" spans="1:24">
      <c r="A2675" s="7" t="s">
        <v>2805</v>
      </c>
      <c r="B2675" s="1" t="s">
        <v>66</v>
      </c>
      <c r="C2675" s="1">
        <v>410</v>
      </c>
      <c r="D2675" s="1">
        <v>68</v>
      </c>
      <c r="E2675" s="1">
        <v>12</v>
      </c>
      <c r="F2675" s="1">
        <v>8</v>
      </c>
      <c r="G2675" s="1">
        <v>16.28</v>
      </c>
      <c r="H2675" s="1" t="s">
        <v>63</v>
      </c>
      <c r="I2675" s="1" t="s">
        <v>31</v>
      </c>
      <c r="J2675" s="1">
        <v>14</v>
      </c>
      <c r="K2675" s="1">
        <v>0.66</v>
      </c>
      <c r="L2675" s="4">
        <v>119.88</v>
      </c>
      <c r="M2675" s="1">
        <v>1.1499999999999999</v>
      </c>
      <c r="N2675" s="1">
        <v>9</v>
      </c>
      <c r="O2675" s="1">
        <v>0.74</v>
      </c>
      <c r="P2675" s="1">
        <v>278</v>
      </c>
      <c r="Q2675" s="1">
        <v>5.58</v>
      </c>
      <c r="R2675" s="1">
        <v>0.75</v>
      </c>
      <c r="S2675" s="2">
        <v>45476</v>
      </c>
      <c r="T2675" s="1">
        <v>214.2</v>
      </c>
      <c r="U2675" s="1">
        <v>0.47699999999999998</v>
      </c>
      <c r="V2675" s="6">
        <f t="shared" si="123"/>
        <v>49150.799999999996</v>
      </c>
      <c r="W2675" s="6" t="str">
        <f t="shared" si="124"/>
        <v>Sufficient</v>
      </c>
      <c r="X2675" s="8" t="str">
        <f t="shared" si="125"/>
        <v>High</v>
      </c>
    </row>
    <row r="2676" spans="1:24">
      <c r="A2676" s="7" t="s">
        <v>2806</v>
      </c>
      <c r="B2676" s="1" t="s">
        <v>25</v>
      </c>
      <c r="C2676" s="1">
        <v>228</v>
      </c>
      <c r="D2676" s="1">
        <v>41</v>
      </c>
      <c r="E2676" s="1">
        <v>14</v>
      </c>
      <c r="F2676" s="1">
        <v>4</v>
      </c>
      <c r="G2676" s="1">
        <v>22.74</v>
      </c>
      <c r="H2676" s="1" t="s">
        <v>47</v>
      </c>
      <c r="I2676" s="1" t="s">
        <v>31</v>
      </c>
      <c r="J2676" s="1">
        <v>109</v>
      </c>
      <c r="K2676" s="1">
        <v>4.54</v>
      </c>
      <c r="L2676" s="4">
        <v>138.87</v>
      </c>
      <c r="M2676" s="1">
        <v>1.46</v>
      </c>
      <c r="N2676" s="1">
        <v>3</v>
      </c>
      <c r="O2676" s="1">
        <v>0.77</v>
      </c>
      <c r="P2676" s="1">
        <v>459</v>
      </c>
      <c r="Q2676" s="1">
        <v>14.34</v>
      </c>
      <c r="R2676" s="1">
        <v>0.83</v>
      </c>
      <c r="S2676" s="2">
        <v>45490</v>
      </c>
      <c r="T2676" s="1">
        <v>124.58</v>
      </c>
      <c r="U2676" s="1">
        <v>0.70499999999999996</v>
      </c>
      <c r="V2676" s="6">
        <f t="shared" si="123"/>
        <v>31662.36</v>
      </c>
      <c r="W2676" s="6" t="str">
        <f t="shared" si="124"/>
        <v>Sufficient</v>
      </c>
      <c r="X2676" s="8" t="str">
        <f t="shared" si="125"/>
        <v>Medium</v>
      </c>
    </row>
    <row r="2677" spans="1:24">
      <c r="A2677" s="7" t="s">
        <v>2807</v>
      </c>
      <c r="B2677" s="1" t="s">
        <v>33</v>
      </c>
      <c r="C2677" s="1">
        <v>467</v>
      </c>
      <c r="D2677" s="1">
        <v>91</v>
      </c>
      <c r="E2677" s="1">
        <v>13</v>
      </c>
      <c r="F2677" s="1">
        <v>9</v>
      </c>
      <c r="G2677" s="1">
        <v>6.91</v>
      </c>
      <c r="H2677" s="1" t="s">
        <v>81</v>
      </c>
      <c r="I2677" s="1" t="s">
        <v>27</v>
      </c>
      <c r="J2677" s="1">
        <v>152</v>
      </c>
      <c r="K2677" s="1">
        <v>4.68</v>
      </c>
      <c r="L2677" s="4">
        <v>117.15</v>
      </c>
      <c r="M2677" s="1">
        <v>0.81</v>
      </c>
      <c r="N2677" s="1">
        <v>7</v>
      </c>
      <c r="O2677" s="1">
        <v>0.98</v>
      </c>
      <c r="P2677" s="1">
        <v>292</v>
      </c>
      <c r="Q2677" s="1">
        <v>2.66</v>
      </c>
      <c r="R2677" s="1">
        <v>0.75</v>
      </c>
      <c r="S2677" s="2">
        <v>45532</v>
      </c>
      <c r="T2677" s="1">
        <v>268.93</v>
      </c>
      <c r="U2677" s="1">
        <v>0.56000000000000005</v>
      </c>
      <c r="V2677" s="6">
        <f t="shared" si="123"/>
        <v>54709.05</v>
      </c>
      <c r="W2677" s="6" t="str">
        <f t="shared" si="124"/>
        <v>Sufficient</v>
      </c>
      <c r="X2677" s="8" t="str">
        <f t="shared" si="125"/>
        <v>High</v>
      </c>
    </row>
    <row r="2678" spans="1:24">
      <c r="A2678" s="7" t="s">
        <v>2808</v>
      </c>
      <c r="B2678" s="1" t="s">
        <v>66</v>
      </c>
      <c r="C2678" s="1">
        <v>401</v>
      </c>
      <c r="D2678" s="1">
        <v>27</v>
      </c>
      <c r="E2678" s="1">
        <v>6</v>
      </c>
      <c r="F2678" s="1">
        <v>7</v>
      </c>
      <c r="G2678" s="1">
        <v>6.88</v>
      </c>
      <c r="H2678" s="1" t="s">
        <v>394</v>
      </c>
      <c r="I2678" s="1" t="s">
        <v>27</v>
      </c>
      <c r="J2678" s="1">
        <v>90</v>
      </c>
      <c r="K2678" s="1">
        <v>0.84</v>
      </c>
      <c r="L2678" s="4">
        <v>96.93</v>
      </c>
      <c r="M2678" s="1">
        <v>0.66</v>
      </c>
      <c r="N2678" s="1">
        <v>5</v>
      </c>
      <c r="O2678" s="1">
        <v>0.71</v>
      </c>
      <c r="P2678" s="1">
        <v>819</v>
      </c>
      <c r="Q2678" s="1">
        <v>4.45</v>
      </c>
      <c r="R2678" s="1">
        <v>0.9</v>
      </c>
      <c r="S2678" s="2">
        <v>45524</v>
      </c>
      <c r="T2678" s="1">
        <v>152.22</v>
      </c>
      <c r="U2678" s="1">
        <v>0.61499999999999999</v>
      </c>
      <c r="V2678" s="6">
        <f t="shared" si="123"/>
        <v>38868.93</v>
      </c>
      <c r="W2678" s="6" t="str">
        <f t="shared" si="124"/>
        <v>Sufficient</v>
      </c>
      <c r="X2678" s="8" t="str">
        <f t="shared" si="125"/>
        <v>High</v>
      </c>
    </row>
    <row r="2679" spans="1:24">
      <c r="A2679" s="7" t="s">
        <v>2809</v>
      </c>
      <c r="B2679" s="1" t="s">
        <v>29</v>
      </c>
      <c r="C2679" s="1">
        <v>83</v>
      </c>
      <c r="D2679" s="1">
        <v>46</v>
      </c>
      <c r="E2679" s="1">
        <v>9</v>
      </c>
      <c r="F2679" s="1">
        <v>9</v>
      </c>
      <c r="G2679" s="1">
        <v>36.57</v>
      </c>
      <c r="H2679" s="1" t="s">
        <v>350</v>
      </c>
      <c r="I2679" s="1" t="s">
        <v>39</v>
      </c>
      <c r="J2679" s="1">
        <v>53</v>
      </c>
      <c r="K2679" s="1">
        <v>2.97</v>
      </c>
      <c r="L2679" s="4">
        <v>131.66999999999999</v>
      </c>
      <c r="M2679" s="1">
        <v>1.74</v>
      </c>
      <c r="N2679" s="1">
        <v>1</v>
      </c>
      <c r="O2679" s="1">
        <v>0.9</v>
      </c>
      <c r="P2679" s="1">
        <v>517</v>
      </c>
      <c r="Q2679" s="1">
        <v>13.16</v>
      </c>
      <c r="R2679" s="1">
        <v>0.38</v>
      </c>
      <c r="S2679" s="2">
        <v>45315</v>
      </c>
      <c r="T2679" s="1">
        <v>165.44</v>
      </c>
      <c r="U2679" s="1">
        <v>0.63700000000000001</v>
      </c>
      <c r="V2679" s="6">
        <f t="shared" si="123"/>
        <v>10928.609999999999</v>
      </c>
      <c r="W2679" s="6" t="str">
        <f t="shared" si="124"/>
        <v>Sufficient</v>
      </c>
      <c r="X2679" s="8" t="str">
        <f t="shared" si="125"/>
        <v>LOW</v>
      </c>
    </row>
    <row r="2680" spans="1:24">
      <c r="A2680" s="7" t="s">
        <v>2810</v>
      </c>
      <c r="B2680" s="1" t="s">
        <v>29</v>
      </c>
      <c r="C2680" s="1">
        <v>277</v>
      </c>
      <c r="D2680" s="1">
        <v>35</v>
      </c>
      <c r="E2680" s="1">
        <v>11</v>
      </c>
      <c r="F2680" s="1">
        <v>7</v>
      </c>
      <c r="G2680" s="1">
        <v>28.92</v>
      </c>
      <c r="H2680" s="1" t="s">
        <v>372</v>
      </c>
      <c r="I2680" s="1" t="s">
        <v>45</v>
      </c>
      <c r="J2680" s="1">
        <v>128</v>
      </c>
      <c r="K2680" s="1">
        <v>2.93</v>
      </c>
      <c r="L2680" s="4">
        <v>147.51</v>
      </c>
      <c r="M2680" s="1">
        <v>0.9</v>
      </c>
      <c r="N2680" s="1">
        <v>1</v>
      </c>
      <c r="O2680" s="1">
        <v>0.89</v>
      </c>
      <c r="P2680" s="1">
        <v>507</v>
      </c>
      <c r="Q2680" s="1">
        <v>9.18</v>
      </c>
      <c r="R2680" s="1">
        <v>0.81</v>
      </c>
      <c r="S2680" s="2">
        <v>45312</v>
      </c>
      <c r="T2680" s="1">
        <v>153.08000000000001</v>
      </c>
      <c r="U2680" s="1">
        <v>0.752</v>
      </c>
      <c r="V2680" s="6">
        <f t="shared" si="123"/>
        <v>40860.269999999997</v>
      </c>
      <c r="W2680" s="6" t="str">
        <f t="shared" si="124"/>
        <v>Sufficient</v>
      </c>
      <c r="X2680" s="8" t="str">
        <f t="shared" si="125"/>
        <v>High</v>
      </c>
    </row>
    <row r="2681" spans="1:24">
      <c r="A2681" s="7" t="s">
        <v>2811</v>
      </c>
      <c r="B2681" s="1" t="s">
        <v>29</v>
      </c>
      <c r="C2681" s="1">
        <v>351</v>
      </c>
      <c r="D2681" s="1">
        <v>18</v>
      </c>
      <c r="E2681" s="1">
        <v>10</v>
      </c>
      <c r="F2681" s="1">
        <v>6</v>
      </c>
      <c r="G2681" s="1">
        <v>27.15</v>
      </c>
      <c r="H2681" s="1" t="s">
        <v>128</v>
      </c>
      <c r="I2681" s="1" t="s">
        <v>39</v>
      </c>
      <c r="J2681" s="1">
        <v>55</v>
      </c>
      <c r="K2681" s="1">
        <v>2.1800000000000002</v>
      </c>
      <c r="L2681" s="4">
        <v>52.9</v>
      </c>
      <c r="M2681" s="1">
        <v>0.47</v>
      </c>
      <c r="N2681" s="1">
        <v>1</v>
      </c>
      <c r="O2681" s="1">
        <v>0.81</v>
      </c>
      <c r="P2681" s="1">
        <v>603</v>
      </c>
      <c r="Q2681" s="1">
        <v>8.66</v>
      </c>
      <c r="R2681" s="1">
        <v>0.28999999999999998</v>
      </c>
      <c r="S2681" s="2">
        <v>45624</v>
      </c>
      <c r="T2681" s="1">
        <v>190.56</v>
      </c>
      <c r="U2681" s="1">
        <v>0.66800000000000004</v>
      </c>
      <c r="V2681" s="6">
        <f t="shared" si="123"/>
        <v>18567.899999999998</v>
      </c>
      <c r="W2681" s="6" t="str">
        <f t="shared" si="124"/>
        <v>Sufficient</v>
      </c>
      <c r="X2681" s="8" t="str">
        <f t="shared" si="125"/>
        <v>High</v>
      </c>
    </row>
    <row r="2682" spans="1:24">
      <c r="A2682" s="7" t="s">
        <v>2812</v>
      </c>
      <c r="B2682" s="1" t="s">
        <v>29</v>
      </c>
      <c r="C2682" s="1">
        <v>140</v>
      </c>
      <c r="D2682" s="1">
        <v>73</v>
      </c>
      <c r="E2682" s="1">
        <v>10</v>
      </c>
      <c r="F2682" s="1">
        <v>6</v>
      </c>
      <c r="G2682" s="1">
        <v>23.17</v>
      </c>
      <c r="H2682" s="1" t="s">
        <v>106</v>
      </c>
      <c r="I2682" s="1" t="s">
        <v>45</v>
      </c>
      <c r="J2682" s="1">
        <v>166</v>
      </c>
      <c r="K2682" s="1">
        <v>3.06</v>
      </c>
      <c r="L2682" s="4">
        <v>104.44</v>
      </c>
      <c r="M2682" s="1">
        <v>1.52</v>
      </c>
      <c r="N2682" s="1">
        <v>5</v>
      </c>
      <c r="O2682" s="1">
        <v>0.84</v>
      </c>
      <c r="P2682" s="1">
        <v>262</v>
      </c>
      <c r="Q2682" s="1">
        <v>9.32</v>
      </c>
      <c r="R2682" s="1">
        <v>0.27</v>
      </c>
      <c r="S2682" s="2">
        <v>45457</v>
      </c>
      <c r="T2682" s="1">
        <v>158.02000000000001</v>
      </c>
      <c r="U2682" s="1">
        <v>0.49399999999999999</v>
      </c>
      <c r="V2682" s="6">
        <f t="shared" si="123"/>
        <v>14621.6</v>
      </c>
      <c r="W2682" s="6" t="str">
        <f t="shared" si="124"/>
        <v>Sufficient</v>
      </c>
      <c r="X2682" s="8" t="str">
        <f t="shared" si="125"/>
        <v>Medium</v>
      </c>
    </row>
    <row r="2683" spans="1:24">
      <c r="A2683" s="7" t="s">
        <v>2813</v>
      </c>
      <c r="B2683" s="1" t="s">
        <v>41</v>
      </c>
      <c r="C2683" s="1">
        <v>317</v>
      </c>
      <c r="D2683" s="1">
        <v>81</v>
      </c>
      <c r="E2683" s="1">
        <v>11</v>
      </c>
      <c r="F2683" s="1">
        <v>7</v>
      </c>
      <c r="G2683" s="1">
        <v>48.85</v>
      </c>
      <c r="H2683" s="1" t="s">
        <v>74</v>
      </c>
      <c r="I2683" s="1" t="s">
        <v>45</v>
      </c>
      <c r="J2683" s="1">
        <v>77</v>
      </c>
      <c r="K2683" s="1">
        <v>2.56</v>
      </c>
      <c r="L2683" s="4">
        <v>97.05</v>
      </c>
      <c r="M2683" s="1">
        <v>0.74</v>
      </c>
      <c r="N2683" s="1">
        <v>0</v>
      </c>
      <c r="O2683" s="1">
        <v>0.96</v>
      </c>
      <c r="P2683" s="1">
        <v>857</v>
      </c>
      <c r="Q2683" s="1">
        <v>4.53</v>
      </c>
      <c r="R2683" s="1">
        <v>0.59</v>
      </c>
      <c r="S2683" s="2">
        <v>45344</v>
      </c>
      <c r="T2683" s="1">
        <v>281.85000000000002</v>
      </c>
      <c r="U2683" s="1">
        <v>0.69599999999999995</v>
      </c>
      <c r="V2683" s="6">
        <f t="shared" si="123"/>
        <v>30764.85</v>
      </c>
      <c r="W2683" s="6" t="str">
        <f t="shared" si="124"/>
        <v>Sufficient</v>
      </c>
      <c r="X2683" s="8" t="str">
        <f t="shared" si="125"/>
        <v>High</v>
      </c>
    </row>
    <row r="2684" spans="1:24">
      <c r="A2684" s="7" t="s">
        <v>2814</v>
      </c>
      <c r="B2684" s="1" t="s">
        <v>25</v>
      </c>
      <c r="C2684" s="1">
        <v>485</v>
      </c>
      <c r="D2684" s="1">
        <v>29</v>
      </c>
      <c r="E2684" s="1">
        <v>7</v>
      </c>
      <c r="F2684" s="1">
        <v>7</v>
      </c>
      <c r="G2684" s="1">
        <v>3.44</v>
      </c>
      <c r="H2684" s="1" t="s">
        <v>252</v>
      </c>
      <c r="I2684" s="1" t="s">
        <v>45</v>
      </c>
      <c r="J2684" s="1">
        <v>137</v>
      </c>
      <c r="K2684" s="1">
        <v>2.7</v>
      </c>
      <c r="L2684" s="4">
        <v>17.579999999999998</v>
      </c>
      <c r="M2684" s="1">
        <v>0.5</v>
      </c>
      <c r="N2684" s="1">
        <v>2</v>
      </c>
      <c r="O2684" s="1">
        <v>0.75</v>
      </c>
      <c r="P2684" s="1">
        <v>954</v>
      </c>
      <c r="Q2684" s="1">
        <v>11.66</v>
      </c>
      <c r="R2684" s="1">
        <v>0.44</v>
      </c>
      <c r="S2684" s="2">
        <v>45652</v>
      </c>
      <c r="T2684" s="1">
        <v>48.03</v>
      </c>
      <c r="U2684" s="1">
        <v>0.70299999999999996</v>
      </c>
      <c r="V2684" s="6">
        <f t="shared" si="123"/>
        <v>8526.2999999999993</v>
      </c>
      <c r="W2684" s="6" t="str">
        <f t="shared" si="124"/>
        <v>Sufficient</v>
      </c>
      <c r="X2684" s="8" t="str">
        <f t="shared" si="125"/>
        <v>High</v>
      </c>
    </row>
    <row r="2685" spans="1:24">
      <c r="A2685" s="7" t="s">
        <v>2815</v>
      </c>
      <c r="B2685" s="1" t="s">
        <v>25</v>
      </c>
      <c r="C2685" s="1">
        <v>73</v>
      </c>
      <c r="D2685" s="1">
        <v>63</v>
      </c>
      <c r="E2685" s="1">
        <v>7</v>
      </c>
      <c r="F2685" s="1">
        <v>3</v>
      </c>
      <c r="G2685" s="1">
        <v>9.85</v>
      </c>
      <c r="H2685" s="1" t="s">
        <v>47</v>
      </c>
      <c r="I2685" s="1" t="s">
        <v>39</v>
      </c>
      <c r="J2685" s="1">
        <v>58</v>
      </c>
      <c r="K2685" s="1">
        <v>3.9</v>
      </c>
      <c r="L2685" s="4">
        <v>168.54</v>
      </c>
      <c r="M2685" s="1">
        <v>0.15</v>
      </c>
      <c r="N2685" s="1">
        <v>0</v>
      </c>
      <c r="O2685" s="1">
        <v>0.77</v>
      </c>
      <c r="P2685" s="1">
        <v>435</v>
      </c>
      <c r="Q2685" s="1">
        <v>7.95</v>
      </c>
      <c r="R2685" s="1">
        <v>0.65</v>
      </c>
      <c r="S2685" s="2">
        <v>45558</v>
      </c>
      <c r="T2685" s="1">
        <v>13.89</v>
      </c>
      <c r="U2685" s="1">
        <v>0.77500000000000002</v>
      </c>
      <c r="V2685" s="6">
        <f t="shared" si="123"/>
        <v>12303.42</v>
      </c>
      <c r="W2685" s="6" t="str">
        <f t="shared" si="124"/>
        <v>Sufficient</v>
      </c>
      <c r="X2685" s="8" t="str">
        <f t="shared" si="125"/>
        <v>LOW</v>
      </c>
    </row>
    <row r="2686" spans="1:24">
      <c r="A2686" s="7" t="s">
        <v>2816</v>
      </c>
      <c r="B2686" s="1" t="s">
        <v>41</v>
      </c>
      <c r="C2686" s="1">
        <v>350</v>
      </c>
      <c r="D2686" s="1">
        <v>95</v>
      </c>
      <c r="E2686" s="1">
        <v>5</v>
      </c>
      <c r="F2686" s="1">
        <v>3</v>
      </c>
      <c r="G2686" s="1">
        <v>32.729999999999997</v>
      </c>
      <c r="H2686" s="1" t="s">
        <v>205</v>
      </c>
      <c r="I2686" s="1" t="s">
        <v>27</v>
      </c>
      <c r="J2686" s="1">
        <v>111</v>
      </c>
      <c r="K2686" s="1">
        <v>2.87</v>
      </c>
      <c r="L2686" s="4">
        <v>81.7</v>
      </c>
      <c r="M2686" s="1">
        <v>1.94</v>
      </c>
      <c r="N2686" s="1">
        <v>3</v>
      </c>
      <c r="O2686" s="1">
        <v>0.85</v>
      </c>
      <c r="P2686" s="1">
        <v>461</v>
      </c>
      <c r="Q2686" s="1">
        <v>1.6</v>
      </c>
      <c r="R2686" s="1">
        <v>0.74</v>
      </c>
      <c r="S2686" s="2">
        <v>45616</v>
      </c>
      <c r="T2686" s="1">
        <v>161.32</v>
      </c>
      <c r="U2686" s="1">
        <v>0.48499999999999999</v>
      </c>
      <c r="V2686" s="6">
        <f t="shared" si="123"/>
        <v>28595</v>
      </c>
      <c r="W2686" s="6" t="str">
        <f t="shared" si="124"/>
        <v>Sufficient</v>
      </c>
      <c r="X2686" s="8" t="str">
        <f t="shared" si="125"/>
        <v>High</v>
      </c>
    </row>
    <row r="2687" spans="1:24">
      <c r="A2687" s="7" t="s">
        <v>2817</v>
      </c>
      <c r="B2687" s="1" t="s">
        <v>33</v>
      </c>
      <c r="C2687" s="1">
        <v>291</v>
      </c>
      <c r="D2687" s="1">
        <v>92</v>
      </c>
      <c r="E2687" s="1">
        <v>7</v>
      </c>
      <c r="F2687" s="1">
        <v>4</v>
      </c>
      <c r="G2687" s="1">
        <v>7.68</v>
      </c>
      <c r="H2687" s="1" t="s">
        <v>558</v>
      </c>
      <c r="I2687" s="1" t="s">
        <v>27</v>
      </c>
      <c r="J2687" s="1">
        <v>86</v>
      </c>
      <c r="K2687" s="1">
        <v>1.96</v>
      </c>
      <c r="L2687" s="4">
        <v>23.81</v>
      </c>
      <c r="M2687" s="1">
        <v>0.99</v>
      </c>
      <c r="N2687" s="1">
        <v>0</v>
      </c>
      <c r="O2687" s="1">
        <v>0.82</v>
      </c>
      <c r="P2687" s="1">
        <v>564</v>
      </c>
      <c r="Q2687" s="1">
        <v>3.48</v>
      </c>
      <c r="R2687" s="1">
        <v>0.38</v>
      </c>
      <c r="S2687" s="2">
        <v>45432</v>
      </c>
      <c r="T2687" s="1">
        <v>231.74</v>
      </c>
      <c r="U2687" s="1">
        <v>0.58699999999999997</v>
      </c>
      <c r="V2687" s="6">
        <f t="shared" si="123"/>
        <v>6928.71</v>
      </c>
      <c r="W2687" s="6" t="str">
        <f t="shared" si="124"/>
        <v>Sufficient</v>
      </c>
      <c r="X2687" s="8" t="str">
        <f t="shared" si="125"/>
        <v>High</v>
      </c>
    </row>
    <row r="2688" spans="1:24">
      <c r="A2688" s="7" t="s">
        <v>2818</v>
      </c>
      <c r="B2688" s="1" t="s">
        <v>33</v>
      </c>
      <c r="C2688" s="1">
        <v>260</v>
      </c>
      <c r="D2688" s="1">
        <v>39</v>
      </c>
      <c r="E2688" s="1">
        <v>10</v>
      </c>
      <c r="F2688" s="1">
        <v>9</v>
      </c>
      <c r="G2688" s="1">
        <v>29.88</v>
      </c>
      <c r="H2688" s="1" t="s">
        <v>214</v>
      </c>
      <c r="I2688" s="1" t="s">
        <v>27</v>
      </c>
      <c r="J2688" s="1">
        <v>29</v>
      </c>
      <c r="K2688" s="1">
        <v>3.12</v>
      </c>
      <c r="L2688" s="4">
        <v>97</v>
      </c>
      <c r="M2688" s="1">
        <v>0.41</v>
      </c>
      <c r="N2688" s="1">
        <v>8</v>
      </c>
      <c r="O2688" s="1">
        <v>0.87</v>
      </c>
      <c r="P2688" s="1">
        <v>577</v>
      </c>
      <c r="Q2688" s="1">
        <v>12.43</v>
      </c>
      <c r="R2688" s="1">
        <v>0.76</v>
      </c>
      <c r="S2688" s="2">
        <v>45426</v>
      </c>
      <c r="T2688" s="1">
        <v>197.98</v>
      </c>
      <c r="U2688" s="1">
        <v>0.69099999999999995</v>
      </c>
      <c r="V2688" s="6">
        <f t="shared" si="123"/>
        <v>25220</v>
      </c>
      <c r="W2688" s="6" t="str">
        <f t="shared" si="124"/>
        <v>Sufficient</v>
      </c>
      <c r="X2688" s="8" t="str">
        <f t="shared" si="125"/>
        <v>High</v>
      </c>
    </row>
    <row r="2689" spans="1:24">
      <c r="A2689" s="7" t="s">
        <v>2819</v>
      </c>
      <c r="B2689" s="1" t="s">
        <v>29</v>
      </c>
      <c r="C2689" s="1">
        <v>262</v>
      </c>
      <c r="D2689" s="1">
        <v>62</v>
      </c>
      <c r="E2689" s="1">
        <v>14</v>
      </c>
      <c r="F2689" s="1">
        <v>8</v>
      </c>
      <c r="G2689" s="1">
        <v>28.82</v>
      </c>
      <c r="H2689" s="1" t="s">
        <v>99</v>
      </c>
      <c r="I2689" s="1" t="s">
        <v>27</v>
      </c>
      <c r="J2689" s="1">
        <v>120</v>
      </c>
      <c r="K2689" s="1">
        <v>3.38</v>
      </c>
      <c r="L2689" s="4">
        <v>40.68</v>
      </c>
      <c r="M2689" s="1">
        <v>1.54</v>
      </c>
      <c r="N2689" s="1">
        <v>5</v>
      </c>
      <c r="O2689" s="1">
        <v>0.98</v>
      </c>
      <c r="P2689" s="1">
        <v>437</v>
      </c>
      <c r="Q2689" s="1">
        <v>5.83</v>
      </c>
      <c r="R2689" s="1">
        <v>1</v>
      </c>
      <c r="S2689" s="2">
        <v>45588</v>
      </c>
      <c r="T2689" s="1">
        <v>289.19</v>
      </c>
      <c r="U2689" s="1">
        <v>0.62</v>
      </c>
      <c r="V2689" s="6">
        <f t="shared" si="123"/>
        <v>10658.16</v>
      </c>
      <c r="W2689" s="6" t="str">
        <f t="shared" si="124"/>
        <v>Sufficient</v>
      </c>
      <c r="X2689" s="8" t="str">
        <f t="shared" si="125"/>
        <v>High</v>
      </c>
    </row>
    <row r="2690" spans="1:24">
      <c r="A2690" s="7" t="s">
        <v>2820</v>
      </c>
      <c r="B2690" s="1" t="s">
        <v>66</v>
      </c>
      <c r="C2690" s="1">
        <v>37</v>
      </c>
      <c r="D2690" s="1">
        <v>72</v>
      </c>
      <c r="E2690" s="1">
        <v>7</v>
      </c>
      <c r="F2690" s="1">
        <v>9</v>
      </c>
      <c r="G2690" s="1">
        <v>48.58</v>
      </c>
      <c r="H2690" s="1" t="s">
        <v>229</v>
      </c>
      <c r="I2690" s="1" t="s">
        <v>39</v>
      </c>
      <c r="J2690" s="1">
        <v>155</v>
      </c>
      <c r="K2690" s="1">
        <v>3.48</v>
      </c>
      <c r="L2690" s="4">
        <v>143.84</v>
      </c>
      <c r="M2690" s="1">
        <v>1.79</v>
      </c>
      <c r="N2690" s="1">
        <v>7</v>
      </c>
      <c r="O2690" s="1">
        <v>0.98</v>
      </c>
      <c r="P2690" s="1">
        <v>328</v>
      </c>
      <c r="Q2690" s="1">
        <v>11.83</v>
      </c>
      <c r="R2690" s="1">
        <v>0.81</v>
      </c>
      <c r="S2690" s="2">
        <v>45570</v>
      </c>
      <c r="T2690" s="1">
        <v>62.86</v>
      </c>
      <c r="U2690" s="1">
        <v>0.59699999999999998</v>
      </c>
      <c r="V2690" s="6">
        <f t="shared" si="123"/>
        <v>5322.08</v>
      </c>
      <c r="W2690" s="6" t="str">
        <f t="shared" si="124"/>
        <v>Reorder Required</v>
      </c>
      <c r="X2690" s="8" t="str">
        <f t="shared" si="125"/>
        <v>LOW</v>
      </c>
    </row>
    <row r="2691" spans="1:24">
      <c r="A2691" s="7" t="s">
        <v>2821</v>
      </c>
      <c r="B2691" s="1" t="s">
        <v>33</v>
      </c>
      <c r="C2691" s="1">
        <v>206</v>
      </c>
      <c r="D2691" s="1">
        <v>20</v>
      </c>
      <c r="E2691" s="1">
        <v>6</v>
      </c>
      <c r="F2691" s="1">
        <v>5</v>
      </c>
      <c r="G2691" s="1">
        <v>44.29</v>
      </c>
      <c r="H2691" s="1" t="s">
        <v>558</v>
      </c>
      <c r="I2691" s="1" t="s">
        <v>31</v>
      </c>
      <c r="J2691" s="1">
        <v>124</v>
      </c>
      <c r="K2691" s="1">
        <v>3.28</v>
      </c>
      <c r="L2691" s="4">
        <v>118.64</v>
      </c>
      <c r="M2691" s="1">
        <v>1.1000000000000001</v>
      </c>
      <c r="N2691" s="1">
        <v>1</v>
      </c>
      <c r="O2691" s="1">
        <v>0.77</v>
      </c>
      <c r="P2691" s="1">
        <v>151</v>
      </c>
      <c r="Q2691" s="1">
        <v>10.29</v>
      </c>
      <c r="R2691" s="1">
        <v>0.34</v>
      </c>
      <c r="S2691" s="2">
        <v>45583</v>
      </c>
      <c r="T2691" s="1">
        <v>211.25</v>
      </c>
      <c r="U2691" s="1">
        <v>0.629</v>
      </c>
      <c r="V2691" s="6">
        <f t="shared" si="123"/>
        <v>24439.84</v>
      </c>
      <c r="W2691" s="6" t="str">
        <f t="shared" si="124"/>
        <v>Sufficient</v>
      </c>
      <c r="X2691" s="8" t="str">
        <f t="shared" si="125"/>
        <v>Medium</v>
      </c>
    </row>
    <row r="2692" spans="1:24">
      <c r="A2692" s="7" t="s">
        <v>2822</v>
      </c>
      <c r="B2692" s="1" t="s">
        <v>66</v>
      </c>
      <c r="C2692" s="1">
        <v>365</v>
      </c>
      <c r="D2692" s="1">
        <v>40</v>
      </c>
      <c r="E2692" s="1">
        <v>10</v>
      </c>
      <c r="F2692" s="1">
        <v>9</v>
      </c>
      <c r="G2692" s="1">
        <v>47.33</v>
      </c>
      <c r="H2692" s="1" t="s">
        <v>36</v>
      </c>
      <c r="I2692" s="1" t="s">
        <v>45</v>
      </c>
      <c r="J2692" s="1">
        <v>179</v>
      </c>
      <c r="K2692" s="1">
        <v>3.49</v>
      </c>
      <c r="L2692" s="4">
        <v>61.32</v>
      </c>
      <c r="M2692" s="1">
        <v>0.15</v>
      </c>
      <c r="N2692" s="1">
        <v>5</v>
      </c>
      <c r="O2692" s="1">
        <v>0.79</v>
      </c>
      <c r="P2692" s="1">
        <v>638</v>
      </c>
      <c r="Q2692" s="1">
        <v>5.22</v>
      </c>
      <c r="R2692" s="1">
        <v>0.71</v>
      </c>
      <c r="S2692" s="2">
        <v>45381</v>
      </c>
      <c r="T2692" s="1">
        <v>246.6</v>
      </c>
      <c r="U2692" s="1">
        <v>0.65500000000000003</v>
      </c>
      <c r="V2692" s="6">
        <f t="shared" ref="V2692:V2755" si="126">C2692*L2692</f>
        <v>22381.8</v>
      </c>
      <c r="W2692" s="6" t="str">
        <f t="shared" ref="W2692:W2755" si="127">IF(C2692&lt;=D2692,"Reorder Required","Sufficient")</f>
        <v>Sufficient</v>
      </c>
      <c r="X2692" s="8" t="str">
        <f t="shared" ref="X2692:X2755" si="128">IF(C2692&lt;100,"LOW",IF(C2692&lt;250,"Medium","High"))</f>
        <v>High</v>
      </c>
    </row>
    <row r="2693" spans="1:24">
      <c r="A2693" s="7" t="s">
        <v>2823</v>
      </c>
      <c r="B2693" s="1" t="s">
        <v>25</v>
      </c>
      <c r="C2693" s="1">
        <v>163</v>
      </c>
      <c r="D2693" s="1">
        <v>58</v>
      </c>
      <c r="E2693" s="1">
        <v>9</v>
      </c>
      <c r="F2693" s="1">
        <v>8</v>
      </c>
      <c r="G2693" s="1">
        <v>6.57</v>
      </c>
      <c r="H2693" s="1" t="s">
        <v>309</v>
      </c>
      <c r="I2693" s="1" t="s">
        <v>27</v>
      </c>
      <c r="J2693" s="1">
        <v>21</v>
      </c>
      <c r="K2693" s="1">
        <v>1.9</v>
      </c>
      <c r="L2693" s="4">
        <v>190.59</v>
      </c>
      <c r="M2693" s="1">
        <v>0.79</v>
      </c>
      <c r="N2693" s="1">
        <v>3</v>
      </c>
      <c r="O2693" s="1">
        <v>0.75</v>
      </c>
      <c r="P2693" s="1">
        <v>439</v>
      </c>
      <c r="Q2693" s="1">
        <v>2.78</v>
      </c>
      <c r="R2693" s="1">
        <v>0.21</v>
      </c>
      <c r="S2693" s="2">
        <v>45484</v>
      </c>
      <c r="T2693" s="1">
        <v>274.5</v>
      </c>
      <c r="U2693" s="1">
        <v>0.49</v>
      </c>
      <c r="V2693" s="6">
        <f t="shared" si="126"/>
        <v>31066.170000000002</v>
      </c>
      <c r="W2693" s="6" t="str">
        <f t="shared" si="127"/>
        <v>Sufficient</v>
      </c>
      <c r="X2693" s="8" t="str">
        <f t="shared" si="128"/>
        <v>Medium</v>
      </c>
    </row>
    <row r="2694" spans="1:24">
      <c r="A2694" s="7" t="s">
        <v>2824</v>
      </c>
      <c r="B2694" s="1" t="s">
        <v>66</v>
      </c>
      <c r="C2694" s="1">
        <v>281</v>
      </c>
      <c r="D2694" s="1">
        <v>96</v>
      </c>
      <c r="E2694" s="1">
        <v>8</v>
      </c>
      <c r="F2694" s="1">
        <v>3</v>
      </c>
      <c r="G2694" s="1">
        <v>43.54</v>
      </c>
      <c r="H2694" s="1" t="s">
        <v>59</v>
      </c>
      <c r="I2694" s="1" t="s">
        <v>27</v>
      </c>
      <c r="J2694" s="1">
        <v>88</v>
      </c>
      <c r="K2694" s="1">
        <v>2.5099999999999998</v>
      </c>
      <c r="L2694" s="4">
        <v>65.430000000000007</v>
      </c>
      <c r="M2694" s="1">
        <v>0.56000000000000005</v>
      </c>
      <c r="N2694" s="1">
        <v>6</v>
      </c>
      <c r="O2694" s="1">
        <v>0.98</v>
      </c>
      <c r="P2694" s="1">
        <v>251</v>
      </c>
      <c r="Q2694" s="1">
        <v>12.3</v>
      </c>
      <c r="R2694" s="1">
        <v>0.57999999999999996</v>
      </c>
      <c r="S2694" s="2">
        <v>45626</v>
      </c>
      <c r="T2694" s="1">
        <v>163.28</v>
      </c>
      <c r="U2694" s="1">
        <v>0.7</v>
      </c>
      <c r="V2694" s="6">
        <f t="shared" si="126"/>
        <v>18385.830000000002</v>
      </c>
      <c r="W2694" s="6" t="str">
        <f t="shared" si="127"/>
        <v>Sufficient</v>
      </c>
      <c r="X2694" s="8" t="str">
        <f t="shared" si="128"/>
        <v>High</v>
      </c>
    </row>
    <row r="2695" spans="1:24">
      <c r="A2695" s="7" t="s">
        <v>2825</v>
      </c>
      <c r="B2695" s="1" t="s">
        <v>25</v>
      </c>
      <c r="C2695" s="1">
        <v>460</v>
      </c>
      <c r="D2695" s="1">
        <v>28</v>
      </c>
      <c r="E2695" s="1">
        <v>7</v>
      </c>
      <c r="F2695" s="1">
        <v>4</v>
      </c>
      <c r="G2695" s="1">
        <v>7.33</v>
      </c>
      <c r="H2695" s="1" t="s">
        <v>103</v>
      </c>
      <c r="I2695" s="1" t="s">
        <v>39</v>
      </c>
      <c r="J2695" s="1">
        <v>128</v>
      </c>
      <c r="K2695" s="1">
        <v>3.51</v>
      </c>
      <c r="L2695" s="4">
        <v>115.45</v>
      </c>
      <c r="M2695" s="1">
        <v>1.31</v>
      </c>
      <c r="N2695" s="1">
        <v>7</v>
      </c>
      <c r="O2695" s="1">
        <v>0.82</v>
      </c>
      <c r="P2695" s="1">
        <v>616</v>
      </c>
      <c r="Q2695" s="1">
        <v>10</v>
      </c>
      <c r="R2695" s="1">
        <v>0.63</v>
      </c>
      <c r="S2695" s="2">
        <v>45485</v>
      </c>
      <c r="T2695" s="1">
        <v>115.3</v>
      </c>
      <c r="U2695" s="1">
        <v>0.55200000000000005</v>
      </c>
      <c r="V2695" s="6">
        <f t="shared" si="126"/>
        <v>53107</v>
      </c>
      <c r="W2695" s="6" t="str">
        <f t="shared" si="127"/>
        <v>Sufficient</v>
      </c>
      <c r="X2695" s="8" t="str">
        <f t="shared" si="128"/>
        <v>High</v>
      </c>
    </row>
    <row r="2696" spans="1:24">
      <c r="A2696" s="7" t="s">
        <v>2826</v>
      </c>
      <c r="B2696" s="1" t="s">
        <v>41</v>
      </c>
      <c r="C2696" s="1">
        <v>383</v>
      </c>
      <c r="D2696" s="1">
        <v>21</v>
      </c>
      <c r="E2696" s="1">
        <v>7</v>
      </c>
      <c r="F2696" s="1">
        <v>8</v>
      </c>
      <c r="G2696" s="1">
        <v>32.01</v>
      </c>
      <c r="H2696" s="1" t="s">
        <v>72</v>
      </c>
      <c r="I2696" s="1" t="s">
        <v>45</v>
      </c>
      <c r="J2696" s="1">
        <v>45</v>
      </c>
      <c r="K2696" s="1">
        <v>3.89</v>
      </c>
      <c r="L2696" s="4">
        <v>162.30000000000001</v>
      </c>
      <c r="M2696" s="1">
        <v>1.0900000000000001</v>
      </c>
      <c r="N2696" s="1">
        <v>5</v>
      </c>
      <c r="O2696" s="1">
        <v>0.83</v>
      </c>
      <c r="P2696" s="1">
        <v>770</v>
      </c>
      <c r="Q2696" s="1">
        <v>5.21</v>
      </c>
      <c r="R2696" s="1">
        <v>0.98</v>
      </c>
      <c r="S2696" s="2">
        <v>45479</v>
      </c>
      <c r="T2696" s="1">
        <v>287.05</v>
      </c>
      <c r="U2696" s="1">
        <v>0.622</v>
      </c>
      <c r="V2696" s="6">
        <f t="shared" si="126"/>
        <v>62160.9</v>
      </c>
      <c r="W2696" s="6" t="str">
        <f t="shared" si="127"/>
        <v>Sufficient</v>
      </c>
      <c r="X2696" s="8" t="str">
        <f t="shared" si="128"/>
        <v>High</v>
      </c>
    </row>
    <row r="2697" spans="1:24">
      <c r="A2697" s="7" t="s">
        <v>2827</v>
      </c>
      <c r="B2697" s="1" t="s">
        <v>41</v>
      </c>
      <c r="C2697" s="1">
        <v>450</v>
      </c>
      <c r="D2697" s="1">
        <v>24</v>
      </c>
      <c r="E2697" s="1">
        <v>12</v>
      </c>
      <c r="F2697" s="1">
        <v>9</v>
      </c>
      <c r="G2697" s="1">
        <v>36.28</v>
      </c>
      <c r="H2697" s="1" t="s">
        <v>252</v>
      </c>
      <c r="I2697" s="1" t="s">
        <v>27</v>
      </c>
      <c r="J2697" s="1">
        <v>17</v>
      </c>
      <c r="K2697" s="1">
        <v>2.4500000000000002</v>
      </c>
      <c r="L2697" s="4">
        <v>107.64</v>
      </c>
      <c r="M2697" s="1">
        <v>0.78</v>
      </c>
      <c r="N2697" s="1">
        <v>0</v>
      </c>
      <c r="O2697" s="1">
        <v>0.94</v>
      </c>
      <c r="P2697" s="1">
        <v>441</v>
      </c>
      <c r="Q2697" s="1">
        <v>8.33</v>
      </c>
      <c r="R2697" s="1">
        <v>0.79</v>
      </c>
      <c r="S2697" s="2">
        <v>45592</v>
      </c>
      <c r="T2697" s="1">
        <v>239.53</v>
      </c>
      <c r="U2697" s="1">
        <v>0.77900000000000003</v>
      </c>
      <c r="V2697" s="6">
        <f t="shared" si="126"/>
        <v>48438</v>
      </c>
      <c r="W2697" s="6" t="str">
        <f t="shared" si="127"/>
        <v>Sufficient</v>
      </c>
      <c r="X2697" s="8" t="str">
        <f t="shared" si="128"/>
        <v>High</v>
      </c>
    </row>
    <row r="2698" spans="1:24">
      <c r="A2698" s="7" t="s">
        <v>2828</v>
      </c>
      <c r="B2698" s="1" t="s">
        <v>29</v>
      </c>
      <c r="C2698" s="1">
        <v>258</v>
      </c>
      <c r="D2698" s="1">
        <v>40</v>
      </c>
      <c r="E2698" s="1">
        <v>4</v>
      </c>
      <c r="F2698" s="1">
        <v>2</v>
      </c>
      <c r="G2698" s="1">
        <v>8.8800000000000008</v>
      </c>
      <c r="H2698" s="1" t="s">
        <v>130</v>
      </c>
      <c r="I2698" s="1" t="s">
        <v>31</v>
      </c>
      <c r="J2698" s="1">
        <v>37</v>
      </c>
      <c r="K2698" s="1">
        <v>2.14</v>
      </c>
      <c r="L2698" s="4">
        <v>192.56</v>
      </c>
      <c r="M2698" s="1">
        <v>1.33</v>
      </c>
      <c r="N2698" s="1">
        <v>7</v>
      </c>
      <c r="O2698" s="1">
        <v>0.85</v>
      </c>
      <c r="P2698" s="1">
        <v>890</v>
      </c>
      <c r="Q2698" s="1">
        <v>9.57</v>
      </c>
      <c r="R2698" s="1">
        <v>0.76</v>
      </c>
      <c r="S2698" s="2">
        <v>45626</v>
      </c>
      <c r="T2698" s="1">
        <v>146.54</v>
      </c>
      <c r="U2698" s="1">
        <v>0.57699999999999996</v>
      </c>
      <c r="V2698" s="6">
        <f t="shared" si="126"/>
        <v>49680.480000000003</v>
      </c>
      <c r="W2698" s="6" t="str">
        <f t="shared" si="127"/>
        <v>Sufficient</v>
      </c>
      <c r="X2698" s="8" t="str">
        <f t="shared" si="128"/>
        <v>High</v>
      </c>
    </row>
    <row r="2699" spans="1:24">
      <c r="A2699" s="7" t="s">
        <v>2829</v>
      </c>
      <c r="B2699" s="1" t="s">
        <v>33</v>
      </c>
      <c r="C2699" s="1">
        <v>323</v>
      </c>
      <c r="D2699" s="1">
        <v>52</v>
      </c>
      <c r="E2699" s="1">
        <v>6</v>
      </c>
      <c r="F2699" s="1">
        <v>6</v>
      </c>
      <c r="G2699" s="1">
        <v>32</v>
      </c>
      <c r="H2699" s="1" t="s">
        <v>325</v>
      </c>
      <c r="I2699" s="1" t="s">
        <v>27</v>
      </c>
      <c r="J2699" s="1">
        <v>125</v>
      </c>
      <c r="K2699" s="1">
        <v>3.72</v>
      </c>
      <c r="L2699" s="4">
        <v>170.33</v>
      </c>
      <c r="M2699" s="1">
        <v>1.21</v>
      </c>
      <c r="N2699" s="1">
        <v>0</v>
      </c>
      <c r="O2699" s="1">
        <v>0.74</v>
      </c>
      <c r="P2699" s="1">
        <v>403</v>
      </c>
      <c r="Q2699" s="1">
        <v>1.03</v>
      </c>
      <c r="R2699" s="1">
        <v>0.63</v>
      </c>
      <c r="S2699" s="2">
        <v>45331</v>
      </c>
      <c r="T2699" s="1">
        <v>198.84</v>
      </c>
      <c r="U2699" s="1">
        <v>0.56699999999999995</v>
      </c>
      <c r="V2699" s="6">
        <f t="shared" si="126"/>
        <v>55016.590000000004</v>
      </c>
      <c r="W2699" s="6" t="str">
        <f t="shared" si="127"/>
        <v>Sufficient</v>
      </c>
      <c r="X2699" s="8" t="str">
        <f t="shared" si="128"/>
        <v>High</v>
      </c>
    </row>
    <row r="2700" spans="1:24">
      <c r="A2700" s="7" t="s">
        <v>2830</v>
      </c>
      <c r="B2700" s="1" t="s">
        <v>29</v>
      </c>
      <c r="C2700" s="1">
        <v>317</v>
      </c>
      <c r="D2700" s="1">
        <v>46</v>
      </c>
      <c r="E2700" s="1">
        <v>10</v>
      </c>
      <c r="F2700" s="1">
        <v>8</v>
      </c>
      <c r="G2700" s="1">
        <v>3.57</v>
      </c>
      <c r="H2700" s="1" t="s">
        <v>151</v>
      </c>
      <c r="I2700" s="1" t="s">
        <v>45</v>
      </c>
      <c r="J2700" s="1">
        <v>95</v>
      </c>
      <c r="K2700" s="1">
        <v>1.5</v>
      </c>
      <c r="L2700" s="4">
        <v>184.99</v>
      </c>
      <c r="M2700" s="1">
        <v>1.82</v>
      </c>
      <c r="N2700" s="1">
        <v>8</v>
      </c>
      <c r="O2700" s="1">
        <v>0.83</v>
      </c>
      <c r="P2700" s="1">
        <v>642</v>
      </c>
      <c r="Q2700" s="1">
        <v>10.39</v>
      </c>
      <c r="R2700" s="1">
        <v>0.61</v>
      </c>
      <c r="S2700" s="2">
        <v>45556</v>
      </c>
      <c r="T2700" s="1">
        <v>90.79</v>
      </c>
      <c r="U2700" s="1">
        <v>0.48499999999999999</v>
      </c>
      <c r="V2700" s="6">
        <f t="shared" si="126"/>
        <v>58641.83</v>
      </c>
      <c r="W2700" s="6" t="str">
        <f t="shared" si="127"/>
        <v>Sufficient</v>
      </c>
      <c r="X2700" s="8" t="str">
        <f t="shared" si="128"/>
        <v>High</v>
      </c>
    </row>
    <row r="2701" spans="1:24">
      <c r="A2701" s="7" t="s">
        <v>2831</v>
      </c>
      <c r="B2701" s="1" t="s">
        <v>25</v>
      </c>
      <c r="C2701" s="1">
        <v>95</v>
      </c>
      <c r="D2701" s="1">
        <v>88</v>
      </c>
      <c r="E2701" s="1">
        <v>10</v>
      </c>
      <c r="F2701" s="1">
        <v>5</v>
      </c>
      <c r="G2701" s="1">
        <v>15.37</v>
      </c>
      <c r="H2701" s="1" t="s">
        <v>221</v>
      </c>
      <c r="I2701" s="1" t="s">
        <v>31</v>
      </c>
      <c r="J2701" s="1">
        <v>58</v>
      </c>
      <c r="K2701" s="1">
        <v>0.54</v>
      </c>
      <c r="L2701" s="4">
        <v>80.81</v>
      </c>
      <c r="M2701" s="1">
        <v>1.23</v>
      </c>
      <c r="N2701" s="1">
        <v>1</v>
      </c>
      <c r="O2701" s="1">
        <v>0.89</v>
      </c>
      <c r="P2701" s="1">
        <v>805</v>
      </c>
      <c r="Q2701" s="1">
        <v>10.19</v>
      </c>
      <c r="R2701" s="1">
        <v>0.99</v>
      </c>
      <c r="S2701" s="2">
        <v>45420</v>
      </c>
      <c r="T2701" s="1">
        <v>188.3</v>
      </c>
      <c r="U2701" s="1">
        <v>0.76900000000000002</v>
      </c>
      <c r="V2701" s="6">
        <f t="shared" si="126"/>
        <v>7676.95</v>
      </c>
      <c r="W2701" s="6" t="str">
        <f t="shared" si="127"/>
        <v>Sufficient</v>
      </c>
      <c r="X2701" s="8" t="str">
        <f t="shared" si="128"/>
        <v>LOW</v>
      </c>
    </row>
    <row r="2702" spans="1:24">
      <c r="A2702" s="7" t="s">
        <v>2832</v>
      </c>
      <c r="B2702" s="1" t="s">
        <v>29</v>
      </c>
      <c r="C2702" s="1">
        <v>207</v>
      </c>
      <c r="D2702" s="1">
        <v>38</v>
      </c>
      <c r="E2702" s="1">
        <v>13</v>
      </c>
      <c r="F2702" s="1">
        <v>4</v>
      </c>
      <c r="G2702" s="1">
        <v>46.14</v>
      </c>
      <c r="H2702" s="1" t="s">
        <v>309</v>
      </c>
      <c r="I2702" s="1" t="s">
        <v>39</v>
      </c>
      <c r="J2702" s="1">
        <v>175</v>
      </c>
      <c r="K2702" s="1">
        <v>2.62</v>
      </c>
      <c r="L2702" s="4">
        <v>114.19</v>
      </c>
      <c r="M2702" s="1">
        <v>1.06</v>
      </c>
      <c r="N2702" s="1">
        <v>9</v>
      </c>
      <c r="O2702" s="1">
        <v>0.92</v>
      </c>
      <c r="P2702" s="1">
        <v>284</v>
      </c>
      <c r="Q2702" s="1">
        <v>2.16</v>
      </c>
      <c r="R2702" s="1">
        <v>0.22</v>
      </c>
      <c r="S2702" s="2">
        <v>45484</v>
      </c>
      <c r="T2702" s="1">
        <v>166.61</v>
      </c>
      <c r="U2702" s="1">
        <v>0.371</v>
      </c>
      <c r="V2702" s="6">
        <f t="shared" si="126"/>
        <v>23637.329999999998</v>
      </c>
      <c r="W2702" s="6" t="str">
        <f t="shared" si="127"/>
        <v>Sufficient</v>
      </c>
      <c r="X2702" s="8" t="str">
        <f t="shared" si="128"/>
        <v>Medium</v>
      </c>
    </row>
    <row r="2703" spans="1:24">
      <c r="A2703" s="7" t="s">
        <v>2833</v>
      </c>
      <c r="B2703" s="1" t="s">
        <v>66</v>
      </c>
      <c r="C2703" s="1">
        <v>352</v>
      </c>
      <c r="D2703" s="1">
        <v>35</v>
      </c>
      <c r="E2703" s="1">
        <v>3</v>
      </c>
      <c r="F2703" s="1">
        <v>8</v>
      </c>
      <c r="G2703" s="1">
        <v>9.41</v>
      </c>
      <c r="H2703" s="1" t="s">
        <v>350</v>
      </c>
      <c r="I2703" s="1" t="s">
        <v>31</v>
      </c>
      <c r="J2703" s="1">
        <v>89</v>
      </c>
      <c r="K2703" s="1">
        <v>1.28</v>
      </c>
      <c r="L2703" s="4">
        <v>169.63</v>
      </c>
      <c r="M2703" s="1">
        <v>1.66</v>
      </c>
      <c r="N2703" s="1">
        <v>5</v>
      </c>
      <c r="O2703" s="1">
        <v>0.89</v>
      </c>
      <c r="P2703" s="1">
        <v>163</v>
      </c>
      <c r="Q2703" s="1">
        <v>12.03</v>
      </c>
      <c r="R2703" s="1">
        <v>0.44</v>
      </c>
      <c r="S2703" s="2">
        <v>45406</v>
      </c>
      <c r="T2703" s="1">
        <v>21.38</v>
      </c>
      <c r="U2703" s="1">
        <v>0.56000000000000005</v>
      </c>
      <c r="V2703" s="6">
        <f t="shared" si="126"/>
        <v>59709.759999999995</v>
      </c>
      <c r="W2703" s="6" t="str">
        <f t="shared" si="127"/>
        <v>Sufficient</v>
      </c>
      <c r="X2703" s="8" t="str">
        <f t="shared" si="128"/>
        <v>High</v>
      </c>
    </row>
    <row r="2704" spans="1:24">
      <c r="A2704" s="7" t="s">
        <v>2834</v>
      </c>
      <c r="B2704" s="1" t="s">
        <v>25</v>
      </c>
      <c r="C2704" s="1">
        <v>407</v>
      </c>
      <c r="D2704" s="1">
        <v>11</v>
      </c>
      <c r="E2704" s="1">
        <v>4</v>
      </c>
      <c r="F2704" s="1">
        <v>7</v>
      </c>
      <c r="G2704" s="1">
        <v>4.2</v>
      </c>
      <c r="H2704" s="1" t="s">
        <v>327</v>
      </c>
      <c r="I2704" s="1" t="s">
        <v>45</v>
      </c>
      <c r="J2704" s="1">
        <v>14</v>
      </c>
      <c r="K2704" s="1">
        <v>2.2000000000000002</v>
      </c>
      <c r="L2704" s="4">
        <v>181.67</v>
      </c>
      <c r="M2704" s="1">
        <v>0.48</v>
      </c>
      <c r="N2704" s="1">
        <v>7</v>
      </c>
      <c r="O2704" s="1">
        <v>0.74</v>
      </c>
      <c r="P2704" s="1">
        <v>116</v>
      </c>
      <c r="Q2704" s="1">
        <v>12.55</v>
      </c>
      <c r="R2704" s="1">
        <v>0.31</v>
      </c>
      <c r="S2704" s="2">
        <v>45556</v>
      </c>
      <c r="T2704" s="1">
        <v>261.07</v>
      </c>
      <c r="U2704" s="1">
        <v>0.58899999999999997</v>
      </c>
      <c r="V2704" s="6">
        <f t="shared" si="126"/>
        <v>73939.689999999988</v>
      </c>
      <c r="W2704" s="6" t="str">
        <f t="shared" si="127"/>
        <v>Sufficient</v>
      </c>
      <c r="X2704" s="8" t="str">
        <f t="shared" si="128"/>
        <v>High</v>
      </c>
    </row>
    <row r="2705" spans="1:24">
      <c r="A2705" s="7" t="s">
        <v>2835</v>
      </c>
      <c r="B2705" s="1" t="s">
        <v>41</v>
      </c>
      <c r="C2705" s="1">
        <v>265</v>
      </c>
      <c r="D2705" s="1">
        <v>93</v>
      </c>
      <c r="E2705" s="1">
        <v>7</v>
      </c>
      <c r="F2705" s="1">
        <v>9</v>
      </c>
      <c r="G2705" s="1">
        <v>22.74</v>
      </c>
      <c r="H2705" s="1" t="s">
        <v>171</v>
      </c>
      <c r="I2705" s="1" t="s">
        <v>45</v>
      </c>
      <c r="J2705" s="1">
        <v>55</v>
      </c>
      <c r="K2705" s="1">
        <v>1.81</v>
      </c>
      <c r="L2705" s="4">
        <v>189.43</v>
      </c>
      <c r="M2705" s="1">
        <v>0.56000000000000005</v>
      </c>
      <c r="N2705" s="1">
        <v>4</v>
      </c>
      <c r="O2705" s="1">
        <v>0.79</v>
      </c>
      <c r="P2705" s="1">
        <v>858</v>
      </c>
      <c r="Q2705" s="1">
        <v>5.0599999999999996</v>
      </c>
      <c r="R2705" s="1">
        <v>0.45</v>
      </c>
      <c r="S2705" s="2">
        <v>45499</v>
      </c>
      <c r="T2705" s="1">
        <v>152.16</v>
      </c>
      <c r="U2705" s="1">
        <v>0.57899999999999996</v>
      </c>
      <c r="V2705" s="6">
        <f t="shared" si="126"/>
        <v>50198.950000000004</v>
      </c>
      <c r="W2705" s="6" t="str">
        <f t="shared" si="127"/>
        <v>Sufficient</v>
      </c>
      <c r="X2705" s="8" t="str">
        <f t="shared" si="128"/>
        <v>High</v>
      </c>
    </row>
    <row r="2706" spans="1:24">
      <c r="A2706" s="7" t="s">
        <v>2836</v>
      </c>
      <c r="B2706" s="1" t="s">
        <v>33</v>
      </c>
      <c r="C2706" s="1">
        <v>149</v>
      </c>
      <c r="D2706" s="1">
        <v>24</v>
      </c>
      <c r="E2706" s="1">
        <v>11</v>
      </c>
      <c r="F2706" s="1">
        <v>2</v>
      </c>
      <c r="G2706" s="1">
        <v>42.68</v>
      </c>
      <c r="H2706" s="1" t="s">
        <v>394</v>
      </c>
      <c r="I2706" s="1" t="s">
        <v>31</v>
      </c>
      <c r="J2706" s="1">
        <v>107</v>
      </c>
      <c r="K2706" s="1">
        <v>4</v>
      </c>
      <c r="L2706" s="4">
        <v>177.04</v>
      </c>
      <c r="M2706" s="1">
        <v>1.59</v>
      </c>
      <c r="N2706" s="1">
        <v>1</v>
      </c>
      <c r="O2706" s="1">
        <v>0.92</v>
      </c>
      <c r="P2706" s="1">
        <v>89</v>
      </c>
      <c r="Q2706" s="1">
        <v>3.27</v>
      </c>
      <c r="R2706" s="1">
        <v>0.56999999999999995</v>
      </c>
      <c r="S2706" s="2">
        <v>45472</v>
      </c>
      <c r="T2706" s="1">
        <v>149.12</v>
      </c>
      <c r="U2706" s="1">
        <v>0.56299999999999994</v>
      </c>
      <c r="V2706" s="6">
        <f t="shared" si="126"/>
        <v>26378.959999999999</v>
      </c>
      <c r="W2706" s="6" t="str">
        <f t="shared" si="127"/>
        <v>Sufficient</v>
      </c>
      <c r="X2706" s="8" t="str">
        <f t="shared" si="128"/>
        <v>Medium</v>
      </c>
    </row>
    <row r="2707" spans="1:24">
      <c r="A2707" s="7" t="s">
        <v>2837</v>
      </c>
      <c r="B2707" s="1" t="s">
        <v>25</v>
      </c>
      <c r="C2707" s="1">
        <v>493</v>
      </c>
      <c r="D2707" s="1">
        <v>13</v>
      </c>
      <c r="E2707" s="1">
        <v>12</v>
      </c>
      <c r="F2707" s="1">
        <v>6</v>
      </c>
      <c r="G2707" s="1">
        <v>4.76</v>
      </c>
      <c r="H2707" s="1" t="s">
        <v>52</v>
      </c>
      <c r="I2707" s="1" t="s">
        <v>27</v>
      </c>
      <c r="J2707" s="1">
        <v>111</v>
      </c>
      <c r="K2707" s="1">
        <v>1.99</v>
      </c>
      <c r="L2707" s="4">
        <v>148.84</v>
      </c>
      <c r="M2707" s="1">
        <v>0.94</v>
      </c>
      <c r="N2707" s="1">
        <v>4</v>
      </c>
      <c r="O2707" s="1">
        <v>0.96</v>
      </c>
      <c r="P2707" s="1">
        <v>782</v>
      </c>
      <c r="Q2707" s="1">
        <v>10.61</v>
      </c>
      <c r="R2707" s="1">
        <v>0.47</v>
      </c>
      <c r="S2707" s="2">
        <v>45468</v>
      </c>
      <c r="T2707" s="1">
        <v>92.19</v>
      </c>
      <c r="U2707" s="1">
        <v>0.65300000000000002</v>
      </c>
      <c r="V2707" s="6">
        <f t="shared" si="126"/>
        <v>73378.12</v>
      </c>
      <c r="W2707" s="6" t="str">
        <f t="shared" si="127"/>
        <v>Sufficient</v>
      </c>
      <c r="X2707" s="8" t="str">
        <f t="shared" si="128"/>
        <v>High</v>
      </c>
    </row>
    <row r="2708" spans="1:24">
      <c r="A2708" s="7" t="s">
        <v>2838</v>
      </c>
      <c r="B2708" s="1" t="s">
        <v>25</v>
      </c>
      <c r="C2708" s="1">
        <v>334</v>
      </c>
      <c r="D2708" s="1">
        <v>95</v>
      </c>
      <c r="E2708" s="1">
        <v>13</v>
      </c>
      <c r="F2708" s="1">
        <v>2</v>
      </c>
      <c r="G2708" s="1">
        <v>18.420000000000002</v>
      </c>
      <c r="H2708" s="1" t="s">
        <v>30</v>
      </c>
      <c r="I2708" s="1" t="s">
        <v>45</v>
      </c>
      <c r="J2708" s="1">
        <v>11</v>
      </c>
      <c r="K2708" s="1">
        <v>3.38</v>
      </c>
      <c r="L2708" s="4">
        <v>14.6</v>
      </c>
      <c r="M2708" s="1">
        <v>0.88</v>
      </c>
      <c r="N2708" s="1">
        <v>0</v>
      </c>
      <c r="O2708" s="1">
        <v>0.71</v>
      </c>
      <c r="P2708" s="1">
        <v>152</v>
      </c>
      <c r="Q2708" s="1">
        <v>2.73</v>
      </c>
      <c r="R2708" s="1">
        <v>0.97</v>
      </c>
      <c r="S2708" s="2">
        <v>45541</v>
      </c>
      <c r="T2708" s="1">
        <v>66.95</v>
      </c>
      <c r="U2708" s="1">
        <v>0.68400000000000005</v>
      </c>
      <c r="V2708" s="6">
        <f t="shared" si="126"/>
        <v>4876.3999999999996</v>
      </c>
      <c r="W2708" s="6" t="str">
        <f t="shared" si="127"/>
        <v>Sufficient</v>
      </c>
      <c r="X2708" s="8" t="str">
        <f t="shared" si="128"/>
        <v>High</v>
      </c>
    </row>
    <row r="2709" spans="1:24">
      <c r="A2709" s="7" t="s">
        <v>2839</v>
      </c>
      <c r="B2709" s="1" t="s">
        <v>66</v>
      </c>
      <c r="C2709" s="1">
        <v>430</v>
      </c>
      <c r="D2709" s="1">
        <v>59</v>
      </c>
      <c r="E2709" s="1">
        <v>14</v>
      </c>
      <c r="F2709" s="1">
        <v>4</v>
      </c>
      <c r="G2709" s="1">
        <v>45.09</v>
      </c>
      <c r="H2709" s="1" t="s">
        <v>88</v>
      </c>
      <c r="I2709" s="1" t="s">
        <v>31</v>
      </c>
      <c r="J2709" s="1">
        <v>34</v>
      </c>
      <c r="K2709" s="1">
        <v>3.53</v>
      </c>
      <c r="L2709" s="4">
        <v>69.84</v>
      </c>
      <c r="M2709" s="1">
        <v>1.79</v>
      </c>
      <c r="N2709" s="1">
        <v>7</v>
      </c>
      <c r="O2709" s="1">
        <v>0.71</v>
      </c>
      <c r="P2709" s="1">
        <v>460</v>
      </c>
      <c r="Q2709" s="1">
        <v>13.01</v>
      </c>
      <c r="R2709" s="1">
        <v>0.74</v>
      </c>
      <c r="S2709" s="2">
        <v>45538</v>
      </c>
      <c r="T2709" s="1">
        <v>94.5</v>
      </c>
      <c r="U2709" s="1">
        <v>0.54400000000000004</v>
      </c>
      <c r="V2709" s="6">
        <f t="shared" si="126"/>
        <v>30031.200000000001</v>
      </c>
      <c r="W2709" s="6" t="str">
        <f t="shared" si="127"/>
        <v>Sufficient</v>
      </c>
      <c r="X2709" s="8" t="str">
        <f t="shared" si="128"/>
        <v>High</v>
      </c>
    </row>
    <row r="2710" spans="1:24">
      <c r="A2710" s="7" t="s">
        <v>2840</v>
      </c>
      <c r="B2710" s="1" t="s">
        <v>33</v>
      </c>
      <c r="C2710" s="1">
        <v>302</v>
      </c>
      <c r="D2710" s="1">
        <v>47</v>
      </c>
      <c r="E2710" s="1">
        <v>13</v>
      </c>
      <c r="F2710" s="1">
        <v>9</v>
      </c>
      <c r="G2710" s="1">
        <v>6.79</v>
      </c>
      <c r="H2710" s="1" t="s">
        <v>244</v>
      </c>
      <c r="I2710" s="1" t="s">
        <v>45</v>
      </c>
      <c r="J2710" s="1">
        <v>10</v>
      </c>
      <c r="K2710" s="1">
        <v>2.5499999999999998</v>
      </c>
      <c r="L2710" s="4">
        <v>34.5</v>
      </c>
      <c r="M2710" s="1">
        <v>1.26</v>
      </c>
      <c r="N2710" s="1">
        <v>7</v>
      </c>
      <c r="O2710" s="1">
        <v>0.89</v>
      </c>
      <c r="P2710" s="1">
        <v>344</v>
      </c>
      <c r="Q2710" s="1">
        <v>7.72</v>
      </c>
      <c r="R2710" s="1">
        <v>0.78</v>
      </c>
      <c r="S2710" s="2">
        <v>45601</v>
      </c>
      <c r="T2710" s="1">
        <v>198.49</v>
      </c>
      <c r="U2710" s="1">
        <v>0.57099999999999995</v>
      </c>
      <c r="V2710" s="6">
        <f t="shared" si="126"/>
        <v>10419</v>
      </c>
      <c r="W2710" s="6" t="str">
        <f t="shared" si="127"/>
        <v>Sufficient</v>
      </c>
      <c r="X2710" s="8" t="str">
        <f t="shared" si="128"/>
        <v>High</v>
      </c>
    </row>
    <row r="2711" spans="1:24">
      <c r="A2711" s="7" t="s">
        <v>2841</v>
      </c>
      <c r="B2711" s="1" t="s">
        <v>41</v>
      </c>
      <c r="C2711" s="1">
        <v>98</v>
      </c>
      <c r="D2711" s="1">
        <v>32</v>
      </c>
      <c r="E2711" s="1">
        <v>9</v>
      </c>
      <c r="F2711" s="1">
        <v>3</v>
      </c>
      <c r="G2711" s="1">
        <v>16.22</v>
      </c>
      <c r="H2711" s="1" t="s">
        <v>331</v>
      </c>
      <c r="I2711" s="1" t="s">
        <v>27</v>
      </c>
      <c r="J2711" s="1">
        <v>177</v>
      </c>
      <c r="K2711" s="1">
        <v>0.86</v>
      </c>
      <c r="L2711" s="4">
        <v>39.4</v>
      </c>
      <c r="M2711" s="1">
        <v>1.63</v>
      </c>
      <c r="N2711" s="1">
        <v>1</v>
      </c>
      <c r="O2711" s="1">
        <v>0.86</v>
      </c>
      <c r="P2711" s="1">
        <v>614</v>
      </c>
      <c r="Q2711" s="1">
        <v>13.74</v>
      </c>
      <c r="R2711" s="1">
        <v>0.79</v>
      </c>
      <c r="S2711" s="2">
        <v>45295</v>
      </c>
      <c r="T2711" s="1">
        <v>38.32</v>
      </c>
      <c r="U2711" s="1">
        <v>0.73</v>
      </c>
      <c r="V2711" s="6">
        <f t="shared" si="126"/>
        <v>3861.2</v>
      </c>
      <c r="W2711" s="6" t="str">
        <f t="shared" si="127"/>
        <v>Sufficient</v>
      </c>
      <c r="X2711" s="8" t="str">
        <f t="shared" si="128"/>
        <v>LOW</v>
      </c>
    </row>
    <row r="2712" spans="1:24">
      <c r="A2712" s="7" t="s">
        <v>2842</v>
      </c>
      <c r="B2712" s="1" t="s">
        <v>25</v>
      </c>
      <c r="C2712" s="1">
        <v>91</v>
      </c>
      <c r="D2712" s="1">
        <v>68</v>
      </c>
      <c r="E2712" s="1">
        <v>12</v>
      </c>
      <c r="F2712" s="1">
        <v>6</v>
      </c>
      <c r="G2712" s="1">
        <v>39.14</v>
      </c>
      <c r="H2712" s="1" t="s">
        <v>282</v>
      </c>
      <c r="I2712" s="1" t="s">
        <v>27</v>
      </c>
      <c r="J2712" s="1">
        <v>77</v>
      </c>
      <c r="K2712" s="1">
        <v>3.65</v>
      </c>
      <c r="L2712" s="4">
        <v>65.27</v>
      </c>
      <c r="M2712" s="1">
        <v>1.64</v>
      </c>
      <c r="N2712" s="1">
        <v>5</v>
      </c>
      <c r="O2712" s="1">
        <v>0.75</v>
      </c>
      <c r="P2712" s="1">
        <v>857</v>
      </c>
      <c r="Q2712" s="1">
        <v>9.99</v>
      </c>
      <c r="R2712" s="1">
        <v>0.92</v>
      </c>
      <c r="S2712" s="2">
        <v>45548</v>
      </c>
      <c r="T2712" s="1">
        <v>106.53</v>
      </c>
      <c r="U2712" s="1">
        <v>0.60299999999999998</v>
      </c>
      <c r="V2712" s="6">
        <f t="shared" si="126"/>
        <v>5939.57</v>
      </c>
      <c r="W2712" s="6" t="str">
        <f t="shared" si="127"/>
        <v>Sufficient</v>
      </c>
      <c r="X2712" s="8" t="str">
        <f t="shared" si="128"/>
        <v>LOW</v>
      </c>
    </row>
    <row r="2713" spans="1:24">
      <c r="A2713" s="7" t="s">
        <v>2843</v>
      </c>
      <c r="B2713" s="1" t="s">
        <v>25</v>
      </c>
      <c r="C2713" s="1">
        <v>282</v>
      </c>
      <c r="D2713" s="1">
        <v>99</v>
      </c>
      <c r="E2713" s="1">
        <v>7</v>
      </c>
      <c r="F2713" s="1">
        <v>9</v>
      </c>
      <c r="G2713" s="1">
        <v>27.62</v>
      </c>
      <c r="H2713" s="1" t="s">
        <v>200</v>
      </c>
      <c r="I2713" s="1" t="s">
        <v>31</v>
      </c>
      <c r="J2713" s="1">
        <v>78</v>
      </c>
      <c r="K2713" s="1">
        <v>0.84</v>
      </c>
      <c r="L2713" s="4">
        <v>24.2</v>
      </c>
      <c r="M2713" s="1">
        <v>0.33</v>
      </c>
      <c r="N2713" s="1">
        <v>7</v>
      </c>
      <c r="O2713" s="1">
        <v>0.86</v>
      </c>
      <c r="P2713" s="1">
        <v>613</v>
      </c>
      <c r="Q2713" s="1">
        <v>4.99</v>
      </c>
      <c r="R2713" s="1">
        <v>0.81</v>
      </c>
      <c r="S2713" s="2">
        <v>45363</v>
      </c>
      <c r="T2713" s="1">
        <v>293.83</v>
      </c>
      <c r="U2713" s="1">
        <v>0.628</v>
      </c>
      <c r="V2713" s="6">
        <f t="shared" si="126"/>
        <v>6824.4</v>
      </c>
      <c r="W2713" s="6" t="str">
        <f t="shared" si="127"/>
        <v>Sufficient</v>
      </c>
      <c r="X2713" s="8" t="str">
        <f t="shared" si="128"/>
        <v>High</v>
      </c>
    </row>
    <row r="2714" spans="1:24">
      <c r="A2714" s="7" t="s">
        <v>2844</v>
      </c>
      <c r="B2714" s="1" t="s">
        <v>66</v>
      </c>
      <c r="C2714" s="1">
        <v>210</v>
      </c>
      <c r="D2714" s="1">
        <v>84</v>
      </c>
      <c r="E2714" s="1">
        <v>3</v>
      </c>
      <c r="F2714" s="1">
        <v>2</v>
      </c>
      <c r="G2714" s="1">
        <v>41.78</v>
      </c>
      <c r="H2714" s="1" t="s">
        <v>141</v>
      </c>
      <c r="I2714" s="1" t="s">
        <v>39</v>
      </c>
      <c r="J2714" s="1">
        <v>25</v>
      </c>
      <c r="K2714" s="1">
        <v>0.95</v>
      </c>
      <c r="L2714" s="4">
        <v>56.18</v>
      </c>
      <c r="M2714" s="1">
        <v>1.34</v>
      </c>
      <c r="N2714" s="1">
        <v>9</v>
      </c>
      <c r="O2714" s="1">
        <v>0.99</v>
      </c>
      <c r="P2714" s="1">
        <v>86</v>
      </c>
      <c r="Q2714" s="1">
        <v>7.55</v>
      </c>
      <c r="R2714" s="1">
        <v>0.21</v>
      </c>
      <c r="S2714" s="2">
        <v>45517</v>
      </c>
      <c r="T2714" s="1">
        <v>88.74</v>
      </c>
      <c r="U2714" s="1">
        <v>0.42699999999999999</v>
      </c>
      <c r="V2714" s="6">
        <f t="shared" si="126"/>
        <v>11797.8</v>
      </c>
      <c r="W2714" s="6" t="str">
        <f t="shared" si="127"/>
        <v>Sufficient</v>
      </c>
      <c r="X2714" s="8" t="str">
        <f t="shared" si="128"/>
        <v>Medium</v>
      </c>
    </row>
    <row r="2715" spans="1:24">
      <c r="A2715" s="7" t="s">
        <v>2845</v>
      </c>
      <c r="B2715" s="1" t="s">
        <v>29</v>
      </c>
      <c r="C2715" s="1">
        <v>386</v>
      </c>
      <c r="D2715" s="1">
        <v>37</v>
      </c>
      <c r="E2715" s="1">
        <v>8</v>
      </c>
      <c r="F2715" s="1">
        <v>3</v>
      </c>
      <c r="G2715" s="1">
        <v>6.47</v>
      </c>
      <c r="H2715" s="1" t="s">
        <v>34</v>
      </c>
      <c r="I2715" s="1" t="s">
        <v>39</v>
      </c>
      <c r="J2715" s="1">
        <v>27</v>
      </c>
      <c r="K2715" s="1">
        <v>1.38</v>
      </c>
      <c r="L2715" s="4">
        <v>191.83</v>
      </c>
      <c r="M2715" s="1">
        <v>1.91</v>
      </c>
      <c r="N2715" s="1">
        <v>7</v>
      </c>
      <c r="O2715" s="1">
        <v>0.89</v>
      </c>
      <c r="P2715" s="1">
        <v>116</v>
      </c>
      <c r="Q2715" s="1">
        <v>8.41</v>
      </c>
      <c r="R2715" s="1">
        <v>0.41</v>
      </c>
      <c r="S2715" s="2">
        <v>45376</v>
      </c>
      <c r="T2715" s="1">
        <v>290.33</v>
      </c>
      <c r="U2715" s="1">
        <v>0.441</v>
      </c>
      <c r="V2715" s="6">
        <f t="shared" si="126"/>
        <v>74046.38</v>
      </c>
      <c r="W2715" s="6" t="str">
        <f t="shared" si="127"/>
        <v>Sufficient</v>
      </c>
      <c r="X2715" s="8" t="str">
        <f t="shared" si="128"/>
        <v>High</v>
      </c>
    </row>
    <row r="2716" spans="1:24">
      <c r="A2716" s="7" t="s">
        <v>2846</v>
      </c>
      <c r="B2716" s="1" t="s">
        <v>41</v>
      </c>
      <c r="C2716" s="1">
        <v>394</v>
      </c>
      <c r="D2716" s="1">
        <v>75</v>
      </c>
      <c r="E2716" s="1">
        <v>14</v>
      </c>
      <c r="F2716" s="1">
        <v>5</v>
      </c>
      <c r="G2716" s="1">
        <v>46.11</v>
      </c>
      <c r="H2716" s="1" t="s">
        <v>266</v>
      </c>
      <c r="I2716" s="1" t="s">
        <v>27</v>
      </c>
      <c r="J2716" s="1">
        <v>116</v>
      </c>
      <c r="K2716" s="1">
        <v>1.76</v>
      </c>
      <c r="L2716" s="4">
        <v>69.27</v>
      </c>
      <c r="M2716" s="1">
        <v>1.01</v>
      </c>
      <c r="N2716" s="1">
        <v>6</v>
      </c>
      <c r="O2716" s="1">
        <v>0.83</v>
      </c>
      <c r="P2716" s="1">
        <v>452</v>
      </c>
      <c r="Q2716" s="1">
        <v>12.41</v>
      </c>
      <c r="R2716" s="1">
        <v>0.99</v>
      </c>
      <c r="S2716" s="2">
        <v>45409</v>
      </c>
      <c r="T2716" s="1">
        <v>40.4</v>
      </c>
      <c r="U2716" s="1">
        <v>0.70799999999999996</v>
      </c>
      <c r="V2716" s="6">
        <f t="shared" si="126"/>
        <v>27292.379999999997</v>
      </c>
      <c r="W2716" s="6" t="str">
        <f t="shared" si="127"/>
        <v>Sufficient</v>
      </c>
      <c r="X2716" s="8" t="str">
        <f t="shared" si="128"/>
        <v>High</v>
      </c>
    </row>
    <row r="2717" spans="1:24">
      <c r="A2717" s="7" t="s">
        <v>2847</v>
      </c>
      <c r="B2717" s="1" t="s">
        <v>33</v>
      </c>
      <c r="C2717" s="1">
        <v>449</v>
      </c>
      <c r="D2717" s="1">
        <v>17</v>
      </c>
      <c r="E2717" s="1">
        <v>10</v>
      </c>
      <c r="F2717" s="1">
        <v>4</v>
      </c>
      <c r="G2717" s="1">
        <v>46.81</v>
      </c>
      <c r="H2717" s="1" t="s">
        <v>350</v>
      </c>
      <c r="I2717" s="1" t="s">
        <v>39</v>
      </c>
      <c r="J2717" s="1">
        <v>26</v>
      </c>
      <c r="K2717" s="1">
        <v>4.3099999999999996</v>
      </c>
      <c r="L2717" s="4">
        <v>40.35</v>
      </c>
      <c r="M2717" s="1">
        <v>1.49</v>
      </c>
      <c r="N2717" s="1">
        <v>2</v>
      </c>
      <c r="O2717" s="1">
        <v>0.95</v>
      </c>
      <c r="P2717" s="1">
        <v>723</v>
      </c>
      <c r="Q2717" s="1">
        <v>13.07</v>
      </c>
      <c r="R2717" s="1">
        <v>0.72</v>
      </c>
      <c r="S2717" s="2">
        <v>45331</v>
      </c>
      <c r="T2717" s="1">
        <v>240.26</v>
      </c>
      <c r="U2717" s="1">
        <v>0.71899999999999997</v>
      </c>
      <c r="V2717" s="6">
        <f t="shared" si="126"/>
        <v>18117.150000000001</v>
      </c>
      <c r="W2717" s="6" t="str">
        <f t="shared" si="127"/>
        <v>Sufficient</v>
      </c>
      <c r="X2717" s="8" t="str">
        <f t="shared" si="128"/>
        <v>High</v>
      </c>
    </row>
    <row r="2718" spans="1:24">
      <c r="A2718" s="7" t="s">
        <v>2848</v>
      </c>
      <c r="B2718" s="1" t="s">
        <v>25</v>
      </c>
      <c r="C2718" s="1">
        <v>82</v>
      </c>
      <c r="D2718" s="1">
        <v>38</v>
      </c>
      <c r="E2718" s="1">
        <v>9</v>
      </c>
      <c r="F2718" s="1">
        <v>4</v>
      </c>
      <c r="G2718" s="1">
        <v>8.61</v>
      </c>
      <c r="H2718" s="1" t="s">
        <v>122</v>
      </c>
      <c r="I2718" s="1" t="s">
        <v>27</v>
      </c>
      <c r="J2718" s="1">
        <v>134</v>
      </c>
      <c r="K2718" s="1">
        <v>3.54</v>
      </c>
      <c r="L2718" s="4">
        <v>146.47999999999999</v>
      </c>
      <c r="M2718" s="1">
        <v>1.18</v>
      </c>
      <c r="N2718" s="1">
        <v>3</v>
      </c>
      <c r="O2718" s="1">
        <v>0.76</v>
      </c>
      <c r="P2718" s="1">
        <v>255</v>
      </c>
      <c r="Q2718" s="1">
        <v>10.56</v>
      </c>
      <c r="R2718" s="1">
        <v>0.25</v>
      </c>
      <c r="S2718" s="2">
        <v>45555</v>
      </c>
      <c r="T2718" s="1">
        <v>137.52000000000001</v>
      </c>
      <c r="U2718" s="1">
        <v>0.56499999999999995</v>
      </c>
      <c r="V2718" s="6">
        <f t="shared" si="126"/>
        <v>12011.359999999999</v>
      </c>
      <c r="W2718" s="6" t="str">
        <f t="shared" si="127"/>
        <v>Sufficient</v>
      </c>
      <c r="X2718" s="8" t="str">
        <f t="shared" si="128"/>
        <v>LOW</v>
      </c>
    </row>
    <row r="2719" spans="1:24">
      <c r="A2719" s="7" t="s">
        <v>2849</v>
      </c>
      <c r="B2719" s="1" t="s">
        <v>25</v>
      </c>
      <c r="C2719" s="1">
        <v>399</v>
      </c>
      <c r="D2719" s="1">
        <v>20</v>
      </c>
      <c r="E2719" s="1">
        <v>4</v>
      </c>
      <c r="F2719" s="1">
        <v>6</v>
      </c>
      <c r="G2719" s="1">
        <v>2.66</v>
      </c>
      <c r="H2719" s="1" t="s">
        <v>83</v>
      </c>
      <c r="I2719" s="1" t="s">
        <v>39</v>
      </c>
      <c r="J2719" s="1">
        <v>91</v>
      </c>
      <c r="K2719" s="1">
        <v>2.2400000000000002</v>
      </c>
      <c r="L2719" s="4">
        <v>167.42</v>
      </c>
      <c r="M2719" s="1">
        <v>0.49</v>
      </c>
      <c r="N2719" s="1">
        <v>0</v>
      </c>
      <c r="O2719" s="1">
        <v>0.82</v>
      </c>
      <c r="P2719" s="1">
        <v>390</v>
      </c>
      <c r="Q2719" s="1">
        <v>5.12</v>
      </c>
      <c r="R2719" s="1">
        <v>0.56999999999999995</v>
      </c>
      <c r="S2719" s="2">
        <v>45621</v>
      </c>
      <c r="T2719" s="1">
        <v>66.5</v>
      </c>
      <c r="U2719" s="1">
        <v>0.69699999999999995</v>
      </c>
      <c r="V2719" s="6">
        <f t="shared" si="126"/>
        <v>66800.58</v>
      </c>
      <c r="W2719" s="6" t="str">
        <f t="shared" si="127"/>
        <v>Sufficient</v>
      </c>
      <c r="X2719" s="8" t="str">
        <f t="shared" si="128"/>
        <v>High</v>
      </c>
    </row>
    <row r="2720" spans="1:24">
      <c r="A2720" s="7" t="s">
        <v>2850</v>
      </c>
      <c r="B2720" s="1" t="s">
        <v>41</v>
      </c>
      <c r="C2720" s="1">
        <v>31</v>
      </c>
      <c r="D2720" s="1">
        <v>27</v>
      </c>
      <c r="E2720" s="1">
        <v>14</v>
      </c>
      <c r="F2720" s="1">
        <v>2</v>
      </c>
      <c r="G2720" s="1">
        <v>49.5</v>
      </c>
      <c r="H2720" s="1" t="s">
        <v>208</v>
      </c>
      <c r="I2720" s="1" t="s">
        <v>27</v>
      </c>
      <c r="J2720" s="1">
        <v>13</v>
      </c>
      <c r="K2720" s="1">
        <v>4.9000000000000004</v>
      </c>
      <c r="L2720" s="4">
        <v>69.67</v>
      </c>
      <c r="M2720" s="1">
        <v>0.47</v>
      </c>
      <c r="N2720" s="1">
        <v>8</v>
      </c>
      <c r="O2720" s="1">
        <v>0.86</v>
      </c>
      <c r="P2720" s="1">
        <v>883</v>
      </c>
      <c r="Q2720" s="1">
        <v>8.4</v>
      </c>
      <c r="R2720" s="1">
        <v>0.98</v>
      </c>
      <c r="S2720" s="2">
        <v>45435</v>
      </c>
      <c r="T2720" s="1">
        <v>238.35</v>
      </c>
      <c r="U2720" s="1">
        <v>0.67300000000000004</v>
      </c>
      <c r="V2720" s="6">
        <f t="shared" si="126"/>
        <v>2159.77</v>
      </c>
      <c r="W2720" s="6" t="str">
        <f t="shared" si="127"/>
        <v>Sufficient</v>
      </c>
      <c r="X2720" s="8" t="str">
        <f t="shared" si="128"/>
        <v>LOW</v>
      </c>
    </row>
    <row r="2721" spans="1:24">
      <c r="A2721" s="7" t="s">
        <v>2851</v>
      </c>
      <c r="B2721" s="1" t="s">
        <v>29</v>
      </c>
      <c r="C2721" s="1">
        <v>160</v>
      </c>
      <c r="D2721" s="1">
        <v>64</v>
      </c>
      <c r="E2721" s="1">
        <v>7</v>
      </c>
      <c r="F2721" s="1">
        <v>5</v>
      </c>
      <c r="G2721" s="1">
        <v>24.63</v>
      </c>
      <c r="H2721" s="1" t="s">
        <v>244</v>
      </c>
      <c r="I2721" s="1" t="s">
        <v>45</v>
      </c>
      <c r="J2721" s="1">
        <v>124</v>
      </c>
      <c r="K2721" s="1">
        <v>1.6</v>
      </c>
      <c r="L2721" s="4">
        <v>62.91</v>
      </c>
      <c r="M2721" s="1">
        <v>0.92</v>
      </c>
      <c r="N2721" s="1">
        <v>9</v>
      </c>
      <c r="O2721" s="1">
        <v>0.85</v>
      </c>
      <c r="P2721" s="1">
        <v>955</v>
      </c>
      <c r="Q2721" s="1">
        <v>2.83</v>
      </c>
      <c r="R2721" s="1">
        <v>0.99</v>
      </c>
      <c r="S2721" s="2">
        <v>45400</v>
      </c>
      <c r="T2721" s="1">
        <v>12.02</v>
      </c>
      <c r="U2721" s="1">
        <v>0.53400000000000003</v>
      </c>
      <c r="V2721" s="6">
        <f t="shared" si="126"/>
        <v>10065.599999999999</v>
      </c>
      <c r="W2721" s="6" t="str">
        <f t="shared" si="127"/>
        <v>Sufficient</v>
      </c>
      <c r="X2721" s="8" t="str">
        <f t="shared" si="128"/>
        <v>Medium</v>
      </c>
    </row>
    <row r="2722" spans="1:24">
      <c r="A2722" s="7" t="s">
        <v>2852</v>
      </c>
      <c r="B2722" s="1" t="s">
        <v>25</v>
      </c>
      <c r="C2722" s="1">
        <v>273</v>
      </c>
      <c r="D2722" s="1">
        <v>59</v>
      </c>
      <c r="E2722" s="1">
        <v>13</v>
      </c>
      <c r="F2722" s="1">
        <v>7</v>
      </c>
      <c r="G2722" s="1">
        <v>29.03</v>
      </c>
      <c r="H2722" s="1" t="s">
        <v>147</v>
      </c>
      <c r="I2722" s="1" t="s">
        <v>31</v>
      </c>
      <c r="J2722" s="1">
        <v>104</v>
      </c>
      <c r="K2722" s="1">
        <v>3.24</v>
      </c>
      <c r="L2722" s="4">
        <v>55.93</v>
      </c>
      <c r="M2722" s="1">
        <v>1.02</v>
      </c>
      <c r="N2722" s="1">
        <v>9</v>
      </c>
      <c r="O2722" s="1">
        <v>0.98</v>
      </c>
      <c r="P2722" s="1">
        <v>101</v>
      </c>
      <c r="Q2722" s="1">
        <v>4.22</v>
      </c>
      <c r="R2722" s="1">
        <v>0.55000000000000004</v>
      </c>
      <c r="S2722" s="2">
        <v>45368</v>
      </c>
      <c r="T2722" s="1">
        <v>110.67</v>
      </c>
      <c r="U2722" s="1">
        <v>0.48</v>
      </c>
      <c r="V2722" s="6">
        <f t="shared" si="126"/>
        <v>15268.89</v>
      </c>
      <c r="W2722" s="6" t="str">
        <f t="shared" si="127"/>
        <v>Sufficient</v>
      </c>
      <c r="X2722" s="8" t="str">
        <f t="shared" si="128"/>
        <v>High</v>
      </c>
    </row>
    <row r="2723" spans="1:24">
      <c r="A2723" s="7" t="s">
        <v>2853</v>
      </c>
      <c r="B2723" s="1" t="s">
        <v>41</v>
      </c>
      <c r="C2723" s="1">
        <v>62</v>
      </c>
      <c r="D2723" s="1">
        <v>23</v>
      </c>
      <c r="E2723" s="1">
        <v>6</v>
      </c>
      <c r="F2723" s="1">
        <v>6</v>
      </c>
      <c r="G2723" s="1">
        <v>31.18</v>
      </c>
      <c r="H2723" s="1" t="s">
        <v>70</v>
      </c>
      <c r="I2723" s="1" t="s">
        <v>31</v>
      </c>
      <c r="J2723" s="1">
        <v>104</v>
      </c>
      <c r="K2723" s="1">
        <v>4.3099999999999996</v>
      </c>
      <c r="L2723" s="4">
        <v>84.72</v>
      </c>
      <c r="M2723" s="1">
        <v>1.06</v>
      </c>
      <c r="N2723" s="1">
        <v>1</v>
      </c>
      <c r="O2723" s="1">
        <v>0.79</v>
      </c>
      <c r="P2723" s="1">
        <v>475</v>
      </c>
      <c r="Q2723" s="1">
        <v>5.24</v>
      </c>
      <c r="R2723" s="1">
        <v>0.91</v>
      </c>
      <c r="S2723" s="2">
        <v>45387</v>
      </c>
      <c r="T2723" s="1">
        <v>185.41</v>
      </c>
      <c r="U2723" s="1">
        <v>0.68400000000000005</v>
      </c>
      <c r="V2723" s="6">
        <f t="shared" si="126"/>
        <v>5252.64</v>
      </c>
      <c r="W2723" s="6" t="str">
        <f t="shared" si="127"/>
        <v>Sufficient</v>
      </c>
      <c r="X2723" s="8" t="str">
        <f t="shared" si="128"/>
        <v>LOW</v>
      </c>
    </row>
    <row r="2724" spans="1:24">
      <c r="A2724" s="7" t="s">
        <v>2854</v>
      </c>
      <c r="B2724" s="1" t="s">
        <v>66</v>
      </c>
      <c r="C2724" s="1">
        <v>36</v>
      </c>
      <c r="D2724" s="1">
        <v>83</v>
      </c>
      <c r="E2724" s="1">
        <v>11</v>
      </c>
      <c r="F2724" s="1">
        <v>9</v>
      </c>
      <c r="G2724" s="1">
        <v>39.69</v>
      </c>
      <c r="H2724" s="1" t="s">
        <v>282</v>
      </c>
      <c r="I2724" s="1" t="s">
        <v>39</v>
      </c>
      <c r="J2724" s="1">
        <v>146</v>
      </c>
      <c r="K2724" s="1">
        <v>4.1100000000000003</v>
      </c>
      <c r="L2724" s="4">
        <v>26.57</v>
      </c>
      <c r="M2724" s="1">
        <v>1.91</v>
      </c>
      <c r="N2724" s="1">
        <v>9</v>
      </c>
      <c r="O2724" s="1">
        <v>0.72</v>
      </c>
      <c r="P2724" s="1">
        <v>258</v>
      </c>
      <c r="Q2724" s="1">
        <v>2.02</v>
      </c>
      <c r="R2724" s="1">
        <v>0.67</v>
      </c>
      <c r="S2724" s="2">
        <v>45372</v>
      </c>
      <c r="T2724" s="1">
        <v>76.98</v>
      </c>
      <c r="U2724" s="1">
        <v>0.33400000000000002</v>
      </c>
      <c r="V2724" s="6">
        <f t="shared" si="126"/>
        <v>956.52</v>
      </c>
      <c r="W2724" s="6" t="str">
        <f t="shared" si="127"/>
        <v>Reorder Required</v>
      </c>
      <c r="X2724" s="8" t="str">
        <f t="shared" si="128"/>
        <v>LOW</v>
      </c>
    </row>
    <row r="2725" spans="1:24">
      <c r="A2725" s="7" t="s">
        <v>2855</v>
      </c>
      <c r="B2725" s="1" t="s">
        <v>29</v>
      </c>
      <c r="C2725" s="1">
        <v>82</v>
      </c>
      <c r="D2725" s="1">
        <v>18</v>
      </c>
      <c r="E2725" s="1">
        <v>12</v>
      </c>
      <c r="F2725" s="1">
        <v>7</v>
      </c>
      <c r="G2725" s="1">
        <v>40.79</v>
      </c>
      <c r="H2725" s="1" t="s">
        <v>258</v>
      </c>
      <c r="I2725" s="1" t="s">
        <v>31</v>
      </c>
      <c r="J2725" s="1">
        <v>40</v>
      </c>
      <c r="K2725" s="1">
        <v>0.91</v>
      </c>
      <c r="L2725" s="4">
        <v>137.13</v>
      </c>
      <c r="M2725" s="1">
        <v>0.28999999999999998</v>
      </c>
      <c r="N2725" s="1">
        <v>6</v>
      </c>
      <c r="O2725" s="1">
        <v>0.97</v>
      </c>
      <c r="P2725" s="1">
        <v>563</v>
      </c>
      <c r="Q2725" s="1">
        <v>13.39</v>
      </c>
      <c r="R2725" s="1">
        <v>0.61</v>
      </c>
      <c r="S2725" s="2">
        <v>45477</v>
      </c>
      <c r="T2725" s="1">
        <v>106.43</v>
      </c>
      <c r="U2725" s="1">
        <v>0.746</v>
      </c>
      <c r="V2725" s="6">
        <f t="shared" si="126"/>
        <v>11244.66</v>
      </c>
      <c r="W2725" s="6" t="str">
        <f t="shared" si="127"/>
        <v>Sufficient</v>
      </c>
      <c r="X2725" s="8" t="str">
        <f t="shared" si="128"/>
        <v>LOW</v>
      </c>
    </row>
    <row r="2726" spans="1:24">
      <c r="A2726" s="7" t="s">
        <v>2856</v>
      </c>
      <c r="B2726" s="1" t="s">
        <v>33</v>
      </c>
      <c r="C2726" s="1">
        <v>272</v>
      </c>
      <c r="D2726" s="1">
        <v>20</v>
      </c>
      <c r="E2726" s="1">
        <v>3</v>
      </c>
      <c r="F2726" s="1">
        <v>6</v>
      </c>
      <c r="G2726" s="1">
        <v>10.5</v>
      </c>
      <c r="H2726" s="1" t="s">
        <v>244</v>
      </c>
      <c r="I2726" s="1" t="s">
        <v>39</v>
      </c>
      <c r="J2726" s="1">
        <v>142</v>
      </c>
      <c r="K2726" s="1">
        <v>3.64</v>
      </c>
      <c r="L2726" s="4">
        <v>166.22</v>
      </c>
      <c r="M2726" s="1">
        <v>0.82</v>
      </c>
      <c r="N2726" s="1">
        <v>7</v>
      </c>
      <c r="O2726" s="1">
        <v>0.77</v>
      </c>
      <c r="P2726" s="1">
        <v>690</v>
      </c>
      <c r="Q2726" s="1">
        <v>2.72</v>
      </c>
      <c r="R2726" s="1">
        <v>0.53</v>
      </c>
      <c r="S2726" s="2">
        <v>45600</v>
      </c>
      <c r="T2726" s="1">
        <v>36.520000000000003</v>
      </c>
      <c r="U2726" s="1">
        <v>0.47399999999999998</v>
      </c>
      <c r="V2726" s="6">
        <f t="shared" si="126"/>
        <v>45211.839999999997</v>
      </c>
      <c r="W2726" s="6" t="str">
        <f t="shared" si="127"/>
        <v>Sufficient</v>
      </c>
      <c r="X2726" s="8" t="str">
        <f t="shared" si="128"/>
        <v>High</v>
      </c>
    </row>
    <row r="2727" spans="1:24">
      <c r="A2727" s="7" t="s">
        <v>2857</v>
      </c>
      <c r="B2727" s="1" t="s">
        <v>25</v>
      </c>
      <c r="C2727" s="1">
        <v>484</v>
      </c>
      <c r="D2727" s="1">
        <v>72</v>
      </c>
      <c r="E2727" s="1">
        <v>14</v>
      </c>
      <c r="F2727" s="1">
        <v>2</v>
      </c>
      <c r="G2727" s="1">
        <v>12.6</v>
      </c>
      <c r="H2727" s="1" t="s">
        <v>459</v>
      </c>
      <c r="I2727" s="1" t="s">
        <v>27</v>
      </c>
      <c r="J2727" s="1">
        <v>25</v>
      </c>
      <c r="K2727" s="1">
        <v>1.66</v>
      </c>
      <c r="L2727" s="4">
        <v>136.1</v>
      </c>
      <c r="M2727" s="1">
        <v>1.08</v>
      </c>
      <c r="N2727" s="1">
        <v>3</v>
      </c>
      <c r="O2727" s="1">
        <v>0.81</v>
      </c>
      <c r="P2727" s="1">
        <v>227</v>
      </c>
      <c r="Q2727" s="1">
        <v>10.76</v>
      </c>
      <c r="R2727" s="1">
        <v>0.91</v>
      </c>
      <c r="S2727" s="2">
        <v>45352</v>
      </c>
      <c r="T2727" s="1">
        <v>257.43</v>
      </c>
      <c r="U2727" s="1">
        <v>0.71899999999999997</v>
      </c>
      <c r="V2727" s="6">
        <f t="shared" si="126"/>
        <v>65872.399999999994</v>
      </c>
      <c r="W2727" s="6" t="str">
        <f t="shared" si="127"/>
        <v>Sufficient</v>
      </c>
      <c r="X2727" s="8" t="str">
        <f t="shared" si="128"/>
        <v>High</v>
      </c>
    </row>
    <row r="2728" spans="1:24">
      <c r="A2728" s="7" t="s">
        <v>2858</v>
      </c>
      <c r="B2728" s="1" t="s">
        <v>41</v>
      </c>
      <c r="C2728" s="1">
        <v>395</v>
      </c>
      <c r="D2728" s="1">
        <v>85</v>
      </c>
      <c r="E2728" s="1">
        <v>8</v>
      </c>
      <c r="F2728" s="1">
        <v>5</v>
      </c>
      <c r="G2728" s="1">
        <v>43.96</v>
      </c>
      <c r="H2728" s="1" t="s">
        <v>189</v>
      </c>
      <c r="I2728" s="1" t="s">
        <v>45</v>
      </c>
      <c r="J2728" s="1">
        <v>51</v>
      </c>
      <c r="K2728" s="1">
        <v>2.1</v>
      </c>
      <c r="L2728" s="4">
        <v>90.03</v>
      </c>
      <c r="M2728" s="1">
        <v>1.93</v>
      </c>
      <c r="N2728" s="1">
        <v>9</v>
      </c>
      <c r="O2728" s="1">
        <v>0.86</v>
      </c>
      <c r="P2728" s="1">
        <v>725</v>
      </c>
      <c r="Q2728" s="1">
        <v>8.08</v>
      </c>
      <c r="R2728" s="1">
        <v>0.7</v>
      </c>
      <c r="S2728" s="2">
        <v>45630</v>
      </c>
      <c r="T2728" s="1">
        <v>132.43</v>
      </c>
      <c r="U2728" s="1">
        <v>0.44700000000000001</v>
      </c>
      <c r="V2728" s="6">
        <f t="shared" si="126"/>
        <v>35561.85</v>
      </c>
      <c r="W2728" s="6" t="str">
        <f t="shared" si="127"/>
        <v>Sufficient</v>
      </c>
      <c r="X2728" s="8" t="str">
        <f t="shared" si="128"/>
        <v>High</v>
      </c>
    </row>
    <row r="2729" spans="1:24">
      <c r="A2729" s="7" t="s">
        <v>2859</v>
      </c>
      <c r="B2729" s="1" t="s">
        <v>66</v>
      </c>
      <c r="C2729" s="1">
        <v>311</v>
      </c>
      <c r="D2729" s="1">
        <v>76</v>
      </c>
      <c r="E2729" s="1">
        <v>5</v>
      </c>
      <c r="F2729" s="1">
        <v>2</v>
      </c>
      <c r="G2729" s="1">
        <v>41.16</v>
      </c>
      <c r="H2729" s="1" t="s">
        <v>274</v>
      </c>
      <c r="I2729" s="1" t="s">
        <v>31</v>
      </c>
      <c r="J2729" s="1">
        <v>178</v>
      </c>
      <c r="K2729" s="1">
        <v>2.7</v>
      </c>
      <c r="L2729" s="4">
        <v>64.900000000000006</v>
      </c>
      <c r="M2729" s="1">
        <v>1.06</v>
      </c>
      <c r="N2729" s="1">
        <v>0</v>
      </c>
      <c r="O2729" s="1">
        <v>0.99</v>
      </c>
      <c r="P2729" s="1">
        <v>914</v>
      </c>
      <c r="Q2729" s="1">
        <v>12.64</v>
      </c>
      <c r="R2729" s="1">
        <v>0.47</v>
      </c>
      <c r="S2729" s="2">
        <v>45409</v>
      </c>
      <c r="T2729" s="1">
        <v>52.14</v>
      </c>
      <c r="U2729" s="1">
        <v>0.755</v>
      </c>
      <c r="V2729" s="6">
        <f t="shared" si="126"/>
        <v>20183.900000000001</v>
      </c>
      <c r="W2729" s="6" t="str">
        <f t="shared" si="127"/>
        <v>Sufficient</v>
      </c>
      <c r="X2729" s="8" t="str">
        <f t="shared" si="128"/>
        <v>High</v>
      </c>
    </row>
    <row r="2730" spans="1:24">
      <c r="A2730" s="7" t="s">
        <v>2860</v>
      </c>
      <c r="B2730" s="1" t="s">
        <v>33</v>
      </c>
      <c r="C2730" s="1">
        <v>488</v>
      </c>
      <c r="D2730" s="1">
        <v>62</v>
      </c>
      <c r="E2730" s="1">
        <v>13</v>
      </c>
      <c r="F2730" s="1">
        <v>4</v>
      </c>
      <c r="G2730" s="1">
        <v>31.26</v>
      </c>
      <c r="H2730" s="1" t="s">
        <v>141</v>
      </c>
      <c r="I2730" s="1" t="s">
        <v>45</v>
      </c>
      <c r="J2730" s="1">
        <v>39</v>
      </c>
      <c r="K2730" s="1">
        <v>4.0599999999999996</v>
      </c>
      <c r="L2730" s="4">
        <v>87.79</v>
      </c>
      <c r="M2730" s="1">
        <v>1.57</v>
      </c>
      <c r="N2730" s="1">
        <v>4</v>
      </c>
      <c r="O2730" s="1">
        <v>0.86</v>
      </c>
      <c r="P2730" s="1">
        <v>71</v>
      </c>
      <c r="Q2730" s="1">
        <v>11.37</v>
      </c>
      <c r="R2730" s="1">
        <v>0.59</v>
      </c>
      <c r="S2730" s="2">
        <v>45504</v>
      </c>
      <c r="T2730" s="1">
        <v>67.739999999999995</v>
      </c>
      <c r="U2730" s="1">
        <v>0.60499999999999998</v>
      </c>
      <c r="V2730" s="6">
        <f t="shared" si="126"/>
        <v>42841.520000000004</v>
      </c>
      <c r="W2730" s="6" t="str">
        <f t="shared" si="127"/>
        <v>Sufficient</v>
      </c>
      <c r="X2730" s="8" t="str">
        <f t="shared" si="128"/>
        <v>High</v>
      </c>
    </row>
    <row r="2731" spans="1:24">
      <c r="A2731" s="7" t="s">
        <v>2861</v>
      </c>
      <c r="B2731" s="1" t="s">
        <v>41</v>
      </c>
      <c r="C2731" s="1">
        <v>27</v>
      </c>
      <c r="D2731" s="1">
        <v>48</v>
      </c>
      <c r="E2731" s="1">
        <v>11</v>
      </c>
      <c r="F2731" s="1">
        <v>7</v>
      </c>
      <c r="G2731" s="1">
        <v>49.74</v>
      </c>
      <c r="H2731" s="1" t="s">
        <v>282</v>
      </c>
      <c r="I2731" s="1" t="s">
        <v>31</v>
      </c>
      <c r="J2731" s="1">
        <v>35</v>
      </c>
      <c r="K2731" s="1">
        <v>1.25</v>
      </c>
      <c r="L2731" s="4">
        <v>90.53</v>
      </c>
      <c r="M2731" s="1">
        <v>1.52</v>
      </c>
      <c r="N2731" s="1">
        <v>9</v>
      </c>
      <c r="O2731" s="1">
        <v>0.83</v>
      </c>
      <c r="P2731" s="1">
        <v>418</v>
      </c>
      <c r="Q2731" s="1">
        <v>11.64</v>
      </c>
      <c r="R2731" s="1">
        <v>0.56000000000000005</v>
      </c>
      <c r="S2731" s="2">
        <v>45461</v>
      </c>
      <c r="T2731" s="1">
        <v>89.8</v>
      </c>
      <c r="U2731" s="1">
        <v>0.501</v>
      </c>
      <c r="V2731" s="6">
        <f t="shared" si="126"/>
        <v>2444.31</v>
      </c>
      <c r="W2731" s="6" t="str">
        <f t="shared" si="127"/>
        <v>Reorder Required</v>
      </c>
      <c r="X2731" s="8" t="str">
        <f t="shared" si="128"/>
        <v>LOW</v>
      </c>
    </row>
    <row r="2732" spans="1:24">
      <c r="A2732" s="7" t="s">
        <v>2862</v>
      </c>
      <c r="B2732" s="1" t="s">
        <v>41</v>
      </c>
      <c r="C2732" s="1">
        <v>344</v>
      </c>
      <c r="D2732" s="1">
        <v>87</v>
      </c>
      <c r="E2732" s="1">
        <v>7</v>
      </c>
      <c r="F2732" s="1">
        <v>3</v>
      </c>
      <c r="G2732" s="1">
        <v>37.020000000000003</v>
      </c>
      <c r="H2732" s="1" t="s">
        <v>143</v>
      </c>
      <c r="I2732" s="1" t="s">
        <v>27</v>
      </c>
      <c r="J2732" s="1">
        <v>40</v>
      </c>
      <c r="K2732" s="1">
        <v>0.99</v>
      </c>
      <c r="L2732" s="4">
        <v>136.54</v>
      </c>
      <c r="M2732" s="1">
        <v>1.18</v>
      </c>
      <c r="N2732" s="1">
        <v>9</v>
      </c>
      <c r="O2732" s="1">
        <v>0.88</v>
      </c>
      <c r="P2732" s="1">
        <v>788</v>
      </c>
      <c r="Q2732" s="1">
        <v>6.86</v>
      </c>
      <c r="R2732" s="1">
        <v>0.56000000000000005</v>
      </c>
      <c r="S2732" s="2">
        <v>45350</v>
      </c>
      <c r="T2732" s="1">
        <v>76.55</v>
      </c>
      <c r="U2732" s="1">
        <v>0.48099999999999998</v>
      </c>
      <c r="V2732" s="6">
        <f t="shared" si="126"/>
        <v>46969.759999999995</v>
      </c>
      <c r="W2732" s="6" t="str">
        <f t="shared" si="127"/>
        <v>Sufficient</v>
      </c>
      <c r="X2732" s="8" t="str">
        <f t="shared" si="128"/>
        <v>High</v>
      </c>
    </row>
    <row r="2733" spans="1:24">
      <c r="A2733" s="7" t="s">
        <v>2863</v>
      </c>
      <c r="B2733" s="1" t="s">
        <v>33</v>
      </c>
      <c r="C2733" s="1">
        <v>109</v>
      </c>
      <c r="D2733" s="1">
        <v>65</v>
      </c>
      <c r="E2733" s="1">
        <v>8</v>
      </c>
      <c r="F2733" s="1">
        <v>8</v>
      </c>
      <c r="G2733" s="1">
        <v>11.58</v>
      </c>
      <c r="H2733" s="1" t="s">
        <v>208</v>
      </c>
      <c r="I2733" s="1" t="s">
        <v>31</v>
      </c>
      <c r="J2733" s="1">
        <v>59</v>
      </c>
      <c r="K2733" s="1">
        <v>1.19</v>
      </c>
      <c r="L2733" s="4">
        <v>186.33</v>
      </c>
      <c r="M2733" s="1">
        <v>0.35</v>
      </c>
      <c r="N2733" s="1">
        <v>5</v>
      </c>
      <c r="O2733" s="1">
        <v>0.99</v>
      </c>
      <c r="P2733" s="1">
        <v>131</v>
      </c>
      <c r="Q2733" s="1">
        <v>12.68</v>
      </c>
      <c r="R2733" s="1">
        <v>0.45</v>
      </c>
      <c r="S2733" s="2">
        <v>45538</v>
      </c>
      <c r="T2733" s="1">
        <v>155.96</v>
      </c>
      <c r="U2733" s="1">
        <v>0.72199999999999998</v>
      </c>
      <c r="V2733" s="6">
        <f t="shared" si="126"/>
        <v>20309.97</v>
      </c>
      <c r="W2733" s="6" t="str">
        <f t="shared" si="127"/>
        <v>Sufficient</v>
      </c>
      <c r="X2733" s="8" t="str">
        <f t="shared" si="128"/>
        <v>Medium</v>
      </c>
    </row>
    <row r="2734" spans="1:24">
      <c r="A2734" s="7" t="s">
        <v>2864</v>
      </c>
      <c r="B2734" s="1" t="s">
        <v>66</v>
      </c>
      <c r="C2734" s="1">
        <v>227</v>
      </c>
      <c r="D2734" s="1">
        <v>37</v>
      </c>
      <c r="E2734" s="1">
        <v>13</v>
      </c>
      <c r="F2734" s="1">
        <v>9</v>
      </c>
      <c r="G2734" s="1">
        <v>42.49</v>
      </c>
      <c r="H2734" s="1" t="s">
        <v>113</v>
      </c>
      <c r="I2734" s="1" t="s">
        <v>31</v>
      </c>
      <c r="J2734" s="1">
        <v>152</v>
      </c>
      <c r="K2734" s="1">
        <v>1.48</v>
      </c>
      <c r="L2734" s="4">
        <v>23.41</v>
      </c>
      <c r="M2734" s="1">
        <v>0.52</v>
      </c>
      <c r="N2734" s="1">
        <v>6</v>
      </c>
      <c r="O2734" s="1">
        <v>0.95</v>
      </c>
      <c r="P2734" s="1">
        <v>213</v>
      </c>
      <c r="Q2734" s="1">
        <v>2.33</v>
      </c>
      <c r="R2734" s="1">
        <v>0.71</v>
      </c>
      <c r="S2734" s="2">
        <v>45637</v>
      </c>
      <c r="T2734" s="1">
        <v>272.51</v>
      </c>
      <c r="U2734" s="1">
        <v>0.59099999999999997</v>
      </c>
      <c r="V2734" s="6">
        <f t="shared" si="126"/>
        <v>5314.07</v>
      </c>
      <c r="W2734" s="6" t="str">
        <f t="shared" si="127"/>
        <v>Sufficient</v>
      </c>
      <c r="X2734" s="8" t="str">
        <f t="shared" si="128"/>
        <v>Medium</v>
      </c>
    </row>
    <row r="2735" spans="1:24">
      <c r="A2735" s="7" t="s">
        <v>2865</v>
      </c>
      <c r="B2735" s="1" t="s">
        <v>66</v>
      </c>
      <c r="C2735" s="1">
        <v>311</v>
      </c>
      <c r="D2735" s="1">
        <v>84</v>
      </c>
      <c r="E2735" s="1">
        <v>11</v>
      </c>
      <c r="F2735" s="1">
        <v>4</v>
      </c>
      <c r="G2735" s="1">
        <v>21.32</v>
      </c>
      <c r="H2735" s="1" t="s">
        <v>233</v>
      </c>
      <c r="I2735" s="1" t="s">
        <v>27</v>
      </c>
      <c r="J2735" s="1">
        <v>61</v>
      </c>
      <c r="K2735" s="1">
        <v>0.77</v>
      </c>
      <c r="L2735" s="4">
        <v>191.14</v>
      </c>
      <c r="M2735" s="1">
        <v>0.56000000000000005</v>
      </c>
      <c r="N2735" s="1">
        <v>0</v>
      </c>
      <c r="O2735" s="1">
        <v>0.75</v>
      </c>
      <c r="P2735" s="1">
        <v>426</v>
      </c>
      <c r="Q2735" s="1">
        <v>7.22</v>
      </c>
      <c r="R2735" s="1">
        <v>0.24</v>
      </c>
      <c r="S2735" s="2">
        <v>45537</v>
      </c>
      <c r="T2735" s="1">
        <v>63.34</v>
      </c>
      <c r="U2735" s="1">
        <v>0.63800000000000001</v>
      </c>
      <c r="V2735" s="6">
        <f t="shared" si="126"/>
        <v>59444.539999999994</v>
      </c>
      <c r="W2735" s="6" t="str">
        <f t="shared" si="127"/>
        <v>Sufficient</v>
      </c>
      <c r="X2735" s="8" t="str">
        <f t="shared" si="128"/>
        <v>High</v>
      </c>
    </row>
    <row r="2736" spans="1:24">
      <c r="A2736" s="7" t="s">
        <v>2866</v>
      </c>
      <c r="B2736" s="1" t="s">
        <v>29</v>
      </c>
      <c r="C2736" s="1">
        <v>303</v>
      </c>
      <c r="D2736" s="1">
        <v>48</v>
      </c>
      <c r="E2736" s="1">
        <v>11</v>
      </c>
      <c r="F2736" s="1">
        <v>4</v>
      </c>
      <c r="G2736" s="1">
        <v>2.77</v>
      </c>
      <c r="H2736" s="1" t="s">
        <v>181</v>
      </c>
      <c r="I2736" s="1" t="s">
        <v>39</v>
      </c>
      <c r="J2736" s="1">
        <v>175</v>
      </c>
      <c r="K2736" s="1">
        <v>4.67</v>
      </c>
      <c r="L2736" s="4">
        <v>182.94</v>
      </c>
      <c r="M2736" s="1">
        <v>0.17</v>
      </c>
      <c r="N2736" s="1">
        <v>3</v>
      </c>
      <c r="O2736" s="1">
        <v>0.94</v>
      </c>
      <c r="P2736" s="1">
        <v>52</v>
      </c>
      <c r="Q2736" s="1">
        <v>14.92</v>
      </c>
      <c r="R2736" s="1">
        <v>0.91</v>
      </c>
      <c r="S2736" s="2">
        <v>45537</v>
      </c>
      <c r="T2736" s="1">
        <v>141.5</v>
      </c>
      <c r="U2736" s="1">
        <v>0.89200000000000002</v>
      </c>
      <c r="V2736" s="6">
        <f t="shared" si="126"/>
        <v>55430.82</v>
      </c>
      <c r="W2736" s="6" t="str">
        <f t="shared" si="127"/>
        <v>Sufficient</v>
      </c>
      <c r="X2736" s="8" t="str">
        <f t="shared" si="128"/>
        <v>High</v>
      </c>
    </row>
    <row r="2737" spans="1:24">
      <c r="A2737" s="7" t="s">
        <v>2867</v>
      </c>
      <c r="B2737" s="1" t="s">
        <v>25</v>
      </c>
      <c r="C2737" s="1">
        <v>137</v>
      </c>
      <c r="D2737" s="1">
        <v>34</v>
      </c>
      <c r="E2737" s="1">
        <v>10</v>
      </c>
      <c r="F2737" s="1">
        <v>7</v>
      </c>
      <c r="G2737" s="1">
        <v>16.75</v>
      </c>
      <c r="H2737" s="1" t="s">
        <v>42</v>
      </c>
      <c r="I2737" s="1" t="s">
        <v>39</v>
      </c>
      <c r="J2737" s="1">
        <v>47</v>
      </c>
      <c r="K2737" s="1">
        <v>1.94</v>
      </c>
      <c r="L2737" s="4">
        <v>32.369999999999997</v>
      </c>
      <c r="M2737" s="1">
        <v>0.82</v>
      </c>
      <c r="N2737" s="1">
        <v>4</v>
      </c>
      <c r="O2737" s="1">
        <v>0.95</v>
      </c>
      <c r="P2737" s="1">
        <v>733</v>
      </c>
      <c r="Q2737" s="1">
        <v>14.27</v>
      </c>
      <c r="R2737" s="1">
        <v>0.53</v>
      </c>
      <c r="S2737" s="2">
        <v>45399</v>
      </c>
      <c r="T2737" s="1">
        <v>202.54</v>
      </c>
      <c r="U2737" s="1">
        <v>0.72399999999999998</v>
      </c>
      <c r="V2737" s="6">
        <f t="shared" si="126"/>
        <v>4434.6899999999996</v>
      </c>
      <c r="W2737" s="6" t="str">
        <f t="shared" si="127"/>
        <v>Sufficient</v>
      </c>
      <c r="X2737" s="8" t="str">
        <f t="shared" si="128"/>
        <v>Medium</v>
      </c>
    </row>
    <row r="2738" spans="1:24">
      <c r="A2738" s="7" t="s">
        <v>2868</v>
      </c>
      <c r="B2738" s="1" t="s">
        <v>33</v>
      </c>
      <c r="C2738" s="1">
        <v>368</v>
      </c>
      <c r="D2738" s="1">
        <v>30</v>
      </c>
      <c r="E2738" s="1">
        <v>11</v>
      </c>
      <c r="F2738" s="1">
        <v>9</v>
      </c>
      <c r="G2738" s="1">
        <v>38.409999999999997</v>
      </c>
      <c r="H2738" s="1" t="s">
        <v>63</v>
      </c>
      <c r="I2738" s="1" t="s">
        <v>27</v>
      </c>
      <c r="J2738" s="1">
        <v>29</v>
      </c>
      <c r="K2738" s="1">
        <v>1.3</v>
      </c>
      <c r="L2738" s="4">
        <v>44.88</v>
      </c>
      <c r="M2738" s="1">
        <v>1.26</v>
      </c>
      <c r="N2738" s="1">
        <v>4</v>
      </c>
      <c r="O2738" s="1">
        <v>0.91</v>
      </c>
      <c r="P2738" s="1">
        <v>167</v>
      </c>
      <c r="Q2738" s="1">
        <v>2.15</v>
      </c>
      <c r="R2738" s="1">
        <v>0.84</v>
      </c>
      <c r="S2738" s="2">
        <v>45594</v>
      </c>
      <c r="T2738" s="1">
        <v>63.3</v>
      </c>
      <c r="U2738" s="1">
        <v>0.57299999999999995</v>
      </c>
      <c r="V2738" s="6">
        <f t="shared" si="126"/>
        <v>16515.84</v>
      </c>
      <c r="W2738" s="6" t="str">
        <f t="shared" si="127"/>
        <v>Sufficient</v>
      </c>
      <c r="X2738" s="8" t="str">
        <f t="shared" si="128"/>
        <v>High</v>
      </c>
    </row>
    <row r="2739" spans="1:24">
      <c r="A2739" s="7" t="s">
        <v>2869</v>
      </c>
      <c r="B2739" s="1" t="s">
        <v>33</v>
      </c>
      <c r="C2739" s="1">
        <v>194</v>
      </c>
      <c r="D2739" s="1">
        <v>19</v>
      </c>
      <c r="E2739" s="1">
        <v>6</v>
      </c>
      <c r="F2739" s="1">
        <v>6</v>
      </c>
      <c r="G2739" s="1">
        <v>48.05</v>
      </c>
      <c r="H2739" s="1" t="s">
        <v>147</v>
      </c>
      <c r="I2739" s="1" t="s">
        <v>39</v>
      </c>
      <c r="J2739" s="1">
        <v>108</v>
      </c>
      <c r="K2739" s="1">
        <v>3.37</v>
      </c>
      <c r="L2739" s="4">
        <v>69.2</v>
      </c>
      <c r="M2739" s="1">
        <v>0.37</v>
      </c>
      <c r="N2739" s="1">
        <v>6</v>
      </c>
      <c r="O2739" s="1">
        <v>0.9</v>
      </c>
      <c r="P2739" s="1">
        <v>705</v>
      </c>
      <c r="Q2739" s="1">
        <v>9.02</v>
      </c>
      <c r="R2739" s="1">
        <v>0.78</v>
      </c>
      <c r="S2739" s="2">
        <v>45374</v>
      </c>
      <c r="T2739" s="1">
        <v>54.66</v>
      </c>
      <c r="U2739" s="1">
        <v>0.69899999999999995</v>
      </c>
      <c r="V2739" s="6">
        <f t="shared" si="126"/>
        <v>13424.800000000001</v>
      </c>
      <c r="W2739" s="6" t="str">
        <f t="shared" si="127"/>
        <v>Sufficient</v>
      </c>
      <c r="X2739" s="8" t="str">
        <f t="shared" si="128"/>
        <v>Medium</v>
      </c>
    </row>
    <row r="2740" spans="1:24">
      <c r="A2740" s="7" t="s">
        <v>2870</v>
      </c>
      <c r="B2740" s="1" t="s">
        <v>33</v>
      </c>
      <c r="C2740" s="1">
        <v>95</v>
      </c>
      <c r="D2740" s="1">
        <v>52</v>
      </c>
      <c r="E2740" s="1">
        <v>8</v>
      </c>
      <c r="F2740" s="1">
        <v>4</v>
      </c>
      <c r="G2740" s="1">
        <v>14.53</v>
      </c>
      <c r="H2740" s="1" t="s">
        <v>85</v>
      </c>
      <c r="I2740" s="1" t="s">
        <v>31</v>
      </c>
      <c r="J2740" s="1">
        <v>53</v>
      </c>
      <c r="K2740" s="1">
        <v>4.04</v>
      </c>
      <c r="L2740" s="4">
        <v>116.34</v>
      </c>
      <c r="M2740" s="1">
        <v>0.43</v>
      </c>
      <c r="N2740" s="1">
        <v>3</v>
      </c>
      <c r="O2740" s="1">
        <v>0.83</v>
      </c>
      <c r="P2740" s="1">
        <v>813</v>
      </c>
      <c r="Q2740" s="1">
        <v>5.42</v>
      </c>
      <c r="R2740" s="1">
        <v>0.57999999999999996</v>
      </c>
      <c r="S2740" s="2">
        <v>45623</v>
      </c>
      <c r="T2740" s="1">
        <v>55.06</v>
      </c>
      <c r="U2740" s="1">
        <v>0.65100000000000002</v>
      </c>
      <c r="V2740" s="6">
        <f t="shared" si="126"/>
        <v>11052.300000000001</v>
      </c>
      <c r="W2740" s="6" t="str">
        <f t="shared" si="127"/>
        <v>Sufficient</v>
      </c>
      <c r="X2740" s="8" t="str">
        <f t="shared" si="128"/>
        <v>LOW</v>
      </c>
    </row>
    <row r="2741" spans="1:24">
      <c r="A2741" s="7" t="s">
        <v>2871</v>
      </c>
      <c r="B2741" s="1" t="s">
        <v>66</v>
      </c>
      <c r="C2741" s="1">
        <v>120</v>
      </c>
      <c r="D2741" s="1">
        <v>24</v>
      </c>
      <c r="E2741" s="1">
        <v>7</v>
      </c>
      <c r="F2741" s="1">
        <v>8</v>
      </c>
      <c r="G2741" s="1">
        <v>13.08</v>
      </c>
      <c r="H2741" s="1" t="s">
        <v>30</v>
      </c>
      <c r="I2741" s="1" t="s">
        <v>45</v>
      </c>
      <c r="J2741" s="1">
        <v>120</v>
      </c>
      <c r="K2741" s="1">
        <v>3.89</v>
      </c>
      <c r="L2741" s="4">
        <v>35.549999999999997</v>
      </c>
      <c r="M2741" s="1">
        <v>1.44</v>
      </c>
      <c r="N2741" s="1">
        <v>9</v>
      </c>
      <c r="O2741" s="1">
        <v>0.89</v>
      </c>
      <c r="P2741" s="1">
        <v>444</v>
      </c>
      <c r="Q2741" s="1">
        <v>11.2</v>
      </c>
      <c r="R2741" s="1">
        <v>0.36</v>
      </c>
      <c r="S2741" s="2">
        <v>45502</v>
      </c>
      <c r="T2741" s="1">
        <v>265.77999999999997</v>
      </c>
      <c r="U2741" s="1">
        <v>0.47499999999999998</v>
      </c>
      <c r="V2741" s="6">
        <f t="shared" si="126"/>
        <v>4266</v>
      </c>
      <c r="W2741" s="6" t="str">
        <f t="shared" si="127"/>
        <v>Sufficient</v>
      </c>
      <c r="X2741" s="8" t="str">
        <f t="shared" si="128"/>
        <v>Medium</v>
      </c>
    </row>
    <row r="2742" spans="1:24">
      <c r="A2742" s="7" t="s">
        <v>2872</v>
      </c>
      <c r="B2742" s="1" t="s">
        <v>25</v>
      </c>
      <c r="C2742" s="1">
        <v>433</v>
      </c>
      <c r="D2742" s="1">
        <v>92</v>
      </c>
      <c r="E2742" s="1">
        <v>7</v>
      </c>
      <c r="F2742" s="1">
        <v>5</v>
      </c>
      <c r="G2742" s="1">
        <v>28.62</v>
      </c>
      <c r="H2742" s="1" t="s">
        <v>149</v>
      </c>
      <c r="I2742" s="1" t="s">
        <v>27</v>
      </c>
      <c r="J2742" s="1">
        <v>98</v>
      </c>
      <c r="K2742" s="1">
        <v>3.73</v>
      </c>
      <c r="L2742" s="4">
        <v>48.06</v>
      </c>
      <c r="M2742" s="1">
        <v>0.42</v>
      </c>
      <c r="N2742" s="1">
        <v>6</v>
      </c>
      <c r="O2742" s="1">
        <v>0.92</v>
      </c>
      <c r="P2742" s="1">
        <v>315</v>
      </c>
      <c r="Q2742" s="1">
        <v>11.3</v>
      </c>
      <c r="R2742" s="1">
        <v>0.65</v>
      </c>
      <c r="S2742" s="2">
        <v>45303</v>
      </c>
      <c r="T2742" s="1">
        <v>216.27</v>
      </c>
      <c r="U2742" s="1">
        <v>0.70299999999999996</v>
      </c>
      <c r="V2742" s="6">
        <f t="shared" si="126"/>
        <v>20809.98</v>
      </c>
      <c r="W2742" s="6" t="str">
        <f t="shared" si="127"/>
        <v>Sufficient</v>
      </c>
      <c r="X2742" s="8" t="str">
        <f t="shared" si="128"/>
        <v>High</v>
      </c>
    </row>
    <row r="2743" spans="1:24">
      <c r="A2743" s="7" t="s">
        <v>2873</v>
      </c>
      <c r="B2743" s="1" t="s">
        <v>29</v>
      </c>
      <c r="C2743" s="1">
        <v>170</v>
      </c>
      <c r="D2743" s="1">
        <v>57</v>
      </c>
      <c r="E2743" s="1">
        <v>6</v>
      </c>
      <c r="F2743" s="1">
        <v>4</v>
      </c>
      <c r="G2743" s="1">
        <v>40.770000000000003</v>
      </c>
      <c r="H2743" s="1" t="s">
        <v>327</v>
      </c>
      <c r="I2743" s="1" t="s">
        <v>31</v>
      </c>
      <c r="J2743" s="1">
        <v>72</v>
      </c>
      <c r="K2743" s="1">
        <v>0.73</v>
      </c>
      <c r="L2743" s="4">
        <v>181.51</v>
      </c>
      <c r="M2743" s="1">
        <v>0.36</v>
      </c>
      <c r="N2743" s="1">
        <v>7</v>
      </c>
      <c r="O2743" s="1">
        <v>0.74</v>
      </c>
      <c r="P2743" s="1">
        <v>484</v>
      </c>
      <c r="Q2743" s="1">
        <v>1</v>
      </c>
      <c r="R2743" s="1">
        <v>0.96</v>
      </c>
      <c r="S2743" s="2">
        <v>45416</v>
      </c>
      <c r="T2743" s="1">
        <v>107.55</v>
      </c>
      <c r="U2743" s="1">
        <v>0.57699999999999996</v>
      </c>
      <c r="V2743" s="6">
        <f t="shared" si="126"/>
        <v>30856.699999999997</v>
      </c>
      <c r="W2743" s="6" t="str">
        <f t="shared" si="127"/>
        <v>Sufficient</v>
      </c>
      <c r="X2743" s="8" t="str">
        <f t="shared" si="128"/>
        <v>Medium</v>
      </c>
    </row>
    <row r="2744" spans="1:24">
      <c r="A2744" s="7" t="s">
        <v>2874</v>
      </c>
      <c r="B2744" s="1" t="s">
        <v>41</v>
      </c>
      <c r="C2744" s="1">
        <v>419</v>
      </c>
      <c r="D2744" s="1">
        <v>95</v>
      </c>
      <c r="E2744" s="1">
        <v>4</v>
      </c>
      <c r="F2744" s="1">
        <v>5</v>
      </c>
      <c r="G2744" s="1">
        <v>37.58</v>
      </c>
      <c r="H2744" s="1" t="s">
        <v>370</v>
      </c>
      <c r="I2744" s="1" t="s">
        <v>27</v>
      </c>
      <c r="J2744" s="1">
        <v>127</v>
      </c>
      <c r="K2744" s="1">
        <v>4.0199999999999996</v>
      </c>
      <c r="L2744" s="4">
        <v>30.77</v>
      </c>
      <c r="M2744" s="1">
        <v>1.96</v>
      </c>
      <c r="N2744" s="1">
        <v>1</v>
      </c>
      <c r="O2744" s="1">
        <v>0.78</v>
      </c>
      <c r="P2744" s="1">
        <v>731</v>
      </c>
      <c r="Q2744" s="1">
        <v>12.84</v>
      </c>
      <c r="R2744" s="1">
        <v>0.35</v>
      </c>
      <c r="S2744" s="2">
        <v>45314</v>
      </c>
      <c r="T2744" s="1">
        <v>271.74</v>
      </c>
      <c r="U2744" s="1">
        <v>0.58099999999999996</v>
      </c>
      <c r="V2744" s="6">
        <f t="shared" si="126"/>
        <v>12892.63</v>
      </c>
      <c r="W2744" s="6" t="str">
        <f t="shared" si="127"/>
        <v>Sufficient</v>
      </c>
      <c r="X2744" s="8" t="str">
        <f t="shared" si="128"/>
        <v>High</v>
      </c>
    </row>
    <row r="2745" spans="1:24">
      <c r="A2745" s="7" t="s">
        <v>2875</v>
      </c>
      <c r="B2745" s="1" t="s">
        <v>41</v>
      </c>
      <c r="C2745" s="1">
        <v>289</v>
      </c>
      <c r="D2745" s="1">
        <v>30</v>
      </c>
      <c r="E2745" s="1">
        <v>14</v>
      </c>
      <c r="F2745" s="1">
        <v>2</v>
      </c>
      <c r="G2745" s="1">
        <v>28.44</v>
      </c>
      <c r="H2745" s="1" t="s">
        <v>214</v>
      </c>
      <c r="I2745" s="1" t="s">
        <v>45</v>
      </c>
      <c r="J2745" s="1">
        <v>159</v>
      </c>
      <c r="K2745" s="1">
        <v>2.76</v>
      </c>
      <c r="L2745" s="4">
        <v>85.79</v>
      </c>
      <c r="M2745" s="1">
        <v>0.13</v>
      </c>
      <c r="N2745" s="1">
        <v>0</v>
      </c>
      <c r="O2745" s="1">
        <v>0.76</v>
      </c>
      <c r="P2745" s="1">
        <v>774</v>
      </c>
      <c r="Q2745" s="1">
        <v>4.13</v>
      </c>
      <c r="R2745" s="1">
        <v>0.4</v>
      </c>
      <c r="S2745" s="2">
        <v>45357</v>
      </c>
      <c r="T2745" s="1">
        <v>286.52999999999997</v>
      </c>
      <c r="U2745" s="1">
        <v>0.67400000000000004</v>
      </c>
      <c r="V2745" s="6">
        <f t="shared" si="126"/>
        <v>24793.31</v>
      </c>
      <c r="W2745" s="6" t="str">
        <f t="shared" si="127"/>
        <v>Sufficient</v>
      </c>
      <c r="X2745" s="8" t="str">
        <f t="shared" si="128"/>
        <v>High</v>
      </c>
    </row>
    <row r="2746" spans="1:24">
      <c r="A2746" s="7" t="s">
        <v>2876</v>
      </c>
      <c r="B2746" s="1" t="s">
        <v>33</v>
      </c>
      <c r="C2746" s="1">
        <v>477</v>
      </c>
      <c r="D2746" s="1">
        <v>69</v>
      </c>
      <c r="E2746" s="1">
        <v>8</v>
      </c>
      <c r="F2746" s="1">
        <v>9</v>
      </c>
      <c r="G2746" s="1">
        <v>31.94</v>
      </c>
      <c r="H2746" s="1" t="s">
        <v>88</v>
      </c>
      <c r="I2746" s="1" t="s">
        <v>31</v>
      </c>
      <c r="J2746" s="1">
        <v>81</v>
      </c>
      <c r="K2746" s="1">
        <v>3.42</v>
      </c>
      <c r="L2746" s="4">
        <v>154.97</v>
      </c>
      <c r="M2746" s="1">
        <v>0.72</v>
      </c>
      <c r="N2746" s="1">
        <v>9</v>
      </c>
      <c r="O2746" s="1">
        <v>0.95</v>
      </c>
      <c r="P2746" s="1">
        <v>842</v>
      </c>
      <c r="Q2746" s="1">
        <v>14.52</v>
      </c>
      <c r="R2746" s="1">
        <v>0.99</v>
      </c>
      <c r="S2746" s="2">
        <v>45585</v>
      </c>
      <c r="T2746" s="1">
        <v>125.5</v>
      </c>
      <c r="U2746" s="1">
        <v>0.73</v>
      </c>
      <c r="V2746" s="6">
        <f t="shared" si="126"/>
        <v>73920.69</v>
      </c>
      <c r="W2746" s="6" t="str">
        <f t="shared" si="127"/>
        <v>Sufficient</v>
      </c>
      <c r="X2746" s="8" t="str">
        <f t="shared" si="128"/>
        <v>High</v>
      </c>
    </row>
    <row r="2747" spans="1:24">
      <c r="A2747" s="7" t="s">
        <v>2877</v>
      </c>
      <c r="B2747" s="1" t="s">
        <v>25</v>
      </c>
      <c r="C2747" s="1">
        <v>90</v>
      </c>
      <c r="D2747" s="1">
        <v>59</v>
      </c>
      <c r="E2747" s="1">
        <v>11</v>
      </c>
      <c r="F2747" s="1">
        <v>6</v>
      </c>
      <c r="G2747" s="1">
        <v>12.86</v>
      </c>
      <c r="H2747" s="1" t="s">
        <v>106</v>
      </c>
      <c r="I2747" s="1" t="s">
        <v>31</v>
      </c>
      <c r="J2747" s="1">
        <v>63</v>
      </c>
      <c r="K2747" s="1">
        <v>4.8</v>
      </c>
      <c r="L2747" s="4">
        <v>178.83</v>
      </c>
      <c r="M2747" s="1">
        <v>0.17</v>
      </c>
      <c r="N2747" s="1">
        <v>9</v>
      </c>
      <c r="O2747" s="1">
        <v>0.9</v>
      </c>
      <c r="P2747" s="1">
        <v>276</v>
      </c>
      <c r="Q2747" s="1">
        <v>13.68</v>
      </c>
      <c r="R2747" s="1">
        <v>0.91</v>
      </c>
      <c r="S2747" s="2">
        <v>45595</v>
      </c>
      <c r="T2747" s="1">
        <v>158.03</v>
      </c>
      <c r="U2747" s="1">
        <v>0.747</v>
      </c>
      <c r="V2747" s="6">
        <f t="shared" si="126"/>
        <v>16094.7</v>
      </c>
      <c r="W2747" s="6" t="str">
        <f t="shared" si="127"/>
        <v>Sufficient</v>
      </c>
      <c r="X2747" s="8" t="str">
        <f t="shared" si="128"/>
        <v>LOW</v>
      </c>
    </row>
    <row r="2748" spans="1:24">
      <c r="A2748" s="7" t="s">
        <v>2878</v>
      </c>
      <c r="B2748" s="1" t="s">
        <v>66</v>
      </c>
      <c r="C2748" s="1">
        <v>199</v>
      </c>
      <c r="D2748" s="1">
        <v>32</v>
      </c>
      <c r="E2748" s="1">
        <v>14</v>
      </c>
      <c r="F2748" s="1">
        <v>5</v>
      </c>
      <c r="G2748" s="1">
        <v>22.2</v>
      </c>
      <c r="H2748" s="1" t="s">
        <v>411</v>
      </c>
      <c r="I2748" s="1" t="s">
        <v>45</v>
      </c>
      <c r="J2748" s="1">
        <v>146</v>
      </c>
      <c r="K2748" s="1">
        <v>4.1500000000000004</v>
      </c>
      <c r="L2748" s="4">
        <v>73.849999999999994</v>
      </c>
      <c r="M2748" s="1">
        <v>1.69</v>
      </c>
      <c r="N2748" s="1">
        <v>0</v>
      </c>
      <c r="O2748" s="1">
        <v>0.84</v>
      </c>
      <c r="P2748" s="1">
        <v>425</v>
      </c>
      <c r="Q2748" s="1">
        <v>3.67</v>
      </c>
      <c r="R2748" s="1">
        <v>0.64</v>
      </c>
      <c r="S2748" s="2">
        <v>45374</v>
      </c>
      <c r="T2748" s="1">
        <v>113.84</v>
      </c>
      <c r="U2748" s="1">
        <v>0.57599999999999996</v>
      </c>
      <c r="V2748" s="6">
        <f t="shared" si="126"/>
        <v>14696.15</v>
      </c>
      <c r="W2748" s="6" t="str">
        <f t="shared" si="127"/>
        <v>Sufficient</v>
      </c>
      <c r="X2748" s="8" t="str">
        <f t="shared" si="128"/>
        <v>Medium</v>
      </c>
    </row>
    <row r="2749" spans="1:24">
      <c r="A2749" s="7" t="s">
        <v>2879</v>
      </c>
      <c r="B2749" s="1" t="s">
        <v>25</v>
      </c>
      <c r="C2749" s="1">
        <v>143</v>
      </c>
      <c r="D2749" s="1">
        <v>22</v>
      </c>
      <c r="E2749" s="1">
        <v>3</v>
      </c>
      <c r="F2749" s="1">
        <v>4</v>
      </c>
      <c r="G2749" s="1">
        <v>13.51</v>
      </c>
      <c r="H2749" s="1" t="s">
        <v>200</v>
      </c>
      <c r="I2749" s="1" t="s">
        <v>45</v>
      </c>
      <c r="J2749" s="1">
        <v>152</v>
      </c>
      <c r="K2749" s="1">
        <v>4.21</v>
      </c>
      <c r="L2749" s="4">
        <v>41.24</v>
      </c>
      <c r="M2749" s="1">
        <v>1.21</v>
      </c>
      <c r="N2749" s="1">
        <v>0</v>
      </c>
      <c r="O2749" s="1">
        <v>0.95</v>
      </c>
      <c r="P2749" s="1">
        <v>311</v>
      </c>
      <c r="Q2749" s="1">
        <v>9.91</v>
      </c>
      <c r="R2749" s="1">
        <v>0.76</v>
      </c>
      <c r="S2749" s="2">
        <v>45360</v>
      </c>
      <c r="T2749" s="1">
        <v>75.989999999999995</v>
      </c>
      <c r="U2749" s="1">
        <v>0.753</v>
      </c>
      <c r="V2749" s="6">
        <f t="shared" si="126"/>
        <v>5897.3200000000006</v>
      </c>
      <c r="W2749" s="6" t="str">
        <f t="shared" si="127"/>
        <v>Sufficient</v>
      </c>
      <c r="X2749" s="8" t="str">
        <f t="shared" si="128"/>
        <v>Medium</v>
      </c>
    </row>
    <row r="2750" spans="1:24">
      <c r="A2750" s="7" t="s">
        <v>2880</v>
      </c>
      <c r="B2750" s="1" t="s">
        <v>25</v>
      </c>
      <c r="C2750" s="1">
        <v>400</v>
      </c>
      <c r="D2750" s="1">
        <v>78</v>
      </c>
      <c r="E2750" s="1">
        <v>9</v>
      </c>
      <c r="F2750" s="1">
        <v>6</v>
      </c>
      <c r="G2750" s="1">
        <v>44.34</v>
      </c>
      <c r="H2750" s="1" t="s">
        <v>174</v>
      </c>
      <c r="I2750" s="1" t="s">
        <v>39</v>
      </c>
      <c r="J2750" s="1">
        <v>57</v>
      </c>
      <c r="K2750" s="1">
        <v>1.32</v>
      </c>
      <c r="L2750" s="4">
        <v>150.03</v>
      </c>
      <c r="M2750" s="1">
        <v>0.19</v>
      </c>
      <c r="N2750" s="1">
        <v>8</v>
      </c>
      <c r="O2750" s="1">
        <v>0.92</v>
      </c>
      <c r="P2750" s="1">
        <v>415</v>
      </c>
      <c r="Q2750" s="1">
        <v>5.15</v>
      </c>
      <c r="R2750" s="1">
        <v>0.55000000000000004</v>
      </c>
      <c r="S2750" s="2">
        <v>45614</v>
      </c>
      <c r="T2750" s="1">
        <v>236.2</v>
      </c>
      <c r="U2750" s="1">
        <v>0.58399999999999996</v>
      </c>
      <c r="V2750" s="6">
        <f t="shared" si="126"/>
        <v>60012</v>
      </c>
      <c r="W2750" s="6" t="str">
        <f t="shared" si="127"/>
        <v>Sufficient</v>
      </c>
      <c r="X2750" s="8" t="str">
        <f t="shared" si="128"/>
        <v>High</v>
      </c>
    </row>
    <row r="2751" spans="1:24">
      <c r="A2751" s="7" t="s">
        <v>2881</v>
      </c>
      <c r="B2751" s="1" t="s">
        <v>66</v>
      </c>
      <c r="C2751" s="1">
        <v>312</v>
      </c>
      <c r="D2751" s="1">
        <v>13</v>
      </c>
      <c r="E2751" s="1">
        <v>8</v>
      </c>
      <c r="F2751" s="1">
        <v>8</v>
      </c>
      <c r="G2751" s="1">
        <v>6.52</v>
      </c>
      <c r="H2751" s="1" t="s">
        <v>411</v>
      </c>
      <c r="I2751" s="1" t="s">
        <v>31</v>
      </c>
      <c r="J2751" s="1">
        <v>157</v>
      </c>
      <c r="K2751" s="1">
        <v>2.64</v>
      </c>
      <c r="L2751" s="4">
        <v>156.79</v>
      </c>
      <c r="M2751" s="1">
        <v>1.27</v>
      </c>
      <c r="N2751" s="1">
        <v>3</v>
      </c>
      <c r="O2751" s="1">
        <v>0.97</v>
      </c>
      <c r="P2751" s="1">
        <v>816</v>
      </c>
      <c r="Q2751" s="1">
        <v>2.44</v>
      </c>
      <c r="R2751" s="1">
        <v>0.52</v>
      </c>
      <c r="S2751" s="2">
        <v>45554</v>
      </c>
      <c r="T2751" s="1">
        <v>198.23</v>
      </c>
      <c r="U2751" s="1">
        <v>0.54400000000000004</v>
      </c>
      <c r="V2751" s="6">
        <f t="shared" si="126"/>
        <v>48918.479999999996</v>
      </c>
      <c r="W2751" s="6" t="str">
        <f t="shared" si="127"/>
        <v>Sufficient</v>
      </c>
      <c r="X2751" s="8" t="str">
        <f t="shared" si="128"/>
        <v>High</v>
      </c>
    </row>
    <row r="2752" spans="1:24">
      <c r="A2752" s="7" t="s">
        <v>2882</v>
      </c>
      <c r="B2752" s="1" t="s">
        <v>33</v>
      </c>
      <c r="C2752" s="1">
        <v>304</v>
      </c>
      <c r="D2752" s="1">
        <v>87</v>
      </c>
      <c r="E2752" s="1">
        <v>5</v>
      </c>
      <c r="F2752" s="1">
        <v>6</v>
      </c>
      <c r="G2752" s="1">
        <v>34.31</v>
      </c>
      <c r="H2752" s="1" t="s">
        <v>72</v>
      </c>
      <c r="I2752" s="1" t="s">
        <v>45</v>
      </c>
      <c r="J2752" s="1">
        <v>172</v>
      </c>
      <c r="K2752" s="1">
        <v>4.7699999999999996</v>
      </c>
      <c r="L2752" s="4">
        <v>196.21</v>
      </c>
      <c r="M2752" s="1">
        <v>0.33</v>
      </c>
      <c r="N2752" s="1">
        <v>8</v>
      </c>
      <c r="O2752" s="1">
        <v>0.72</v>
      </c>
      <c r="P2752" s="1">
        <v>477</v>
      </c>
      <c r="Q2752" s="1">
        <v>13.24</v>
      </c>
      <c r="R2752" s="1">
        <v>0.55000000000000004</v>
      </c>
      <c r="S2752" s="2">
        <v>45312</v>
      </c>
      <c r="T2752" s="1">
        <v>116.4</v>
      </c>
      <c r="U2752" s="1">
        <v>0.63800000000000001</v>
      </c>
      <c r="V2752" s="6">
        <f t="shared" si="126"/>
        <v>59647.840000000004</v>
      </c>
      <c r="W2752" s="6" t="str">
        <f t="shared" si="127"/>
        <v>Sufficient</v>
      </c>
      <c r="X2752" s="8" t="str">
        <f t="shared" si="128"/>
        <v>High</v>
      </c>
    </row>
    <row r="2753" spans="1:24">
      <c r="A2753" s="7" t="s">
        <v>2883</v>
      </c>
      <c r="B2753" s="1" t="s">
        <v>25</v>
      </c>
      <c r="C2753" s="1">
        <v>214</v>
      </c>
      <c r="D2753" s="1">
        <v>81</v>
      </c>
      <c r="E2753" s="1">
        <v>3</v>
      </c>
      <c r="F2753" s="1">
        <v>5</v>
      </c>
      <c r="G2753" s="1">
        <v>13.75</v>
      </c>
      <c r="H2753" s="1" t="s">
        <v>208</v>
      </c>
      <c r="I2753" s="1" t="s">
        <v>45</v>
      </c>
      <c r="J2753" s="1">
        <v>110</v>
      </c>
      <c r="K2753" s="1">
        <v>3.12</v>
      </c>
      <c r="L2753" s="4">
        <v>36.51</v>
      </c>
      <c r="M2753" s="1">
        <v>1.04</v>
      </c>
      <c r="N2753" s="1">
        <v>6</v>
      </c>
      <c r="O2753" s="1">
        <v>0.85</v>
      </c>
      <c r="P2753" s="1">
        <v>57</v>
      </c>
      <c r="Q2753" s="1">
        <v>3.53</v>
      </c>
      <c r="R2753" s="1">
        <v>0.53</v>
      </c>
      <c r="S2753" s="2">
        <v>45585</v>
      </c>
      <c r="T2753" s="1">
        <v>14.17</v>
      </c>
      <c r="U2753" s="1">
        <v>0.499</v>
      </c>
      <c r="V2753" s="6">
        <f t="shared" si="126"/>
        <v>7813.1399999999994</v>
      </c>
      <c r="W2753" s="6" t="str">
        <f t="shared" si="127"/>
        <v>Sufficient</v>
      </c>
      <c r="X2753" s="8" t="str">
        <f t="shared" si="128"/>
        <v>Medium</v>
      </c>
    </row>
    <row r="2754" spans="1:24">
      <c r="A2754" s="7" t="s">
        <v>2884</v>
      </c>
      <c r="B2754" s="1" t="s">
        <v>41</v>
      </c>
      <c r="C2754" s="1">
        <v>418</v>
      </c>
      <c r="D2754" s="1">
        <v>18</v>
      </c>
      <c r="E2754" s="1">
        <v>6</v>
      </c>
      <c r="F2754" s="1">
        <v>9</v>
      </c>
      <c r="G2754" s="1">
        <v>24.3</v>
      </c>
      <c r="H2754" s="1" t="s">
        <v>558</v>
      </c>
      <c r="I2754" s="1" t="s">
        <v>31</v>
      </c>
      <c r="J2754" s="1">
        <v>69</v>
      </c>
      <c r="K2754" s="1">
        <v>0.96</v>
      </c>
      <c r="L2754" s="4">
        <v>144.79</v>
      </c>
      <c r="M2754" s="1">
        <v>1.37</v>
      </c>
      <c r="N2754" s="1">
        <v>6</v>
      </c>
      <c r="O2754" s="1">
        <v>0.91</v>
      </c>
      <c r="P2754" s="1">
        <v>979</v>
      </c>
      <c r="Q2754" s="1">
        <v>6.89</v>
      </c>
      <c r="R2754" s="1">
        <v>0.74</v>
      </c>
      <c r="S2754" s="2">
        <v>45367</v>
      </c>
      <c r="T2754" s="1">
        <v>231.47</v>
      </c>
      <c r="U2754" s="1">
        <v>0.56499999999999995</v>
      </c>
      <c r="V2754" s="6">
        <f t="shared" si="126"/>
        <v>60522.219999999994</v>
      </c>
      <c r="W2754" s="6" t="str">
        <f t="shared" si="127"/>
        <v>Sufficient</v>
      </c>
      <c r="X2754" s="8" t="str">
        <f t="shared" si="128"/>
        <v>High</v>
      </c>
    </row>
    <row r="2755" spans="1:24">
      <c r="A2755" s="7" t="s">
        <v>2885</v>
      </c>
      <c r="B2755" s="1" t="s">
        <v>66</v>
      </c>
      <c r="C2755" s="1">
        <v>247</v>
      </c>
      <c r="D2755" s="1">
        <v>44</v>
      </c>
      <c r="E2755" s="1">
        <v>11</v>
      </c>
      <c r="F2755" s="1">
        <v>5</v>
      </c>
      <c r="G2755" s="1">
        <v>15.67</v>
      </c>
      <c r="H2755" s="1" t="s">
        <v>350</v>
      </c>
      <c r="I2755" s="1" t="s">
        <v>39</v>
      </c>
      <c r="J2755" s="1">
        <v>107</v>
      </c>
      <c r="K2755" s="1">
        <v>3.79</v>
      </c>
      <c r="L2755" s="4">
        <v>89.29</v>
      </c>
      <c r="M2755" s="1">
        <v>0.38</v>
      </c>
      <c r="N2755" s="1">
        <v>1</v>
      </c>
      <c r="O2755" s="1">
        <v>0.76</v>
      </c>
      <c r="P2755" s="1">
        <v>90</v>
      </c>
      <c r="Q2755" s="1">
        <v>13.94</v>
      </c>
      <c r="R2755" s="1">
        <v>0.46</v>
      </c>
      <c r="S2755" s="2">
        <v>45320</v>
      </c>
      <c r="T2755" s="1">
        <v>148.44</v>
      </c>
      <c r="U2755" s="1">
        <v>0.77200000000000002</v>
      </c>
      <c r="V2755" s="6">
        <f t="shared" si="126"/>
        <v>22054.63</v>
      </c>
      <c r="W2755" s="6" t="str">
        <f t="shared" si="127"/>
        <v>Sufficient</v>
      </c>
      <c r="X2755" s="8" t="str">
        <f t="shared" si="128"/>
        <v>Medium</v>
      </c>
    </row>
    <row r="2756" spans="1:24">
      <c r="A2756" s="7" t="s">
        <v>2886</v>
      </c>
      <c r="B2756" s="1" t="s">
        <v>29</v>
      </c>
      <c r="C2756" s="1">
        <v>450</v>
      </c>
      <c r="D2756" s="1">
        <v>30</v>
      </c>
      <c r="E2756" s="1">
        <v>4</v>
      </c>
      <c r="F2756" s="1">
        <v>3</v>
      </c>
      <c r="G2756" s="1">
        <v>16.84</v>
      </c>
      <c r="H2756" s="1" t="s">
        <v>36</v>
      </c>
      <c r="I2756" s="1" t="s">
        <v>27</v>
      </c>
      <c r="J2756" s="1">
        <v>171</v>
      </c>
      <c r="K2756" s="1">
        <v>0.69</v>
      </c>
      <c r="L2756" s="4">
        <v>183.78</v>
      </c>
      <c r="M2756" s="1">
        <v>1.04</v>
      </c>
      <c r="N2756" s="1">
        <v>1</v>
      </c>
      <c r="O2756" s="1">
        <v>0.8</v>
      </c>
      <c r="P2756" s="1">
        <v>927</v>
      </c>
      <c r="Q2756" s="1">
        <v>2.0499999999999998</v>
      </c>
      <c r="R2756" s="1">
        <v>0.34</v>
      </c>
      <c r="S2756" s="2">
        <v>45377</v>
      </c>
      <c r="T2756" s="1">
        <v>31.19</v>
      </c>
      <c r="U2756" s="1">
        <v>0.53100000000000003</v>
      </c>
      <c r="V2756" s="6">
        <f t="shared" ref="V2756:V2819" si="129">C2756*L2756</f>
        <v>82701</v>
      </c>
      <c r="W2756" s="6" t="str">
        <f t="shared" ref="W2756:W2819" si="130">IF(C2756&lt;=D2756,"Reorder Required","Sufficient")</f>
        <v>Sufficient</v>
      </c>
      <c r="X2756" s="8" t="str">
        <f t="shared" ref="X2756:X2819" si="131">IF(C2756&lt;100,"LOW",IF(C2756&lt;250,"Medium","High"))</f>
        <v>High</v>
      </c>
    </row>
    <row r="2757" spans="1:24">
      <c r="A2757" s="7" t="s">
        <v>2887</v>
      </c>
      <c r="B2757" s="1" t="s">
        <v>33</v>
      </c>
      <c r="C2757" s="1">
        <v>449</v>
      </c>
      <c r="D2757" s="1">
        <v>67</v>
      </c>
      <c r="E2757" s="1">
        <v>5</v>
      </c>
      <c r="F2757" s="1">
        <v>3</v>
      </c>
      <c r="G2757" s="1">
        <v>13.76</v>
      </c>
      <c r="H2757" s="1" t="s">
        <v>126</v>
      </c>
      <c r="I2757" s="1" t="s">
        <v>39</v>
      </c>
      <c r="J2757" s="1">
        <v>109</v>
      </c>
      <c r="K2757" s="1">
        <v>3.84</v>
      </c>
      <c r="L2757" s="4">
        <v>87.49</v>
      </c>
      <c r="M2757" s="1">
        <v>0.97</v>
      </c>
      <c r="N2757" s="1">
        <v>4</v>
      </c>
      <c r="O2757" s="1">
        <v>0.83</v>
      </c>
      <c r="P2757" s="1">
        <v>306</v>
      </c>
      <c r="Q2757" s="1">
        <v>8.7100000000000009</v>
      </c>
      <c r="R2757" s="1">
        <v>0.77</v>
      </c>
      <c r="S2757" s="2">
        <v>45424</v>
      </c>
      <c r="T2757" s="1">
        <v>46.11</v>
      </c>
      <c r="U2757" s="1">
        <v>0.65900000000000003</v>
      </c>
      <c r="V2757" s="6">
        <f t="shared" si="129"/>
        <v>39283.009999999995</v>
      </c>
      <c r="W2757" s="6" t="str">
        <f t="shared" si="130"/>
        <v>Sufficient</v>
      </c>
      <c r="X2757" s="8" t="str">
        <f t="shared" si="131"/>
        <v>High</v>
      </c>
    </row>
    <row r="2758" spans="1:24">
      <c r="A2758" s="7" t="s">
        <v>2888</v>
      </c>
      <c r="B2758" s="1" t="s">
        <v>66</v>
      </c>
      <c r="C2758" s="1">
        <v>455</v>
      </c>
      <c r="D2758" s="1">
        <v>27</v>
      </c>
      <c r="E2758" s="1">
        <v>4</v>
      </c>
      <c r="F2758" s="1">
        <v>6</v>
      </c>
      <c r="G2758" s="1">
        <v>37.89</v>
      </c>
      <c r="H2758" s="1" t="s">
        <v>210</v>
      </c>
      <c r="I2758" s="1" t="s">
        <v>45</v>
      </c>
      <c r="J2758" s="1">
        <v>108</v>
      </c>
      <c r="K2758" s="1">
        <v>4.46</v>
      </c>
      <c r="L2758" s="4">
        <v>94.73</v>
      </c>
      <c r="M2758" s="1">
        <v>1.84</v>
      </c>
      <c r="N2758" s="1">
        <v>9</v>
      </c>
      <c r="O2758" s="1">
        <v>0.94</v>
      </c>
      <c r="P2758" s="1">
        <v>692</v>
      </c>
      <c r="Q2758" s="1">
        <v>9.01</v>
      </c>
      <c r="R2758" s="1">
        <v>0.23</v>
      </c>
      <c r="S2758" s="2">
        <v>45384</v>
      </c>
      <c r="T2758" s="1">
        <v>192.23</v>
      </c>
      <c r="U2758" s="1">
        <v>0.39</v>
      </c>
      <c r="V2758" s="6">
        <f t="shared" si="129"/>
        <v>43102.15</v>
      </c>
      <c r="W2758" s="6" t="str">
        <f t="shared" si="130"/>
        <v>Sufficient</v>
      </c>
      <c r="X2758" s="8" t="str">
        <f t="shared" si="131"/>
        <v>High</v>
      </c>
    </row>
    <row r="2759" spans="1:24">
      <c r="A2759" s="7" t="s">
        <v>2889</v>
      </c>
      <c r="B2759" s="1" t="s">
        <v>29</v>
      </c>
      <c r="C2759" s="1">
        <v>294</v>
      </c>
      <c r="D2759" s="1">
        <v>81</v>
      </c>
      <c r="E2759" s="1">
        <v>4</v>
      </c>
      <c r="F2759" s="1">
        <v>7</v>
      </c>
      <c r="G2759" s="1">
        <v>18.920000000000002</v>
      </c>
      <c r="H2759" s="1" t="s">
        <v>151</v>
      </c>
      <c r="I2759" s="1" t="s">
        <v>27</v>
      </c>
      <c r="J2759" s="1">
        <v>82</v>
      </c>
      <c r="K2759" s="1">
        <v>2.41</v>
      </c>
      <c r="L2759" s="4">
        <v>34.090000000000003</v>
      </c>
      <c r="M2759" s="1">
        <v>1.99</v>
      </c>
      <c r="N2759" s="1">
        <v>0</v>
      </c>
      <c r="O2759" s="1">
        <v>0.85</v>
      </c>
      <c r="P2759" s="1">
        <v>613</v>
      </c>
      <c r="Q2759" s="1">
        <v>11.68</v>
      </c>
      <c r="R2759" s="1">
        <v>0.78</v>
      </c>
      <c r="S2759" s="2">
        <v>45556</v>
      </c>
      <c r="T2759" s="1">
        <v>168.44</v>
      </c>
      <c r="U2759" s="1">
        <v>0.68300000000000005</v>
      </c>
      <c r="V2759" s="6">
        <f t="shared" si="129"/>
        <v>10022.460000000001</v>
      </c>
      <c r="W2759" s="6" t="str">
        <f t="shared" si="130"/>
        <v>Sufficient</v>
      </c>
      <c r="X2759" s="8" t="str">
        <f t="shared" si="131"/>
        <v>High</v>
      </c>
    </row>
    <row r="2760" spans="1:24">
      <c r="A2760" s="7" t="s">
        <v>2890</v>
      </c>
      <c r="B2760" s="1" t="s">
        <v>29</v>
      </c>
      <c r="C2760" s="1">
        <v>480</v>
      </c>
      <c r="D2760" s="1">
        <v>90</v>
      </c>
      <c r="E2760" s="1">
        <v>12</v>
      </c>
      <c r="F2760" s="1">
        <v>9</v>
      </c>
      <c r="G2760" s="1">
        <v>36.590000000000003</v>
      </c>
      <c r="H2760" s="1" t="s">
        <v>47</v>
      </c>
      <c r="I2760" s="1" t="s">
        <v>27</v>
      </c>
      <c r="J2760" s="1">
        <v>128</v>
      </c>
      <c r="K2760" s="1">
        <v>2.36</v>
      </c>
      <c r="L2760" s="4">
        <v>70.98</v>
      </c>
      <c r="M2760" s="1">
        <v>1.34</v>
      </c>
      <c r="N2760" s="1">
        <v>6</v>
      </c>
      <c r="O2760" s="1">
        <v>0.85</v>
      </c>
      <c r="P2760" s="1">
        <v>151</v>
      </c>
      <c r="Q2760" s="1">
        <v>12.58</v>
      </c>
      <c r="R2760" s="1">
        <v>0.41</v>
      </c>
      <c r="S2760" s="2">
        <v>45499</v>
      </c>
      <c r="T2760" s="1">
        <v>79.739999999999995</v>
      </c>
      <c r="U2760" s="1">
        <v>0.56599999999999995</v>
      </c>
      <c r="V2760" s="6">
        <f t="shared" si="129"/>
        <v>34070.400000000001</v>
      </c>
      <c r="W2760" s="6" t="str">
        <f t="shared" si="130"/>
        <v>Sufficient</v>
      </c>
      <c r="X2760" s="8" t="str">
        <f t="shared" si="131"/>
        <v>High</v>
      </c>
    </row>
    <row r="2761" spans="1:24">
      <c r="A2761" s="7" t="s">
        <v>2891</v>
      </c>
      <c r="B2761" s="1" t="s">
        <v>25</v>
      </c>
      <c r="C2761" s="1">
        <v>125</v>
      </c>
      <c r="D2761" s="1">
        <v>52</v>
      </c>
      <c r="E2761" s="1">
        <v>13</v>
      </c>
      <c r="F2761" s="1">
        <v>7</v>
      </c>
      <c r="G2761" s="1">
        <v>23.35</v>
      </c>
      <c r="H2761" s="1" t="s">
        <v>372</v>
      </c>
      <c r="I2761" s="1" t="s">
        <v>39</v>
      </c>
      <c r="J2761" s="1">
        <v>137</v>
      </c>
      <c r="K2761" s="1">
        <v>1.87</v>
      </c>
      <c r="L2761" s="4">
        <v>86.16</v>
      </c>
      <c r="M2761" s="1">
        <v>1.72</v>
      </c>
      <c r="N2761" s="1">
        <v>6</v>
      </c>
      <c r="O2761" s="1">
        <v>0.83</v>
      </c>
      <c r="P2761" s="1">
        <v>268</v>
      </c>
      <c r="Q2761" s="1">
        <v>6.94</v>
      </c>
      <c r="R2761" s="1">
        <v>0.35</v>
      </c>
      <c r="S2761" s="2">
        <v>45598</v>
      </c>
      <c r="T2761" s="1">
        <v>50.56</v>
      </c>
      <c r="U2761" s="1">
        <v>0.437</v>
      </c>
      <c r="V2761" s="6">
        <f t="shared" si="129"/>
        <v>10770</v>
      </c>
      <c r="W2761" s="6" t="str">
        <f t="shared" si="130"/>
        <v>Sufficient</v>
      </c>
      <c r="X2761" s="8" t="str">
        <f t="shared" si="131"/>
        <v>Medium</v>
      </c>
    </row>
    <row r="2762" spans="1:24">
      <c r="A2762" s="7" t="s">
        <v>2892</v>
      </c>
      <c r="B2762" s="1" t="s">
        <v>25</v>
      </c>
      <c r="C2762" s="1">
        <v>40</v>
      </c>
      <c r="D2762" s="1">
        <v>15</v>
      </c>
      <c r="E2762" s="1">
        <v>13</v>
      </c>
      <c r="F2762" s="1">
        <v>3</v>
      </c>
      <c r="G2762" s="1">
        <v>27.82</v>
      </c>
      <c r="H2762" s="1" t="s">
        <v>174</v>
      </c>
      <c r="I2762" s="1" t="s">
        <v>27</v>
      </c>
      <c r="J2762" s="1">
        <v>149</v>
      </c>
      <c r="K2762" s="1">
        <v>4.45</v>
      </c>
      <c r="L2762" s="4">
        <v>13.33</v>
      </c>
      <c r="M2762" s="1">
        <v>1.33</v>
      </c>
      <c r="N2762" s="1">
        <v>7</v>
      </c>
      <c r="O2762" s="1">
        <v>0.77</v>
      </c>
      <c r="P2762" s="1">
        <v>293</v>
      </c>
      <c r="Q2762" s="1">
        <v>11.41</v>
      </c>
      <c r="R2762" s="1">
        <v>0.5</v>
      </c>
      <c r="S2762" s="2">
        <v>45580</v>
      </c>
      <c r="T2762" s="1">
        <v>266.57</v>
      </c>
      <c r="U2762" s="1">
        <v>0.53300000000000003</v>
      </c>
      <c r="V2762" s="6">
        <f t="shared" si="129"/>
        <v>533.20000000000005</v>
      </c>
      <c r="W2762" s="6" t="str">
        <f t="shared" si="130"/>
        <v>Sufficient</v>
      </c>
      <c r="X2762" s="8" t="str">
        <f t="shared" si="131"/>
        <v>LOW</v>
      </c>
    </row>
    <row r="2763" spans="1:24">
      <c r="A2763" s="7" t="s">
        <v>2893</v>
      </c>
      <c r="B2763" s="1" t="s">
        <v>25</v>
      </c>
      <c r="C2763" s="1">
        <v>83</v>
      </c>
      <c r="D2763" s="1">
        <v>95</v>
      </c>
      <c r="E2763" s="1">
        <v>10</v>
      </c>
      <c r="F2763" s="1">
        <v>4</v>
      </c>
      <c r="G2763" s="1">
        <v>27.62</v>
      </c>
      <c r="H2763" s="1" t="s">
        <v>77</v>
      </c>
      <c r="I2763" s="1" t="s">
        <v>45</v>
      </c>
      <c r="J2763" s="1">
        <v>97</v>
      </c>
      <c r="K2763" s="1">
        <v>2.97</v>
      </c>
      <c r="L2763" s="4">
        <v>93.14</v>
      </c>
      <c r="M2763" s="1">
        <v>1.76</v>
      </c>
      <c r="N2763" s="1">
        <v>6</v>
      </c>
      <c r="O2763" s="1">
        <v>0.98</v>
      </c>
      <c r="P2763" s="1">
        <v>894</v>
      </c>
      <c r="Q2763" s="1">
        <v>13.75</v>
      </c>
      <c r="R2763" s="1">
        <v>0.28999999999999998</v>
      </c>
      <c r="S2763" s="2">
        <v>45618</v>
      </c>
      <c r="T2763" s="1">
        <v>49.11</v>
      </c>
      <c r="U2763" s="1">
        <v>0.54100000000000004</v>
      </c>
      <c r="V2763" s="6">
        <f t="shared" si="129"/>
        <v>7730.62</v>
      </c>
      <c r="W2763" s="6" t="str">
        <f t="shared" si="130"/>
        <v>Reorder Required</v>
      </c>
      <c r="X2763" s="8" t="str">
        <f t="shared" si="131"/>
        <v>LOW</v>
      </c>
    </row>
    <row r="2764" spans="1:24">
      <c r="A2764" s="7" t="s">
        <v>2894</v>
      </c>
      <c r="B2764" s="1" t="s">
        <v>66</v>
      </c>
      <c r="C2764" s="1">
        <v>184</v>
      </c>
      <c r="D2764" s="1">
        <v>87</v>
      </c>
      <c r="E2764" s="1">
        <v>5</v>
      </c>
      <c r="F2764" s="1">
        <v>2</v>
      </c>
      <c r="G2764" s="1">
        <v>48.82</v>
      </c>
      <c r="H2764" s="1" t="s">
        <v>205</v>
      </c>
      <c r="I2764" s="1" t="s">
        <v>31</v>
      </c>
      <c r="J2764" s="1">
        <v>114</v>
      </c>
      <c r="K2764" s="1">
        <v>3.11</v>
      </c>
      <c r="L2764" s="4">
        <v>73.900000000000006</v>
      </c>
      <c r="M2764" s="1">
        <v>0.92</v>
      </c>
      <c r="N2764" s="1">
        <v>7</v>
      </c>
      <c r="O2764" s="1">
        <v>0.8</v>
      </c>
      <c r="P2764" s="1">
        <v>988</v>
      </c>
      <c r="Q2764" s="1">
        <v>13.41</v>
      </c>
      <c r="R2764" s="1">
        <v>0.51</v>
      </c>
      <c r="S2764" s="2">
        <v>45301</v>
      </c>
      <c r="T2764" s="1">
        <v>34.85</v>
      </c>
      <c r="U2764" s="1">
        <v>0.60899999999999999</v>
      </c>
      <c r="V2764" s="6">
        <f t="shared" si="129"/>
        <v>13597.6</v>
      </c>
      <c r="W2764" s="6" t="str">
        <f t="shared" si="130"/>
        <v>Sufficient</v>
      </c>
      <c r="X2764" s="8" t="str">
        <f t="shared" si="131"/>
        <v>Medium</v>
      </c>
    </row>
    <row r="2765" spans="1:24">
      <c r="A2765" s="7" t="s">
        <v>2895</v>
      </c>
      <c r="B2765" s="1" t="s">
        <v>66</v>
      </c>
      <c r="C2765" s="1">
        <v>46</v>
      </c>
      <c r="D2765" s="1">
        <v>76</v>
      </c>
      <c r="E2765" s="1">
        <v>9</v>
      </c>
      <c r="F2765" s="1">
        <v>6</v>
      </c>
      <c r="G2765" s="1">
        <v>18.989999999999998</v>
      </c>
      <c r="H2765" s="1" t="s">
        <v>156</v>
      </c>
      <c r="I2765" s="1" t="s">
        <v>31</v>
      </c>
      <c r="J2765" s="1">
        <v>28</v>
      </c>
      <c r="K2765" s="1">
        <v>3.48</v>
      </c>
      <c r="L2765" s="4">
        <v>162.72999999999999</v>
      </c>
      <c r="M2765" s="1">
        <v>1.26</v>
      </c>
      <c r="N2765" s="1">
        <v>2</v>
      </c>
      <c r="O2765" s="1">
        <v>0.87</v>
      </c>
      <c r="P2765" s="1">
        <v>352</v>
      </c>
      <c r="Q2765" s="1">
        <v>8.0299999999999994</v>
      </c>
      <c r="R2765" s="1">
        <v>0.28000000000000003</v>
      </c>
      <c r="S2765" s="2">
        <v>45630</v>
      </c>
      <c r="T2765" s="1">
        <v>189.78</v>
      </c>
      <c r="U2765" s="1">
        <v>0.57099999999999995</v>
      </c>
      <c r="V2765" s="6">
        <f t="shared" si="129"/>
        <v>7485.58</v>
      </c>
      <c r="W2765" s="6" t="str">
        <f t="shared" si="130"/>
        <v>Reorder Required</v>
      </c>
      <c r="X2765" s="8" t="str">
        <f t="shared" si="131"/>
        <v>LOW</v>
      </c>
    </row>
    <row r="2766" spans="1:24">
      <c r="A2766" s="7" t="s">
        <v>2896</v>
      </c>
      <c r="B2766" s="1" t="s">
        <v>33</v>
      </c>
      <c r="C2766" s="1">
        <v>330</v>
      </c>
      <c r="D2766" s="1">
        <v>21</v>
      </c>
      <c r="E2766" s="1">
        <v>10</v>
      </c>
      <c r="F2766" s="1">
        <v>2</v>
      </c>
      <c r="G2766" s="1">
        <v>11.18</v>
      </c>
      <c r="H2766" s="1" t="s">
        <v>459</v>
      </c>
      <c r="I2766" s="1" t="s">
        <v>31</v>
      </c>
      <c r="J2766" s="1">
        <v>89</v>
      </c>
      <c r="K2766" s="1">
        <v>1.85</v>
      </c>
      <c r="L2766" s="4">
        <v>30.35</v>
      </c>
      <c r="M2766" s="1">
        <v>1.71</v>
      </c>
      <c r="N2766" s="1">
        <v>2</v>
      </c>
      <c r="O2766" s="1">
        <v>0.74</v>
      </c>
      <c r="P2766" s="1">
        <v>419</v>
      </c>
      <c r="Q2766" s="1">
        <v>9.5</v>
      </c>
      <c r="R2766" s="1">
        <v>0.59</v>
      </c>
      <c r="S2766" s="2">
        <v>45437</v>
      </c>
      <c r="T2766" s="1">
        <v>83.24</v>
      </c>
      <c r="U2766" s="1">
        <v>0.58199999999999996</v>
      </c>
      <c r="V2766" s="6">
        <f t="shared" si="129"/>
        <v>10015.5</v>
      </c>
      <c r="W2766" s="6" t="str">
        <f t="shared" si="130"/>
        <v>Sufficient</v>
      </c>
      <c r="X2766" s="8" t="str">
        <f t="shared" si="131"/>
        <v>High</v>
      </c>
    </row>
    <row r="2767" spans="1:24">
      <c r="A2767" s="7" t="s">
        <v>2897</v>
      </c>
      <c r="B2767" s="1" t="s">
        <v>25</v>
      </c>
      <c r="C2767" s="1">
        <v>304</v>
      </c>
      <c r="D2767" s="1">
        <v>21</v>
      </c>
      <c r="E2767" s="1">
        <v>5</v>
      </c>
      <c r="F2767" s="1">
        <v>3</v>
      </c>
      <c r="G2767" s="1">
        <v>45.68</v>
      </c>
      <c r="H2767" s="1" t="s">
        <v>274</v>
      </c>
      <c r="I2767" s="1" t="s">
        <v>39</v>
      </c>
      <c r="J2767" s="1">
        <v>35</v>
      </c>
      <c r="K2767" s="1">
        <v>2.4500000000000002</v>
      </c>
      <c r="L2767" s="4">
        <v>154.44</v>
      </c>
      <c r="M2767" s="1">
        <v>1.84</v>
      </c>
      <c r="N2767" s="1">
        <v>7</v>
      </c>
      <c r="O2767" s="1">
        <v>0.83</v>
      </c>
      <c r="P2767" s="1">
        <v>900</v>
      </c>
      <c r="Q2767" s="1">
        <v>10.42</v>
      </c>
      <c r="R2767" s="1">
        <v>0.34</v>
      </c>
      <c r="S2767" s="2">
        <v>45335</v>
      </c>
      <c r="T2767" s="1">
        <v>200.41</v>
      </c>
      <c r="U2767" s="1">
        <v>0.44900000000000001</v>
      </c>
      <c r="V2767" s="6">
        <f t="shared" si="129"/>
        <v>46949.760000000002</v>
      </c>
      <c r="W2767" s="6" t="str">
        <f t="shared" si="130"/>
        <v>Sufficient</v>
      </c>
      <c r="X2767" s="8" t="str">
        <f t="shared" si="131"/>
        <v>High</v>
      </c>
    </row>
    <row r="2768" spans="1:24">
      <c r="A2768" s="7" t="s">
        <v>2898</v>
      </c>
      <c r="B2768" s="1" t="s">
        <v>29</v>
      </c>
      <c r="C2768" s="1">
        <v>167</v>
      </c>
      <c r="D2768" s="1">
        <v>75</v>
      </c>
      <c r="E2768" s="1">
        <v>4</v>
      </c>
      <c r="F2768" s="1">
        <v>5</v>
      </c>
      <c r="G2768" s="1">
        <v>9.57</v>
      </c>
      <c r="H2768" s="1" t="s">
        <v>113</v>
      </c>
      <c r="I2768" s="1" t="s">
        <v>31</v>
      </c>
      <c r="J2768" s="1">
        <v>160</v>
      </c>
      <c r="K2768" s="1">
        <v>3.84</v>
      </c>
      <c r="L2768" s="4">
        <v>145.66</v>
      </c>
      <c r="M2768" s="1">
        <v>0.15</v>
      </c>
      <c r="N2768" s="1">
        <v>8</v>
      </c>
      <c r="O2768" s="1">
        <v>0.97</v>
      </c>
      <c r="P2768" s="1">
        <v>324</v>
      </c>
      <c r="Q2768" s="1">
        <v>12.47</v>
      </c>
      <c r="R2768" s="1">
        <v>0.3</v>
      </c>
      <c r="S2768" s="2">
        <v>45402</v>
      </c>
      <c r="T2768" s="1">
        <v>151.84</v>
      </c>
      <c r="U2768" s="1">
        <v>0.64500000000000002</v>
      </c>
      <c r="V2768" s="6">
        <f t="shared" si="129"/>
        <v>24325.22</v>
      </c>
      <c r="W2768" s="6" t="str">
        <f t="shared" si="130"/>
        <v>Sufficient</v>
      </c>
      <c r="X2768" s="8" t="str">
        <f t="shared" si="131"/>
        <v>Medium</v>
      </c>
    </row>
    <row r="2769" spans="1:24">
      <c r="A2769" s="7" t="s">
        <v>2899</v>
      </c>
      <c r="B2769" s="1" t="s">
        <v>41</v>
      </c>
      <c r="C2769" s="1">
        <v>300</v>
      </c>
      <c r="D2769" s="1">
        <v>11</v>
      </c>
      <c r="E2769" s="1">
        <v>10</v>
      </c>
      <c r="F2769" s="1">
        <v>8</v>
      </c>
      <c r="G2769" s="1">
        <v>41.89</v>
      </c>
      <c r="H2769" s="1" t="s">
        <v>214</v>
      </c>
      <c r="I2769" s="1" t="s">
        <v>31</v>
      </c>
      <c r="J2769" s="1">
        <v>130</v>
      </c>
      <c r="K2769" s="1">
        <v>4.93</v>
      </c>
      <c r="L2769" s="4">
        <v>55.94</v>
      </c>
      <c r="M2769" s="1">
        <v>0.3</v>
      </c>
      <c r="N2769" s="1">
        <v>9</v>
      </c>
      <c r="O2769" s="1">
        <v>1</v>
      </c>
      <c r="P2769" s="1">
        <v>119</v>
      </c>
      <c r="Q2769" s="1">
        <v>8.11</v>
      </c>
      <c r="R2769" s="1">
        <v>0.66</v>
      </c>
      <c r="S2769" s="2">
        <v>45521</v>
      </c>
      <c r="T2769" s="1">
        <v>71.260000000000005</v>
      </c>
      <c r="U2769" s="1">
        <v>0.63</v>
      </c>
      <c r="V2769" s="6">
        <f t="shared" si="129"/>
        <v>16782</v>
      </c>
      <c r="W2769" s="6" t="str">
        <f t="shared" si="130"/>
        <v>Sufficient</v>
      </c>
      <c r="X2769" s="8" t="str">
        <f t="shared" si="131"/>
        <v>High</v>
      </c>
    </row>
    <row r="2770" spans="1:24">
      <c r="A2770" s="7" t="s">
        <v>2900</v>
      </c>
      <c r="B2770" s="1" t="s">
        <v>33</v>
      </c>
      <c r="C2770" s="1">
        <v>345</v>
      </c>
      <c r="D2770" s="1">
        <v>24</v>
      </c>
      <c r="E2770" s="1">
        <v>5</v>
      </c>
      <c r="F2770" s="1">
        <v>6</v>
      </c>
      <c r="G2770" s="1">
        <v>8.36</v>
      </c>
      <c r="H2770" s="1" t="s">
        <v>304</v>
      </c>
      <c r="I2770" s="1" t="s">
        <v>31</v>
      </c>
      <c r="J2770" s="1">
        <v>42</v>
      </c>
      <c r="K2770" s="1">
        <v>0.65</v>
      </c>
      <c r="L2770" s="4">
        <v>25.82</v>
      </c>
      <c r="M2770" s="1">
        <v>1.87</v>
      </c>
      <c r="N2770" s="1">
        <v>3</v>
      </c>
      <c r="O2770" s="1">
        <v>0.81</v>
      </c>
      <c r="P2770" s="1">
        <v>96</v>
      </c>
      <c r="Q2770" s="1">
        <v>2.57</v>
      </c>
      <c r="R2770" s="1">
        <v>0.7</v>
      </c>
      <c r="S2770" s="2">
        <v>45602</v>
      </c>
      <c r="T2770" s="1">
        <v>30.2</v>
      </c>
      <c r="U2770" s="1">
        <v>0.48899999999999999</v>
      </c>
      <c r="V2770" s="6">
        <f t="shared" si="129"/>
        <v>8907.9</v>
      </c>
      <c r="W2770" s="6" t="str">
        <f t="shared" si="130"/>
        <v>Sufficient</v>
      </c>
      <c r="X2770" s="8" t="str">
        <f t="shared" si="131"/>
        <v>High</v>
      </c>
    </row>
    <row r="2771" spans="1:24">
      <c r="A2771" s="7" t="s">
        <v>2901</v>
      </c>
      <c r="B2771" s="1" t="s">
        <v>66</v>
      </c>
      <c r="C2771" s="1">
        <v>338</v>
      </c>
      <c r="D2771" s="1">
        <v>32</v>
      </c>
      <c r="E2771" s="1">
        <v>9</v>
      </c>
      <c r="F2771" s="1">
        <v>3</v>
      </c>
      <c r="G2771" s="1">
        <v>33.28</v>
      </c>
      <c r="H2771" s="1" t="s">
        <v>128</v>
      </c>
      <c r="I2771" s="1" t="s">
        <v>27</v>
      </c>
      <c r="J2771" s="1">
        <v>115</v>
      </c>
      <c r="K2771" s="1">
        <v>0.69</v>
      </c>
      <c r="L2771" s="4">
        <v>169.95</v>
      </c>
      <c r="M2771" s="1">
        <v>1.18</v>
      </c>
      <c r="N2771" s="1">
        <v>7</v>
      </c>
      <c r="O2771" s="1">
        <v>0.75</v>
      </c>
      <c r="P2771" s="1">
        <v>166</v>
      </c>
      <c r="Q2771" s="1">
        <v>6.39</v>
      </c>
      <c r="R2771" s="1">
        <v>0.2</v>
      </c>
      <c r="S2771" s="2">
        <v>45533</v>
      </c>
      <c r="T2771" s="1">
        <v>30.49</v>
      </c>
      <c r="U2771" s="1">
        <v>0.41699999999999998</v>
      </c>
      <c r="V2771" s="6">
        <f t="shared" si="129"/>
        <v>57443.1</v>
      </c>
      <c r="W2771" s="6" t="str">
        <f t="shared" si="130"/>
        <v>Sufficient</v>
      </c>
      <c r="X2771" s="8" t="str">
        <f t="shared" si="131"/>
        <v>High</v>
      </c>
    </row>
    <row r="2772" spans="1:24">
      <c r="A2772" s="7" t="s">
        <v>2902</v>
      </c>
      <c r="B2772" s="1" t="s">
        <v>33</v>
      </c>
      <c r="C2772" s="1">
        <v>183</v>
      </c>
      <c r="D2772" s="1">
        <v>38</v>
      </c>
      <c r="E2772" s="1">
        <v>14</v>
      </c>
      <c r="F2772" s="1">
        <v>9</v>
      </c>
      <c r="G2772" s="1">
        <v>8.3800000000000008</v>
      </c>
      <c r="H2772" s="1" t="s">
        <v>130</v>
      </c>
      <c r="I2772" s="1" t="s">
        <v>27</v>
      </c>
      <c r="J2772" s="1">
        <v>39</v>
      </c>
      <c r="K2772" s="1">
        <v>2.4300000000000002</v>
      </c>
      <c r="L2772" s="4">
        <v>57.39</v>
      </c>
      <c r="M2772" s="1">
        <v>1.98</v>
      </c>
      <c r="N2772" s="1">
        <v>0</v>
      </c>
      <c r="O2772" s="1">
        <v>0.79</v>
      </c>
      <c r="P2772" s="1">
        <v>639</v>
      </c>
      <c r="Q2772" s="1">
        <v>11.08</v>
      </c>
      <c r="R2772" s="1">
        <v>0.51</v>
      </c>
      <c r="S2772" s="2">
        <v>45538</v>
      </c>
      <c r="T2772" s="1">
        <v>179.9</v>
      </c>
      <c r="U2772" s="1">
        <v>0.61</v>
      </c>
      <c r="V2772" s="6">
        <f t="shared" si="129"/>
        <v>10502.37</v>
      </c>
      <c r="W2772" s="6" t="str">
        <f t="shared" si="130"/>
        <v>Sufficient</v>
      </c>
      <c r="X2772" s="8" t="str">
        <f t="shared" si="131"/>
        <v>Medium</v>
      </c>
    </row>
    <row r="2773" spans="1:24">
      <c r="A2773" s="7" t="s">
        <v>2903</v>
      </c>
      <c r="B2773" s="1" t="s">
        <v>33</v>
      </c>
      <c r="C2773" s="1">
        <v>405</v>
      </c>
      <c r="D2773" s="1">
        <v>90</v>
      </c>
      <c r="E2773" s="1">
        <v>3</v>
      </c>
      <c r="F2773" s="1">
        <v>4</v>
      </c>
      <c r="G2773" s="1">
        <v>46.23</v>
      </c>
      <c r="H2773" s="1" t="s">
        <v>103</v>
      </c>
      <c r="I2773" s="1" t="s">
        <v>27</v>
      </c>
      <c r="J2773" s="1">
        <v>160</v>
      </c>
      <c r="K2773" s="1">
        <v>3.47</v>
      </c>
      <c r="L2773" s="4">
        <v>37.659999999999997</v>
      </c>
      <c r="M2773" s="1">
        <v>1.61</v>
      </c>
      <c r="N2773" s="1">
        <v>1</v>
      </c>
      <c r="O2773" s="1">
        <v>0.8</v>
      </c>
      <c r="P2773" s="1">
        <v>566</v>
      </c>
      <c r="Q2773" s="1">
        <v>9.73</v>
      </c>
      <c r="R2773" s="1">
        <v>0.26</v>
      </c>
      <c r="S2773" s="2">
        <v>45379</v>
      </c>
      <c r="T2773" s="1">
        <v>229.89</v>
      </c>
      <c r="U2773" s="1">
        <v>0.56100000000000005</v>
      </c>
      <c r="V2773" s="6">
        <f t="shared" si="129"/>
        <v>15252.3</v>
      </c>
      <c r="W2773" s="6" t="str">
        <f t="shared" si="130"/>
        <v>Sufficient</v>
      </c>
      <c r="X2773" s="8" t="str">
        <f t="shared" si="131"/>
        <v>High</v>
      </c>
    </row>
    <row r="2774" spans="1:24">
      <c r="A2774" s="7" t="s">
        <v>2904</v>
      </c>
      <c r="B2774" s="1" t="s">
        <v>33</v>
      </c>
      <c r="C2774" s="1">
        <v>425</v>
      </c>
      <c r="D2774" s="1">
        <v>16</v>
      </c>
      <c r="E2774" s="1">
        <v>14</v>
      </c>
      <c r="F2774" s="1">
        <v>8</v>
      </c>
      <c r="G2774" s="1">
        <v>28.69</v>
      </c>
      <c r="H2774" s="1" t="s">
        <v>55</v>
      </c>
      <c r="I2774" s="1" t="s">
        <v>45</v>
      </c>
      <c r="J2774" s="1">
        <v>135</v>
      </c>
      <c r="K2774" s="1">
        <v>2.2400000000000002</v>
      </c>
      <c r="L2774" s="4">
        <v>78.22</v>
      </c>
      <c r="M2774" s="1">
        <v>1.65</v>
      </c>
      <c r="N2774" s="1">
        <v>9</v>
      </c>
      <c r="O2774" s="1">
        <v>0.89</v>
      </c>
      <c r="P2774" s="1">
        <v>303</v>
      </c>
      <c r="Q2774" s="1">
        <v>11.55</v>
      </c>
      <c r="R2774" s="1">
        <v>0.79</v>
      </c>
      <c r="S2774" s="2">
        <v>45404</v>
      </c>
      <c r="T2774" s="1">
        <v>210</v>
      </c>
      <c r="U2774" s="1">
        <v>0.54500000000000004</v>
      </c>
      <c r="V2774" s="6">
        <f t="shared" si="129"/>
        <v>33243.5</v>
      </c>
      <c r="W2774" s="6" t="str">
        <f t="shared" si="130"/>
        <v>Sufficient</v>
      </c>
      <c r="X2774" s="8" t="str">
        <f t="shared" si="131"/>
        <v>High</v>
      </c>
    </row>
    <row r="2775" spans="1:24">
      <c r="A2775" s="7" t="s">
        <v>2905</v>
      </c>
      <c r="B2775" s="1" t="s">
        <v>33</v>
      </c>
      <c r="C2775" s="1">
        <v>243</v>
      </c>
      <c r="D2775" s="1">
        <v>37</v>
      </c>
      <c r="E2775" s="1">
        <v>8</v>
      </c>
      <c r="F2775" s="1">
        <v>6</v>
      </c>
      <c r="G2775" s="1">
        <v>17.13</v>
      </c>
      <c r="H2775" s="1" t="s">
        <v>117</v>
      </c>
      <c r="I2775" s="1" t="s">
        <v>45</v>
      </c>
      <c r="J2775" s="1">
        <v>45</v>
      </c>
      <c r="K2775" s="1">
        <v>5</v>
      </c>
      <c r="L2775" s="4">
        <v>86.17</v>
      </c>
      <c r="M2775" s="1">
        <v>0.83</v>
      </c>
      <c r="N2775" s="1">
        <v>9</v>
      </c>
      <c r="O2775" s="1">
        <v>0.85</v>
      </c>
      <c r="P2775" s="1">
        <v>881</v>
      </c>
      <c r="Q2775" s="1">
        <v>8</v>
      </c>
      <c r="R2775" s="1">
        <v>0.75</v>
      </c>
      <c r="S2775" s="2">
        <v>45502</v>
      </c>
      <c r="T2775" s="1">
        <v>181.93</v>
      </c>
      <c r="U2775" s="1">
        <v>0.56399999999999995</v>
      </c>
      <c r="V2775" s="6">
        <f t="shared" si="129"/>
        <v>20939.310000000001</v>
      </c>
      <c r="W2775" s="6" t="str">
        <f t="shared" si="130"/>
        <v>Sufficient</v>
      </c>
      <c r="X2775" s="8" t="str">
        <f t="shared" si="131"/>
        <v>Medium</v>
      </c>
    </row>
    <row r="2776" spans="1:24">
      <c r="A2776" s="7" t="s">
        <v>2906</v>
      </c>
      <c r="B2776" s="1" t="s">
        <v>41</v>
      </c>
      <c r="C2776" s="1">
        <v>291</v>
      </c>
      <c r="D2776" s="1">
        <v>23</v>
      </c>
      <c r="E2776" s="1">
        <v>14</v>
      </c>
      <c r="F2776" s="1">
        <v>6</v>
      </c>
      <c r="G2776" s="1">
        <v>7.88</v>
      </c>
      <c r="H2776" s="1" t="s">
        <v>52</v>
      </c>
      <c r="I2776" s="1" t="s">
        <v>45</v>
      </c>
      <c r="J2776" s="1">
        <v>134</v>
      </c>
      <c r="K2776" s="1">
        <v>1.38</v>
      </c>
      <c r="L2776" s="4">
        <v>71.959999999999994</v>
      </c>
      <c r="M2776" s="1">
        <v>0.59</v>
      </c>
      <c r="N2776" s="1">
        <v>9</v>
      </c>
      <c r="O2776" s="1">
        <v>0.93</v>
      </c>
      <c r="P2776" s="1">
        <v>668</v>
      </c>
      <c r="Q2776" s="1">
        <v>3.44</v>
      </c>
      <c r="R2776" s="1">
        <v>0.24</v>
      </c>
      <c r="S2776" s="2">
        <v>45599</v>
      </c>
      <c r="T2776" s="1">
        <v>71.17</v>
      </c>
      <c r="U2776" s="1">
        <v>0.441</v>
      </c>
      <c r="V2776" s="6">
        <f t="shared" si="129"/>
        <v>20940.359999999997</v>
      </c>
      <c r="W2776" s="6" t="str">
        <f t="shared" si="130"/>
        <v>Sufficient</v>
      </c>
      <c r="X2776" s="8" t="str">
        <f t="shared" si="131"/>
        <v>High</v>
      </c>
    </row>
    <row r="2777" spans="1:24">
      <c r="A2777" s="7" t="s">
        <v>2907</v>
      </c>
      <c r="B2777" s="1" t="s">
        <v>25</v>
      </c>
      <c r="C2777" s="1">
        <v>165</v>
      </c>
      <c r="D2777" s="1">
        <v>53</v>
      </c>
      <c r="E2777" s="1">
        <v>14</v>
      </c>
      <c r="F2777" s="1">
        <v>9</v>
      </c>
      <c r="G2777" s="1">
        <v>19.190000000000001</v>
      </c>
      <c r="H2777" s="1" t="s">
        <v>159</v>
      </c>
      <c r="I2777" s="1" t="s">
        <v>31</v>
      </c>
      <c r="J2777" s="1">
        <v>133</v>
      </c>
      <c r="K2777" s="1">
        <v>0.54</v>
      </c>
      <c r="L2777" s="4">
        <v>195.53</v>
      </c>
      <c r="M2777" s="1">
        <v>1.24</v>
      </c>
      <c r="N2777" s="1">
        <v>8</v>
      </c>
      <c r="O2777" s="1">
        <v>0.91</v>
      </c>
      <c r="P2777" s="1">
        <v>805</v>
      </c>
      <c r="Q2777" s="1">
        <v>2.61</v>
      </c>
      <c r="R2777" s="1">
        <v>0.95</v>
      </c>
      <c r="S2777" s="2">
        <v>45365</v>
      </c>
      <c r="T2777" s="1">
        <v>259.92</v>
      </c>
      <c r="U2777" s="1">
        <v>0.52300000000000002</v>
      </c>
      <c r="V2777" s="6">
        <f t="shared" si="129"/>
        <v>32262.45</v>
      </c>
      <c r="W2777" s="6" t="str">
        <f t="shared" si="130"/>
        <v>Sufficient</v>
      </c>
      <c r="X2777" s="8" t="str">
        <f t="shared" si="131"/>
        <v>Medium</v>
      </c>
    </row>
    <row r="2778" spans="1:24">
      <c r="A2778" s="7" t="s">
        <v>2908</v>
      </c>
      <c r="B2778" s="1" t="s">
        <v>29</v>
      </c>
      <c r="C2778" s="1">
        <v>472</v>
      </c>
      <c r="D2778" s="1">
        <v>39</v>
      </c>
      <c r="E2778" s="1">
        <v>11</v>
      </c>
      <c r="F2778" s="1">
        <v>7</v>
      </c>
      <c r="G2778" s="1">
        <v>35.549999999999997</v>
      </c>
      <c r="H2778" s="1" t="s">
        <v>282</v>
      </c>
      <c r="I2778" s="1" t="s">
        <v>27</v>
      </c>
      <c r="J2778" s="1">
        <v>127</v>
      </c>
      <c r="K2778" s="1">
        <v>1.36</v>
      </c>
      <c r="L2778" s="4">
        <v>177.36</v>
      </c>
      <c r="M2778" s="1">
        <v>1.77</v>
      </c>
      <c r="N2778" s="1">
        <v>1</v>
      </c>
      <c r="O2778" s="1">
        <v>0.78</v>
      </c>
      <c r="P2778" s="1">
        <v>222</v>
      </c>
      <c r="Q2778" s="1">
        <v>7.74</v>
      </c>
      <c r="R2778" s="1">
        <v>0.97</v>
      </c>
      <c r="S2778" s="2">
        <v>45590</v>
      </c>
      <c r="T2778" s="1">
        <v>192.37</v>
      </c>
      <c r="U2778" s="1">
        <v>0.65600000000000003</v>
      </c>
      <c r="V2778" s="6">
        <f t="shared" si="129"/>
        <v>83713.920000000013</v>
      </c>
      <c r="W2778" s="6" t="str">
        <f t="shared" si="130"/>
        <v>Sufficient</v>
      </c>
      <c r="X2778" s="8" t="str">
        <f t="shared" si="131"/>
        <v>High</v>
      </c>
    </row>
    <row r="2779" spans="1:24">
      <c r="A2779" s="7" t="s">
        <v>2909</v>
      </c>
      <c r="B2779" s="1" t="s">
        <v>33</v>
      </c>
      <c r="C2779" s="1">
        <v>457</v>
      </c>
      <c r="D2779" s="1">
        <v>90</v>
      </c>
      <c r="E2779" s="1">
        <v>14</v>
      </c>
      <c r="F2779" s="1">
        <v>5</v>
      </c>
      <c r="G2779" s="1">
        <v>19.86</v>
      </c>
      <c r="H2779" s="1" t="s">
        <v>181</v>
      </c>
      <c r="I2779" s="1" t="s">
        <v>45</v>
      </c>
      <c r="J2779" s="1">
        <v>132</v>
      </c>
      <c r="K2779" s="1">
        <v>4.49</v>
      </c>
      <c r="L2779" s="4">
        <v>175.87</v>
      </c>
      <c r="M2779" s="1">
        <v>1.48</v>
      </c>
      <c r="N2779" s="1">
        <v>1</v>
      </c>
      <c r="O2779" s="1">
        <v>0.94</v>
      </c>
      <c r="P2779" s="1">
        <v>478</v>
      </c>
      <c r="Q2779" s="1">
        <v>3.88</v>
      </c>
      <c r="R2779" s="1">
        <v>0.47</v>
      </c>
      <c r="S2779" s="2">
        <v>45385</v>
      </c>
      <c r="T2779" s="1">
        <v>211.32</v>
      </c>
      <c r="U2779" s="1">
        <v>0.56599999999999995</v>
      </c>
      <c r="V2779" s="6">
        <f t="shared" si="129"/>
        <v>80372.59</v>
      </c>
      <c r="W2779" s="6" t="str">
        <f t="shared" si="130"/>
        <v>Sufficient</v>
      </c>
      <c r="X2779" s="8" t="str">
        <f t="shared" si="131"/>
        <v>High</v>
      </c>
    </row>
    <row r="2780" spans="1:24">
      <c r="A2780" s="7" t="s">
        <v>2910</v>
      </c>
      <c r="B2780" s="1" t="s">
        <v>33</v>
      </c>
      <c r="C2780" s="1">
        <v>375</v>
      </c>
      <c r="D2780" s="1">
        <v>41</v>
      </c>
      <c r="E2780" s="1">
        <v>5</v>
      </c>
      <c r="F2780" s="1">
        <v>6</v>
      </c>
      <c r="G2780" s="1">
        <v>13.06</v>
      </c>
      <c r="H2780" s="1" t="s">
        <v>183</v>
      </c>
      <c r="I2780" s="1" t="s">
        <v>39</v>
      </c>
      <c r="J2780" s="1">
        <v>46</v>
      </c>
      <c r="K2780" s="1">
        <v>1.1499999999999999</v>
      </c>
      <c r="L2780" s="4">
        <v>85.77</v>
      </c>
      <c r="M2780" s="1">
        <v>1</v>
      </c>
      <c r="N2780" s="1">
        <v>7</v>
      </c>
      <c r="O2780" s="1">
        <v>0.95</v>
      </c>
      <c r="P2780" s="1">
        <v>85</v>
      </c>
      <c r="Q2780" s="1">
        <v>14.75</v>
      </c>
      <c r="R2780" s="1">
        <v>0.3</v>
      </c>
      <c r="S2780" s="2">
        <v>45611</v>
      </c>
      <c r="T2780" s="1">
        <v>74.91</v>
      </c>
      <c r="U2780" s="1">
        <v>0.60699999999999998</v>
      </c>
      <c r="V2780" s="6">
        <f t="shared" si="129"/>
        <v>32163.75</v>
      </c>
      <c r="W2780" s="6" t="str">
        <f t="shared" si="130"/>
        <v>Sufficient</v>
      </c>
      <c r="X2780" s="8" t="str">
        <f t="shared" si="131"/>
        <v>High</v>
      </c>
    </row>
    <row r="2781" spans="1:24">
      <c r="A2781" s="7" t="s">
        <v>2911</v>
      </c>
      <c r="B2781" s="1" t="s">
        <v>33</v>
      </c>
      <c r="C2781" s="1">
        <v>49</v>
      </c>
      <c r="D2781" s="1">
        <v>79</v>
      </c>
      <c r="E2781" s="1">
        <v>9</v>
      </c>
      <c r="F2781" s="1">
        <v>5</v>
      </c>
      <c r="G2781" s="1">
        <v>29.29</v>
      </c>
      <c r="H2781" s="1" t="s">
        <v>200</v>
      </c>
      <c r="I2781" s="1" t="s">
        <v>27</v>
      </c>
      <c r="J2781" s="1">
        <v>70</v>
      </c>
      <c r="K2781" s="1">
        <v>2.66</v>
      </c>
      <c r="L2781" s="4">
        <v>192.95</v>
      </c>
      <c r="M2781" s="1">
        <v>1.53</v>
      </c>
      <c r="N2781" s="1">
        <v>4</v>
      </c>
      <c r="O2781" s="1">
        <v>0.88</v>
      </c>
      <c r="P2781" s="1">
        <v>954</v>
      </c>
      <c r="Q2781" s="1">
        <v>3.78</v>
      </c>
      <c r="R2781" s="1">
        <v>0.28999999999999998</v>
      </c>
      <c r="S2781" s="2">
        <v>45629</v>
      </c>
      <c r="T2781" s="1">
        <v>85.83</v>
      </c>
      <c r="U2781" s="1">
        <v>0.45100000000000001</v>
      </c>
      <c r="V2781" s="6">
        <f t="shared" si="129"/>
        <v>9454.5499999999993</v>
      </c>
      <c r="W2781" s="6" t="str">
        <f t="shared" si="130"/>
        <v>Reorder Required</v>
      </c>
      <c r="X2781" s="8" t="str">
        <f t="shared" si="131"/>
        <v>LOW</v>
      </c>
    </row>
    <row r="2782" spans="1:24">
      <c r="A2782" s="7" t="s">
        <v>2912</v>
      </c>
      <c r="B2782" s="1" t="s">
        <v>25</v>
      </c>
      <c r="C2782" s="1">
        <v>64</v>
      </c>
      <c r="D2782" s="1">
        <v>97</v>
      </c>
      <c r="E2782" s="1">
        <v>8</v>
      </c>
      <c r="F2782" s="1">
        <v>3</v>
      </c>
      <c r="G2782" s="1">
        <v>21.47</v>
      </c>
      <c r="H2782" s="1" t="s">
        <v>122</v>
      </c>
      <c r="I2782" s="1" t="s">
        <v>31</v>
      </c>
      <c r="J2782" s="1">
        <v>105</v>
      </c>
      <c r="K2782" s="1">
        <v>2.39</v>
      </c>
      <c r="L2782" s="4">
        <v>139.96</v>
      </c>
      <c r="M2782" s="1">
        <v>1.41</v>
      </c>
      <c r="N2782" s="1">
        <v>4</v>
      </c>
      <c r="O2782" s="1">
        <v>0.98</v>
      </c>
      <c r="P2782" s="1">
        <v>456</v>
      </c>
      <c r="Q2782" s="1">
        <v>8.93</v>
      </c>
      <c r="R2782" s="1">
        <v>0.87</v>
      </c>
      <c r="S2782" s="2">
        <v>45553</v>
      </c>
      <c r="T2782" s="1">
        <v>273.19</v>
      </c>
      <c r="U2782" s="1">
        <v>0.66800000000000004</v>
      </c>
      <c r="V2782" s="6">
        <f t="shared" si="129"/>
        <v>8957.44</v>
      </c>
      <c r="W2782" s="6" t="str">
        <f t="shared" si="130"/>
        <v>Reorder Required</v>
      </c>
      <c r="X2782" s="8" t="str">
        <f t="shared" si="131"/>
        <v>LOW</v>
      </c>
    </row>
    <row r="2783" spans="1:24">
      <c r="A2783" s="7" t="s">
        <v>2913</v>
      </c>
      <c r="B2783" s="1" t="s">
        <v>66</v>
      </c>
      <c r="C2783" s="1">
        <v>294</v>
      </c>
      <c r="D2783" s="1">
        <v>15</v>
      </c>
      <c r="E2783" s="1">
        <v>10</v>
      </c>
      <c r="F2783" s="1">
        <v>4</v>
      </c>
      <c r="G2783" s="1">
        <v>9.1199999999999992</v>
      </c>
      <c r="H2783" s="1" t="s">
        <v>558</v>
      </c>
      <c r="I2783" s="1" t="s">
        <v>27</v>
      </c>
      <c r="J2783" s="1">
        <v>129</v>
      </c>
      <c r="K2783" s="1">
        <v>3.5</v>
      </c>
      <c r="L2783" s="4">
        <v>168.08</v>
      </c>
      <c r="M2783" s="1">
        <v>1.83</v>
      </c>
      <c r="N2783" s="1">
        <v>5</v>
      </c>
      <c r="O2783" s="1">
        <v>0.93</v>
      </c>
      <c r="P2783" s="1">
        <v>465</v>
      </c>
      <c r="Q2783" s="1">
        <v>1.02</v>
      </c>
      <c r="R2783" s="1">
        <v>0.56999999999999995</v>
      </c>
      <c r="S2783" s="2">
        <v>45427</v>
      </c>
      <c r="T2783" s="1">
        <v>148.06</v>
      </c>
      <c r="U2783" s="1">
        <v>0.43099999999999999</v>
      </c>
      <c r="V2783" s="6">
        <f t="shared" si="129"/>
        <v>49415.520000000004</v>
      </c>
      <c r="W2783" s="6" t="str">
        <f t="shared" si="130"/>
        <v>Sufficient</v>
      </c>
      <c r="X2783" s="8" t="str">
        <f t="shared" si="131"/>
        <v>High</v>
      </c>
    </row>
    <row r="2784" spans="1:24">
      <c r="A2784" s="7" t="s">
        <v>2914</v>
      </c>
      <c r="B2784" s="1" t="s">
        <v>66</v>
      </c>
      <c r="C2784" s="1">
        <v>490</v>
      </c>
      <c r="D2784" s="1">
        <v>36</v>
      </c>
      <c r="E2784" s="1">
        <v>5</v>
      </c>
      <c r="F2784" s="1">
        <v>8</v>
      </c>
      <c r="G2784" s="1">
        <v>8.5500000000000007</v>
      </c>
      <c r="H2784" s="1" t="s">
        <v>459</v>
      </c>
      <c r="I2784" s="1" t="s">
        <v>31</v>
      </c>
      <c r="J2784" s="1">
        <v>21</v>
      </c>
      <c r="K2784" s="1">
        <v>0.75</v>
      </c>
      <c r="L2784" s="4">
        <v>105.17</v>
      </c>
      <c r="M2784" s="1">
        <v>0.6</v>
      </c>
      <c r="N2784" s="1">
        <v>7</v>
      </c>
      <c r="O2784" s="1">
        <v>0.88</v>
      </c>
      <c r="P2784" s="1">
        <v>734</v>
      </c>
      <c r="Q2784" s="1">
        <v>4.55</v>
      </c>
      <c r="R2784" s="1">
        <v>0.21</v>
      </c>
      <c r="S2784" s="2">
        <v>45377</v>
      </c>
      <c r="T2784" s="1">
        <v>170.61</v>
      </c>
      <c r="U2784" s="1">
        <v>0.47899999999999998</v>
      </c>
      <c r="V2784" s="6">
        <f t="shared" si="129"/>
        <v>51533.3</v>
      </c>
      <c r="W2784" s="6" t="str">
        <f t="shared" si="130"/>
        <v>Sufficient</v>
      </c>
      <c r="X2784" s="8" t="str">
        <f t="shared" si="131"/>
        <v>High</v>
      </c>
    </row>
    <row r="2785" spans="1:24">
      <c r="A2785" s="7" t="s">
        <v>2915</v>
      </c>
      <c r="B2785" s="1" t="s">
        <v>41</v>
      </c>
      <c r="C2785" s="1">
        <v>53</v>
      </c>
      <c r="D2785" s="1">
        <v>91</v>
      </c>
      <c r="E2785" s="1">
        <v>5</v>
      </c>
      <c r="F2785" s="1">
        <v>8</v>
      </c>
      <c r="G2785" s="1">
        <v>35.67</v>
      </c>
      <c r="H2785" s="1" t="s">
        <v>149</v>
      </c>
      <c r="I2785" s="1" t="s">
        <v>45</v>
      </c>
      <c r="J2785" s="1">
        <v>131</v>
      </c>
      <c r="K2785" s="1">
        <v>3.46</v>
      </c>
      <c r="L2785" s="4">
        <v>40.520000000000003</v>
      </c>
      <c r="M2785" s="1">
        <v>0.33</v>
      </c>
      <c r="N2785" s="1">
        <v>7</v>
      </c>
      <c r="O2785" s="1">
        <v>0.97</v>
      </c>
      <c r="P2785" s="1">
        <v>461</v>
      </c>
      <c r="Q2785" s="1">
        <v>4.63</v>
      </c>
      <c r="R2785" s="1">
        <v>0.94</v>
      </c>
      <c r="S2785" s="2">
        <v>45643</v>
      </c>
      <c r="T2785" s="1">
        <v>42.12</v>
      </c>
      <c r="U2785" s="1">
        <v>0.67100000000000004</v>
      </c>
      <c r="V2785" s="6">
        <f t="shared" si="129"/>
        <v>2147.56</v>
      </c>
      <c r="W2785" s="6" t="str">
        <f t="shared" si="130"/>
        <v>Reorder Required</v>
      </c>
      <c r="X2785" s="8" t="str">
        <f t="shared" si="131"/>
        <v>LOW</v>
      </c>
    </row>
    <row r="2786" spans="1:24">
      <c r="A2786" s="7" t="s">
        <v>2916</v>
      </c>
      <c r="B2786" s="1" t="s">
        <v>66</v>
      </c>
      <c r="C2786" s="1">
        <v>160</v>
      </c>
      <c r="D2786" s="1">
        <v>97</v>
      </c>
      <c r="E2786" s="1">
        <v>6</v>
      </c>
      <c r="F2786" s="1">
        <v>4</v>
      </c>
      <c r="G2786" s="1">
        <v>48.76</v>
      </c>
      <c r="H2786" s="1" t="s">
        <v>42</v>
      </c>
      <c r="I2786" s="1" t="s">
        <v>31</v>
      </c>
      <c r="J2786" s="1">
        <v>44</v>
      </c>
      <c r="K2786" s="1">
        <v>2.1</v>
      </c>
      <c r="L2786" s="4">
        <v>178.51</v>
      </c>
      <c r="M2786" s="1">
        <v>0.99</v>
      </c>
      <c r="N2786" s="1">
        <v>8</v>
      </c>
      <c r="O2786" s="1">
        <v>0.88</v>
      </c>
      <c r="P2786" s="1">
        <v>537</v>
      </c>
      <c r="Q2786" s="1">
        <v>11.33</v>
      </c>
      <c r="R2786" s="1">
        <v>0.67</v>
      </c>
      <c r="S2786" s="2">
        <v>45467</v>
      </c>
      <c r="T2786" s="1">
        <v>124.43</v>
      </c>
      <c r="U2786" s="1">
        <v>0.60199999999999998</v>
      </c>
      <c r="V2786" s="6">
        <f t="shared" si="129"/>
        <v>28561.599999999999</v>
      </c>
      <c r="W2786" s="6" t="str">
        <f t="shared" si="130"/>
        <v>Sufficient</v>
      </c>
      <c r="X2786" s="8" t="str">
        <f t="shared" si="131"/>
        <v>Medium</v>
      </c>
    </row>
    <row r="2787" spans="1:24">
      <c r="A2787" s="7" t="s">
        <v>2917</v>
      </c>
      <c r="B2787" s="1" t="s">
        <v>33</v>
      </c>
      <c r="C2787" s="1">
        <v>446</v>
      </c>
      <c r="D2787" s="1">
        <v>33</v>
      </c>
      <c r="E2787" s="1">
        <v>5</v>
      </c>
      <c r="F2787" s="1">
        <v>6</v>
      </c>
      <c r="G2787" s="1">
        <v>12.42</v>
      </c>
      <c r="H2787" s="1" t="s">
        <v>38</v>
      </c>
      <c r="I2787" s="1" t="s">
        <v>31</v>
      </c>
      <c r="J2787" s="1">
        <v>76</v>
      </c>
      <c r="K2787" s="1">
        <v>4.67</v>
      </c>
      <c r="L2787" s="4">
        <v>102.42</v>
      </c>
      <c r="M2787" s="1">
        <v>0.79</v>
      </c>
      <c r="N2787" s="1">
        <v>9</v>
      </c>
      <c r="O2787" s="1">
        <v>0.86</v>
      </c>
      <c r="P2787" s="1">
        <v>741</v>
      </c>
      <c r="Q2787" s="1">
        <v>7.94</v>
      </c>
      <c r="R2787" s="1">
        <v>0.75</v>
      </c>
      <c r="S2787" s="2">
        <v>45524</v>
      </c>
      <c r="T2787" s="1">
        <v>267.24</v>
      </c>
      <c r="U2787" s="1">
        <v>0.56899999999999995</v>
      </c>
      <c r="V2787" s="6">
        <f t="shared" si="129"/>
        <v>45679.32</v>
      </c>
      <c r="W2787" s="6" t="str">
        <f t="shared" si="130"/>
        <v>Sufficient</v>
      </c>
      <c r="X2787" s="8" t="str">
        <f t="shared" si="131"/>
        <v>High</v>
      </c>
    </row>
    <row r="2788" spans="1:24">
      <c r="A2788" s="7" t="s">
        <v>2918</v>
      </c>
      <c r="B2788" s="1" t="s">
        <v>33</v>
      </c>
      <c r="C2788" s="1">
        <v>337</v>
      </c>
      <c r="D2788" s="1">
        <v>43</v>
      </c>
      <c r="E2788" s="1">
        <v>11</v>
      </c>
      <c r="F2788" s="1">
        <v>6</v>
      </c>
      <c r="G2788" s="1">
        <v>38.880000000000003</v>
      </c>
      <c r="H2788" s="1" t="s">
        <v>77</v>
      </c>
      <c r="I2788" s="1" t="s">
        <v>39</v>
      </c>
      <c r="J2788" s="1">
        <v>47</v>
      </c>
      <c r="K2788" s="1">
        <v>4.32</v>
      </c>
      <c r="L2788" s="4">
        <v>194.03</v>
      </c>
      <c r="M2788" s="1">
        <v>1.95</v>
      </c>
      <c r="N2788" s="1">
        <v>2</v>
      </c>
      <c r="O2788" s="1">
        <v>0.81</v>
      </c>
      <c r="P2788" s="1">
        <v>828</v>
      </c>
      <c r="Q2788" s="1">
        <v>1.17</v>
      </c>
      <c r="R2788" s="1">
        <v>0.86</v>
      </c>
      <c r="S2788" s="2">
        <v>45597</v>
      </c>
      <c r="T2788" s="1">
        <v>271.04000000000002</v>
      </c>
      <c r="U2788" s="1">
        <v>0.51500000000000001</v>
      </c>
      <c r="V2788" s="6">
        <f t="shared" si="129"/>
        <v>65388.11</v>
      </c>
      <c r="W2788" s="6" t="str">
        <f t="shared" si="130"/>
        <v>Sufficient</v>
      </c>
      <c r="X2788" s="8" t="str">
        <f t="shared" si="131"/>
        <v>High</v>
      </c>
    </row>
    <row r="2789" spans="1:24">
      <c r="A2789" s="7" t="s">
        <v>2919</v>
      </c>
      <c r="B2789" s="1" t="s">
        <v>33</v>
      </c>
      <c r="C2789" s="1">
        <v>393</v>
      </c>
      <c r="D2789" s="1">
        <v>49</v>
      </c>
      <c r="E2789" s="1">
        <v>13</v>
      </c>
      <c r="F2789" s="1">
        <v>3</v>
      </c>
      <c r="G2789" s="1">
        <v>5.29</v>
      </c>
      <c r="H2789" s="1" t="s">
        <v>309</v>
      </c>
      <c r="I2789" s="1" t="s">
        <v>27</v>
      </c>
      <c r="J2789" s="1">
        <v>33</v>
      </c>
      <c r="K2789" s="1">
        <v>2.2999999999999998</v>
      </c>
      <c r="L2789" s="4">
        <v>58.42</v>
      </c>
      <c r="M2789" s="1">
        <v>0.11</v>
      </c>
      <c r="N2789" s="1">
        <v>8</v>
      </c>
      <c r="O2789" s="1">
        <v>0.96</v>
      </c>
      <c r="P2789" s="1">
        <v>816</v>
      </c>
      <c r="Q2789" s="1">
        <v>6.31</v>
      </c>
      <c r="R2789" s="1">
        <v>0.85</v>
      </c>
      <c r="S2789" s="2">
        <v>45594</v>
      </c>
      <c r="T2789" s="1">
        <v>221.74</v>
      </c>
      <c r="U2789" s="1">
        <v>0.67500000000000004</v>
      </c>
      <c r="V2789" s="6">
        <f t="shared" si="129"/>
        <v>22959.06</v>
      </c>
      <c r="W2789" s="6" t="str">
        <f t="shared" si="130"/>
        <v>Sufficient</v>
      </c>
      <c r="X2789" s="8" t="str">
        <f t="shared" si="131"/>
        <v>High</v>
      </c>
    </row>
    <row r="2790" spans="1:24">
      <c r="A2790" s="7" t="s">
        <v>2920</v>
      </c>
      <c r="B2790" s="1" t="s">
        <v>41</v>
      </c>
      <c r="C2790" s="1">
        <v>240</v>
      </c>
      <c r="D2790" s="1">
        <v>56</v>
      </c>
      <c r="E2790" s="1">
        <v>6</v>
      </c>
      <c r="F2790" s="1">
        <v>7</v>
      </c>
      <c r="G2790" s="1">
        <v>19.7</v>
      </c>
      <c r="H2790" s="1" t="s">
        <v>44</v>
      </c>
      <c r="I2790" s="1" t="s">
        <v>31</v>
      </c>
      <c r="J2790" s="1">
        <v>90</v>
      </c>
      <c r="K2790" s="1">
        <v>4.97</v>
      </c>
      <c r="L2790" s="4">
        <v>198.55</v>
      </c>
      <c r="M2790" s="1">
        <v>1.87</v>
      </c>
      <c r="N2790" s="1">
        <v>2</v>
      </c>
      <c r="O2790" s="1">
        <v>0.74</v>
      </c>
      <c r="P2790" s="1">
        <v>964</v>
      </c>
      <c r="Q2790" s="1">
        <v>10.029999999999999</v>
      </c>
      <c r="R2790" s="1">
        <v>0.26</v>
      </c>
      <c r="S2790" s="2">
        <v>45327</v>
      </c>
      <c r="T2790" s="1">
        <v>168.23</v>
      </c>
      <c r="U2790" s="1">
        <v>0.50700000000000001</v>
      </c>
      <c r="V2790" s="6">
        <f t="shared" si="129"/>
        <v>47652</v>
      </c>
      <c r="W2790" s="6" t="str">
        <f t="shared" si="130"/>
        <v>Sufficient</v>
      </c>
      <c r="X2790" s="8" t="str">
        <f t="shared" si="131"/>
        <v>Medium</v>
      </c>
    </row>
    <row r="2791" spans="1:24">
      <c r="A2791" s="7" t="s">
        <v>2921</v>
      </c>
      <c r="B2791" s="1" t="s">
        <v>33</v>
      </c>
      <c r="C2791" s="1">
        <v>375</v>
      </c>
      <c r="D2791" s="1">
        <v>88</v>
      </c>
      <c r="E2791" s="1">
        <v>8</v>
      </c>
      <c r="F2791" s="1">
        <v>7</v>
      </c>
      <c r="G2791" s="1">
        <v>25.83</v>
      </c>
      <c r="H2791" s="1" t="s">
        <v>309</v>
      </c>
      <c r="I2791" s="1" t="s">
        <v>39</v>
      </c>
      <c r="J2791" s="1">
        <v>177</v>
      </c>
      <c r="K2791" s="1">
        <v>0.73</v>
      </c>
      <c r="L2791" s="4">
        <v>52.26</v>
      </c>
      <c r="M2791" s="1">
        <v>1.91</v>
      </c>
      <c r="N2791" s="1">
        <v>0</v>
      </c>
      <c r="O2791" s="1">
        <v>0.84</v>
      </c>
      <c r="P2791" s="1">
        <v>881</v>
      </c>
      <c r="Q2791" s="1">
        <v>9.91</v>
      </c>
      <c r="R2791" s="1">
        <v>0.66</v>
      </c>
      <c r="S2791" s="2">
        <v>45409</v>
      </c>
      <c r="T2791" s="1">
        <v>279.94</v>
      </c>
      <c r="U2791" s="1">
        <v>0.64100000000000001</v>
      </c>
      <c r="V2791" s="6">
        <f t="shared" si="129"/>
        <v>19597.5</v>
      </c>
      <c r="W2791" s="6" t="str">
        <f t="shared" si="130"/>
        <v>Sufficient</v>
      </c>
      <c r="X2791" s="8" t="str">
        <f t="shared" si="131"/>
        <v>High</v>
      </c>
    </row>
    <row r="2792" spans="1:24">
      <c r="A2792" s="7" t="s">
        <v>2922</v>
      </c>
      <c r="B2792" s="1" t="s">
        <v>66</v>
      </c>
      <c r="C2792" s="1">
        <v>41</v>
      </c>
      <c r="D2792" s="1">
        <v>84</v>
      </c>
      <c r="E2792" s="1">
        <v>10</v>
      </c>
      <c r="F2792" s="1">
        <v>7</v>
      </c>
      <c r="G2792" s="1">
        <v>14.17</v>
      </c>
      <c r="H2792" s="1" t="s">
        <v>159</v>
      </c>
      <c r="I2792" s="1" t="s">
        <v>39</v>
      </c>
      <c r="J2792" s="1">
        <v>81</v>
      </c>
      <c r="K2792" s="1">
        <v>4.05</v>
      </c>
      <c r="L2792" s="4">
        <v>79.95</v>
      </c>
      <c r="M2792" s="1">
        <v>0.2</v>
      </c>
      <c r="N2792" s="1">
        <v>4</v>
      </c>
      <c r="O2792" s="1">
        <v>0.86</v>
      </c>
      <c r="P2792" s="1">
        <v>370</v>
      </c>
      <c r="Q2792" s="1">
        <v>1.75</v>
      </c>
      <c r="R2792" s="1">
        <v>0.76</v>
      </c>
      <c r="S2792" s="2">
        <v>45485</v>
      </c>
      <c r="T2792" s="1">
        <v>262.83</v>
      </c>
      <c r="U2792" s="1">
        <v>0.64700000000000002</v>
      </c>
      <c r="V2792" s="6">
        <f t="shared" si="129"/>
        <v>3277.9500000000003</v>
      </c>
      <c r="W2792" s="6" t="str">
        <f t="shared" si="130"/>
        <v>Reorder Required</v>
      </c>
      <c r="X2792" s="8" t="str">
        <f t="shared" si="131"/>
        <v>LOW</v>
      </c>
    </row>
    <row r="2793" spans="1:24">
      <c r="A2793" s="7" t="s">
        <v>2923</v>
      </c>
      <c r="B2793" s="1" t="s">
        <v>25</v>
      </c>
      <c r="C2793" s="1">
        <v>199</v>
      </c>
      <c r="D2793" s="1">
        <v>95</v>
      </c>
      <c r="E2793" s="1">
        <v>13</v>
      </c>
      <c r="F2793" s="1">
        <v>5</v>
      </c>
      <c r="G2793" s="1">
        <v>26.95</v>
      </c>
      <c r="H2793" s="1" t="s">
        <v>470</v>
      </c>
      <c r="I2793" s="1" t="s">
        <v>39</v>
      </c>
      <c r="J2793" s="1">
        <v>88</v>
      </c>
      <c r="K2793" s="1">
        <v>2.4500000000000002</v>
      </c>
      <c r="L2793" s="4">
        <v>122.86</v>
      </c>
      <c r="M2793" s="1">
        <v>1.79</v>
      </c>
      <c r="N2793" s="1">
        <v>6</v>
      </c>
      <c r="O2793" s="1">
        <v>0.87</v>
      </c>
      <c r="P2793" s="1">
        <v>122</v>
      </c>
      <c r="Q2793" s="1">
        <v>14</v>
      </c>
      <c r="R2793" s="1">
        <v>0.27</v>
      </c>
      <c r="S2793" s="2">
        <v>45489</v>
      </c>
      <c r="T2793" s="1">
        <v>255.44</v>
      </c>
      <c r="U2793" s="1">
        <v>0.51600000000000001</v>
      </c>
      <c r="V2793" s="6">
        <f t="shared" si="129"/>
        <v>24449.14</v>
      </c>
      <c r="W2793" s="6" t="str">
        <f t="shared" si="130"/>
        <v>Sufficient</v>
      </c>
      <c r="X2793" s="8" t="str">
        <f t="shared" si="131"/>
        <v>Medium</v>
      </c>
    </row>
    <row r="2794" spans="1:24">
      <c r="A2794" s="7" t="s">
        <v>2924</v>
      </c>
      <c r="B2794" s="1" t="s">
        <v>25</v>
      </c>
      <c r="C2794" s="1">
        <v>455</v>
      </c>
      <c r="D2794" s="1">
        <v>33</v>
      </c>
      <c r="E2794" s="1">
        <v>10</v>
      </c>
      <c r="F2794" s="1">
        <v>7</v>
      </c>
      <c r="G2794" s="1">
        <v>44.25</v>
      </c>
      <c r="H2794" s="1" t="s">
        <v>151</v>
      </c>
      <c r="I2794" s="1" t="s">
        <v>45</v>
      </c>
      <c r="J2794" s="1">
        <v>123</v>
      </c>
      <c r="K2794" s="1">
        <v>2.4500000000000002</v>
      </c>
      <c r="L2794" s="4">
        <v>141.72999999999999</v>
      </c>
      <c r="M2794" s="1">
        <v>0.99</v>
      </c>
      <c r="N2794" s="1">
        <v>2</v>
      </c>
      <c r="O2794" s="1">
        <v>0.9</v>
      </c>
      <c r="P2794" s="1">
        <v>618</v>
      </c>
      <c r="Q2794" s="1">
        <v>4.46</v>
      </c>
      <c r="R2794" s="1">
        <v>0.38</v>
      </c>
      <c r="S2794" s="2">
        <v>45359</v>
      </c>
      <c r="T2794" s="1">
        <v>265.72000000000003</v>
      </c>
      <c r="U2794" s="1">
        <v>0.57599999999999996</v>
      </c>
      <c r="V2794" s="6">
        <f t="shared" si="129"/>
        <v>64487.149999999994</v>
      </c>
      <c r="W2794" s="6" t="str">
        <f t="shared" si="130"/>
        <v>Sufficient</v>
      </c>
      <c r="X2794" s="8" t="str">
        <f t="shared" si="131"/>
        <v>High</v>
      </c>
    </row>
    <row r="2795" spans="1:24">
      <c r="A2795" s="7" t="s">
        <v>2925</v>
      </c>
      <c r="B2795" s="1" t="s">
        <v>29</v>
      </c>
      <c r="C2795" s="1">
        <v>386</v>
      </c>
      <c r="D2795" s="1">
        <v>74</v>
      </c>
      <c r="E2795" s="1">
        <v>7</v>
      </c>
      <c r="F2795" s="1">
        <v>4</v>
      </c>
      <c r="G2795" s="1">
        <v>47.28</v>
      </c>
      <c r="H2795" s="1" t="s">
        <v>174</v>
      </c>
      <c r="I2795" s="1" t="s">
        <v>45</v>
      </c>
      <c r="J2795" s="1">
        <v>54</v>
      </c>
      <c r="K2795" s="1">
        <v>1.27</v>
      </c>
      <c r="L2795" s="4">
        <v>146.85</v>
      </c>
      <c r="M2795" s="1">
        <v>1.56</v>
      </c>
      <c r="N2795" s="1">
        <v>8</v>
      </c>
      <c r="O2795" s="1">
        <v>0.85</v>
      </c>
      <c r="P2795" s="1">
        <v>627</v>
      </c>
      <c r="Q2795" s="1">
        <v>13.48</v>
      </c>
      <c r="R2795" s="1">
        <v>0.52</v>
      </c>
      <c r="S2795" s="2">
        <v>45347</v>
      </c>
      <c r="T2795" s="1">
        <v>141.44</v>
      </c>
      <c r="U2795" s="1">
        <v>0.53800000000000003</v>
      </c>
      <c r="V2795" s="6">
        <f t="shared" si="129"/>
        <v>56684.1</v>
      </c>
      <c r="W2795" s="6" t="str">
        <f t="shared" si="130"/>
        <v>Sufficient</v>
      </c>
      <c r="X2795" s="8" t="str">
        <f t="shared" si="131"/>
        <v>High</v>
      </c>
    </row>
    <row r="2796" spans="1:24">
      <c r="A2796" s="7" t="s">
        <v>2926</v>
      </c>
      <c r="B2796" s="1" t="s">
        <v>66</v>
      </c>
      <c r="C2796" s="1">
        <v>439</v>
      </c>
      <c r="D2796" s="1">
        <v>27</v>
      </c>
      <c r="E2796" s="1">
        <v>7</v>
      </c>
      <c r="F2796" s="1">
        <v>8</v>
      </c>
      <c r="G2796" s="1">
        <v>5.93</v>
      </c>
      <c r="H2796" s="1" t="s">
        <v>200</v>
      </c>
      <c r="I2796" s="1" t="s">
        <v>31</v>
      </c>
      <c r="J2796" s="1">
        <v>134</v>
      </c>
      <c r="K2796" s="1">
        <v>2.82</v>
      </c>
      <c r="L2796" s="4">
        <v>100.49</v>
      </c>
      <c r="M2796" s="1">
        <v>0.25</v>
      </c>
      <c r="N2796" s="1">
        <v>0</v>
      </c>
      <c r="O2796" s="1">
        <v>0.78</v>
      </c>
      <c r="P2796" s="1">
        <v>693</v>
      </c>
      <c r="Q2796" s="1">
        <v>3.99</v>
      </c>
      <c r="R2796" s="1">
        <v>0.91</v>
      </c>
      <c r="S2796" s="2">
        <v>45300</v>
      </c>
      <c r="T2796" s="1">
        <v>162.38999999999999</v>
      </c>
      <c r="U2796" s="1">
        <v>0.76600000000000001</v>
      </c>
      <c r="V2796" s="6">
        <f t="shared" si="129"/>
        <v>44115.11</v>
      </c>
      <c r="W2796" s="6" t="str">
        <f t="shared" si="130"/>
        <v>Sufficient</v>
      </c>
      <c r="X2796" s="8" t="str">
        <f t="shared" si="131"/>
        <v>High</v>
      </c>
    </row>
    <row r="2797" spans="1:24">
      <c r="A2797" s="7" t="s">
        <v>2927</v>
      </c>
      <c r="B2797" s="1" t="s">
        <v>33</v>
      </c>
      <c r="C2797" s="1">
        <v>348</v>
      </c>
      <c r="D2797" s="1">
        <v>53</v>
      </c>
      <c r="E2797" s="1">
        <v>8</v>
      </c>
      <c r="F2797" s="1">
        <v>8</v>
      </c>
      <c r="G2797" s="1">
        <v>14.32</v>
      </c>
      <c r="H2797" s="1" t="s">
        <v>151</v>
      </c>
      <c r="I2797" s="1" t="s">
        <v>27</v>
      </c>
      <c r="J2797" s="1">
        <v>105</v>
      </c>
      <c r="K2797" s="1">
        <v>0.88</v>
      </c>
      <c r="L2797" s="4">
        <v>24.6</v>
      </c>
      <c r="M2797" s="1">
        <v>1.91</v>
      </c>
      <c r="N2797" s="1">
        <v>5</v>
      </c>
      <c r="O2797" s="1">
        <v>0.96</v>
      </c>
      <c r="P2797" s="1">
        <v>462</v>
      </c>
      <c r="Q2797" s="1">
        <v>8.9499999999999993</v>
      </c>
      <c r="R2797" s="1">
        <v>0.88</v>
      </c>
      <c r="S2797" s="2">
        <v>45395</v>
      </c>
      <c r="T2797" s="1">
        <v>132.96</v>
      </c>
      <c r="U2797" s="1">
        <v>0.59599999999999997</v>
      </c>
      <c r="V2797" s="6">
        <f t="shared" si="129"/>
        <v>8560.8000000000011</v>
      </c>
      <c r="W2797" s="6" t="str">
        <f t="shared" si="130"/>
        <v>Sufficient</v>
      </c>
      <c r="X2797" s="8" t="str">
        <f t="shared" si="131"/>
        <v>High</v>
      </c>
    </row>
    <row r="2798" spans="1:24">
      <c r="A2798" s="7" t="s">
        <v>2928</v>
      </c>
      <c r="B2798" s="1" t="s">
        <v>25</v>
      </c>
      <c r="C2798" s="1">
        <v>250</v>
      </c>
      <c r="D2798" s="1">
        <v>85</v>
      </c>
      <c r="E2798" s="1">
        <v>12</v>
      </c>
      <c r="F2798" s="1">
        <v>5</v>
      </c>
      <c r="G2798" s="1">
        <v>48.98</v>
      </c>
      <c r="H2798" s="1" t="s">
        <v>325</v>
      </c>
      <c r="I2798" s="1" t="s">
        <v>45</v>
      </c>
      <c r="J2798" s="1">
        <v>22</v>
      </c>
      <c r="K2798" s="1">
        <v>3.27</v>
      </c>
      <c r="L2798" s="4">
        <v>104.25</v>
      </c>
      <c r="M2798" s="1">
        <v>1.25</v>
      </c>
      <c r="N2798" s="1">
        <v>5</v>
      </c>
      <c r="O2798" s="1">
        <v>0.9</v>
      </c>
      <c r="P2798" s="1">
        <v>821</v>
      </c>
      <c r="Q2798" s="1">
        <v>6.69</v>
      </c>
      <c r="R2798" s="1">
        <v>0.83</v>
      </c>
      <c r="S2798" s="2">
        <v>45559</v>
      </c>
      <c r="T2798" s="1">
        <v>224.62</v>
      </c>
      <c r="U2798" s="1">
        <v>0.61</v>
      </c>
      <c r="V2798" s="6">
        <f t="shared" si="129"/>
        <v>26062.5</v>
      </c>
      <c r="W2798" s="6" t="str">
        <f t="shared" si="130"/>
        <v>Sufficient</v>
      </c>
      <c r="X2798" s="8" t="str">
        <f t="shared" si="131"/>
        <v>High</v>
      </c>
    </row>
    <row r="2799" spans="1:24">
      <c r="A2799" s="7" t="s">
        <v>2929</v>
      </c>
      <c r="B2799" s="1" t="s">
        <v>66</v>
      </c>
      <c r="C2799" s="1">
        <v>422</v>
      </c>
      <c r="D2799" s="1">
        <v>66</v>
      </c>
      <c r="E2799" s="1">
        <v>9</v>
      </c>
      <c r="F2799" s="1">
        <v>3</v>
      </c>
      <c r="G2799" s="1">
        <v>14.25</v>
      </c>
      <c r="H2799" s="1" t="s">
        <v>214</v>
      </c>
      <c r="I2799" s="1" t="s">
        <v>45</v>
      </c>
      <c r="J2799" s="1">
        <v>119</v>
      </c>
      <c r="K2799" s="1">
        <v>1.59</v>
      </c>
      <c r="L2799" s="4">
        <v>73.59</v>
      </c>
      <c r="M2799" s="1">
        <v>1.81</v>
      </c>
      <c r="N2799" s="1">
        <v>7</v>
      </c>
      <c r="O2799" s="1">
        <v>0.96</v>
      </c>
      <c r="P2799" s="1">
        <v>173</v>
      </c>
      <c r="Q2799" s="1">
        <v>9.14</v>
      </c>
      <c r="R2799" s="1">
        <v>0.99</v>
      </c>
      <c r="S2799" s="2">
        <v>45550</v>
      </c>
      <c r="T2799" s="1">
        <v>181.66</v>
      </c>
      <c r="U2799" s="1">
        <v>0.59099999999999997</v>
      </c>
      <c r="V2799" s="6">
        <f t="shared" si="129"/>
        <v>31054.980000000003</v>
      </c>
      <c r="W2799" s="6" t="str">
        <f t="shared" si="130"/>
        <v>Sufficient</v>
      </c>
      <c r="X2799" s="8" t="str">
        <f t="shared" si="131"/>
        <v>High</v>
      </c>
    </row>
    <row r="2800" spans="1:24">
      <c r="A2800" s="7" t="s">
        <v>2930</v>
      </c>
      <c r="B2800" s="1" t="s">
        <v>25</v>
      </c>
      <c r="C2800" s="1">
        <v>57</v>
      </c>
      <c r="D2800" s="1">
        <v>37</v>
      </c>
      <c r="E2800" s="1">
        <v>12</v>
      </c>
      <c r="F2800" s="1">
        <v>4</v>
      </c>
      <c r="G2800" s="1">
        <v>34.94</v>
      </c>
      <c r="H2800" s="1" t="s">
        <v>459</v>
      </c>
      <c r="I2800" s="1" t="s">
        <v>31</v>
      </c>
      <c r="J2800" s="1">
        <v>15</v>
      </c>
      <c r="K2800" s="1">
        <v>3.76</v>
      </c>
      <c r="L2800" s="4">
        <v>134.94999999999999</v>
      </c>
      <c r="M2800" s="1">
        <v>1.38</v>
      </c>
      <c r="N2800" s="1">
        <v>2</v>
      </c>
      <c r="O2800" s="1">
        <v>0.78</v>
      </c>
      <c r="P2800" s="1">
        <v>434</v>
      </c>
      <c r="Q2800" s="1">
        <v>7.97</v>
      </c>
      <c r="R2800" s="1">
        <v>0.39</v>
      </c>
      <c r="S2800" s="2">
        <v>45642</v>
      </c>
      <c r="T2800" s="1">
        <v>30.21</v>
      </c>
      <c r="U2800" s="1">
        <v>0.56200000000000006</v>
      </c>
      <c r="V2800" s="6">
        <f t="shared" si="129"/>
        <v>7692.15</v>
      </c>
      <c r="W2800" s="6" t="str">
        <f t="shared" si="130"/>
        <v>Sufficient</v>
      </c>
      <c r="X2800" s="8" t="str">
        <f t="shared" si="131"/>
        <v>LOW</v>
      </c>
    </row>
    <row r="2801" spans="1:24">
      <c r="A2801" s="7" t="s">
        <v>2931</v>
      </c>
      <c r="B2801" s="1" t="s">
        <v>33</v>
      </c>
      <c r="C2801" s="1">
        <v>89</v>
      </c>
      <c r="D2801" s="1">
        <v>80</v>
      </c>
      <c r="E2801" s="1">
        <v>9</v>
      </c>
      <c r="F2801" s="1">
        <v>8</v>
      </c>
      <c r="G2801" s="1">
        <v>13.42</v>
      </c>
      <c r="H2801" s="1" t="s">
        <v>119</v>
      </c>
      <c r="I2801" s="1" t="s">
        <v>31</v>
      </c>
      <c r="J2801" s="1">
        <v>106</v>
      </c>
      <c r="K2801" s="1">
        <v>3.23</v>
      </c>
      <c r="L2801" s="4">
        <v>44.63</v>
      </c>
      <c r="M2801" s="1">
        <v>1.1200000000000001</v>
      </c>
      <c r="N2801" s="1">
        <v>4</v>
      </c>
      <c r="O2801" s="1">
        <v>0.89</v>
      </c>
      <c r="P2801" s="1">
        <v>653</v>
      </c>
      <c r="Q2801" s="1">
        <v>1.03</v>
      </c>
      <c r="R2801" s="1">
        <v>0.56999999999999995</v>
      </c>
      <c r="S2801" s="2">
        <v>45506</v>
      </c>
      <c r="T2801" s="1">
        <v>49.61</v>
      </c>
      <c r="U2801" s="1">
        <v>0.51400000000000001</v>
      </c>
      <c r="V2801" s="6">
        <f t="shared" si="129"/>
        <v>3972.07</v>
      </c>
      <c r="W2801" s="6" t="str">
        <f t="shared" si="130"/>
        <v>Sufficient</v>
      </c>
      <c r="X2801" s="8" t="str">
        <f t="shared" si="131"/>
        <v>LOW</v>
      </c>
    </row>
    <row r="2802" spans="1:24">
      <c r="A2802" s="7" t="s">
        <v>2932</v>
      </c>
      <c r="B2802" s="1" t="s">
        <v>25</v>
      </c>
      <c r="C2802" s="1">
        <v>135</v>
      </c>
      <c r="D2802" s="1">
        <v>32</v>
      </c>
      <c r="E2802" s="1">
        <v>6</v>
      </c>
      <c r="F2802" s="1">
        <v>4</v>
      </c>
      <c r="G2802" s="1">
        <v>18.46</v>
      </c>
      <c r="H2802" s="1" t="s">
        <v>77</v>
      </c>
      <c r="I2802" s="1" t="s">
        <v>45</v>
      </c>
      <c r="J2802" s="1">
        <v>80</v>
      </c>
      <c r="K2802" s="1">
        <v>3.86</v>
      </c>
      <c r="L2802" s="4">
        <v>84.84</v>
      </c>
      <c r="M2802" s="1">
        <v>0.43</v>
      </c>
      <c r="N2802" s="1">
        <v>9</v>
      </c>
      <c r="O2802" s="1">
        <v>0.91</v>
      </c>
      <c r="P2802" s="1">
        <v>835</v>
      </c>
      <c r="Q2802" s="1">
        <v>5.92</v>
      </c>
      <c r="R2802" s="1">
        <v>0.56000000000000005</v>
      </c>
      <c r="S2802" s="2">
        <v>45368</v>
      </c>
      <c r="T2802" s="1">
        <v>65.77</v>
      </c>
      <c r="U2802" s="1">
        <v>0.55000000000000004</v>
      </c>
      <c r="V2802" s="6">
        <f t="shared" si="129"/>
        <v>11453.4</v>
      </c>
      <c r="W2802" s="6" t="str">
        <f t="shared" si="130"/>
        <v>Sufficient</v>
      </c>
      <c r="X2802" s="8" t="str">
        <f t="shared" si="131"/>
        <v>Medium</v>
      </c>
    </row>
    <row r="2803" spans="1:24">
      <c r="A2803" s="7" t="s">
        <v>2933</v>
      </c>
      <c r="B2803" s="1" t="s">
        <v>29</v>
      </c>
      <c r="C2803" s="1">
        <v>258</v>
      </c>
      <c r="D2803" s="1">
        <v>94</v>
      </c>
      <c r="E2803" s="1">
        <v>8</v>
      </c>
      <c r="F2803" s="1">
        <v>8</v>
      </c>
      <c r="G2803" s="1">
        <v>10.37</v>
      </c>
      <c r="H2803" s="1" t="s">
        <v>282</v>
      </c>
      <c r="I2803" s="1" t="s">
        <v>31</v>
      </c>
      <c r="J2803" s="1">
        <v>56</v>
      </c>
      <c r="K2803" s="1">
        <v>3.87</v>
      </c>
      <c r="L2803" s="4">
        <v>193.56</v>
      </c>
      <c r="M2803" s="1">
        <v>0.44</v>
      </c>
      <c r="N2803" s="1">
        <v>4</v>
      </c>
      <c r="O2803" s="1">
        <v>0.82</v>
      </c>
      <c r="P2803" s="1">
        <v>702</v>
      </c>
      <c r="Q2803" s="1">
        <v>1.1599999999999999</v>
      </c>
      <c r="R2803" s="1">
        <v>0.74</v>
      </c>
      <c r="S2803" s="2">
        <v>45602</v>
      </c>
      <c r="T2803" s="1">
        <v>204.46</v>
      </c>
      <c r="U2803" s="1">
        <v>0.60299999999999998</v>
      </c>
      <c r="V2803" s="6">
        <f t="shared" si="129"/>
        <v>49938.48</v>
      </c>
      <c r="W2803" s="6" t="str">
        <f t="shared" si="130"/>
        <v>Sufficient</v>
      </c>
      <c r="X2803" s="8" t="str">
        <f t="shared" si="131"/>
        <v>High</v>
      </c>
    </row>
    <row r="2804" spans="1:24">
      <c r="A2804" s="7" t="s">
        <v>2934</v>
      </c>
      <c r="B2804" s="1" t="s">
        <v>29</v>
      </c>
      <c r="C2804" s="1">
        <v>354</v>
      </c>
      <c r="D2804" s="1">
        <v>43</v>
      </c>
      <c r="E2804" s="1">
        <v>9</v>
      </c>
      <c r="F2804" s="1">
        <v>2</v>
      </c>
      <c r="G2804" s="1">
        <v>42.96</v>
      </c>
      <c r="H2804" s="1" t="s">
        <v>38</v>
      </c>
      <c r="I2804" s="1" t="s">
        <v>39</v>
      </c>
      <c r="J2804" s="1">
        <v>102</v>
      </c>
      <c r="K2804" s="1">
        <v>1.39</v>
      </c>
      <c r="L2804" s="4">
        <v>26.88</v>
      </c>
      <c r="M2804" s="1">
        <v>1</v>
      </c>
      <c r="N2804" s="1">
        <v>7</v>
      </c>
      <c r="O2804" s="1">
        <v>0.94</v>
      </c>
      <c r="P2804" s="1">
        <v>281</v>
      </c>
      <c r="Q2804" s="1">
        <v>10.57</v>
      </c>
      <c r="R2804" s="1">
        <v>0.88</v>
      </c>
      <c r="S2804" s="2">
        <v>45341</v>
      </c>
      <c r="T2804" s="1">
        <v>41.84</v>
      </c>
      <c r="U2804" s="1">
        <v>0.66500000000000004</v>
      </c>
      <c r="V2804" s="6">
        <f t="shared" si="129"/>
        <v>9515.52</v>
      </c>
      <c r="W2804" s="6" t="str">
        <f t="shared" si="130"/>
        <v>Sufficient</v>
      </c>
      <c r="X2804" s="8" t="str">
        <f t="shared" si="131"/>
        <v>High</v>
      </c>
    </row>
    <row r="2805" spans="1:24">
      <c r="A2805" s="7" t="s">
        <v>2935</v>
      </c>
      <c r="B2805" s="1" t="s">
        <v>25</v>
      </c>
      <c r="C2805" s="1">
        <v>460</v>
      </c>
      <c r="D2805" s="1">
        <v>20</v>
      </c>
      <c r="E2805" s="1">
        <v>7</v>
      </c>
      <c r="F2805" s="1">
        <v>3</v>
      </c>
      <c r="G2805" s="1">
        <v>44.25</v>
      </c>
      <c r="H2805" s="1" t="s">
        <v>470</v>
      </c>
      <c r="I2805" s="1" t="s">
        <v>31</v>
      </c>
      <c r="J2805" s="1">
        <v>110</v>
      </c>
      <c r="K2805" s="1">
        <v>0.5</v>
      </c>
      <c r="L2805" s="4">
        <v>124.44</v>
      </c>
      <c r="M2805" s="1">
        <v>1.75</v>
      </c>
      <c r="N2805" s="1">
        <v>6</v>
      </c>
      <c r="O2805" s="1">
        <v>0.7</v>
      </c>
      <c r="P2805" s="1">
        <v>631</v>
      </c>
      <c r="Q2805" s="1">
        <v>12.95</v>
      </c>
      <c r="R2805" s="1">
        <v>0.59</v>
      </c>
      <c r="S2805" s="2">
        <v>45382</v>
      </c>
      <c r="T2805" s="1">
        <v>166.84</v>
      </c>
      <c r="U2805" s="1">
        <v>0.53600000000000003</v>
      </c>
      <c r="V2805" s="6">
        <f t="shared" si="129"/>
        <v>57242.400000000001</v>
      </c>
      <c r="W2805" s="6" t="str">
        <f t="shared" si="130"/>
        <v>Sufficient</v>
      </c>
      <c r="X2805" s="8" t="str">
        <f t="shared" si="131"/>
        <v>High</v>
      </c>
    </row>
    <row r="2806" spans="1:24">
      <c r="A2806" s="7" t="s">
        <v>2936</v>
      </c>
      <c r="B2806" s="1" t="s">
        <v>66</v>
      </c>
      <c r="C2806" s="1">
        <v>167</v>
      </c>
      <c r="D2806" s="1">
        <v>95</v>
      </c>
      <c r="E2806" s="1">
        <v>7</v>
      </c>
      <c r="F2806" s="1">
        <v>3</v>
      </c>
      <c r="G2806" s="1">
        <v>15.55</v>
      </c>
      <c r="H2806" s="1" t="s">
        <v>132</v>
      </c>
      <c r="I2806" s="1" t="s">
        <v>39</v>
      </c>
      <c r="J2806" s="1">
        <v>53</v>
      </c>
      <c r="K2806" s="1">
        <v>2.15</v>
      </c>
      <c r="L2806" s="4">
        <v>27.22</v>
      </c>
      <c r="M2806" s="1">
        <v>0.32</v>
      </c>
      <c r="N2806" s="1">
        <v>2</v>
      </c>
      <c r="O2806" s="1">
        <v>0.88</v>
      </c>
      <c r="P2806" s="1">
        <v>482</v>
      </c>
      <c r="Q2806" s="1">
        <v>6.39</v>
      </c>
      <c r="R2806" s="1">
        <v>0.59</v>
      </c>
      <c r="S2806" s="2">
        <v>45535</v>
      </c>
      <c r="T2806" s="1">
        <v>253.84</v>
      </c>
      <c r="U2806" s="1">
        <v>0.70699999999999996</v>
      </c>
      <c r="V2806" s="6">
        <f t="shared" si="129"/>
        <v>4545.74</v>
      </c>
      <c r="W2806" s="6" t="str">
        <f t="shared" si="130"/>
        <v>Sufficient</v>
      </c>
      <c r="X2806" s="8" t="str">
        <f t="shared" si="131"/>
        <v>Medium</v>
      </c>
    </row>
    <row r="2807" spans="1:24">
      <c r="A2807" s="7" t="s">
        <v>2937</v>
      </c>
      <c r="B2807" s="1" t="s">
        <v>66</v>
      </c>
      <c r="C2807" s="1">
        <v>28</v>
      </c>
      <c r="D2807" s="1">
        <v>44</v>
      </c>
      <c r="E2807" s="1">
        <v>4</v>
      </c>
      <c r="F2807" s="1">
        <v>9</v>
      </c>
      <c r="G2807" s="1">
        <v>41.36</v>
      </c>
      <c r="H2807" s="1" t="s">
        <v>147</v>
      </c>
      <c r="I2807" s="1" t="s">
        <v>45</v>
      </c>
      <c r="J2807" s="1">
        <v>41</v>
      </c>
      <c r="K2807" s="1">
        <v>4.6399999999999997</v>
      </c>
      <c r="L2807" s="4">
        <v>39.83</v>
      </c>
      <c r="M2807" s="1">
        <v>2</v>
      </c>
      <c r="N2807" s="1">
        <v>6</v>
      </c>
      <c r="O2807" s="1">
        <v>0.88</v>
      </c>
      <c r="P2807" s="1">
        <v>540</v>
      </c>
      <c r="Q2807" s="1">
        <v>8.35</v>
      </c>
      <c r="R2807" s="1">
        <v>0.69</v>
      </c>
      <c r="S2807" s="2">
        <v>45606</v>
      </c>
      <c r="T2807" s="1">
        <v>284.77999999999997</v>
      </c>
      <c r="U2807" s="1">
        <v>0.505</v>
      </c>
      <c r="V2807" s="6">
        <f t="shared" si="129"/>
        <v>1115.24</v>
      </c>
      <c r="W2807" s="6" t="str">
        <f t="shared" si="130"/>
        <v>Reorder Required</v>
      </c>
      <c r="X2807" s="8" t="str">
        <f t="shared" si="131"/>
        <v>LOW</v>
      </c>
    </row>
    <row r="2808" spans="1:24">
      <c r="A2808" s="7" t="s">
        <v>2938</v>
      </c>
      <c r="B2808" s="1" t="s">
        <v>66</v>
      </c>
      <c r="C2808" s="1">
        <v>307</v>
      </c>
      <c r="D2808" s="1">
        <v>51</v>
      </c>
      <c r="E2808" s="1">
        <v>9</v>
      </c>
      <c r="F2808" s="1">
        <v>2</v>
      </c>
      <c r="G2808" s="1">
        <v>18.55</v>
      </c>
      <c r="H2808" s="1" t="s">
        <v>52</v>
      </c>
      <c r="I2808" s="1" t="s">
        <v>27</v>
      </c>
      <c r="J2808" s="1">
        <v>12</v>
      </c>
      <c r="K2808" s="1">
        <v>3.1</v>
      </c>
      <c r="L2808" s="4">
        <v>124.94</v>
      </c>
      <c r="M2808" s="1">
        <v>1.76</v>
      </c>
      <c r="N2808" s="1">
        <v>9</v>
      </c>
      <c r="O2808" s="1">
        <v>0.86</v>
      </c>
      <c r="P2808" s="1">
        <v>736</v>
      </c>
      <c r="Q2808" s="1">
        <v>1.92</v>
      </c>
      <c r="R2808" s="1">
        <v>0.79</v>
      </c>
      <c r="S2808" s="2">
        <v>45599</v>
      </c>
      <c r="T2808" s="1">
        <v>134.19</v>
      </c>
      <c r="U2808" s="1">
        <v>0.4</v>
      </c>
      <c r="V2808" s="6">
        <f t="shared" si="129"/>
        <v>38356.58</v>
      </c>
      <c r="W2808" s="6" t="str">
        <f t="shared" si="130"/>
        <v>Sufficient</v>
      </c>
      <c r="X2808" s="8" t="str">
        <f t="shared" si="131"/>
        <v>High</v>
      </c>
    </row>
    <row r="2809" spans="1:24">
      <c r="A2809" s="7" t="s">
        <v>2939</v>
      </c>
      <c r="B2809" s="1" t="s">
        <v>25</v>
      </c>
      <c r="C2809" s="1">
        <v>407</v>
      </c>
      <c r="D2809" s="1">
        <v>37</v>
      </c>
      <c r="E2809" s="1">
        <v>14</v>
      </c>
      <c r="F2809" s="1">
        <v>5</v>
      </c>
      <c r="G2809" s="1">
        <v>5.85</v>
      </c>
      <c r="H2809" s="1" t="s">
        <v>55</v>
      </c>
      <c r="I2809" s="1" t="s">
        <v>39</v>
      </c>
      <c r="J2809" s="1">
        <v>93</v>
      </c>
      <c r="K2809" s="1">
        <v>3.77</v>
      </c>
      <c r="L2809" s="4">
        <v>94.36</v>
      </c>
      <c r="M2809" s="1">
        <v>0.85</v>
      </c>
      <c r="N2809" s="1">
        <v>7</v>
      </c>
      <c r="O2809" s="1">
        <v>0.89</v>
      </c>
      <c r="P2809" s="1">
        <v>920</v>
      </c>
      <c r="Q2809" s="1">
        <v>6.39</v>
      </c>
      <c r="R2809" s="1">
        <v>0.36</v>
      </c>
      <c r="S2809" s="2">
        <v>45311</v>
      </c>
      <c r="T2809" s="1">
        <v>164.69</v>
      </c>
      <c r="U2809" s="1">
        <v>0.51</v>
      </c>
      <c r="V2809" s="6">
        <f t="shared" si="129"/>
        <v>38404.519999999997</v>
      </c>
      <c r="W2809" s="6" t="str">
        <f t="shared" si="130"/>
        <v>Sufficient</v>
      </c>
      <c r="X2809" s="8" t="str">
        <f t="shared" si="131"/>
        <v>High</v>
      </c>
    </row>
    <row r="2810" spans="1:24">
      <c r="A2810" s="7" t="s">
        <v>2940</v>
      </c>
      <c r="B2810" s="1" t="s">
        <v>66</v>
      </c>
      <c r="C2810" s="1">
        <v>69</v>
      </c>
      <c r="D2810" s="1">
        <v>91</v>
      </c>
      <c r="E2810" s="1">
        <v>8</v>
      </c>
      <c r="F2810" s="1">
        <v>8</v>
      </c>
      <c r="G2810" s="1">
        <v>38.15</v>
      </c>
      <c r="H2810" s="1" t="s">
        <v>113</v>
      </c>
      <c r="I2810" s="1" t="s">
        <v>27</v>
      </c>
      <c r="J2810" s="1">
        <v>175</v>
      </c>
      <c r="K2810" s="1">
        <v>4.46</v>
      </c>
      <c r="L2810" s="4">
        <v>114.21</v>
      </c>
      <c r="M2810" s="1">
        <v>0.57999999999999996</v>
      </c>
      <c r="N2810" s="1">
        <v>4</v>
      </c>
      <c r="O2810" s="1">
        <v>0.75</v>
      </c>
      <c r="P2810" s="1">
        <v>135</v>
      </c>
      <c r="Q2810" s="1">
        <v>2.94</v>
      </c>
      <c r="R2810" s="1">
        <v>0.97</v>
      </c>
      <c r="S2810" s="2">
        <v>45564</v>
      </c>
      <c r="T2810" s="1">
        <v>251.14</v>
      </c>
      <c r="U2810" s="1">
        <v>0.64500000000000002</v>
      </c>
      <c r="V2810" s="6">
        <f t="shared" si="129"/>
        <v>7880.49</v>
      </c>
      <c r="W2810" s="6" t="str">
        <f t="shared" si="130"/>
        <v>Reorder Required</v>
      </c>
      <c r="X2810" s="8" t="str">
        <f t="shared" si="131"/>
        <v>LOW</v>
      </c>
    </row>
    <row r="2811" spans="1:24">
      <c r="A2811" s="7" t="s">
        <v>2941</v>
      </c>
      <c r="B2811" s="1" t="s">
        <v>33</v>
      </c>
      <c r="C2811" s="1">
        <v>357</v>
      </c>
      <c r="D2811" s="1">
        <v>87</v>
      </c>
      <c r="E2811" s="1">
        <v>13</v>
      </c>
      <c r="F2811" s="1">
        <v>9</v>
      </c>
      <c r="G2811" s="1">
        <v>30.23</v>
      </c>
      <c r="H2811" s="1" t="s">
        <v>229</v>
      </c>
      <c r="I2811" s="1" t="s">
        <v>45</v>
      </c>
      <c r="J2811" s="1">
        <v>13</v>
      </c>
      <c r="K2811" s="1">
        <v>4.58</v>
      </c>
      <c r="L2811" s="4">
        <v>177.18</v>
      </c>
      <c r="M2811" s="1">
        <v>1.85</v>
      </c>
      <c r="N2811" s="1">
        <v>4</v>
      </c>
      <c r="O2811" s="1">
        <v>0.91</v>
      </c>
      <c r="P2811" s="1">
        <v>814</v>
      </c>
      <c r="Q2811" s="1">
        <v>1.91</v>
      </c>
      <c r="R2811" s="1">
        <v>0.27</v>
      </c>
      <c r="S2811" s="2">
        <v>45549</v>
      </c>
      <c r="T2811" s="1">
        <v>281.37</v>
      </c>
      <c r="U2811" s="1">
        <v>0.39600000000000002</v>
      </c>
      <c r="V2811" s="6">
        <f t="shared" si="129"/>
        <v>63253.26</v>
      </c>
      <c r="W2811" s="6" t="str">
        <f t="shared" si="130"/>
        <v>Sufficient</v>
      </c>
      <c r="X2811" s="8" t="str">
        <f t="shared" si="131"/>
        <v>High</v>
      </c>
    </row>
    <row r="2812" spans="1:24">
      <c r="A2812" s="7" t="s">
        <v>2942</v>
      </c>
      <c r="B2812" s="1" t="s">
        <v>29</v>
      </c>
      <c r="C2812" s="1">
        <v>24</v>
      </c>
      <c r="D2812" s="1">
        <v>91</v>
      </c>
      <c r="E2812" s="1">
        <v>3</v>
      </c>
      <c r="F2812" s="1">
        <v>8</v>
      </c>
      <c r="G2812" s="1">
        <v>14.44</v>
      </c>
      <c r="H2812" s="1" t="s">
        <v>119</v>
      </c>
      <c r="I2812" s="1" t="s">
        <v>31</v>
      </c>
      <c r="J2812" s="1">
        <v>154</v>
      </c>
      <c r="K2812" s="1">
        <v>2.88</v>
      </c>
      <c r="L2812" s="4">
        <v>165.28</v>
      </c>
      <c r="M2812" s="1">
        <v>0.33</v>
      </c>
      <c r="N2812" s="1">
        <v>0</v>
      </c>
      <c r="O2812" s="1">
        <v>0.8</v>
      </c>
      <c r="P2812" s="1">
        <v>79</v>
      </c>
      <c r="Q2812" s="1">
        <v>3.41</v>
      </c>
      <c r="R2812" s="1">
        <v>0.22</v>
      </c>
      <c r="S2812" s="2">
        <v>45352</v>
      </c>
      <c r="T2812" s="1">
        <v>123.06</v>
      </c>
      <c r="U2812" s="1">
        <v>0.61599999999999999</v>
      </c>
      <c r="V2812" s="6">
        <f t="shared" si="129"/>
        <v>3966.7200000000003</v>
      </c>
      <c r="W2812" s="6" t="str">
        <f t="shared" si="130"/>
        <v>Reorder Required</v>
      </c>
      <c r="X2812" s="8" t="str">
        <f t="shared" si="131"/>
        <v>LOW</v>
      </c>
    </row>
    <row r="2813" spans="1:24">
      <c r="A2813" s="7" t="s">
        <v>2943</v>
      </c>
      <c r="B2813" s="1" t="s">
        <v>33</v>
      </c>
      <c r="C2813" s="1">
        <v>423</v>
      </c>
      <c r="D2813" s="1">
        <v>33</v>
      </c>
      <c r="E2813" s="1">
        <v>6</v>
      </c>
      <c r="F2813" s="1">
        <v>8</v>
      </c>
      <c r="G2813" s="1">
        <v>13.4</v>
      </c>
      <c r="H2813" s="1" t="s">
        <v>159</v>
      </c>
      <c r="I2813" s="1" t="s">
        <v>39</v>
      </c>
      <c r="J2813" s="1">
        <v>174</v>
      </c>
      <c r="K2813" s="1">
        <v>2.93</v>
      </c>
      <c r="L2813" s="4">
        <v>178.72</v>
      </c>
      <c r="M2813" s="1">
        <v>0.76</v>
      </c>
      <c r="N2813" s="1">
        <v>7</v>
      </c>
      <c r="O2813" s="1">
        <v>0.84</v>
      </c>
      <c r="P2813" s="1">
        <v>716</v>
      </c>
      <c r="Q2813" s="1">
        <v>13.19</v>
      </c>
      <c r="R2813" s="1">
        <v>0.49</v>
      </c>
      <c r="S2813" s="2">
        <v>45339</v>
      </c>
      <c r="T2813" s="1">
        <v>112.39</v>
      </c>
      <c r="U2813" s="1">
        <v>0.626</v>
      </c>
      <c r="V2813" s="6">
        <f t="shared" si="129"/>
        <v>75598.559999999998</v>
      </c>
      <c r="W2813" s="6" t="str">
        <f t="shared" si="130"/>
        <v>Sufficient</v>
      </c>
      <c r="X2813" s="8" t="str">
        <f t="shared" si="131"/>
        <v>High</v>
      </c>
    </row>
    <row r="2814" spans="1:24">
      <c r="A2814" s="7" t="s">
        <v>2944</v>
      </c>
      <c r="B2814" s="1" t="s">
        <v>66</v>
      </c>
      <c r="C2814" s="1">
        <v>362</v>
      </c>
      <c r="D2814" s="1">
        <v>17</v>
      </c>
      <c r="E2814" s="1">
        <v>5</v>
      </c>
      <c r="F2814" s="1">
        <v>7</v>
      </c>
      <c r="G2814" s="1">
        <v>48.81</v>
      </c>
      <c r="H2814" s="1" t="s">
        <v>233</v>
      </c>
      <c r="I2814" s="1" t="s">
        <v>39</v>
      </c>
      <c r="J2814" s="1">
        <v>97</v>
      </c>
      <c r="K2814" s="1">
        <v>4.33</v>
      </c>
      <c r="L2814" s="4">
        <v>127.09</v>
      </c>
      <c r="M2814" s="1">
        <v>0.26</v>
      </c>
      <c r="N2814" s="1">
        <v>5</v>
      </c>
      <c r="O2814" s="1">
        <v>0.8</v>
      </c>
      <c r="P2814" s="1">
        <v>249</v>
      </c>
      <c r="Q2814" s="1">
        <v>14.75</v>
      </c>
      <c r="R2814" s="1">
        <v>0.76</v>
      </c>
      <c r="S2814" s="2">
        <v>45538</v>
      </c>
      <c r="T2814" s="1">
        <v>140.74</v>
      </c>
      <c r="U2814" s="1">
        <v>0.78300000000000003</v>
      </c>
      <c r="V2814" s="6">
        <f t="shared" si="129"/>
        <v>46006.58</v>
      </c>
      <c r="W2814" s="6" t="str">
        <f t="shared" si="130"/>
        <v>Sufficient</v>
      </c>
      <c r="X2814" s="8" t="str">
        <f t="shared" si="131"/>
        <v>High</v>
      </c>
    </row>
    <row r="2815" spans="1:24">
      <c r="A2815" s="7" t="s">
        <v>2945</v>
      </c>
      <c r="B2815" s="1" t="s">
        <v>33</v>
      </c>
      <c r="C2815" s="1">
        <v>145</v>
      </c>
      <c r="D2815" s="1">
        <v>62</v>
      </c>
      <c r="E2815" s="1">
        <v>14</v>
      </c>
      <c r="F2815" s="1">
        <v>7</v>
      </c>
      <c r="G2815" s="1">
        <v>43.26</v>
      </c>
      <c r="H2815" s="1" t="s">
        <v>139</v>
      </c>
      <c r="I2815" s="1" t="s">
        <v>45</v>
      </c>
      <c r="J2815" s="1">
        <v>115</v>
      </c>
      <c r="K2815" s="1">
        <v>4.13</v>
      </c>
      <c r="L2815" s="4">
        <v>103.03</v>
      </c>
      <c r="M2815" s="1">
        <v>1.91</v>
      </c>
      <c r="N2815" s="1">
        <v>5</v>
      </c>
      <c r="O2815" s="1">
        <v>0.84</v>
      </c>
      <c r="P2815" s="1">
        <v>924</v>
      </c>
      <c r="Q2815" s="1">
        <v>13.31</v>
      </c>
      <c r="R2815" s="1">
        <v>0.98</v>
      </c>
      <c r="S2815" s="2">
        <v>45629</v>
      </c>
      <c r="T2815" s="1">
        <v>83.6</v>
      </c>
      <c r="U2815" s="1">
        <v>0.65</v>
      </c>
      <c r="V2815" s="6">
        <f t="shared" si="129"/>
        <v>14939.35</v>
      </c>
      <c r="W2815" s="6" t="str">
        <f t="shared" si="130"/>
        <v>Sufficient</v>
      </c>
      <c r="X2815" s="8" t="str">
        <f t="shared" si="131"/>
        <v>Medium</v>
      </c>
    </row>
    <row r="2816" spans="1:24">
      <c r="A2816" s="7" t="s">
        <v>2946</v>
      </c>
      <c r="B2816" s="1" t="s">
        <v>66</v>
      </c>
      <c r="C2816" s="1">
        <v>94</v>
      </c>
      <c r="D2816" s="1">
        <v>81</v>
      </c>
      <c r="E2816" s="1">
        <v>5</v>
      </c>
      <c r="F2816" s="1">
        <v>7</v>
      </c>
      <c r="G2816" s="1">
        <v>40.68</v>
      </c>
      <c r="H2816" s="1" t="s">
        <v>124</v>
      </c>
      <c r="I2816" s="1" t="s">
        <v>45</v>
      </c>
      <c r="J2816" s="1">
        <v>114</v>
      </c>
      <c r="K2816" s="1">
        <v>3.64</v>
      </c>
      <c r="L2816" s="4">
        <v>97.25</v>
      </c>
      <c r="M2816" s="1">
        <v>1.27</v>
      </c>
      <c r="N2816" s="1">
        <v>4</v>
      </c>
      <c r="O2816" s="1">
        <v>0.89</v>
      </c>
      <c r="P2816" s="1">
        <v>205</v>
      </c>
      <c r="Q2816" s="1">
        <v>14.58</v>
      </c>
      <c r="R2816" s="1">
        <v>0.95</v>
      </c>
      <c r="S2816" s="2">
        <v>45358</v>
      </c>
      <c r="T2816" s="1">
        <v>259.3</v>
      </c>
      <c r="U2816" s="1">
        <v>0.755</v>
      </c>
      <c r="V2816" s="6">
        <f t="shared" si="129"/>
        <v>9141.5</v>
      </c>
      <c r="W2816" s="6" t="str">
        <f t="shared" si="130"/>
        <v>Sufficient</v>
      </c>
      <c r="X2816" s="8" t="str">
        <f t="shared" si="131"/>
        <v>LOW</v>
      </c>
    </row>
    <row r="2817" spans="1:24">
      <c r="A2817" s="7" t="s">
        <v>2947</v>
      </c>
      <c r="B2817" s="1" t="s">
        <v>25</v>
      </c>
      <c r="C2817" s="1">
        <v>184</v>
      </c>
      <c r="D2817" s="1">
        <v>13</v>
      </c>
      <c r="E2817" s="1">
        <v>9</v>
      </c>
      <c r="F2817" s="1">
        <v>7</v>
      </c>
      <c r="G2817" s="1">
        <v>7.27</v>
      </c>
      <c r="H2817" s="1" t="s">
        <v>470</v>
      </c>
      <c r="I2817" s="1" t="s">
        <v>31</v>
      </c>
      <c r="J2817" s="1">
        <v>45</v>
      </c>
      <c r="K2817" s="1">
        <v>3.22</v>
      </c>
      <c r="L2817" s="4">
        <v>150.56</v>
      </c>
      <c r="M2817" s="1">
        <v>0.74</v>
      </c>
      <c r="N2817" s="1">
        <v>4</v>
      </c>
      <c r="O2817" s="1">
        <v>0.95</v>
      </c>
      <c r="P2817" s="1">
        <v>806</v>
      </c>
      <c r="Q2817" s="1">
        <v>11.23</v>
      </c>
      <c r="R2817" s="1">
        <v>0.75</v>
      </c>
      <c r="S2817" s="2">
        <v>45600</v>
      </c>
      <c r="T2817" s="1">
        <v>102.28</v>
      </c>
      <c r="U2817" s="1">
        <v>0.73599999999999999</v>
      </c>
      <c r="V2817" s="6">
        <f t="shared" si="129"/>
        <v>27703.040000000001</v>
      </c>
      <c r="W2817" s="6" t="str">
        <f t="shared" si="130"/>
        <v>Sufficient</v>
      </c>
      <c r="X2817" s="8" t="str">
        <f t="shared" si="131"/>
        <v>Medium</v>
      </c>
    </row>
    <row r="2818" spans="1:24">
      <c r="A2818" s="7" t="s">
        <v>2948</v>
      </c>
      <c r="B2818" s="1" t="s">
        <v>33</v>
      </c>
      <c r="C2818" s="1">
        <v>297</v>
      </c>
      <c r="D2818" s="1">
        <v>14</v>
      </c>
      <c r="E2818" s="1">
        <v>13</v>
      </c>
      <c r="F2818" s="1">
        <v>7</v>
      </c>
      <c r="G2818" s="1">
        <v>38</v>
      </c>
      <c r="H2818" s="1" t="s">
        <v>81</v>
      </c>
      <c r="I2818" s="1" t="s">
        <v>27</v>
      </c>
      <c r="J2818" s="1">
        <v>67</v>
      </c>
      <c r="K2818" s="1">
        <v>3.28</v>
      </c>
      <c r="L2818" s="4">
        <v>109.05</v>
      </c>
      <c r="M2818" s="1">
        <v>0.62</v>
      </c>
      <c r="N2818" s="1">
        <v>2</v>
      </c>
      <c r="O2818" s="1">
        <v>0.85</v>
      </c>
      <c r="P2818" s="1">
        <v>947</v>
      </c>
      <c r="Q2818" s="1">
        <v>3.24</v>
      </c>
      <c r="R2818" s="1">
        <v>0.55000000000000004</v>
      </c>
      <c r="S2818" s="2">
        <v>45568</v>
      </c>
      <c r="T2818" s="1">
        <v>140.34</v>
      </c>
      <c r="U2818" s="1">
        <v>0.621</v>
      </c>
      <c r="V2818" s="6">
        <f t="shared" si="129"/>
        <v>32387.85</v>
      </c>
      <c r="W2818" s="6" t="str">
        <f t="shared" si="130"/>
        <v>Sufficient</v>
      </c>
      <c r="X2818" s="8" t="str">
        <f t="shared" si="131"/>
        <v>High</v>
      </c>
    </row>
    <row r="2819" spans="1:24">
      <c r="A2819" s="7" t="s">
        <v>2949</v>
      </c>
      <c r="B2819" s="1" t="s">
        <v>25</v>
      </c>
      <c r="C2819" s="1">
        <v>461</v>
      </c>
      <c r="D2819" s="1">
        <v>58</v>
      </c>
      <c r="E2819" s="1">
        <v>14</v>
      </c>
      <c r="F2819" s="1">
        <v>2</v>
      </c>
      <c r="G2819" s="1">
        <v>11.51</v>
      </c>
      <c r="H2819" s="1" t="s">
        <v>135</v>
      </c>
      <c r="I2819" s="1" t="s">
        <v>39</v>
      </c>
      <c r="J2819" s="1">
        <v>178</v>
      </c>
      <c r="K2819" s="1">
        <v>2.13</v>
      </c>
      <c r="L2819" s="4">
        <v>30.1</v>
      </c>
      <c r="M2819" s="1">
        <v>0.94</v>
      </c>
      <c r="N2819" s="1">
        <v>2</v>
      </c>
      <c r="O2819" s="1">
        <v>0.8</v>
      </c>
      <c r="P2819" s="1">
        <v>581</v>
      </c>
      <c r="Q2819" s="1">
        <v>8.8800000000000008</v>
      </c>
      <c r="R2819" s="1">
        <v>0.68</v>
      </c>
      <c r="S2819" s="2">
        <v>45292</v>
      </c>
      <c r="T2819" s="1">
        <v>102.79</v>
      </c>
      <c r="U2819" s="1">
        <v>0.68</v>
      </c>
      <c r="V2819" s="6">
        <f t="shared" si="129"/>
        <v>13876.1</v>
      </c>
      <c r="W2819" s="6" t="str">
        <f t="shared" si="130"/>
        <v>Sufficient</v>
      </c>
      <c r="X2819" s="8" t="str">
        <f t="shared" si="131"/>
        <v>High</v>
      </c>
    </row>
    <row r="2820" spans="1:24">
      <c r="A2820" s="7" t="s">
        <v>2950</v>
      </c>
      <c r="B2820" s="1" t="s">
        <v>25</v>
      </c>
      <c r="C2820" s="1">
        <v>343</v>
      </c>
      <c r="D2820" s="1">
        <v>39</v>
      </c>
      <c r="E2820" s="1">
        <v>12</v>
      </c>
      <c r="F2820" s="1">
        <v>3</v>
      </c>
      <c r="G2820" s="1">
        <v>48.89</v>
      </c>
      <c r="H2820" s="1" t="s">
        <v>119</v>
      </c>
      <c r="I2820" s="1" t="s">
        <v>27</v>
      </c>
      <c r="J2820" s="1">
        <v>17</v>
      </c>
      <c r="K2820" s="1">
        <v>4.28</v>
      </c>
      <c r="L2820" s="4">
        <v>36.97</v>
      </c>
      <c r="M2820" s="1">
        <v>0.27</v>
      </c>
      <c r="N2820" s="1">
        <v>1</v>
      </c>
      <c r="O2820" s="1">
        <v>0.85</v>
      </c>
      <c r="P2820" s="1">
        <v>764</v>
      </c>
      <c r="Q2820" s="1">
        <v>11.24</v>
      </c>
      <c r="R2820" s="1">
        <v>0.97</v>
      </c>
      <c r="S2820" s="2">
        <v>45639</v>
      </c>
      <c r="T2820" s="1">
        <v>44.49</v>
      </c>
      <c r="U2820" s="1">
        <v>0.86699999999999999</v>
      </c>
      <c r="V2820" s="6">
        <f t="shared" ref="V2820:V2883" si="132">C2820*L2820</f>
        <v>12680.71</v>
      </c>
      <c r="W2820" s="6" t="str">
        <f t="shared" ref="W2820:W2883" si="133">IF(C2820&lt;=D2820,"Reorder Required","Sufficient")</f>
        <v>Sufficient</v>
      </c>
      <c r="X2820" s="8" t="str">
        <f t="shared" ref="X2820:X2883" si="134">IF(C2820&lt;100,"LOW",IF(C2820&lt;250,"Medium","High"))</f>
        <v>High</v>
      </c>
    </row>
    <row r="2821" spans="1:24">
      <c r="A2821" s="7" t="s">
        <v>2951</v>
      </c>
      <c r="B2821" s="1" t="s">
        <v>41</v>
      </c>
      <c r="C2821" s="1">
        <v>496</v>
      </c>
      <c r="D2821" s="1">
        <v>81</v>
      </c>
      <c r="E2821" s="1">
        <v>6</v>
      </c>
      <c r="F2821" s="1">
        <v>5</v>
      </c>
      <c r="G2821" s="1">
        <v>3.55</v>
      </c>
      <c r="H2821" s="1" t="s">
        <v>370</v>
      </c>
      <c r="I2821" s="1" t="s">
        <v>39</v>
      </c>
      <c r="J2821" s="1">
        <v>167</v>
      </c>
      <c r="K2821" s="1">
        <v>3.28</v>
      </c>
      <c r="L2821" s="4">
        <v>77.849999999999994</v>
      </c>
      <c r="M2821" s="1">
        <v>1.79</v>
      </c>
      <c r="N2821" s="1">
        <v>8</v>
      </c>
      <c r="O2821" s="1">
        <v>0.91</v>
      </c>
      <c r="P2821" s="1">
        <v>895</v>
      </c>
      <c r="Q2821" s="1">
        <v>8.19</v>
      </c>
      <c r="R2821" s="1">
        <v>0.41</v>
      </c>
      <c r="S2821" s="2">
        <v>45624</v>
      </c>
      <c r="T2821" s="1">
        <v>185.93</v>
      </c>
      <c r="U2821" s="1">
        <v>0.434</v>
      </c>
      <c r="V2821" s="6">
        <f t="shared" si="132"/>
        <v>38613.599999999999</v>
      </c>
      <c r="W2821" s="6" t="str">
        <f t="shared" si="133"/>
        <v>Sufficient</v>
      </c>
      <c r="X2821" s="8" t="str">
        <f t="shared" si="134"/>
        <v>High</v>
      </c>
    </row>
    <row r="2822" spans="1:24">
      <c r="A2822" s="7" t="s">
        <v>2952</v>
      </c>
      <c r="B2822" s="1" t="s">
        <v>66</v>
      </c>
      <c r="C2822" s="1">
        <v>319</v>
      </c>
      <c r="D2822" s="1">
        <v>72</v>
      </c>
      <c r="E2822" s="1">
        <v>14</v>
      </c>
      <c r="F2822" s="1">
        <v>4</v>
      </c>
      <c r="G2822" s="1">
        <v>18.25</v>
      </c>
      <c r="H2822" s="1" t="s">
        <v>83</v>
      </c>
      <c r="I2822" s="1" t="s">
        <v>39</v>
      </c>
      <c r="J2822" s="1">
        <v>95</v>
      </c>
      <c r="K2822" s="1">
        <v>1.51</v>
      </c>
      <c r="L2822" s="4">
        <v>22.89</v>
      </c>
      <c r="M2822" s="1">
        <v>1.07</v>
      </c>
      <c r="N2822" s="1">
        <v>7</v>
      </c>
      <c r="O2822" s="1">
        <v>0.8</v>
      </c>
      <c r="P2822" s="1">
        <v>201</v>
      </c>
      <c r="Q2822" s="1">
        <v>8.77</v>
      </c>
      <c r="R2822" s="1">
        <v>0.57999999999999996</v>
      </c>
      <c r="S2822" s="2">
        <v>45512</v>
      </c>
      <c r="T2822" s="1">
        <v>180.41</v>
      </c>
      <c r="U2822" s="1">
        <v>0.54600000000000004</v>
      </c>
      <c r="V2822" s="6">
        <f t="shared" si="132"/>
        <v>7301.91</v>
      </c>
      <c r="W2822" s="6" t="str">
        <f t="shared" si="133"/>
        <v>Sufficient</v>
      </c>
      <c r="X2822" s="8" t="str">
        <f t="shared" si="134"/>
        <v>High</v>
      </c>
    </row>
    <row r="2823" spans="1:24">
      <c r="A2823" s="7" t="s">
        <v>2953</v>
      </c>
      <c r="B2823" s="1" t="s">
        <v>29</v>
      </c>
      <c r="C2823" s="1">
        <v>309</v>
      </c>
      <c r="D2823" s="1">
        <v>56</v>
      </c>
      <c r="E2823" s="1">
        <v>10</v>
      </c>
      <c r="F2823" s="1">
        <v>7</v>
      </c>
      <c r="G2823" s="1">
        <v>22</v>
      </c>
      <c r="H2823" s="1" t="s">
        <v>276</v>
      </c>
      <c r="I2823" s="1" t="s">
        <v>31</v>
      </c>
      <c r="J2823" s="1">
        <v>106</v>
      </c>
      <c r="K2823" s="1">
        <v>1.58</v>
      </c>
      <c r="L2823" s="4">
        <v>55.45</v>
      </c>
      <c r="M2823" s="1">
        <v>1.48</v>
      </c>
      <c r="N2823" s="1">
        <v>2</v>
      </c>
      <c r="O2823" s="1">
        <v>0.82</v>
      </c>
      <c r="P2823" s="1">
        <v>126</v>
      </c>
      <c r="Q2823" s="1">
        <v>9.2100000000000009</v>
      </c>
      <c r="R2823" s="1">
        <v>0.75</v>
      </c>
      <c r="S2823" s="2">
        <v>45559</v>
      </c>
      <c r="T2823" s="1">
        <v>95.52</v>
      </c>
      <c r="U2823" s="1">
        <v>0.64900000000000002</v>
      </c>
      <c r="V2823" s="6">
        <f t="shared" si="132"/>
        <v>17134.05</v>
      </c>
      <c r="W2823" s="6" t="str">
        <f t="shared" si="133"/>
        <v>Sufficient</v>
      </c>
      <c r="X2823" s="8" t="str">
        <f t="shared" si="134"/>
        <v>High</v>
      </c>
    </row>
    <row r="2824" spans="1:24">
      <c r="A2824" s="7" t="s">
        <v>2954</v>
      </c>
      <c r="B2824" s="1" t="s">
        <v>66</v>
      </c>
      <c r="C2824" s="1">
        <v>96</v>
      </c>
      <c r="D2824" s="1">
        <v>35</v>
      </c>
      <c r="E2824" s="1">
        <v>13</v>
      </c>
      <c r="F2824" s="1">
        <v>2</v>
      </c>
      <c r="G2824" s="1">
        <v>41.39</v>
      </c>
      <c r="H2824" s="1" t="s">
        <v>238</v>
      </c>
      <c r="I2824" s="1" t="s">
        <v>39</v>
      </c>
      <c r="J2824" s="1">
        <v>162</v>
      </c>
      <c r="K2824" s="1">
        <v>4.38</v>
      </c>
      <c r="L2824" s="4">
        <v>134.72</v>
      </c>
      <c r="M2824" s="1">
        <v>0.54</v>
      </c>
      <c r="N2824" s="1">
        <v>4</v>
      </c>
      <c r="O2824" s="1">
        <v>0.87</v>
      </c>
      <c r="P2824" s="1">
        <v>377</v>
      </c>
      <c r="Q2824" s="1">
        <v>7.54</v>
      </c>
      <c r="R2824" s="1">
        <v>0.21</v>
      </c>
      <c r="S2824" s="2">
        <v>45507</v>
      </c>
      <c r="T2824" s="1">
        <v>19.11</v>
      </c>
      <c r="U2824" s="1">
        <v>0.58299999999999996</v>
      </c>
      <c r="V2824" s="6">
        <f t="shared" si="132"/>
        <v>12933.119999999999</v>
      </c>
      <c r="W2824" s="6" t="str">
        <f t="shared" si="133"/>
        <v>Sufficient</v>
      </c>
      <c r="X2824" s="8" t="str">
        <f t="shared" si="134"/>
        <v>LOW</v>
      </c>
    </row>
    <row r="2825" spans="1:24">
      <c r="A2825" s="7" t="s">
        <v>2955</v>
      </c>
      <c r="B2825" s="1" t="s">
        <v>29</v>
      </c>
      <c r="C2825" s="1">
        <v>317</v>
      </c>
      <c r="D2825" s="1">
        <v>66</v>
      </c>
      <c r="E2825" s="1">
        <v>11</v>
      </c>
      <c r="F2825" s="1">
        <v>9</v>
      </c>
      <c r="G2825" s="1">
        <v>38.54</v>
      </c>
      <c r="H2825" s="1" t="s">
        <v>459</v>
      </c>
      <c r="I2825" s="1" t="s">
        <v>39</v>
      </c>
      <c r="J2825" s="1">
        <v>68</v>
      </c>
      <c r="K2825" s="1">
        <v>3.32</v>
      </c>
      <c r="L2825" s="4">
        <v>12.36</v>
      </c>
      <c r="M2825" s="1">
        <v>1.06</v>
      </c>
      <c r="N2825" s="1">
        <v>9</v>
      </c>
      <c r="O2825" s="1">
        <v>0.79</v>
      </c>
      <c r="P2825" s="1">
        <v>221</v>
      </c>
      <c r="Q2825" s="1">
        <v>5.07</v>
      </c>
      <c r="R2825" s="1">
        <v>0.51</v>
      </c>
      <c r="S2825" s="2">
        <v>45481</v>
      </c>
      <c r="T2825" s="1">
        <v>281.66000000000003</v>
      </c>
      <c r="U2825" s="1">
        <v>0.442</v>
      </c>
      <c r="V2825" s="6">
        <f t="shared" si="132"/>
        <v>3918.12</v>
      </c>
      <c r="W2825" s="6" t="str">
        <f t="shared" si="133"/>
        <v>Sufficient</v>
      </c>
      <c r="X2825" s="8" t="str">
        <f t="shared" si="134"/>
        <v>High</v>
      </c>
    </row>
    <row r="2826" spans="1:24">
      <c r="A2826" s="7" t="s">
        <v>2956</v>
      </c>
      <c r="B2826" s="1" t="s">
        <v>66</v>
      </c>
      <c r="C2826" s="1">
        <v>156</v>
      </c>
      <c r="D2826" s="1">
        <v>46</v>
      </c>
      <c r="E2826" s="1">
        <v>5</v>
      </c>
      <c r="F2826" s="1">
        <v>9</v>
      </c>
      <c r="G2826" s="1">
        <v>19.37</v>
      </c>
      <c r="H2826" s="1" t="s">
        <v>68</v>
      </c>
      <c r="I2826" s="1" t="s">
        <v>45</v>
      </c>
      <c r="J2826" s="1">
        <v>39</v>
      </c>
      <c r="K2826" s="1">
        <v>2.29</v>
      </c>
      <c r="L2826" s="4">
        <v>124.78</v>
      </c>
      <c r="M2826" s="1">
        <v>0.5</v>
      </c>
      <c r="N2826" s="1">
        <v>4</v>
      </c>
      <c r="O2826" s="1">
        <v>0.76</v>
      </c>
      <c r="P2826" s="1">
        <v>454</v>
      </c>
      <c r="Q2826" s="1">
        <v>9.92</v>
      </c>
      <c r="R2826" s="1">
        <v>0.65</v>
      </c>
      <c r="S2826" s="2">
        <v>45314</v>
      </c>
      <c r="T2826" s="1">
        <v>113.11</v>
      </c>
      <c r="U2826" s="1">
        <v>0.68400000000000005</v>
      </c>
      <c r="V2826" s="6">
        <f t="shared" si="132"/>
        <v>19465.68</v>
      </c>
      <c r="W2826" s="6" t="str">
        <f t="shared" si="133"/>
        <v>Sufficient</v>
      </c>
      <c r="X2826" s="8" t="str">
        <f t="shared" si="134"/>
        <v>Medium</v>
      </c>
    </row>
    <row r="2827" spans="1:24">
      <c r="A2827" s="7" t="s">
        <v>2957</v>
      </c>
      <c r="B2827" s="1" t="s">
        <v>25</v>
      </c>
      <c r="C2827" s="1">
        <v>125</v>
      </c>
      <c r="D2827" s="1">
        <v>16</v>
      </c>
      <c r="E2827" s="1">
        <v>7</v>
      </c>
      <c r="F2827" s="1">
        <v>8</v>
      </c>
      <c r="G2827" s="1">
        <v>28.71</v>
      </c>
      <c r="H2827" s="1" t="s">
        <v>79</v>
      </c>
      <c r="I2827" s="1" t="s">
        <v>31</v>
      </c>
      <c r="J2827" s="1">
        <v>110</v>
      </c>
      <c r="K2827" s="1">
        <v>1.34</v>
      </c>
      <c r="L2827" s="4">
        <v>156.75</v>
      </c>
      <c r="M2827" s="1">
        <v>1.65</v>
      </c>
      <c r="N2827" s="1">
        <v>7</v>
      </c>
      <c r="O2827" s="1">
        <v>0.74</v>
      </c>
      <c r="P2827" s="1">
        <v>455</v>
      </c>
      <c r="Q2827" s="1">
        <v>1.75</v>
      </c>
      <c r="R2827" s="1">
        <v>0.92</v>
      </c>
      <c r="S2827" s="2">
        <v>45649</v>
      </c>
      <c r="T2827" s="1">
        <v>166.24</v>
      </c>
      <c r="U2827" s="1">
        <v>0.45</v>
      </c>
      <c r="V2827" s="6">
        <f t="shared" si="132"/>
        <v>19593.75</v>
      </c>
      <c r="W2827" s="6" t="str">
        <f t="shared" si="133"/>
        <v>Sufficient</v>
      </c>
      <c r="X2827" s="8" t="str">
        <f t="shared" si="134"/>
        <v>Medium</v>
      </c>
    </row>
    <row r="2828" spans="1:24">
      <c r="A2828" s="7" t="s">
        <v>2958</v>
      </c>
      <c r="B2828" s="1" t="s">
        <v>33</v>
      </c>
      <c r="C2828" s="1">
        <v>114</v>
      </c>
      <c r="D2828" s="1">
        <v>49</v>
      </c>
      <c r="E2828" s="1">
        <v>6</v>
      </c>
      <c r="F2828" s="1">
        <v>5</v>
      </c>
      <c r="G2828" s="1">
        <v>41.94</v>
      </c>
      <c r="H2828" s="1" t="s">
        <v>130</v>
      </c>
      <c r="I2828" s="1" t="s">
        <v>45</v>
      </c>
      <c r="J2828" s="1">
        <v>76</v>
      </c>
      <c r="K2828" s="1">
        <v>3.25</v>
      </c>
      <c r="L2828" s="4">
        <v>42.33</v>
      </c>
      <c r="M2828" s="1">
        <v>1.57</v>
      </c>
      <c r="N2828" s="1">
        <v>5</v>
      </c>
      <c r="O2828" s="1">
        <v>0.81</v>
      </c>
      <c r="P2828" s="1">
        <v>890</v>
      </c>
      <c r="Q2828" s="1">
        <v>3.39</v>
      </c>
      <c r="R2828" s="1">
        <v>0.99</v>
      </c>
      <c r="S2828" s="2">
        <v>45563</v>
      </c>
      <c r="T2828" s="1">
        <v>51.69</v>
      </c>
      <c r="U2828" s="1">
        <v>0.54800000000000004</v>
      </c>
      <c r="V2828" s="6">
        <f t="shared" si="132"/>
        <v>4825.62</v>
      </c>
      <c r="W2828" s="6" t="str">
        <f t="shared" si="133"/>
        <v>Sufficient</v>
      </c>
      <c r="X2828" s="8" t="str">
        <f t="shared" si="134"/>
        <v>Medium</v>
      </c>
    </row>
    <row r="2829" spans="1:24">
      <c r="A2829" s="7" t="s">
        <v>2959</v>
      </c>
      <c r="B2829" s="1" t="s">
        <v>33</v>
      </c>
      <c r="C2829" s="1">
        <v>154</v>
      </c>
      <c r="D2829" s="1">
        <v>48</v>
      </c>
      <c r="E2829" s="1">
        <v>14</v>
      </c>
      <c r="F2829" s="1">
        <v>9</v>
      </c>
      <c r="G2829" s="1">
        <v>1.89</v>
      </c>
      <c r="H2829" s="1" t="s">
        <v>178</v>
      </c>
      <c r="I2829" s="1" t="s">
        <v>39</v>
      </c>
      <c r="J2829" s="1">
        <v>141</v>
      </c>
      <c r="K2829" s="1">
        <v>1.33</v>
      </c>
      <c r="L2829" s="4">
        <v>44.38</v>
      </c>
      <c r="M2829" s="1">
        <v>0.38</v>
      </c>
      <c r="N2829" s="1">
        <v>6</v>
      </c>
      <c r="O2829" s="1">
        <v>0.71</v>
      </c>
      <c r="P2829" s="1">
        <v>811</v>
      </c>
      <c r="Q2829" s="1">
        <v>13.95</v>
      </c>
      <c r="R2829" s="1">
        <v>0.65</v>
      </c>
      <c r="S2829" s="2">
        <v>45511</v>
      </c>
      <c r="T2829" s="1">
        <v>82.84</v>
      </c>
      <c r="U2829" s="1">
        <v>0.7</v>
      </c>
      <c r="V2829" s="6">
        <f t="shared" si="132"/>
        <v>6834.52</v>
      </c>
      <c r="W2829" s="6" t="str">
        <f t="shared" si="133"/>
        <v>Sufficient</v>
      </c>
      <c r="X2829" s="8" t="str">
        <f t="shared" si="134"/>
        <v>Medium</v>
      </c>
    </row>
    <row r="2830" spans="1:24">
      <c r="A2830" s="7" t="s">
        <v>2960</v>
      </c>
      <c r="B2830" s="1" t="s">
        <v>41</v>
      </c>
      <c r="C2830" s="1">
        <v>87</v>
      </c>
      <c r="D2830" s="1">
        <v>71</v>
      </c>
      <c r="E2830" s="1">
        <v>12</v>
      </c>
      <c r="F2830" s="1">
        <v>5</v>
      </c>
      <c r="G2830" s="1">
        <v>40.31</v>
      </c>
      <c r="H2830" s="1" t="s">
        <v>77</v>
      </c>
      <c r="I2830" s="1" t="s">
        <v>31</v>
      </c>
      <c r="J2830" s="1">
        <v>102</v>
      </c>
      <c r="K2830" s="1">
        <v>2.62</v>
      </c>
      <c r="L2830" s="4">
        <v>15.48</v>
      </c>
      <c r="M2830" s="1">
        <v>0.24</v>
      </c>
      <c r="N2830" s="1">
        <v>4</v>
      </c>
      <c r="O2830" s="1">
        <v>0.88</v>
      </c>
      <c r="P2830" s="1">
        <v>747</v>
      </c>
      <c r="Q2830" s="1">
        <v>7.84</v>
      </c>
      <c r="R2830" s="1">
        <v>0.96</v>
      </c>
      <c r="S2830" s="2">
        <v>45409</v>
      </c>
      <c r="T2830" s="1">
        <v>136.22</v>
      </c>
      <c r="U2830" s="1">
        <v>0.76900000000000002</v>
      </c>
      <c r="V2830" s="6">
        <f t="shared" si="132"/>
        <v>1346.76</v>
      </c>
      <c r="W2830" s="6" t="str">
        <f t="shared" si="133"/>
        <v>Sufficient</v>
      </c>
      <c r="X2830" s="8" t="str">
        <f t="shared" si="134"/>
        <v>LOW</v>
      </c>
    </row>
    <row r="2831" spans="1:24">
      <c r="A2831" s="7" t="s">
        <v>2961</v>
      </c>
      <c r="B2831" s="1" t="s">
        <v>29</v>
      </c>
      <c r="C2831" s="1">
        <v>166</v>
      </c>
      <c r="D2831" s="1">
        <v>87</v>
      </c>
      <c r="E2831" s="1">
        <v>8</v>
      </c>
      <c r="F2831" s="1">
        <v>5</v>
      </c>
      <c r="G2831" s="1">
        <v>47.4</v>
      </c>
      <c r="H2831" s="1" t="s">
        <v>85</v>
      </c>
      <c r="I2831" s="1" t="s">
        <v>39</v>
      </c>
      <c r="J2831" s="1">
        <v>72</v>
      </c>
      <c r="K2831" s="1">
        <v>3.55</v>
      </c>
      <c r="L2831" s="4">
        <v>107.37</v>
      </c>
      <c r="M2831" s="1">
        <v>1.67</v>
      </c>
      <c r="N2831" s="1">
        <v>0</v>
      </c>
      <c r="O2831" s="1">
        <v>0.75</v>
      </c>
      <c r="P2831" s="1">
        <v>411</v>
      </c>
      <c r="Q2831" s="1">
        <v>12.5</v>
      </c>
      <c r="R2831" s="1">
        <v>0.28000000000000003</v>
      </c>
      <c r="S2831" s="2">
        <v>45538</v>
      </c>
      <c r="T2831" s="1">
        <v>173.05</v>
      </c>
      <c r="U2831" s="1">
        <v>0.60599999999999998</v>
      </c>
      <c r="V2831" s="6">
        <f t="shared" si="132"/>
        <v>17823.420000000002</v>
      </c>
      <c r="W2831" s="6" t="str">
        <f t="shared" si="133"/>
        <v>Sufficient</v>
      </c>
      <c r="X2831" s="8" t="str">
        <f t="shared" si="134"/>
        <v>Medium</v>
      </c>
    </row>
    <row r="2832" spans="1:24">
      <c r="A2832" s="7" t="s">
        <v>2962</v>
      </c>
      <c r="B2832" s="1" t="s">
        <v>29</v>
      </c>
      <c r="C2832" s="1">
        <v>497</v>
      </c>
      <c r="D2832" s="1">
        <v>62</v>
      </c>
      <c r="E2832" s="1">
        <v>13</v>
      </c>
      <c r="F2832" s="1">
        <v>2</v>
      </c>
      <c r="G2832" s="1">
        <v>2.57</v>
      </c>
      <c r="H2832" s="1" t="s">
        <v>178</v>
      </c>
      <c r="I2832" s="1" t="s">
        <v>31</v>
      </c>
      <c r="J2832" s="1">
        <v>41</v>
      </c>
      <c r="K2832" s="1">
        <v>3.04</v>
      </c>
      <c r="L2832" s="4">
        <v>134.37</v>
      </c>
      <c r="M2832" s="1">
        <v>0.31</v>
      </c>
      <c r="N2832" s="1">
        <v>7</v>
      </c>
      <c r="O2832" s="1">
        <v>0.81</v>
      </c>
      <c r="P2832" s="1">
        <v>177</v>
      </c>
      <c r="Q2832" s="1">
        <v>11.17</v>
      </c>
      <c r="R2832" s="1">
        <v>0.76</v>
      </c>
      <c r="S2832" s="2">
        <v>45487</v>
      </c>
      <c r="T2832" s="1">
        <v>257.66000000000003</v>
      </c>
      <c r="U2832" s="1">
        <v>0.69199999999999995</v>
      </c>
      <c r="V2832" s="6">
        <f t="shared" si="132"/>
        <v>66781.89</v>
      </c>
      <c r="W2832" s="6" t="str">
        <f t="shared" si="133"/>
        <v>Sufficient</v>
      </c>
      <c r="X2832" s="8" t="str">
        <f t="shared" si="134"/>
        <v>High</v>
      </c>
    </row>
    <row r="2833" spans="1:24">
      <c r="A2833" s="7" t="s">
        <v>2963</v>
      </c>
      <c r="B2833" s="1" t="s">
        <v>29</v>
      </c>
      <c r="C2833" s="1">
        <v>178</v>
      </c>
      <c r="D2833" s="1">
        <v>13</v>
      </c>
      <c r="E2833" s="1">
        <v>12</v>
      </c>
      <c r="F2833" s="1">
        <v>4</v>
      </c>
      <c r="G2833" s="1">
        <v>3.23</v>
      </c>
      <c r="H2833" s="1" t="s">
        <v>47</v>
      </c>
      <c r="I2833" s="1" t="s">
        <v>27</v>
      </c>
      <c r="J2833" s="1">
        <v>96</v>
      </c>
      <c r="K2833" s="1">
        <v>4.6500000000000004</v>
      </c>
      <c r="L2833" s="4">
        <v>96.81</v>
      </c>
      <c r="M2833" s="1">
        <v>1.1399999999999999</v>
      </c>
      <c r="N2833" s="1">
        <v>3</v>
      </c>
      <c r="O2833" s="1">
        <v>0.78</v>
      </c>
      <c r="P2833" s="1">
        <v>924</v>
      </c>
      <c r="Q2833" s="1">
        <v>5.49</v>
      </c>
      <c r="R2833" s="1">
        <v>0.52</v>
      </c>
      <c r="S2833" s="2">
        <v>45471</v>
      </c>
      <c r="T2833" s="1">
        <v>94.22</v>
      </c>
      <c r="U2833" s="1">
        <v>0.55900000000000005</v>
      </c>
      <c r="V2833" s="6">
        <f t="shared" si="132"/>
        <v>17232.18</v>
      </c>
      <c r="W2833" s="6" t="str">
        <f t="shared" si="133"/>
        <v>Sufficient</v>
      </c>
      <c r="X2833" s="8" t="str">
        <f t="shared" si="134"/>
        <v>Medium</v>
      </c>
    </row>
    <row r="2834" spans="1:24">
      <c r="A2834" s="7" t="s">
        <v>2964</v>
      </c>
      <c r="B2834" s="1" t="s">
        <v>25</v>
      </c>
      <c r="C2834" s="1">
        <v>403</v>
      </c>
      <c r="D2834" s="1">
        <v>91</v>
      </c>
      <c r="E2834" s="1">
        <v>6</v>
      </c>
      <c r="F2834" s="1">
        <v>7</v>
      </c>
      <c r="G2834" s="1">
        <v>17.88</v>
      </c>
      <c r="H2834" s="1" t="s">
        <v>50</v>
      </c>
      <c r="I2834" s="1" t="s">
        <v>27</v>
      </c>
      <c r="J2834" s="1">
        <v>60</v>
      </c>
      <c r="K2834" s="1">
        <v>0.68</v>
      </c>
      <c r="L2834" s="4">
        <v>84</v>
      </c>
      <c r="M2834" s="1">
        <v>1.1200000000000001</v>
      </c>
      <c r="N2834" s="1">
        <v>4</v>
      </c>
      <c r="O2834" s="1">
        <v>0.89</v>
      </c>
      <c r="P2834" s="1">
        <v>572</v>
      </c>
      <c r="Q2834" s="1">
        <v>12.25</v>
      </c>
      <c r="R2834" s="1">
        <v>0.8</v>
      </c>
      <c r="S2834" s="2">
        <v>45593</v>
      </c>
      <c r="T2834" s="1">
        <v>262.82</v>
      </c>
      <c r="U2834" s="1">
        <v>0.70899999999999996</v>
      </c>
      <c r="V2834" s="6">
        <f t="shared" si="132"/>
        <v>33852</v>
      </c>
      <c r="W2834" s="6" t="str">
        <f t="shared" si="133"/>
        <v>Sufficient</v>
      </c>
      <c r="X2834" s="8" t="str">
        <f t="shared" si="134"/>
        <v>High</v>
      </c>
    </row>
    <row r="2835" spans="1:24">
      <c r="A2835" s="7" t="s">
        <v>2965</v>
      </c>
      <c r="B2835" s="1" t="s">
        <v>29</v>
      </c>
      <c r="C2835" s="1">
        <v>182</v>
      </c>
      <c r="D2835" s="1">
        <v>34</v>
      </c>
      <c r="E2835" s="1">
        <v>10</v>
      </c>
      <c r="F2835" s="1">
        <v>5</v>
      </c>
      <c r="G2835" s="1">
        <v>5.3</v>
      </c>
      <c r="H2835" s="1" t="s">
        <v>558</v>
      </c>
      <c r="I2835" s="1" t="s">
        <v>31</v>
      </c>
      <c r="J2835" s="1">
        <v>72</v>
      </c>
      <c r="K2835" s="1">
        <v>1.76</v>
      </c>
      <c r="L2835" s="4">
        <v>96.34</v>
      </c>
      <c r="M2835" s="1">
        <v>0.49</v>
      </c>
      <c r="N2835" s="1">
        <v>0</v>
      </c>
      <c r="O2835" s="1">
        <v>0.96</v>
      </c>
      <c r="P2835" s="1">
        <v>385</v>
      </c>
      <c r="Q2835" s="1">
        <v>2.2799999999999998</v>
      </c>
      <c r="R2835" s="1">
        <v>0.89</v>
      </c>
      <c r="S2835" s="2">
        <v>45648</v>
      </c>
      <c r="T2835" s="1">
        <v>142.94999999999999</v>
      </c>
      <c r="U2835" s="1">
        <v>0.751</v>
      </c>
      <c r="V2835" s="6">
        <f t="shared" si="132"/>
        <v>17533.88</v>
      </c>
      <c r="W2835" s="6" t="str">
        <f t="shared" si="133"/>
        <v>Sufficient</v>
      </c>
      <c r="X2835" s="8" t="str">
        <f t="shared" si="134"/>
        <v>Medium</v>
      </c>
    </row>
    <row r="2836" spans="1:24">
      <c r="A2836" s="7" t="s">
        <v>2966</v>
      </c>
      <c r="B2836" s="1" t="s">
        <v>33</v>
      </c>
      <c r="C2836" s="1">
        <v>460</v>
      </c>
      <c r="D2836" s="1">
        <v>16</v>
      </c>
      <c r="E2836" s="1">
        <v>5</v>
      </c>
      <c r="F2836" s="1">
        <v>2</v>
      </c>
      <c r="G2836" s="1">
        <v>24.48</v>
      </c>
      <c r="H2836" s="1" t="s">
        <v>36</v>
      </c>
      <c r="I2836" s="1" t="s">
        <v>39</v>
      </c>
      <c r="J2836" s="1">
        <v>89</v>
      </c>
      <c r="K2836" s="1">
        <v>0.76</v>
      </c>
      <c r="L2836" s="4">
        <v>158.49</v>
      </c>
      <c r="M2836" s="1">
        <v>1.22</v>
      </c>
      <c r="N2836" s="1">
        <v>2</v>
      </c>
      <c r="O2836" s="1">
        <v>0.89</v>
      </c>
      <c r="P2836" s="1">
        <v>803</v>
      </c>
      <c r="Q2836" s="1">
        <v>13.25</v>
      </c>
      <c r="R2836" s="1">
        <v>0.24</v>
      </c>
      <c r="S2836" s="2">
        <v>45586</v>
      </c>
      <c r="T2836" s="1">
        <v>135.47999999999999</v>
      </c>
      <c r="U2836" s="1">
        <v>0.64100000000000001</v>
      </c>
      <c r="V2836" s="6">
        <f t="shared" si="132"/>
        <v>72905.400000000009</v>
      </c>
      <c r="W2836" s="6" t="str">
        <f t="shared" si="133"/>
        <v>Sufficient</v>
      </c>
      <c r="X2836" s="8" t="str">
        <f t="shared" si="134"/>
        <v>High</v>
      </c>
    </row>
    <row r="2837" spans="1:24">
      <c r="A2837" s="7" t="s">
        <v>2967</v>
      </c>
      <c r="B2837" s="1" t="s">
        <v>25</v>
      </c>
      <c r="C2837" s="1">
        <v>360</v>
      </c>
      <c r="D2837" s="1">
        <v>37</v>
      </c>
      <c r="E2837" s="1">
        <v>13</v>
      </c>
      <c r="F2837" s="1">
        <v>8</v>
      </c>
      <c r="G2837" s="1">
        <v>36.71</v>
      </c>
      <c r="H2837" s="1" t="s">
        <v>59</v>
      </c>
      <c r="I2837" s="1" t="s">
        <v>31</v>
      </c>
      <c r="J2837" s="1">
        <v>96</v>
      </c>
      <c r="K2837" s="1">
        <v>1.38</v>
      </c>
      <c r="L2837" s="4">
        <v>16.37</v>
      </c>
      <c r="M2837" s="1">
        <v>1.06</v>
      </c>
      <c r="N2837" s="1">
        <v>1</v>
      </c>
      <c r="O2837" s="1">
        <v>0.86</v>
      </c>
      <c r="P2837" s="1">
        <v>742</v>
      </c>
      <c r="Q2837" s="1">
        <v>10.53</v>
      </c>
      <c r="R2837" s="1">
        <v>0.95</v>
      </c>
      <c r="S2837" s="2">
        <v>45342</v>
      </c>
      <c r="T2837" s="1">
        <v>124.96</v>
      </c>
      <c r="U2837" s="1">
        <v>0.77600000000000002</v>
      </c>
      <c r="V2837" s="6">
        <f t="shared" si="132"/>
        <v>5893.2000000000007</v>
      </c>
      <c r="W2837" s="6" t="str">
        <f t="shared" si="133"/>
        <v>Sufficient</v>
      </c>
      <c r="X2837" s="8" t="str">
        <f t="shared" si="134"/>
        <v>High</v>
      </c>
    </row>
    <row r="2838" spans="1:24">
      <c r="A2838" s="7" t="s">
        <v>2968</v>
      </c>
      <c r="B2838" s="1" t="s">
        <v>66</v>
      </c>
      <c r="C2838" s="1">
        <v>208</v>
      </c>
      <c r="D2838" s="1">
        <v>78</v>
      </c>
      <c r="E2838" s="1">
        <v>7</v>
      </c>
      <c r="F2838" s="1">
        <v>3</v>
      </c>
      <c r="G2838" s="1">
        <v>28.78</v>
      </c>
      <c r="H2838" s="1" t="s">
        <v>333</v>
      </c>
      <c r="I2838" s="1" t="s">
        <v>39</v>
      </c>
      <c r="J2838" s="1">
        <v>119</v>
      </c>
      <c r="K2838" s="1">
        <v>1.06</v>
      </c>
      <c r="L2838" s="4">
        <v>158.93</v>
      </c>
      <c r="M2838" s="1">
        <v>1.07</v>
      </c>
      <c r="N2838" s="1">
        <v>1</v>
      </c>
      <c r="O2838" s="1">
        <v>0.9</v>
      </c>
      <c r="P2838" s="1">
        <v>314</v>
      </c>
      <c r="Q2838" s="1">
        <v>13.98</v>
      </c>
      <c r="R2838" s="1">
        <v>0.25</v>
      </c>
      <c r="S2838" s="2">
        <v>45509</v>
      </c>
      <c r="T2838" s="1">
        <v>266.99</v>
      </c>
      <c r="U2838" s="1">
        <v>0.68899999999999995</v>
      </c>
      <c r="V2838" s="6">
        <f t="shared" si="132"/>
        <v>33057.440000000002</v>
      </c>
      <c r="W2838" s="6" t="str">
        <f t="shared" si="133"/>
        <v>Sufficient</v>
      </c>
      <c r="X2838" s="8" t="str">
        <f t="shared" si="134"/>
        <v>Medium</v>
      </c>
    </row>
    <row r="2839" spans="1:24">
      <c r="A2839" s="7" t="s">
        <v>2969</v>
      </c>
      <c r="B2839" s="1" t="s">
        <v>29</v>
      </c>
      <c r="C2839" s="1">
        <v>434</v>
      </c>
      <c r="D2839" s="1">
        <v>76</v>
      </c>
      <c r="E2839" s="1">
        <v>3</v>
      </c>
      <c r="F2839" s="1">
        <v>8</v>
      </c>
      <c r="G2839" s="1">
        <v>10.63</v>
      </c>
      <c r="H2839" s="1" t="s">
        <v>42</v>
      </c>
      <c r="I2839" s="1" t="s">
        <v>27</v>
      </c>
      <c r="J2839" s="1">
        <v>110</v>
      </c>
      <c r="K2839" s="1">
        <v>3.8</v>
      </c>
      <c r="L2839" s="4">
        <v>136.61000000000001</v>
      </c>
      <c r="M2839" s="1">
        <v>0.78</v>
      </c>
      <c r="N2839" s="1">
        <v>0</v>
      </c>
      <c r="O2839" s="1">
        <v>0.71</v>
      </c>
      <c r="P2839" s="1">
        <v>244</v>
      </c>
      <c r="Q2839" s="1">
        <v>13.54</v>
      </c>
      <c r="R2839" s="1">
        <v>0.8</v>
      </c>
      <c r="S2839" s="2">
        <v>45360</v>
      </c>
      <c r="T2839" s="1">
        <v>82.79</v>
      </c>
      <c r="U2839" s="1">
        <v>0.80500000000000005</v>
      </c>
      <c r="V2839" s="6">
        <f t="shared" si="132"/>
        <v>59288.740000000005</v>
      </c>
      <c r="W2839" s="6" t="str">
        <f t="shared" si="133"/>
        <v>Sufficient</v>
      </c>
      <c r="X2839" s="8" t="str">
        <f t="shared" si="134"/>
        <v>High</v>
      </c>
    </row>
    <row r="2840" spans="1:24">
      <c r="A2840" s="7" t="s">
        <v>2970</v>
      </c>
      <c r="B2840" s="1" t="s">
        <v>29</v>
      </c>
      <c r="C2840" s="1">
        <v>358</v>
      </c>
      <c r="D2840" s="1">
        <v>29</v>
      </c>
      <c r="E2840" s="1">
        <v>8</v>
      </c>
      <c r="F2840" s="1">
        <v>2</v>
      </c>
      <c r="G2840" s="1">
        <v>33.090000000000003</v>
      </c>
      <c r="H2840" s="1" t="s">
        <v>258</v>
      </c>
      <c r="I2840" s="1" t="s">
        <v>39</v>
      </c>
      <c r="J2840" s="1">
        <v>138</v>
      </c>
      <c r="K2840" s="1">
        <v>2.16</v>
      </c>
      <c r="L2840" s="4">
        <v>55.87</v>
      </c>
      <c r="M2840" s="1">
        <v>1.69</v>
      </c>
      <c r="N2840" s="1">
        <v>5</v>
      </c>
      <c r="O2840" s="1">
        <v>0.74</v>
      </c>
      <c r="P2840" s="1">
        <v>807</v>
      </c>
      <c r="Q2840" s="1">
        <v>6.32</v>
      </c>
      <c r="R2840" s="1">
        <v>0.26</v>
      </c>
      <c r="S2840" s="2">
        <v>45422</v>
      </c>
      <c r="T2840" s="1">
        <v>258.64</v>
      </c>
      <c r="U2840" s="1">
        <v>0.41499999999999998</v>
      </c>
      <c r="V2840" s="6">
        <f t="shared" si="132"/>
        <v>20001.46</v>
      </c>
      <c r="W2840" s="6" t="str">
        <f t="shared" si="133"/>
        <v>Sufficient</v>
      </c>
      <c r="X2840" s="8" t="str">
        <f t="shared" si="134"/>
        <v>High</v>
      </c>
    </row>
    <row r="2841" spans="1:24">
      <c r="A2841" s="7" t="s">
        <v>2971</v>
      </c>
      <c r="B2841" s="1" t="s">
        <v>66</v>
      </c>
      <c r="C2841" s="1">
        <v>114</v>
      </c>
      <c r="D2841" s="1">
        <v>92</v>
      </c>
      <c r="E2841" s="1">
        <v>13</v>
      </c>
      <c r="F2841" s="1">
        <v>2</v>
      </c>
      <c r="G2841" s="1">
        <v>34.56</v>
      </c>
      <c r="H2841" s="1" t="s">
        <v>176</v>
      </c>
      <c r="I2841" s="1" t="s">
        <v>45</v>
      </c>
      <c r="J2841" s="1">
        <v>28</v>
      </c>
      <c r="K2841" s="1">
        <v>4.66</v>
      </c>
      <c r="L2841" s="4">
        <v>109.7</v>
      </c>
      <c r="M2841" s="1">
        <v>0.26</v>
      </c>
      <c r="N2841" s="1">
        <v>7</v>
      </c>
      <c r="O2841" s="1">
        <v>0.73</v>
      </c>
      <c r="P2841" s="1">
        <v>149</v>
      </c>
      <c r="Q2841" s="1">
        <v>13</v>
      </c>
      <c r="R2841" s="1">
        <v>0.89</v>
      </c>
      <c r="S2841" s="2">
        <v>45536</v>
      </c>
      <c r="T2841" s="1">
        <v>35.840000000000003</v>
      </c>
      <c r="U2841" s="1">
        <v>0.73099999999999998</v>
      </c>
      <c r="V2841" s="6">
        <f t="shared" si="132"/>
        <v>12505.800000000001</v>
      </c>
      <c r="W2841" s="6" t="str">
        <f t="shared" si="133"/>
        <v>Sufficient</v>
      </c>
      <c r="X2841" s="8" t="str">
        <f t="shared" si="134"/>
        <v>Medium</v>
      </c>
    </row>
    <row r="2842" spans="1:24">
      <c r="A2842" s="7" t="s">
        <v>2972</v>
      </c>
      <c r="B2842" s="1" t="s">
        <v>29</v>
      </c>
      <c r="C2842" s="1">
        <v>200</v>
      </c>
      <c r="D2842" s="1">
        <v>20</v>
      </c>
      <c r="E2842" s="1">
        <v>7</v>
      </c>
      <c r="F2842" s="1">
        <v>2</v>
      </c>
      <c r="G2842" s="1">
        <v>46.69</v>
      </c>
      <c r="H2842" s="1" t="s">
        <v>274</v>
      </c>
      <c r="I2842" s="1" t="s">
        <v>27</v>
      </c>
      <c r="J2842" s="1">
        <v>110</v>
      </c>
      <c r="K2842" s="1">
        <v>0.61</v>
      </c>
      <c r="L2842" s="4">
        <v>19.37</v>
      </c>
      <c r="M2842" s="1">
        <v>0.93</v>
      </c>
      <c r="N2842" s="1">
        <v>2</v>
      </c>
      <c r="O2842" s="1">
        <v>0.73</v>
      </c>
      <c r="P2842" s="1">
        <v>613</v>
      </c>
      <c r="Q2842" s="1">
        <v>8.8800000000000008</v>
      </c>
      <c r="R2842" s="1">
        <v>0.36</v>
      </c>
      <c r="S2842" s="2">
        <v>45411</v>
      </c>
      <c r="T2842" s="1">
        <v>287.05</v>
      </c>
      <c r="U2842" s="1">
        <v>0.60299999999999998</v>
      </c>
      <c r="V2842" s="6">
        <f t="shared" si="132"/>
        <v>3874</v>
      </c>
      <c r="W2842" s="6" t="str">
        <f t="shared" si="133"/>
        <v>Sufficient</v>
      </c>
      <c r="X2842" s="8" t="str">
        <f t="shared" si="134"/>
        <v>Medium</v>
      </c>
    </row>
    <row r="2843" spans="1:24">
      <c r="A2843" s="7" t="s">
        <v>2973</v>
      </c>
      <c r="B2843" s="1" t="s">
        <v>66</v>
      </c>
      <c r="C2843" s="1">
        <v>307</v>
      </c>
      <c r="D2843" s="1">
        <v>76</v>
      </c>
      <c r="E2843" s="1">
        <v>10</v>
      </c>
      <c r="F2843" s="1">
        <v>5</v>
      </c>
      <c r="G2843" s="1">
        <v>8.19</v>
      </c>
      <c r="H2843" s="1" t="s">
        <v>44</v>
      </c>
      <c r="I2843" s="1" t="s">
        <v>45</v>
      </c>
      <c r="J2843" s="1">
        <v>172</v>
      </c>
      <c r="K2843" s="1">
        <v>3.44</v>
      </c>
      <c r="L2843" s="4">
        <v>82.12</v>
      </c>
      <c r="M2843" s="1">
        <v>0.59</v>
      </c>
      <c r="N2843" s="1">
        <v>0</v>
      </c>
      <c r="O2843" s="1">
        <v>0.78</v>
      </c>
      <c r="P2843" s="1">
        <v>420</v>
      </c>
      <c r="Q2843" s="1">
        <v>3.2</v>
      </c>
      <c r="R2843" s="1">
        <v>0.55000000000000004</v>
      </c>
      <c r="S2843" s="2">
        <v>45334</v>
      </c>
      <c r="T2843" s="1">
        <v>155.87</v>
      </c>
      <c r="U2843" s="1">
        <v>0.65</v>
      </c>
      <c r="V2843" s="6">
        <f t="shared" si="132"/>
        <v>25210.84</v>
      </c>
      <c r="W2843" s="6" t="str">
        <f t="shared" si="133"/>
        <v>Sufficient</v>
      </c>
      <c r="X2843" s="8" t="str">
        <f t="shared" si="134"/>
        <v>High</v>
      </c>
    </row>
    <row r="2844" spans="1:24">
      <c r="A2844" s="7" t="s">
        <v>2974</v>
      </c>
      <c r="B2844" s="1" t="s">
        <v>25</v>
      </c>
      <c r="C2844" s="1">
        <v>341</v>
      </c>
      <c r="D2844" s="1">
        <v>96</v>
      </c>
      <c r="E2844" s="1">
        <v>11</v>
      </c>
      <c r="F2844" s="1">
        <v>2</v>
      </c>
      <c r="G2844" s="1">
        <v>34.92</v>
      </c>
      <c r="H2844" s="1" t="s">
        <v>26</v>
      </c>
      <c r="I2844" s="1" t="s">
        <v>27</v>
      </c>
      <c r="J2844" s="1">
        <v>103</v>
      </c>
      <c r="K2844" s="1">
        <v>4.87</v>
      </c>
      <c r="L2844" s="4">
        <v>43.07</v>
      </c>
      <c r="M2844" s="1">
        <v>1.71</v>
      </c>
      <c r="N2844" s="1">
        <v>9</v>
      </c>
      <c r="O2844" s="1">
        <v>0.86</v>
      </c>
      <c r="P2844" s="1">
        <v>958</v>
      </c>
      <c r="Q2844" s="1">
        <v>12.61</v>
      </c>
      <c r="R2844" s="1">
        <v>0.95</v>
      </c>
      <c r="S2844" s="2">
        <v>45437</v>
      </c>
      <c r="T2844" s="1">
        <v>299.68</v>
      </c>
      <c r="U2844" s="1">
        <v>0.57899999999999996</v>
      </c>
      <c r="V2844" s="6">
        <f t="shared" si="132"/>
        <v>14686.87</v>
      </c>
      <c r="W2844" s="6" t="str">
        <f t="shared" si="133"/>
        <v>Sufficient</v>
      </c>
      <c r="X2844" s="8" t="str">
        <f t="shared" si="134"/>
        <v>High</v>
      </c>
    </row>
    <row r="2845" spans="1:24">
      <c r="A2845" s="7" t="s">
        <v>2975</v>
      </c>
      <c r="B2845" s="1" t="s">
        <v>33</v>
      </c>
      <c r="C2845" s="1">
        <v>206</v>
      </c>
      <c r="D2845" s="1">
        <v>16</v>
      </c>
      <c r="E2845" s="1">
        <v>10</v>
      </c>
      <c r="F2845" s="1">
        <v>3</v>
      </c>
      <c r="G2845" s="1">
        <v>45.66</v>
      </c>
      <c r="H2845" s="1" t="s">
        <v>70</v>
      </c>
      <c r="I2845" s="1" t="s">
        <v>27</v>
      </c>
      <c r="J2845" s="1">
        <v>90</v>
      </c>
      <c r="K2845" s="1">
        <v>1.29</v>
      </c>
      <c r="L2845" s="4">
        <v>14.24</v>
      </c>
      <c r="M2845" s="1">
        <v>0.53</v>
      </c>
      <c r="N2845" s="1">
        <v>1</v>
      </c>
      <c r="O2845" s="1">
        <v>0.73</v>
      </c>
      <c r="P2845" s="1">
        <v>946</v>
      </c>
      <c r="Q2845" s="1">
        <v>13.71</v>
      </c>
      <c r="R2845" s="1">
        <v>0.83</v>
      </c>
      <c r="S2845" s="2">
        <v>45598</v>
      </c>
      <c r="T2845" s="1">
        <v>186.3</v>
      </c>
      <c r="U2845" s="1">
        <v>0.82199999999999995</v>
      </c>
      <c r="V2845" s="6">
        <f t="shared" si="132"/>
        <v>2933.44</v>
      </c>
      <c r="W2845" s="6" t="str">
        <f t="shared" si="133"/>
        <v>Sufficient</v>
      </c>
      <c r="X2845" s="8" t="str">
        <f t="shared" si="134"/>
        <v>Medium</v>
      </c>
    </row>
    <row r="2846" spans="1:24">
      <c r="A2846" s="7" t="s">
        <v>2976</v>
      </c>
      <c r="B2846" s="1" t="s">
        <v>66</v>
      </c>
      <c r="C2846" s="1">
        <v>391</v>
      </c>
      <c r="D2846" s="1">
        <v>32</v>
      </c>
      <c r="E2846" s="1">
        <v>10</v>
      </c>
      <c r="F2846" s="1">
        <v>5</v>
      </c>
      <c r="G2846" s="1">
        <v>25.58</v>
      </c>
      <c r="H2846" s="1" t="s">
        <v>258</v>
      </c>
      <c r="I2846" s="1" t="s">
        <v>45</v>
      </c>
      <c r="J2846" s="1">
        <v>112</v>
      </c>
      <c r="K2846" s="1">
        <v>2.4900000000000002</v>
      </c>
      <c r="L2846" s="4">
        <v>77.849999999999994</v>
      </c>
      <c r="M2846" s="1">
        <v>1.56</v>
      </c>
      <c r="N2846" s="1">
        <v>2</v>
      </c>
      <c r="O2846" s="1">
        <v>0.98</v>
      </c>
      <c r="P2846" s="1">
        <v>477</v>
      </c>
      <c r="Q2846" s="1">
        <v>2.1800000000000002</v>
      </c>
      <c r="R2846" s="1">
        <v>0.83</v>
      </c>
      <c r="S2846" s="2">
        <v>45570</v>
      </c>
      <c r="T2846" s="1">
        <v>44.1</v>
      </c>
      <c r="U2846" s="1">
        <v>0.59499999999999997</v>
      </c>
      <c r="V2846" s="6">
        <f t="shared" si="132"/>
        <v>30439.35</v>
      </c>
      <c r="W2846" s="6" t="str">
        <f t="shared" si="133"/>
        <v>Sufficient</v>
      </c>
      <c r="X2846" s="8" t="str">
        <f t="shared" si="134"/>
        <v>High</v>
      </c>
    </row>
    <row r="2847" spans="1:24">
      <c r="A2847" s="7" t="s">
        <v>2977</v>
      </c>
      <c r="B2847" s="1" t="s">
        <v>41</v>
      </c>
      <c r="C2847" s="1">
        <v>157</v>
      </c>
      <c r="D2847" s="1">
        <v>70</v>
      </c>
      <c r="E2847" s="1">
        <v>14</v>
      </c>
      <c r="F2847" s="1">
        <v>8</v>
      </c>
      <c r="G2847" s="1">
        <v>18.73</v>
      </c>
      <c r="H2847" s="1" t="s">
        <v>115</v>
      </c>
      <c r="I2847" s="1" t="s">
        <v>31</v>
      </c>
      <c r="J2847" s="1">
        <v>122</v>
      </c>
      <c r="K2847" s="1">
        <v>3.66</v>
      </c>
      <c r="L2847" s="4">
        <v>147.96</v>
      </c>
      <c r="M2847" s="1">
        <v>1.26</v>
      </c>
      <c r="N2847" s="1">
        <v>5</v>
      </c>
      <c r="O2847" s="1">
        <v>0.96</v>
      </c>
      <c r="P2847" s="1">
        <v>636</v>
      </c>
      <c r="Q2847" s="1">
        <v>14.03</v>
      </c>
      <c r="R2847" s="1">
        <v>0.81</v>
      </c>
      <c r="S2847" s="2">
        <v>45501</v>
      </c>
      <c r="T2847" s="1">
        <v>27.66</v>
      </c>
      <c r="U2847" s="1">
        <v>0.71499999999999997</v>
      </c>
      <c r="V2847" s="6">
        <f t="shared" si="132"/>
        <v>23229.72</v>
      </c>
      <c r="W2847" s="6" t="str">
        <f t="shared" si="133"/>
        <v>Sufficient</v>
      </c>
      <c r="X2847" s="8" t="str">
        <f t="shared" si="134"/>
        <v>Medium</v>
      </c>
    </row>
    <row r="2848" spans="1:24">
      <c r="A2848" s="7" t="s">
        <v>2978</v>
      </c>
      <c r="B2848" s="1" t="s">
        <v>66</v>
      </c>
      <c r="C2848" s="1">
        <v>149</v>
      </c>
      <c r="D2848" s="1">
        <v>80</v>
      </c>
      <c r="E2848" s="1">
        <v>5</v>
      </c>
      <c r="F2848" s="1">
        <v>3</v>
      </c>
      <c r="G2848" s="1">
        <v>9.3699999999999992</v>
      </c>
      <c r="H2848" s="1" t="s">
        <v>411</v>
      </c>
      <c r="I2848" s="1" t="s">
        <v>39</v>
      </c>
      <c r="J2848" s="1">
        <v>163</v>
      </c>
      <c r="K2848" s="1">
        <v>3.35</v>
      </c>
      <c r="L2848" s="4">
        <v>184.99</v>
      </c>
      <c r="M2848" s="1">
        <v>1.76</v>
      </c>
      <c r="N2848" s="1">
        <v>2</v>
      </c>
      <c r="O2848" s="1">
        <v>0.99</v>
      </c>
      <c r="P2848" s="1">
        <v>969</v>
      </c>
      <c r="Q2848" s="1">
        <v>9.42</v>
      </c>
      <c r="R2848" s="1">
        <v>0.66</v>
      </c>
      <c r="S2848" s="2">
        <v>45423</v>
      </c>
      <c r="T2848" s="1">
        <v>66.09</v>
      </c>
      <c r="U2848" s="1">
        <v>0.64</v>
      </c>
      <c r="V2848" s="6">
        <f t="shared" si="132"/>
        <v>27563.510000000002</v>
      </c>
      <c r="W2848" s="6" t="str">
        <f t="shared" si="133"/>
        <v>Sufficient</v>
      </c>
      <c r="X2848" s="8" t="str">
        <f t="shared" si="134"/>
        <v>Medium</v>
      </c>
    </row>
    <row r="2849" spans="1:24">
      <c r="A2849" s="7" t="s">
        <v>2979</v>
      </c>
      <c r="B2849" s="1" t="s">
        <v>29</v>
      </c>
      <c r="C2849" s="1">
        <v>213</v>
      </c>
      <c r="D2849" s="1">
        <v>43</v>
      </c>
      <c r="E2849" s="1">
        <v>6</v>
      </c>
      <c r="F2849" s="1">
        <v>9</v>
      </c>
      <c r="G2849" s="1">
        <v>43.47</v>
      </c>
      <c r="H2849" s="1" t="s">
        <v>394</v>
      </c>
      <c r="I2849" s="1" t="s">
        <v>27</v>
      </c>
      <c r="J2849" s="1">
        <v>22</v>
      </c>
      <c r="K2849" s="1">
        <v>3.05</v>
      </c>
      <c r="L2849" s="4">
        <v>135.83000000000001</v>
      </c>
      <c r="M2849" s="1">
        <v>1.23</v>
      </c>
      <c r="N2849" s="1">
        <v>8</v>
      </c>
      <c r="O2849" s="1">
        <v>0.71</v>
      </c>
      <c r="P2849" s="1">
        <v>182</v>
      </c>
      <c r="Q2849" s="1">
        <v>1.36</v>
      </c>
      <c r="R2849" s="1">
        <v>0.96</v>
      </c>
      <c r="S2849" s="2">
        <v>45388</v>
      </c>
      <c r="T2849" s="1">
        <v>132.13</v>
      </c>
      <c r="U2849" s="1">
        <v>0.46899999999999997</v>
      </c>
      <c r="V2849" s="6">
        <f t="shared" si="132"/>
        <v>28931.79</v>
      </c>
      <c r="W2849" s="6" t="str">
        <f t="shared" si="133"/>
        <v>Sufficient</v>
      </c>
      <c r="X2849" s="8" t="str">
        <f t="shared" si="134"/>
        <v>Medium</v>
      </c>
    </row>
    <row r="2850" spans="1:24">
      <c r="A2850" s="7" t="s">
        <v>2980</v>
      </c>
      <c r="B2850" s="1" t="s">
        <v>25</v>
      </c>
      <c r="C2850" s="1">
        <v>335</v>
      </c>
      <c r="D2850" s="1">
        <v>28</v>
      </c>
      <c r="E2850" s="1">
        <v>13</v>
      </c>
      <c r="F2850" s="1">
        <v>6</v>
      </c>
      <c r="G2850" s="1">
        <v>20.32</v>
      </c>
      <c r="H2850" s="1" t="s">
        <v>81</v>
      </c>
      <c r="I2850" s="1" t="s">
        <v>39</v>
      </c>
      <c r="J2850" s="1">
        <v>127</v>
      </c>
      <c r="K2850" s="1">
        <v>1.97</v>
      </c>
      <c r="L2850" s="4">
        <v>86.37</v>
      </c>
      <c r="M2850" s="1">
        <v>1.1599999999999999</v>
      </c>
      <c r="N2850" s="1">
        <v>0</v>
      </c>
      <c r="O2850" s="1">
        <v>0.96</v>
      </c>
      <c r="P2850" s="1">
        <v>305</v>
      </c>
      <c r="Q2850" s="1">
        <v>8.59</v>
      </c>
      <c r="R2850" s="1">
        <v>0.87</v>
      </c>
      <c r="S2850" s="2">
        <v>45294</v>
      </c>
      <c r="T2850" s="1">
        <v>226.68</v>
      </c>
      <c r="U2850" s="1">
        <v>0.76500000000000001</v>
      </c>
      <c r="V2850" s="6">
        <f t="shared" si="132"/>
        <v>28933.95</v>
      </c>
      <c r="W2850" s="6" t="str">
        <f t="shared" si="133"/>
        <v>Sufficient</v>
      </c>
      <c r="X2850" s="8" t="str">
        <f t="shared" si="134"/>
        <v>High</v>
      </c>
    </row>
    <row r="2851" spans="1:24">
      <c r="A2851" s="7" t="s">
        <v>2981</v>
      </c>
      <c r="B2851" s="1" t="s">
        <v>25</v>
      </c>
      <c r="C2851" s="1">
        <v>491</v>
      </c>
      <c r="D2851" s="1">
        <v>67</v>
      </c>
      <c r="E2851" s="1">
        <v>6</v>
      </c>
      <c r="F2851" s="1">
        <v>8</v>
      </c>
      <c r="G2851" s="1">
        <v>46.32</v>
      </c>
      <c r="H2851" s="1" t="s">
        <v>350</v>
      </c>
      <c r="I2851" s="1" t="s">
        <v>27</v>
      </c>
      <c r="J2851" s="1">
        <v>95</v>
      </c>
      <c r="K2851" s="1">
        <v>3.78</v>
      </c>
      <c r="L2851" s="4">
        <v>199.9</v>
      </c>
      <c r="M2851" s="1">
        <v>1.62</v>
      </c>
      <c r="N2851" s="1">
        <v>6</v>
      </c>
      <c r="O2851" s="1">
        <v>0.94</v>
      </c>
      <c r="P2851" s="1">
        <v>499</v>
      </c>
      <c r="Q2851" s="1">
        <v>12.15</v>
      </c>
      <c r="R2851" s="1">
        <v>0.55000000000000004</v>
      </c>
      <c r="S2851" s="2">
        <v>45655</v>
      </c>
      <c r="T2851" s="1">
        <v>10.210000000000001</v>
      </c>
      <c r="U2851" s="1">
        <v>0.57799999999999996</v>
      </c>
      <c r="V2851" s="6">
        <f t="shared" si="132"/>
        <v>98150.900000000009</v>
      </c>
      <c r="W2851" s="6" t="str">
        <f t="shared" si="133"/>
        <v>Sufficient</v>
      </c>
      <c r="X2851" s="8" t="str">
        <f t="shared" si="134"/>
        <v>High</v>
      </c>
    </row>
    <row r="2852" spans="1:24">
      <c r="A2852" s="7" t="s">
        <v>2982</v>
      </c>
      <c r="B2852" s="1" t="s">
        <v>66</v>
      </c>
      <c r="C2852" s="1">
        <v>292</v>
      </c>
      <c r="D2852" s="1">
        <v>18</v>
      </c>
      <c r="E2852" s="1">
        <v>13</v>
      </c>
      <c r="F2852" s="1">
        <v>2</v>
      </c>
      <c r="G2852" s="1">
        <v>42.54</v>
      </c>
      <c r="H2852" s="1" t="s">
        <v>115</v>
      </c>
      <c r="I2852" s="1" t="s">
        <v>39</v>
      </c>
      <c r="J2852" s="1">
        <v>32</v>
      </c>
      <c r="K2852" s="1">
        <v>3.44</v>
      </c>
      <c r="L2852" s="4">
        <v>63.76</v>
      </c>
      <c r="M2852" s="1">
        <v>1.17</v>
      </c>
      <c r="N2852" s="1">
        <v>9</v>
      </c>
      <c r="O2852" s="1">
        <v>0.97</v>
      </c>
      <c r="P2852" s="1">
        <v>770</v>
      </c>
      <c r="Q2852" s="1">
        <v>8.4600000000000009</v>
      </c>
      <c r="R2852" s="1">
        <v>0.79</v>
      </c>
      <c r="S2852" s="2">
        <v>45295</v>
      </c>
      <c r="T2852" s="1">
        <v>84.63</v>
      </c>
      <c r="U2852" s="1">
        <v>0.56799999999999995</v>
      </c>
      <c r="V2852" s="6">
        <f t="shared" si="132"/>
        <v>18617.919999999998</v>
      </c>
      <c r="W2852" s="6" t="str">
        <f t="shared" si="133"/>
        <v>Sufficient</v>
      </c>
      <c r="X2852" s="8" t="str">
        <f t="shared" si="134"/>
        <v>High</v>
      </c>
    </row>
    <row r="2853" spans="1:24">
      <c r="A2853" s="7" t="s">
        <v>2983</v>
      </c>
      <c r="B2853" s="1" t="s">
        <v>33</v>
      </c>
      <c r="C2853" s="1">
        <v>371</v>
      </c>
      <c r="D2853" s="1">
        <v>57</v>
      </c>
      <c r="E2853" s="1">
        <v>7</v>
      </c>
      <c r="F2853" s="1">
        <v>7</v>
      </c>
      <c r="G2853" s="1">
        <v>19.46</v>
      </c>
      <c r="H2853" s="1" t="s">
        <v>181</v>
      </c>
      <c r="I2853" s="1" t="s">
        <v>27</v>
      </c>
      <c r="J2853" s="1">
        <v>116</v>
      </c>
      <c r="K2853" s="1">
        <v>1.23</v>
      </c>
      <c r="L2853" s="4">
        <v>45.55</v>
      </c>
      <c r="M2853" s="1">
        <v>1.7</v>
      </c>
      <c r="N2853" s="1">
        <v>7</v>
      </c>
      <c r="O2853" s="1">
        <v>0.86</v>
      </c>
      <c r="P2853" s="1">
        <v>453</v>
      </c>
      <c r="Q2853" s="1">
        <v>10.9</v>
      </c>
      <c r="R2853" s="1">
        <v>1</v>
      </c>
      <c r="S2853" s="2">
        <v>45587</v>
      </c>
      <c r="T2853" s="1">
        <v>180.4</v>
      </c>
      <c r="U2853" s="1">
        <v>0.60699999999999998</v>
      </c>
      <c r="V2853" s="6">
        <f t="shared" si="132"/>
        <v>16899.05</v>
      </c>
      <c r="W2853" s="6" t="str">
        <f t="shared" si="133"/>
        <v>Sufficient</v>
      </c>
      <c r="X2853" s="8" t="str">
        <f t="shared" si="134"/>
        <v>High</v>
      </c>
    </row>
    <row r="2854" spans="1:24">
      <c r="A2854" s="7" t="s">
        <v>2984</v>
      </c>
      <c r="B2854" s="1" t="s">
        <v>41</v>
      </c>
      <c r="C2854" s="1">
        <v>163</v>
      </c>
      <c r="D2854" s="1">
        <v>91</v>
      </c>
      <c r="E2854" s="1">
        <v>11</v>
      </c>
      <c r="F2854" s="1">
        <v>7</v>
      </c>
      <c r="G2854" s="1">
        <v>29.12</v>
      </c>
      <c r="H2854" s="1" t="s">
        <v>159</v>
      </c>
      <c r="I2854" s="1" t="s">
        <v>31</v>
      </c>
      <c r="J2854" s="1">
        <v>172</v>
      </c>
      <c r="K2854" s="1">
        <v>4.84</v>
      </c>
      <c r="L2854" s="4">
        <v>98.1</v>
      </c>
      <c r="M2854" s="1">
        <v>0.19</v>
      </c>
      <c r="N2854" s="1">
        <v>8</v>
      </c>
      <c r="O2854" s="1">
        <v>0.94</v>
      </c>
      <c r="P2854" s="1">
        <v>704</v>
      </c>
      <c r="Q2854" s="1">
        <v>13.31</v>
      </c>
      <c r="R2854" s="1">
        <v>0.9</v>
      </c>
      <c r="S2854" s="2">
        <v>45559</v>
      </c>
      <c r="T2854" s="1">
        <v>96.39</v>
      </c>
      <c r="U2854" s="1">
        <v>0.76600000000000001</v>
      </c>
      <c r="V2854" s="6">
        <f t="shared" si="132"/>
        <v>15990.3</v>
      </c>
      <c r="W2854" s="6" t="str">
        <f t="shared" si="133"/>
        <v>Sufficient</v>
      </c>
      <c r="X2854" s="8" t="str">
        <f t="shared" si="134"/>
        <v>Medium</v>
      </c>
    </row>
    <row r="2855" spans="1:24">
      <c r="A2855" s="7" t="s">
        <v>2985</v>
      </c>
      <c r="B2855" s="1" t="s">
        <v>25</v>
      </c>
      <c r="C2855" s="1">
        <v>35</v>
      </c>
      <c r="D2855" s="1">
        <v>50</v>
      </c>
      <c r="E2855" s="1">
        <v>14</v>
      </c>
      <c r="F2855" s="1">
        <v>5</v>
      </c>
      <c r="G2855" s="1">
        <v>2.33</v>
      </c>
      <c r="H2855" s="1" t="s">
        <v>47</v>
      </c>
      <c r="I2855" s="1" t="s">
        <v>27</v>
      </c>
      <c r="J2855" s="1">
        <v>21</v>
      </c>
      <c r="K2855" s="1">
        <v>3</v>
      </c>
      <c r="L2855" s="4">
        <v>105.93</v>
      </c>
      <c r="M2855" s="1">
        <v>1.04</v>
      </c>
      <c r="N2855" s="1">
        <v>7</v>
      </c>
      <c r="O2855" s="1">
        <v>0.72</v>
      </c>
      <c r="P2855" s="1">
        <v>629</v>
      </c>
      <c r="Q2855" s="1">
        <v>13.18</v>
      </c>
      <c r="R2855" s="1">
        <v>0.2</v>
      </c>
      <c r="S2855" s="2">
        <v>45352</v>
      </c>
      <c r="T2855" s="1">
        <v>113.51</v>
      </c>
      <c r="U2855" s="1">
        <v>0.51600000000000001</v>
      </c>
      <c r="V2855" s="6">
        <f t="shared" si="132"/>
        <v>3707.55</v>
      </c>
      <c r="W2855" s="6" t="str">
        <f t="shared" si="133"/>
        <v>Reorder Required</v>
      </c>
      <c r="X2855" s="8" t="str">
        <f t="shared" si="134"/>
        <v>LOW</v>
      </c>
    </row>
    <row r="2856" spans="1:24">
      <c r="A2856" s="7" t="s">
        <v>2986</v>
      </c>
      <c r="B2856" s="1" t="s">
        <v>29</v>
      </c>
      <c r="C2856" s="1">
        <v>321</v>
      </c>
      <c r="D2856" s="1">
        <v>57</v>
      </c>
      <c r="E2856" s="1">
        <v>11</v>
      </c>
      <c r="F2856" s="1">
        <v>7</v>
      </c>
      <c r="G2856" s="1">
        <v>13.9</v>
      </c>
      <c r="H2856" s="1" t="s">
        <v>95</v>
      </c>
      <c r="I2856" s="1" t="s">
        <v>31</v>
      </c>
      <c r="J2856" s="1">
        <v>146</v>
      </c>
      <c r="K2856" s="1">
        <v>2.86</v>
      </c>
      <c r="L2856" s="4">
        <v>77.42</v>
      </c>
      <c r="M2856" s="1">
        <v>1.64</v>
      </c>
      <c r="N2856" s="1">
        <v>4</v>
      </c>
      <c r="O2856" s="1">
        <v>0.72</v>
      </c>
      <c r="P2856" s="1">
        <v>103</v>
      </c>
      <c r="Q2856" s="1">
        <v>3.5</v>
      </c>
      <c r="R2856" s="1">
        <v>0.79</v>
      </c>
      <c r="S2856" s="2">
        <v>45558</v>
      </c>
      <c r="T2856" s="1">
        <v>97.22</v>
      </c>
      <c r="U2856" s="1">
        <v>0.505</v>
      </c>
      <c r="V2856" s="6">
        <f t="shared" si="132"/>
        <v>24851.82</v>
      </c>
      <c r="W2856" s="6" t="str">
        <f t="shared" si="133"/>
        <v>Sufficient</v>
      </c>
      <c r="X2856" s="8" t="str">
        <f t="shared" si="134"/>
        <v>High</v>
      </c>
    </row>
    <row r="2857" spans="1:24">
      <c r="A2857" s="7" t="s">
        <v>2987</v>
      </c>
      <c r="B2857" s="1" t="s">
        <v>29</v>
      </c>
      <c r="C2857" s="1">
        <v>442</v>
      </c>
      <c r="D2857" s="1">
        <v>54</v>
      </c>
      <c r="E2857" s="1">
        <v>12</v>
      </c>
      <c r="F2857" s="1">
        <v>8</v>
      </c>
      <c r="G2857" s="1">
        <v>35.799999999999997</v>
      </c>
      <c r="H2857" s="1" t="s">
        <v>137</v>
      </c>
      <c r="I2857" s="1" t="s">
        <v>27</v>
      </c>
      <c r="J2857" s="1">
        <v>87</v>
      </c>
      <c r="K2857" s="1">
        <v>4.32</v>
      </c>
      <c r="L2857" s="4">
        <v>142.13999999999999</v>
      </c>
      <c r="M2857" s="1">
        <v>1.71</v>
      </c>
      <c r="N2857" s="1">
        <v>0</v>
      </c>
      <c r="O2857" s="1">
        <v>0.74</v>
      </c>
      <c r="P2857" s="1">
        <v>828</v>
      </c>
      <c r="Q2857" s="1">
        <v>6.98</v>
      </c>
      <c r="R2857" s="1">
        <v>0.92</v>
      </c>
      <c r="S2857" s="2">
        <v>45295</v>
      </c>
      <c r="T2857" s="1">
        <v>286.42</v>
      </c>
      <c r="U2857" s="1">
        <v>0.65400000000000003</v>
      </c>
      <c r="V2857" s="6">
        <f t="shared" si="132"/>
        <v>62825.88</v>
      </c>
      <c r="W2857" s="6" t="str">
        <f t="shared" si="133"/>
        <v>Sufficient</v>
      </c>
      <c r="X2857" s="8" t="str">
        <f t="shared" si="134"/>
        <v>High</v>
      </c>
    </row>
    <row r="2858" spans="1:24">
      <c r="A2858" s="7" t="s">
        <v>2988</v>
      </c>
      <c r="B2858" s="1" t="s">
        <v>33</v>
      </c>
      <c r="C2858" s="1">
        <v>264</v>
      </c>
      <c r="D2858" s="1">
        <v>34</v>
      </c>
      <c r="E2858" s="1">
        <v>14</v>
      </c>
      <c r="F2858" s="1">
        <v>5</v>
      </c>
      <c r="G2858" s="1">
        <v>34.22</v>
      </c>
      <c r="H2858" s="1" t="s">
        <v>99</v>
      </c>
      <c r="I2858" s="1" t="s">
        <v>39</v>
      </c>
      <c r="J2858" s="1">
        <v>76</v>
      </c>
      <c r="K2858" s="1">
        <v>3.38</v>
      </c>
      <c r="L2858" s="4">
        <v>44.93</v>
      </c>
      <c r="M2858" s="1">
        <v>1.68</v>
      </c>
      <c r="N2858" s="1">
        <v>0</v>
      </c>
      <c r="O2858" s="1">
        <v>0.97</v>
      </c>
      <c r="P2858" s="1">
        <v>456</v>
      </c>
      <c r="Q2858" s="1">
        <v>2.56</v>
      </c>
      <c r="R2858" s="1">
        <v>0.46</v>
      </c>
      <c r="S2858" s="2">
        <v>45484</v>
      </c>
      <c r="T2858" s="1">
        <v>29.09</v>
      </c>
      <c r="U2858" s="1">
        <v>0.55200000000000005</v>
      </c>
      <c r="V2858" s="6">
        <f t="shared" si="132"/>
        <v>11861.52</v>
      </c>
      <c r="W2858" s="6" t="str">
        <f t="shared" si="133"/>
        <v>Sufficient</v>
      </c>
      <c r="X2858" s="8" t="str">
        <f t="shared" si="134"/>
        <v>High</v>
      </c>
    </row>
    <row r="2859" spans="1:24">
      <c r="A2859" s="7" t="s">
        <v>2989</v>
      </c>
      <c r="B2859" s="1" t="s">
        <v>25</v>
      </c>
      <c r="C2859" s="1">
        <v>434</v>
      </c>
      <c r="D2859" s="1">
        <v>87</v>
      </c>
      <c r="E2859" s="1">
        <v>3</v>
      </c>
      <c r="F2859" s="1">
        <v>8</v>
      </c>
      <c r="G2859" s="1">
        <v>18.32</v>
      </c>
      <c r="H2859" s="1" t="s">
        <v>411</v>
      </c>
      <c r="I2859" s="1" t="s">
        <v>45</v>
      </c>
      <c r="J2859" s="1">
        <v>117</v>
      </c>
      <c r="K2859" s="1">
        <v>0.84</v>
      </c>
      <c r="L2859" s="4">
        <v>106.96</v>
      </c>
      <c r="M2859" s="1">
        <v>1.25</v>
      </c>
      <c r="N2859" s="1">
        <v>7</v>
      </c>
      <c r="O2859" s="1">
        <v>0.72</v>
      </c>
      <c r="P2859" s="1">
        <v>434</v>
      </c>
      <c r="Q2859" s="1">
        <v>9.33</v>
      </c>
      <c r="R2859" s="1">
        <v>0.98</v>
      </c>
      <c r="S2859" s="2">
        <v>45627</v>
      </c>
      <c r="T2859" s="1">
        <v>273.18</v>
      </c>
      <c r="U2859" s="1">
        <v>0.59899999999999998</v>
      </c>
      <c r="V2859" s="6">
        <f t="shared" si="132"/>
        <v>46420.639999999999</v>
      </c>
      <c r="W2859" s="6" t="str">
        <f t="shared" si="133"/>
        <v>Sufficient</v>
      </c>
      <c r="X2859" s="8" t="str">
        <f t="shared" si="134"/>
        <v>High</v>
      </c>
    </row>
    <row r="2860" spans="1:24">
      <c r="A2860" s="7" t="s">
        <v>2990</v>
      </c>
      <c r="B2860" s="1" t="s">
        <v>66</v>
      </c>
      <c r="C2860" s="1">
        <v>126</v>
      </c>
      <c r="D2860" s="1">
        <v>34</v>
      </c>
      <c r="E2860" s="1">
        <v>10</v>
      </c>
      <c r="F2860" s="1">
        <v>2</v>
      </c>
      <c r="G2860" s="1">
        <v>40.619999999999997</v>
      </c>
      <c r="H2860" s="1" t="s">
        <v>83</v>
      </c>
      <c r="I2860" s="1" t="s">
        <v>27</v>
      </c>
      <c r="J2860" s="1">
        <v>53</v>
      </c>
      <c r="K2860" s="1">
        <v>2.78</v>
      </c>
      <c r="L2860" s="4">
        <v>105.02</v>
      </c>
      <c r="M2860" s="1">
        <v>1.99</v>
      </c>
      <c r="N2860" s="1">
        <v>6</v>
      </c>
      <c r="O2860" s="1">
        <v>0.73</v>
      </c>
      <c r="P2860" s="1">
        <v>987</v>
      </c>
      <c r="Q2860" s="1">
        <v>14.37</v>
      </c>
      <c r="R2860" s="1">
        <v>0.52</v>
      </c>
      <c r="S2860" s="2">
        <v>45397</v>
      </c>
      <c r="T2860" s="1">
        <v>103.74</v>
      </c>
      <c r="U2860" s="1">
        <v>0.52300000000000002</v>
      </c>
      <c r="V2860" s="6">
        <f t="shared" si="132"/>
        <v>13232.519999999999</v>
      </c>
      <c r="W2860" s="6" t="str">
        <f t="shared" si="133"/>
        <v>Sufficient</v>
      </c>
      <c r="X2860" s="8" t="str">
        <f t="shared" si="134"/>
        <v>Medium</v>
      </c>
    </row>
    <row r="2861" spans="1:24">
      <c r="A2861" s="7" t="s">
        <v>2991</v>
      </c>
      <c r="B2861" s="1" t="s">
        <v>29</v>
      </c>
      <c r="C2861" s="1">
        <v>107</v>
      </c>
      <c r="D2861" s="1">
        <v>28</v>
      </c>
      <c r="E2861" s="1">
        <v>3</v>
      </c>
      <c r="F2861" s="1">
        <v>4</v>
      </c>
      <c r="G2861" s="1">
        <v>12.56</v>
      </c>
      <c r="H2861" s="1" t="s">
        <v>350</v>
      </c>
      <c r="I2861" s="1" t="s">
        <v>27</v>
      </c>
      <c r="J2861" s="1">
        <v>158</v>
      </c>
      <c r="K2861" s="1">
        <v>4.01</v>
      </c>
      <c r="L2861" s="4">
        <v>166.52</v>
      </c>
      <c r="M2861" s="1">
        <v>0.44</v>
      </c>
      <c r="N2861" s="1">
        <v>4</v>
      </c>
      <c r="O2861" s="1">
        <v>0.98</v>
      </c>
      <c r="P2861" s="1">
        <v>291</v>
      </c>
      <c r="Q2861" s="1">
        <v>3.55</v>
      </c>
      <c r="R2861" s="1">
        <v>0.54</v>
      </c>
      <c r="S2861" s="2">
        <v>45644</v>
      </c>
      <c r="T2861" s="1">
        <v>81.5</v>
      </c>
      <c r="U2861" s="1">
        <v>0.627</v>
      </c>
      <c r="V2861" s="6">
        <f t="shared" si="132"/>
        <v>17817.64</v>
      </c>
      <c r="W2861" s="6" t="str">
        <f t="shared" si="133"/>
        <v>Sufficient</v>
      </c>
      <c r="X2861" s="8" t="str">
        <f t="shared" si="134"/>
        <v>Medium</v>
      </c>
    </row>
    <row r="2862" spans="1:24">
      <c r="A2862" s="7" t="s">
        <v>2992</v>
      </c>
      <c r="B2862" s="1" t="s">
        <v>33</v>
      </c>
      <c r="C2862" s="1">
        <v>148</v>
      </c>
      <c r="D2862" s="1">
        <v>48</v>
      </c>
      <c r="E2862" s="1">
        <v>4</v>
      </c>
      <c r="F2862" s="1">
        <v>4</v>
      </c>
      <c r="G2862" s="1">
        <v>23.6</v>
      </c>
      <c r="H2862" s="1" t="s">
        <v>459</v>
      </c>
      <c r="I2862" s="1" t="s">
        <v>31</v>
      </c>
      <c r="J2862" s="1">
        <v>16</v>
      </c>
      <c r="K2862" s="1">
        <v>3.65</v>
      </c>
      <c r="L2862" s="4">
        <v>186.12</v>
      </c>
      <c r="M2862" s="1">
        <v>0.43</v>
      </c>
      <c r="N2862" s="1">
        <v>9</v>
      </c>
      <c r="O2862" s="1">
        <v>0.73</v>
      </c>
      <c r="P2862" s="1">
        <v>96</v>
      </c>
      <c r="Q2862" s="1">
        <v>6.65</v>
      </c>
      <c r="R2862" s="1">
        <v>0.33</v>
      </c>
      <c r="S2862" s="2">
        <v>45453</v>
      </c>
      <c r="T2862" s="1">
        <v>266.14999999999998</v>
      </c>
      <c r="U2862" s="1">
        <v>0.47799999999999998</v>
      </c>
      <c r="V2862" s="6">
        <f t="shared" si="132"/>
        <v>27545.760000000002</v>
      </c>
      <c r="W2862" s="6" t="str">
        <f t="shared" si="133"/>
        <v>Sufficient</v>
      </c>
      <c r="X2862" s="8" t="str">
        <f t="shared" si="134"/>
        <v>Medium</v>
      </c>
    </row>
    <row r="2863" spans="1:24">
      <c r="A2863" s="7" t="s">
        <v>2993</v>
      </c>
      <c r="B2863" s="1" t="s">
        <v>25</v>
      </c>
      <c r="C2863" s="1">
        <v>414</v>
      </c>
      <c r="D2863" s="1">
        <v>88</v>
      </c>
      <c r="E2863" s="1">
        <v>9</v>
      </c>
      <c r="F2863" s="1">
        <v>3</v>
      </c>
      <c r="G2863" s="1">
        <v>24.15</v>
      </c>
      <c r="H2863" s="1" t="s">
        <v>83</v>
      </c>
      <c r="I2863" s="1" t="s">
        <v>39</v>
      </c>
      <c r="J2863" s="1">
        <v>137</v>
      </c>
      <c r="K2863" s="1">
        <v>4.87</v>
      </c>
      <c r="L2863" s="4">
        <v>136.02000000000001</v>
      </c>
      <c r="M2863" s="1">
        <v>0.16</v>
      </c>
      <c r="N2863" s="1">
        <v>2</v>
      </c>
      <c r="O2863" s="1">
        <v>0.96</v>
      </c>
      <c r="P2863" s="1">
        <v>164</v>
      </c>
      <c r="Q2863" s="1">
        <v>14.36</v>
      </c>
      <c r="R2863" s="1">
        <v>0.28000000000000003</v>
      </c>
      <c r="S2863" s="2">
        <v>45501</v>
      </c>
      <c r="T2863" s="1">
        <v>93.25</v>
      </c>
      <c r="U2863" s="1">
        <v>0.78300000000000003</v>
      </c>
      <c r="V2863" s="6">
        <f t="shared" si="132"/>
        <v>56312.280000000006</v>
      </c>
      <c r="W2863" s="6" t="str">
        <f t="shared" si="133"/>
        <v>Sufficient</v>
      </c>
      <c r="X2863" s="8" t="str">
        <f t="shared" si="134"/>
        <v>High</v>
      </c>
    </row>
    <row r="2864" spans="1:24">
      <c r="A2864" s="7" t="s">
        <v>2994</v>
      </c>
      <c r="B2864" s="1" t="s">
        <v>25</v>
      </c>
      <c r="C2864" s="1">
        <v>394</v>
      </c>
      <c r="D2864" s="1">
        <v>89</v>
      </c>
      <c r="E2864" s="1">
        <v>10</v>
      </c>
      <c r="F2864" s="1">
        <v>2</v>
      </c>
      <c r="G2864" s="1">
        <v>17.7</v>
      </c>
      <c r="H2864" s="1" t="s">
        <v>79</v>
      </c>
      <c r="I2864" s="1" t="s">
        <v>31</v>
      </c>
      <c r="J2864" s="1">
        <v>106</v>
      </c>
      <c r="K2864" s="1">
        <v>0.61</v>
      </c>
      <c r="L2864" s="4">
        <v>68.02</v>
      </c>
      <c r="M2864" s="1">
        <v>1.98</v>
      </c>
      <c r="N2864" s="1">
        <v>8</v>
      </c>
      <c r="O2864" s="1">
        <v>0.94</v>
      </c>
      <c r="P2864" s="1">
        <v>757</v>
      </c>
      <c r="Q2864" s="1">
        <v>11.5</v>
      </c>
      <c r="R2864" s="1">
        <v>0.63</v>
      </c>
      <c r="S2864" s="2">
        <v>45477</v>
      </c>
      <c r="T2864" s="1">
        <v>296.37</v>
      </c>
      <c r="U2864" s="1">
        <v>0.50900000000000001</v>
      </c>
      <c r="V2864" s="6">
        <f t="shared" si="132"/>
        <v>26799.879999999997</v>
      </c>
      <c r="W2864" s="6" t="str">
        <f t="shared" si="133"/>
        <v>Sufficient</v>
      </c>
      <c r="X2864" s="8" t="str">
        <f t="shared" si="134"/>
        <v>High</v>
      </c>
    </row>
    <row r="2865" spans="1:24">
      <c r="A2865" s="7" t="s">
        <v>2995</v>
      </c>
      <c r="B2865" s="1" t="s">
        <v>25</v>
      </c>
      <c r="C2865" s="1">
        <v>360</v>
      </c>
      <c r="D2865" s="1">
        <v>36</v>
      </c>
      <c r="E2865" s="1">
        <v>3</v>
      </c>
      <c r="F2865" s="1">
        <v>7</v>
      </c>
      <c r="G2865" s="1">
        <v>47.78</v>
      </c>
      <c r="H2865" s="1" t="s">
        <v>256</v>
      </c>
      <c r="I2865" s="1" t="s">
        <v>39</v>
      </c>
      <c r="J2865" s="1">
        <v>20</v>
      </c>
      <c r="K2865" s="1">
        <v>1.68</v>
      </c>
      <c r="L2865" s="4">
        <v>141.03</v>
      </c>
      <c r="M2865" s="1">
        <v>0.76</v>
      </c>
      <c r="N2865" s="1">
        <v>3</v>
      </c>
      <c r="O2865" s="1">
        <v>0.71</v>
      </c>
      <c r="P2865" s="1">
        <v>855</v>
      </c>
      <c r="Q2865" s="1">
        <v>2</v>
      </c>
      <c r="R2865" s="1">
        <v>0.68</v>
      </c>
      <c r="S2865" s="2">
        <v>45346</v>
      </c>
      <c r="T2865" s="1">
        <v>168.95</v>
      </c>
      <c r="U2865" s="1">
        <v>0.56899999999999995</v>
      </c>
      <c r="V2865" s="6">
        <f t="shared" si="132"/>
        <v>50770.8</v>
      </c>
      <c r="W2865" s="6" t="str">
        <f t="shared" si="133"/>
        <v>Sufficient</v>
      </c>
      <c r="X2865" s="8" t="str">
        <f t="shared" si="134"/>
        <v>High</v>
      </c>
    </row>
    <row r="2866" spans="1:24">
      <c r="A2866" s="7" t="s">
        <v>2996</v>
      </c>
      <c r="B2866" s="1" t="s">
        <v>25</v>
      </c>
      <c r="C2866" s="1">
        <v>23</v>
      </c>
      <c r="D2866" s="1">
        <v>83</v>
      </c>
      <c r="E2866" s="1">
        <v>5</v>
      </c>
      <c r="F2866" s="1">
        <v>2</v>
      </c>
      <c r="G2866" s="1">
        <v>35.14</v>
      </c>
      <c r="H2866" s="1" t="s">
        <v>470</v>
      </c>
      <c r="I2866" s="1" t="s">
        <v>39</v>
      </c>
      <c r="J2866" s="1">
        <v>169</v>
      </c>
      <c r="K2866" s="1">
        <v>2.97</v>
      </c>
      <c r="L2866" s="4">
        <v>57.76</v>
      </c>
      <c r="M2866" s="1">
        <v>1.55</v>
      </c>
      <c r="N2866" s="1">
        <v>5</v>
      </c>
      <c r="O2866" s="1">
        <v>0.71</v>
      </c>
      <c r="P2866" s="1">
        <v>179</v>
      </c>
      <c r="Q2866" s="1">
        <v>7</v>
      </c>
      <c r="R2866" s="1">
        <v>0.49</v>
      </c>
      <c r="S2866" s="2">
        <v>45371</v>
      </c>
      <c r="T2866" s="1">
        <v>148.15</v>
      </c>
      <c r="U2866" s="1">
        <v>0.47799999999999998</v>
      </c>
      <c r="V2866" s="6">
        <f t="shared" si="132"/>
        <v>1328.48</v>
      </c>
      <c r="W2866" s="6" t="str">
        <f t="shared" si="133"/>
        <v>Reorder Required</v>
      </c>
      <c r="X2866" s="8" t="str">
        <f t="shared" si="134"/>
        <v>LOW</v>
      </c>
    </row>
    <row r="2867" spans="1:24">
      <c r="A2867" s="7" t="s">
        <v>2997</v>
      </c>
      <c r="B2867" s="1" t="s">
        <v>25</v>
      </c>
      <c r="C2867" s="1">
        <v>346</v>
      </c>
      <c r="D2867" s="1">
        <v>72</v>
      </c>
      <c r="E2867" s="1">
        <v>9</v>
      </c>
      <c r="F2867" s="1">
        <v>6</v>
      </c>
      <c r="G2867" s="1">
        <v>27.42</v>
      </c>
      <c r="H2867" s="1" t="s">
        <v>205</v>
      </c>
      <c r="I2867" s="1" t="s">
        <v>31</v>
      </c>
      <c r="J2867" s="1">
        <v>115</v>
      </c>
      <c r="K2867" s="1">
        <v>3.29</v>
      </c>
      <c r="L2867" s="4">
        <v>193.64</v>
      </c>
      <c r="M2867" s="1">
        <v>0.21</v>
      </c>
      <c r="N2867" s="1">
        <v>3</v>
      </c>
      <c r="O2867" s="1">
        <v>0.86</v>
      </c>
      <c r="P2867" s="1">
        <v>606</v>
      </c>
      <c r="Q2867" s="1">
        <v>14.83</v>
      </c>
      <c r="R2867" s="1">
        <v>0.69</v>
      </c>
      <c r="S2867" s="2">
        <v>45510</v>
      </c>
      <c r="T2867" s="1">
        <v>293.18</v>
      </c>
      <c r="U2867" s="1">
        <v>0.82699999999999996</v>
      </c>
      <c r="V2867" s="6">
        <f t="shared" si="132"/>
        <v>66999.44</v>
      </c>
      <c r="W2867" s="6" t="str">
        <f t="shared" si="133"/>
        <v>Sufficient</v>
      </c>
      <c r="X2867" s="8" t="str">
        <f t="shared" si="134"/>
        <v>High</v>
      </c>
    </row>
    <row r="2868" spans="1:24">
      <c r="A2868" s="7" t="s">
        <v>2998</v>
      </c>
      <c r="B2868" s="1" t="s">
        <v>29</v>
      </c>
      <c r="C2868" s="1">
        <v>429</v>
      </c>
      <c r="D2868" s="1">
        <v>77</v>
      </c>
      <c r="E2868" s="1">
        <v>11</v>
      </c>
      <c r="F2868" s="1">
        <v>4</v>
      </c>
      <c r="G2868" s="1">
        <v>26.02</v>
      </c>
      <c r="H2868" s="1" t="s">
        <v>470</v>
      </c>
      <c r="I2868" s="1" t="s">
        <v>45</v>
      </c>
      <c r="J2868" s="1">
        <v>92</v>
      </c>
      <c r="K2868" s="1">
        <v>1.73</v>
      </c>
      <c r="L2868" s="4">
        <v>166.25</v>
      </c>
      <c r="M2868" s="1">
        <v>0.67</v>
      </c>
      <c r="N2868" s="1">
        <v>8</v>
      </c>
      <c r="O2868" s="1">
        <v>1</v>
      </c>
      <c r="P2868" s="1">
        <v>204</v>
      </c>
      <c r="Q2868" s="1">
        <v>7.35</v>
      </c>
      <c r="R2868" s="1">
        <v>0.52</v>
      </c>
      <c r="S2868" s="2">
        <v>45625</v>
      </c>
      <c r="T2868" s="1">
        <v>75.760000000000005</v>
      </c>
      <c r="U2868" s="1">
        <v>0.57499999999999996</v>
      </c>
      <c r="V2868" s="6">
        <f t="shared" si="132"/>
        <v>71321.25</v>
      </c>
      <c r="W2868" s="6" t="str">
        <f t="shared" si="133"/>
        <v>Sufficient</v>
      </c>
      <c r="X2868" s="8" t="str">
        <f t="shared" si="134"/>
        <v>High</v>
      </c>
    </row>
    <row r="2869" spans="1:24">
      <c r="A2869" s="7" t="s">
        <v>2999</v>
      </c>
      <c r="B2869" s="1" t="s">
        <v>33</v>
      </c>
      <c r="C2869" s="1">
        <v>386</v>
      </c>
      <c r="D2869" s="1">
        <v>28</v>
      </c>
      <c r="E2869" s="1">
        <v>10</v>
      </c>
      <c r="F2869" s="1">
        <v>7</v>
      </c>
      <c r="G2869" s="1">
        <v>8.81</v>
      </c>
      <c r="H2869" s="1" t="s">
        <v>183</v>
      </c>
      <c r="I2869" s="1" t="s">
        <v>39</v>
      </c>
      <c r="J2869" s="1">
        <v>45</v>
      </c>
      <c r="K2869" s="1">
        <v>4.22</v>
      </c>
      <c r="L2869" s="4">
        <v>91.93</v>
      </c>
      <c r="M2869" s="1">
        <v>1.29</v>
      </c>
      <c r="N2869" s="1">
        <v>3</v>
      </c>
      <c r="O2869" s="1">
        <v>0.96</v>
      </c>
      <c r="P2869" s="1">
        <v>544</v>
      </c>
      <c r="Q2869" s="1">
        <v>9.81</v>
      </c>
      <c r="R2869" s="1">
        <v>0.89</v>
      </c>
      <c r="S2869" s="2">
        <v>45591</v>
      </c>
      <c r="T2869" s="1">
        <v>273.60000000000002</v>
      </c>
      <c r="U2869" s="1">
        <v>0.71199999999999997</v>
      </c>
      <c r="V2869" s="6">
        <f t="shared" si="132"/>
        <v>35484.980000000003</v>
      </c>
      <c r="W2869" s="6" t="str">
        <f t="shared" si="133"/>
        <v>Sufficient</v>
      </c>
      <c r="X2869" s="8" t="str">
        <f t="shared" si="134"/>
        <v>High</v>
      </c>
    </row>
    <row r="2870" spans="1:24">
      <c r="A2870" s="7" t="s">
        <v>3000</v>
      </c>
      <c r="B2870" s="1" t="s">
        <v>25</v>
      </c>
      <c r="C2870" s="1">
        <v>325</v>
      </c>
      <c r="D2870" s="1">
        <v>37</v>
      </c>
      <c r="E2870" s="1">
        <v>10</v>
      </c>
      <c r="F2870" s="1">
        <v>8</v>
      </c>
      <c r="G2870" s="1">
        <v>19.239999999999998</v>
      </c>
      <c r="H2870" s="1" t="s">
        <v>210</v>
      </c>
      <c r="I2870" s="1" t="s">
        <v>45</v>
      </c>
      <c r="J2870" s="1">
        <v>127</v>
      </c>
      <c r="K2870" s="1">
        <v>1.24</v>
      </c>
      <c r="L2870" s="4">
        <v>159.03</v>
      </c>
      <c r="M2870" s="1">
        <v>1.1000000000000001</v>
      </c>
      <c r="N2870" s="1">
        <v>7</v>
      </c>
      <c r="O2870" s="1">
        <v>0.79</v>
      </c>
      <c r="P2870" s="1">
        <v>878</v>
      </c>
      <c r="Q2870" s="1">
        <v>10.81</v>
      </c>
      <c r="R2870" s="1">
        <v>0.96</v>
      </c>
      <c r="S2870" s="2">
        <v>45421</v>
      </c>
      <c r="T2870" s="1">
        <v>181.54</v>
      </c>
      <c r="U2870" s="1">
        <v>0.64400000000000002</v>
      </c>
      <c r="V2870" s="6">
        <f t="shared" si="132"/>
        <v>51684.75</v>
      </c>
      <c r="W2870" s="6" t="str">
        <f t="shared" si="133"/>
        <v>Sufficient</v>
      </c>
      <c r="X2870" s="8" t="str">
        <f t="shared" si="134"/>
        <v>High</v>
      </c>
    </row>
    <row r="2871" spans="1:24">
      <c r="A2871" s="7" t="s">
        <v>3001</v>
      </c>
      <c r="B2871" s="1" t="s">
        <v>41</v>
      </c>
      <c r="C2871" s="1">
        <v>415</v>
      </c>
      <c r="D2871" s="1">
        <v>94</v>
      </c>
      <c r="E2871" s="1">
        <v>11</v>
      </c>
      <c r="F2871" s="1">
        <v>8</v>
      </c>
      <c r="G2871" s="1">
        <v>33.97</v>
      </c>
      <c r="H2871" s="1" t="s">
        <v>159</v>
      </c>
      <c r="I2871" s="1" t="s">
        <v>31</v>
      </c>
      <c r="J2871" s="1">
        <v>174</v>
      </c>
      <c r="K2871" s="1">
        <v>0.5</v>
      </c>
      <c r="L2871" s="4">
        <v>87.64</v>
      </c>
      <c r="M2871" s="1">
        <v>0.49</v>
      </c>
      <c r="N2871" s="1">
        <v>2</v>
      </c>
      <c r="O2871" s="1">
        <v>0.82</v>
      </c>
      <c r="P2871" s="1">
        <v>131</v>
      </c>
      <c r="Q2871" s="1">
        <v>10.3</v>
      </c>
      <c r="R2871" s="1">
        <v>0.67</v>
      </c>
      <c r="S2871" s="2">
        <v>45425</v>
      </c>
      <c r="T2871" s="1">
        <v>228.94</v>
      </c>
      <c r="U2871" s="1">
        <v>0.746</v>
      </c>
      <c r="V2871" s="6">
        <f t="shared" si="132"/>
        <v>36370.6</v>
      </c>
      <c r="W2871" s="6" t="str">
        <f t="shared" si="133"/>
        <v>Sufficient</v>
      </c>
      <c r="X2871" s="8" t="str">
        <f t="shared" si="134"/>
        <v>High</v>
      </c>
    </row>
    <row r="2872" spans="1:24">
      <c r="A2872" s="7" t="s">
        <v>3002</v>
      </c>
      <c r="B2872" s="1" t="s">
        <v>41</v>
      </c>
      <c r="C2872" s="1">
        <v>114</v>
      </c>
      <c r="D2872" s="1">
        <v>87</v>
      </c>
      <c r="E2872" s="1">
        <v>12</v>
      </c>
      <c r="F2872" s="1">
        <v>4</v>
      </c>
      <c r="G2872" s="1">
        <v>46.3</v>
      </c>
      <c r="H2872" s="1" t="s">
        <v>57</v>
      </c>
      <c r="I2872" s="1" t="s">
        <v>45</v>
      </c>
      <c r="J2872" s="1">
        <v>50</v>
      </c>
      <c r="K2872" s="1">
        <v>4.79</v>
      </c>
      <c r="L2872" s="4">
        <v>24.18</v>
      </c>
      <c r="M2872" s="1">
        <v>0.98</v>
      </c>
      <c r="N2872" s="1">
        <v>7</v>
      </c>
      <c r="O2872" s="1">
        <v>0.82</v>
      </c>
      <c r="P2872" s="1">
        <v>828</v>
      </c>
      <c r="Q2872" s="1">
        <v>8.26</v>
      </c>
      <c r="R2872" s="1">
        <v>0.87</v>
      </c>
      <c r="S2872" s="2">
        <v>45566</v>
      </c>
      <c r="T2872" s="1">
        <v>178.79</v>
      </c>
      <c r="U2872" s="1">
        <v>0.61</v>
      </c>
      <c r="V2872" s="6">
        <f t="shared" si="132"/>
        <v>2756.52</v>
      </c>
      <c r="W2872" s="6" t="str">
        <f t="shared" si="133"/>
        <v>Sufficient</v>
      </c>
      <c r="X2872" s="8" t="str">
        <f t="shared" si="134"/>
        <v>Medium</v>
      </c>
    </row>
    <row r="2873" spans="1:24">
      <c r="A2873" s="7" t="s">
        <v>3003</v>
      </c>
      <c r="B2873" s="1" t="s">
        <v>33</v>
      </c>
      <c r="C2873" s="1">
        <v>228</v>
      </c>
      <c r="D2873" s="1">
        <v>42</v>
      </c>
      <c r="E2873" s="1">
        <v>5</v>
      </c>
      <c r="F2873" s="1">
        <v>2</v>
      </c>
      <c r="G2873" s="1">
        <v>41.01</v>
      </c>
      <c r="H2873" s="1" t="s">
        <v>83</v>
      </c>
      <c r="I2873" s="1" t="s">
        <v>39</v>
      </c>
      <c r="J2873" s="1">
        <v>101</v>
      </c>
      <c r="K2873" s="1">
        <v>2.2599999999999998</v>
      </c>
      <c r="L2873" s="4">
        <v>144.29</v>
      </c>
      <c r="M2873" s="1">
        <v>0.31</v>
      </c>
      <c r="N2873" s="1">
        <v>2</v>
      </c>
      <c r="O2873" s="1">
        <v>0.92</v>
      </c>
      <c r="P2873" s="1">
        <v>718</v>
      </c>
      <c r="Q2873" s="1">
        <v>2.86</v>
      </c>
      <c r="R2873" s="1">
        <v>0.88</v>
      </c>
      <c r="S2873" s="2">
        <v>45508</v>
      </c>
      <c r="T2873" s="1">
        <v>189.41</v>
      </c>
      <c r="U2873" s="1">
        <v>0.72699999999999998</v>
      </c>
      <c r="V2873" s="6">
        <f t="shared" si="132"/>
        <v>32898.119999999995</v>
      </c>
      <c r="W2873" s="6" t="str">
        <f t="shared" si="133"/>
        <v>Sufficient</v>
      </c>
      <c r="X2873" s="8" t="str">
        <f t="shared" si="134"/>
        <v>Medium</v>
      </c>
    </row>
    <row r="2874" spans="1:24">
      <c r="A2874" s="7" t="s">
        <v>3004</v>
      </c>
      <c r="B2874" s="1" t="s">
        <v>66</v>
      </c>
      <c r="C2874" s="1">
        <v>244</v>
      </c>
      <c r="D2874" s="1">
        <v>19</v>
      </c>
      <c r="E2874" s="1">
        <v>10</v>
      </c>
      <c r="F2874" s="1">
        <v>7</v>
      </c>
      <c r="G2874" s="1">
        <v>15.72</v>
      </c>
      <c r="H2874" s="1" t="s">
        <v>147</v>
      </c>
      <c r="I2874" s="1" t="s">
        <v>31</v>
      </c>
      <c r="J2874" s="1">
        <v>58</v>
      </c>
      <c r="K2874" s="1">
        <v>4.8099999999999996</v>
      </c>
      <c r="L2874" s="4">
        <v>86.88</v>
      </c>
      <c r="M2874" s="1">
        <v>1.1299999999999999</v>
      </c>
      <c r="N2874" s="1">
        <v>4</v>
      </c>
      <c r="O2874" s="1">
        <v>0.8</v>
      </c>
      <c r="P2874" s="1">
        <v>74</v>
      </c>
      <c r="Q2874" s="1">
        <v>10.92</v>
      </c>
      <c r="R2874" s="1">
        <v>0.77</v>
      </c>
      <c r="S2874" s="2">
        <v>45581</v>
      </c>
      <c r="T2874" s="1">
        <v>54.93</v>
      </c>
      <c r="U2874" s="1">
        <v>0.66700000000000004</v>
      </c>
      <c r="V2874" s="6">
        <f t="shared" si="132"/>
        <v>21198.719999999998</v>
      </c>
      <c r="W2874" s="6" t="str">
        <f t="shared" si="133"/>
        <v>Sufficient</v>
      </c>
      <c r="X2874" s="8" t="str">
        <f t="shared" si="134"/>
        <v>Medium</v>
      </c>
    </row>
    <row r="2875" spans="1:24">
      <c r="A2875" s="7" t="s">
        <v>3005</v>
      </c>
      <c r="B2875" s="1" t="s">
        <v>66</v>
      </c>
      <c r="C2875" s="1">
        <v>478</v>
      </c>
      <c r="D2875" s="1">
        <v>92</v>
      </c>
      <c r="E2875" s="1">
        <v>3</v>
      </c>
      <c r="F2875" s="1">
        <v>3</v>
      </c>
      <c r="G2875" s="1">
        <v>22.26</v>
      </c>
      <c r="H2875" s="1" t="s">
        <v>70</v>
      </c>
      <c r="I2875" s="1" t="s">
        <v>45</v>
      </c>
      <c r="J2875" s="1">
        <v>152</v>
      </c>
      <c r="K2875" s="1">
        <v>1.75</v>
      </c>
      <c r="L2875" s="4">
        <v>186.76</v>
      </c>
      <c r="M2875" s="1">
        <v>0.28000000000000003</v>
      </c>
      <c r="N2875" s="1">
        <v>0</v>
      </c>
      <c r="O2875" s="1">
        <v>0.74</v>
      </c>
      <c r="P2875" s="1">
        <v>383</v>
      </c>
      <c r="Q2875" s="1">
        <v>14.07</v>
      </c>
      <c r="R2875" s="1">
        <v>0.35</v>
      </c>
      <c r="S2875" s="2">
        <v>45479</v>
      </c>
      <c r="T2875" s="1">
        <v>53.98</v>
      </c>
      <c r="U2875" s="1">
        <v>0.77800000000000002</v>
      </c>
      <c r="V2875" s="6">
        <f t="shared" si="132"/>
        <v>89271.28</v>
      </c>
      <c r="W2875" s="6" t="str">
        <f t="shared" si="133"/>
        <v>Sufficient</v>
      </c>
      <c r="X2875" s="8" t="str">
        <f t="shared" si="134"/>
        <v>High</v>
      </c>
    </row>
    <row r="2876" spans="1:24">
      <c r="A2876" s="7" t="s">
        <v>3006</v>
      </c>
      <c r="B2876" s="1" t="s">
        <v>66</v>
      </c>
      <c r="C2876" s="1">
        <v>367</v>
      </c>
      <c r="D2876" s="1">
        <v>39</v>
      </c>
      <c r="E2876" s="1">
        <v>10</v>
      </c>
      <c r="F2876" s="1">
        <v>8</v>
      </c>
      <c r="G2876" s="1">
        <v>5.0599999999999996</v>
      </c>
      <c r="H2876" s="1" t="s">
        <v>130</v>
      </c>
      <c r="I2876" s="1" t="s">
        <v>31</v>
      </c>
      <c r="J2876" s="1">
        <v>150</v>
      </c>
      <c r="K2876" s="1">
        <v>0.79</v>
      </c>
      <c r="L2876" s="4">
        <v>68.25</v>
      </c>
      <c r="M2876" s="1">
        <v>1.31</v>
      </c>
      <c r="N2876" s="1">
        <v>5</v>
      </c>
      <c r="O2876" s="1">
        <v>0.92</v>
      </c>
      <c r="P2876" s="1">
        <v>231</v>
      </c>
      <c r="Q2876" s="1">
        <v>14.18</v>
      </c>
      <c r="R2876" s="1">
        <v>0.32</v>
      </c>
      <c r="S2876" s="2">
        <v>45605</v>
      </c>
      <c r="T2876" s="1">
        <v>125.18</v>
      </c>
      <c r="U2876" s="1">
        <v>0.60599999999999998</v>
      </c>
      <c r="V2876" s="6">
        <f t="shared" si="132"/>
        <v>25047.75</v>
      </c>
      <c r="W2876" s="6" t="str">
        <f t="shared" si="133"/>
        <v>Sufficient</v>
      </c>
      <c r="X2876" s="8" t="str">
        <f t="shared" si="134"/>
        <v>High</v>
      </c>
    </row>
    <row r="2877" spans="1:24">
      <c r="A2877" s="7" t="s">
        <v>3007</v>
      </c>
      <c r="B2877" s="1" t="s">
        <v>41</v>
      </c>
      <c r="C2877" s="1">
        <v>499</v>
      </c>
      <c r="D2877" s="1">
        <v>31</v>
      </c>
      <c r="E2877" s="1">
        <v>9</v>
      </c>
      <c r="F2877" s="1">
        <v>2</v>
      </c>
      <c r="G2877" s="1">
        <v>6.01</v>
      </c>
      <c r="H2877" s="1" t="s">
        <v>36</v>
      </c>
      <c r="I2877" s="1" t="s">
        <v>31</v>
      </c>
      <c r="J2877" s="1">
        <v>62</v>
      </c>
      <c r="K2877" s="1">
        <v>3.98</v>
      </c>
      <c r="L2877" s="4">
        <v>170.23</v>
      </c>
      <c r="M2877" s="1">
        <v>0.4</v>
      </c>
      <c r="N2877" s="1">
        <v>1</v>
      </c>
      <c r="O2877" s="1">
        <v>0.84</v>
      </c>
      <c r="P2877" s="1">
        <v>481</v>
      </c>
      <c r="Q2877" s="1">
        <v>9.31</v>
      </c>
      <c r="R2877" s="1">
        <v>0.94</v>
      </c>
      <c r="S2877" s="2">
        <v>45433</v>
      </c>
      <c r="T2877" s="1">
        <v>110.45</v>
      </c>
      <c r="U2877" s="1">
        <v>0.82</v>
      </c>
      <c r="V2877" s="6">
        <f t="shared" si="132"/>
        <v>84944.76999999999</v>
      </c>
      <c r="W2877" s="6" t="str">
        <f t="shared" si="133"/>
        <v>Sufficient</v>
      </c>
      <c r="X2877" s="8" t="str">
        <f t="shared" si="134"/>
        <v>High</v>
      </c>
    </row>
    <row r="2878" spans="1:24">
      <c r="A2878" s="7" t="s">
        <v>3008</v>
      </c>
      <c r="B2878" s="1" t="s">
        <v>66</v>
      </c>
      <c r="C2878" s="1">
        <v>340</v>
      </c>
      <c r="D2878" s="1">
        <v>12</v>
      </c>
      <c r="E2878" s="1">
        <v>10</v>
      </c>
      <c r="F2878" s="1">
        <v>3</v>
      </c>
      <c r="G2878" s="1">
        <v>24.04</v>
      </c>
      <c r="H2878" s="1" t="s">
        <v>282</v>
      </c>
      <c r="I2878" s="1" t="s">
        <v>45</v>
      </c>
      <c r="J2878" s="1">
        <v>116</v>
      </c>
      <c r="K2878" s="1">
        <v>4.26</v>
      </c>
      <c r="L2878" s="4">
        <v>139.28</v>
      </c>
      <c r="M2878" s="1">
        <v>1.1399999999999999</v>
      </c>
      <c r="N2878" s="1">
        <v>2</v>
      </c>
      <c r="O2878" s="1">
        <v>0.72</v>
      </c>
      <c r="P2878" s="1">
        <v>223</v>
      </c>
      <c r="Q2878" s="1">
        <v>7.89</v>
      </c>
      <c r="R2878" s="1">
        <v>0.41</v>
      </c>
      <c r="S2878" s="2">
        <v>45640</v>
      </c>
      <c r="T2878" s="1">
        <v>216.5</v>
      </c>
      <c r="U2878" s="1">
        <v>0.57699999999999996</v>
      </c>
      <c r="V2878" s="6">
        <f t="shared" si="132"/>
        <v>47355.199999999997</v>
      </c>
      <c r="W2878" s="6" t="str">
        <f t="shared" si="133"/>
        <v>Sufficient</v>
      </c>
      <c r="X2878" s="8" t="str">
        <f t="shared" si="134"/>
        <v>High</v>
      </c>
    </row>
    <row r="2879" spans="1:24">
      <c r="A2879" s="7" t="s">
        <v>3009</v>
      </c>
      <c r="B2879" s="1" t="s">
        <v>29</v>
      </c>
      <c r="C2879" s="1">
        <v>66</v>
      </c>
      <c r="D2879" s="1">
        <v>91</v>
      </c>
      <c r="E2879" s="1">
        <v>3</v>
      </c>
      <c r="F2879" s="1">
        <v>9</v>
      </c>
      <c r="G2879" s="1">
        <v>26.98</v>
      </c>
      <c r="H2879" s="1" t="s">
        <v>63</v>
      </c>
      <c r="I2879" s="1" t="s">
        <v>39</v>
      </c>
      <c r="J2879" s="1">
        <v>42</v>
      </c>
      <c r="K2879" s="1">
        <v>2.71</v>
      </c>
      <c r="L2879" s="4">
        <v>172.13</v>
      </c>
      <c r="M2879" s="1">
        <v>0.35</v>
      </c>
      <c r="N2879" s="1">
        <v>0</v>
      </c>
      <c r="O2879" s="1">
        <v>0.94</v>
      </c>
      <c r="P2879" s="1">
        <v>858</v>
      </c>
      <c r="Q2879" s="1">
        <v>5.68</v>
      </c>
      <c r="R2879" s="1">
        <v>0.4</v>
      </c>
      <c r="S2879" s="2">
        <v>45495</v>
      </c>
      <c r="T2879" s="1">
        <v>219.6</v>
      </c>
      <c r="U2879" s="1">
        <v>0.70899999999999996</v>
      </c>
      <c r="V2879" s="6">
        <f t="shared" si="132"/>
        <v>11360.58</v>
      </c>
      <c r="W2879" s="6" t="str">
        <f t="shared" si="133"/>
        <v>Reorder Required</v>
      </c>
      <c r="X2879" s="8" t="str">
        <f t="shared" si="134"/>
        <v>LOW</v>
      </c>
    </row>
    <row r="2880" spans="1:24">
      <c r="A2880" s="7" t="s">
        <v>3010</v>
      </c>
      <c r="B2880" s="1" t="s">
        <v>25</v>
      </c>
      <c r="C2880" s="1">
        <v>495</v>
      </c>
      <c r="D2880" s="1">
        <v>84</v>
      </c>
      <c r="E2880" s="1">
        <v>8</v>
      </c>
      <c r="F2880" s="1">
        <v>7</v>
      </c>
      <c r="G2880" s="1">
        <v>13.94</v>
      </c>
      <c r="H2880" s="1" t="s">
        <v>304</v>
      </c>
      <c r="I2880" s="1" t="s">
        <v>39</v>
      </c>
      <c r="J2880" s="1">
        <v>128</v>
      </c>
      <c r="K2880" s="1">
        <v>0.83</v>
      </c>
      <c r="L2880" s="4">
        <v>65.459999999999994</v>
      </c>
      <c r="M2880" s="1">
        <v>0.86</v>
      </c>
      <c r="N2880" s="1">
        <v>5</v>
      </c>
      <c r="O2880" s="1">
        <v>0.88</v>
      </c>
      <c r="P2880" s="1">
        <v>90</v>
      </c>
      <c r="Q2880" s="1">
        <v>2.4500000000000002</v>
      </c>
      <c r="R2880" s="1">
        <v>0.33</v>
      </c>
      <c r="S2880" s="2">
        <v>45396</v>
      </c>
      <c r="T2880" s="1">
        <v>173.5</v>
      </c>
      <c r="U2880" s="1">
        <v>0.48899999999999999</v>
      </c>
      <c r="V2880" s="6">
        <f t="shared" si="132"/>
        <v>32402.699999999997</v>
      </c>
      <c r="W2880" s="6" t="str">
        <f t="shared" si="133"/>
        <v>Sufficient</v>
      </c>
      <c r="X2880" s="8" t="str">
        <f t="shared" si="134"/>
        <v>High</v>
      </c>
    </row>
    <row r="2881" spans="1:24">
      <c r="A2881" s="7" t="s">
        <v>3011</v>
      </c>
      <c r="B2881" s="1" t="s">
        <v>41</v>
      </c>
      <c r="C2881" s="1">
        <v>200</v>
      </c>
      <c r="D2881" s="1">
        <v>57</v>
      </c>
      <c r="E2881" s="1">
        <v>9</v>
      </c>
      <c r="F2881" s="1">
        <v>4</v>
      </c>
      <c r="G2881" s="1">
        <v>32.5</v>
      </c>
      <c r="H2881" s="1" t="s">
        <v>88</v>
      </c>
      <c r="I2881" s="1" t="s">
        <v>39</v>
      </c>
      <c r="J2881" s="1">
        <v>41</v>
      </c>
      <c r="K2881" s="1">
        <v>3.44</v>
      </c>
      <c r="L2881" s="4">
        <v>97.66</v>
      </c>
      <c r="M2881" s="1">
        <v>0.77</v>
      </c>
      <c r="N2881" s="1">
        <v>4</v>
      </c>
      <c r="O2881" s="1">
        <v>0.85</v>
      </c>
      <c r="P2881" s="1">
        <v>494</v>
      </c>
      <c r="Q2881" s="1">
        <v>13.36</v>
      </c>
      <c r="R2881" s="1">
        <v>0.62</v>
      </c>
      <c r="S2881" s="2">
        <v>45503</v>
      </c>
      <c r="T2881" s="1">
        <v>126.58</v>
      </c>
      <c r="U2881" s="1">
        <v>0.71499999999999997</v>
      </c>
      <c r="V2881" s="6">
        <f t="shared" si="132"/>
        <v>19532</v>
      </c>
      <c r="W2881" s="6" t="str">
        <f t="shared" si="133"/>
        <v>Sufficient</v>
      </c>
      <c r="X2881" s="8" t="str">
        <f t="shared" si="134"/>
        <v>Medium</v>
      </c>
    </row>
    <row r="2882" spans="1:24">
      <c r="A2882" s="7" t="s">
        <v>3012</v>
      </c>
      <c r="B2882" s="1" t="s">
        <v>33</v>
      </c>
      <c r="C2882" s="1">
        <v>125</v>
      </c>
      <c r="D2882" s="1">
        <v>11</v>
      </c>
      <c r="E2882" s="1">
        <v>13</v>
      </c>
      <c r="F2882" s="1">
        <v>9</v>
      </c>
      <c r="G2882" s="1">
        <v>35.47</v>
      </c>
      <c r="H2882" s="1" t="s">
        <v>304</v>
      </c>
      <c r="I2882" s="1" t="s">
        <v>39</v>
      </c>
      <c r="J2882" s="1">
        <v>127</v>
      </c>
      <c r="K2882" s="1">
        <v>1.32</v>
      </c>
      <c r="L2882" s="4">
        <v>166.39</v>
      </c>
      <c r="M2882" s="1">
        <v>1.54</v>
      </c>
      <c r="N2882" s="1">
        <v>9</v>
      </c>
      <c r="O2882" s="1">
        <v>0.9</v>
      </c>
      <c r="P2882" s="1">
        <v>918</v>
      </c>
      <c r="Q2882" s="1">
        <v>2.92</v>
      </c>
      <c r="R2882" s="1">
        <v>0.74</v>
      </c>
      <c r="S2882" s="2">
        <v>45574</v>
      </c>
      <c r="T2882" s="1">
        <v>206.27</v>
      </c>
      <c r="U2882" s="1">
        <v>0.433</v>
      </c>
      <c r="V2882" s="6">
        <f t="shared" si="132"/>
        <v>20798.75</v>
      </c>
      <c r="W2882" s="6" t="str">
        <f t="shared" si="133"/>
        <v>Sufficient</v>
      </c>
      <c r="X2882" s="8" t="str">
        <f t="shared" si="134"/>
        <v>Medium</v>
      </c>
    </row>
    <row r="2883" spans="1:24">
      <c r="A2883" s="7" t="s">
        <v>3013</v>
      </c>
      <c r="B2883" s="1" t="s">
        <v>33</v>
      </c>
      <c r="C2883" s="1">
        <v>218</v>
      </c>
      <c r="D2883" s="1">
        <v>85</v>
      </c>
      <c r="E2883" s="1">
        <v>7</v>
      </c>
      <c r="F2883" s="1">
        <v>6</v>
      </c>
      <c r="G2883" s="1">
        <v>15.66</v>
      </c>
      <c r="H2883" s="1" t="s">
        <v>63</v>
      </c>
      <c r="I2883" s="1" t="s">
        <v>27</v>
      </c>
      <c r="J2883" s="1">
        <v>71</v>
      </c>
      <c r="K2883" s="1">
        <v>4.32</v>
      </c>
      <c r="L2883" s="4">
        <v>132.33000000000001</v>
      </c>
      <c r="M2883" s="1">
        <v>1.32</v>
      </c>
      <c r="N2883" s="1">
        <v>1</v>
      </c>
      <c r="O2883" s="1">
        <v>0.85</v>
      </c>
      <c r="P2883" s="1">
        <v>444</v>
      </c>
      <c r="Q2883" s="1">
        <v>5.03</v>
      </c>
      <c r="R2883" s="1">
        <v>0.74</v>
      </c>
      <c r="S2883" s="2">
        <v>45577</v>
      </c>
      <c r="T2883" s="1">
        <v>209.33</v>
      </c>
      <c r="U2883" s="1">
        <v>0.63300000000000001</v>
      </c>
      <c r="V2883" s="6">
        <f t="shared" si="132"/>
        <v>28847.940000000002</v>
      </c>
      <c r="W2883" s="6" t="str">
        <f t="shared" si="133"/>
        <v>Sufficient</v>
      </c>
      <c r="X2883" s="8" t="str">
        <f t="shared" si="134"/>
        <v>Medium</v>
      </c>
    </row>
    <row r="2884" spans="1:24">
      <c r="A2884" s="7" t="s">
        <v>3014</v>
      </c>
      <c r="B2884" s="1" t="s">
        <v>25</v>
      </c>
      <c r="C2884" s="1">
        <v>405</v>
      </c>
      <c r="D2884" s="1">
        <v>63</v>
      </c>
      <c r="E2884" s="1">
        <v>7</v>
      </c>
      <c r="F2884" s="1">
        <v>9</v>
      </c>
      <c r="G2884" s="1">
        <v>38.159999999999997</v>
      </c>
      <c r="H2884" s="1" t="s">
        <v>229</v>
      </c>
      <c r="I2884" s="1" t="s">
        <v>31</v>
      </c>
      <c r="J2884" s="1">
        <v>91</v>
      </c>
      <c r="K2884" s="1">
        <v>1.73</v>
      </c>
      <c r="L2884" s="4">
        <v>78.39</v>
      </c>
      <c r="M2884" s="1">
        <v>1.88</v>
      </c>
      <c r="N2884" s="1">
        <v>7</v>
      </c>
      <c r="O2884" s="1">
        <v>0.89</v>
      </c>
      <c r="P2884" s="1">
        <v>989</v>
      </c>
      <c r="Q2884" s="1">
        <v>11.37</v>
      </c>
      <c r="R2884" s="1">
        <v>0.41</v>
      </c>
      <c r="S2884" s="2">
        <v>45539</v>
      </c>
      <c r="T2884" s="1">
        <v>244.64</v>
      </c>
      <c r="U2884" s="1">
        <v>0.48399999999999999</v>
      </c>
      <c r="V2884" s="6">
        <f t="shared" ref="V2884:V2947" si="135">C2884*L2884</f>
        <v>31747.95</v>
      </c>
      <c r="W2884" s="6" t="str">
        <f t="shared" ref="W2884:W2947" si="136">IF(C2884&lt;=D2884,"Reorder Required","Sufficient")</f>
        <v>Sufficient</v>
      </c>
      <c r="X2884" s="8" t="str">
        <f t="shared" ref="X2884:X2947" si="137">IF(C2884&lt;100,"LOW",IF(C2884&lt;250,"Medium","High"))</f>
        <v>High</v>
      </c>
    </row>
    <row r="2885" spans="1:24">
      <c r="A2885" s="7" t="s">
        <v>3015</v>
      </c>
      <c r="B2885" s="1" t="s">
        <v>41</v>
      </c>
      <c r="C2885" s="1">
        <v>125</v>
      </c>
      <c r="D2885" s="1">
        <v>15</v>
      </c>
      <c r="E2885" s="1">
        <v>9</v>
      </c>
      <c r="F2885" s="1">
        <v>5</v>
      </c>
      <c r="G2885" s="1">
        <v>11.07</v>
      </c>
      <c r="H2885" s="1" t="s">
        <v>227</v>
      </c>
      <c r="I2885" s="1" t="s">
        <v>31</v>
      </c>
      <c r="J2885" s="1">
        <v>139</v>
      </c>
      <c r="K2885" s="1">
        <v>4.3099999999999996</v>
      </c>
      <c r="L2885" s="4">
        <v>107.28</v>
      </c>
      <c r="M2885" s="1">
        <v>1.85</v>
      </c>
      <c r="N2885" s="1">
        <v>8</v>
      </c>
      <c r="O2885" s="1">
        <v>0.96</v>
      </c>
      <c r="P2885" s="1">
        <v>337</v>
      </c>
      <c r="Q2885" s="1">
        <v>10.87</v>
      </c>
      <c r="R2885" s="1">
        <v>0.28000000000000003</v>
      </c>
      <c r="S2885" s="2">
        <v>45383</v>
      </c>
      <c r="T2885" s="1">
        <v>245.4</v>
      </c>
      <c r="U2885" s="1">
        <v>0.44800000000000001</v>
      </c>
      <c r="V2885" s="6">
        <f t="shared" si="135"/>
        <v>13410</v>
      </c>
      <c r="W2885" s="6" t="str">
        <f t="shared" si="136"/>
        <v>Sufficient</v>
      </c>
      <c r="X2885" s="8" t="str">
        <f t="shared" si="137"/>
        <v>Medium</v>
      </c>
    </row>
    <row r="2886" spans="1:24">
      <c r="A2886" s="7" t="s">
        <v>3016</v>
      </c>
      <c r="B2886" s="1" t="s">
        <v>66</v>
      </c>
      <c r="C2886" s="1">
        <v>299</v>
      </c>
      <c r="D2886" s="1">
        <v>49</v>
      </c>
      <c r="E2886" s="1">
        <v>13</v>
      </c>
      <c r="F2886" s="1">
        <v>4</v>
      </c>
      <c r="G2886" s="1">
        <v>27.67</v>
      </c>
      <c r="H2886" s="1" t="s">
        <v>440</v>
      </c>
      <c r="I2886" s="1" t="s">
        <v>27</v>
      </c>
      <c r="J2886" s="1">
        <v>86</v>
      </c>
      <c r="K2886" s="1">
        <v>2.42</v>
      </c>
      <c r="L2886" s="4">
        <v>199.26</v>
      </c>
      <c r="M2886" s="1">
        <v>1.48</v>
      </c>
      <c r="N2886" s="1">
        <v>2</v>
      </c>
      <c r="O2886" s="1">
        <v>0.88</v>
      </c>
      <c r="P2886" s="1">
        <v>610</v>
      </c>
      <c r="Q2886" s="1">
        <v>10.53</v>
      </c>
      <c r="R2886" s="1">
        <v>0.45</v>
      </c>
      <c r="S2886" s="2">
        <v>45481</v>
      </c>
      <c r="T2886" s="1">
        <v>30.17</v>
      </c>
      <c r="U2886" s="1">
        <v>0.61799999999999999</v>
      </c>
      <c r="V2886" s="6">
        <f t="shared" si="135"/>
        <v>59578.74</v>
      </c>
      <c r="W2886" s="6" t="str">
        <f t="shared" si="136"/>
        <v>Sufficient</v>
      </c>
      <c r="X2886" s="8" t="str">
        <f t="shared" si="137"/>
        <v>High</v>
      </c>
    </row>
    <row r="2887" spans="1:24">
      <c r="A2887" s="7" t="s">
        <v>3017</v>
      </c>
      <c r="B2887" s="1" t="s">
        <v>66</v>
      </c>
      <c r="C2887" s="1">
        <v>279</v>
      </c>
      <c r="D2887" s="1">
        <v>11</v>
      </c>
      <c r="E2887" s="1">
        <v>5</v>
      </c>
      <c r="F2887" s="1">
        <v>3</v>
      </c>
      <c r="G2887" s="1">
        <v>40.409999999999997</v>
      </c>
      <c r="H2887" s="1" t="s">
        <v>238</v>
      </c>
      <c r="I2887" s="1" t="s">
        <v>31</v>
      </c>
      <c r="J2887" s="1">
        <v>25</v>
      </c>
      <c r="K2887" s="1">
        <v>3.18</v>
      </c>
      <c r="L2887" s="4">
        <v>150.94999999999999</v>
      </c>
      <c r="M2887" s="1">
        <v>1.56</v>
      </c>
      <c r="N2887" s="1">
        <v>5</v>
      </c>
      <c r="O2887" s="1">
        <v>0.9</v>
      </c>
      <c r="P2887" s="1">
        <v>311</v>
      </c>
      <c r="Q2887" s="1">
        <v>11.38</v>
      </c>
      <c r="R2887" s="1">
        <v>0.6</v>
      </c>
      <c r="S2887" s="2">
        <v>45578</v>
      </c>
      <c r="T2887" s="1">
        <v>118.47</v>
      </c>
      <c r="U2887" s="1">
        <v>0.59599999999999997</v>
      </c>
      <c r="V2887" s="6">
        <f t="shared" si="135"/>
        <v>42115.049999999996</v>
      </c>
      <c r="W2887" s="6" t="str">
        <f t="shared" si="136"/>
        <v>Sufficient</v>
      </c>
      <c r="X2887" s="8" t="str">
        <f t="shared" si="137"/>
        <v>High</v>
      </c>
    </row>
    <row r="2888" spans="1:24">
      <c r="A2888" s="7" t="s">
        <v>3018</v>
      </c>
      <c r="B2888" s="1" t="s">
        <v>29</v>
      </c>
      <c r="C2888" s="1">
        <v>127</v>
      </c>
      <c r="D2888" s="1">
        <v>82</v>
      </c>
      <c r="E2888" s="1">
        <v>8</v>
      </c>
      <c r="F2888" s="1">
        <v>2</v>
      </c>
      <c r="G2888" s="1">
        <v>27.31</v>
      </c>
      <c r="H2888" s="1" t="s">
        <v>139</v>
      </c>
      <c r="I2888" s="1" t="s">
        <v>31</v>
      </c>
      <c r="J2888" s="1">
        <v>132</v>
      </c>
      <c r="K2888" s="1">
        <v>4.05</v>
      </c>
      <c r="L2888" s="4">
        <v>126.76</v>
      </c>
      <c r="M2888" s="1">
        <v>1.29</v>
      </c>
      <c r="N2888" s="1">
        <v>5</v>
      </c>
      <c r="O2888" s="1">
        <v>0.88</v>
      </c>
      <c r="P2888" s="1">
        <v>805</v>
      </c>
      <c r="Q2888" s="1">
        <v>8.59</v>
      </c>
      <c r="R2888" s="1">
        <v>0.69</v>
      </c>
      <c r="S2888" s="2">
        <v>45576</v>
      </c>
      <c r="T2888" s="1">
        <v>131.78</v>
      </c>
      <c r="U2888" s="1">
        <v>0.6</v>
      </c>
      <c r="V2888" s="6">
        <f t="shared" si="135"/>
        <v>16098.52</v>
      </c>
      <c r="W2888" s="6" t="str">
        <f t="shared" si="136"/>
        <v>Sufficient</v>
      </c>
      <c r="X2888" s="8" t="str">
        <f t="shared" si="137"/>
        <v>Medium</v>
      </c>
    </row>
    <row r="2889" spans="1:24">
      <c r="A2889" s="7" t="s">
        <v>3019</v>
      </c>
      <c r="B2889" s="1" t="s">
        <v>29</v>
      </c>
      <c r="C2889" s="1">
        <v>38</v>
      </c>
      <c r="D2889" s="1">
        <v>11</v>
      </c>
      <c r="E2889" s="1">
        <v>9</v>
      </c>
      <c r="F2889" s="1">
        <v>9</v>
      </c>
      <c r="G2889" s="1">
        <v>45.49</v>
      </c>
      <c r="H2889" s="1" t="s">
        <v>63</v>
      </c>
      <c r="I2889" s="1" t="s">
        <v>45</v>
      </c>
      <c r="J2889" s="1">
        <v>17</v>
      </c>
      <c r="K2889" s="1">
        <v>0.68</v>
      </c>
      <c r="L2889" s="4">
        <v>167.3</v>
      </c>
      <c r="M2889" s="1">
        <v>1.41</v>
      </c>
      <c r="N2889" s="1">
        <v>9</v>
      </c>
      <c r="O2889" s="1">
        <v>0.86</v>
      </c>
      <c r="P2889" s="1">
        <v>106</v>
      </c>
      <c r="Q2889" s="1">
        <v>3.17</v>
      </c>
      <c r="R2889" s="1">
        <v>0.42</v>
      </c>
      <c r="S2889" s="2">
        <v>45539</v>
      </c>
      <c r="T2889" s="1">
        <v>255.61</v>
      </c>
      <c r="U2889" s="1">
        <v>0.377</v>
      </c>
      <c r="V2889" s="6">
        <f t="shared" si="135"/>
        <v>6357.4000000000005</v>
      </c>
      <c r="W2889" s="6" t="str">
        <f t="shared" si="136"/>
        <v>Sufficient</v>
      </c>
      <c r="X2889" s="8" t="str">
        <f t="shared" si="137"/>
        <v>LOW</v>
      </c>
    </row>
    <row r="2890" spans="1:24">
      <c r="A2890" s="7" t="s">
        <v>3020</v>
      </c>
      <c r="B2890" s="1" t="s">
        <v>66</v>
      </c>
      <c r="C2890" s="1">
        <v>429</v>
      </c>
      <c r="D2890" s="1">
        <v>83</v>
      </c>
      <c r="E2890" s="1">
        <v>3</v>
      </c>
      <c r="F2890" s="1">
        <v>8</v>
      </c>
      <c r="G2890" s="1">
        <v>3.87</v>
      </c>
      <c r="H2890" s="1" t="s">
        <v>279</v>
      </c>
      <c r="I2890" s="1" t="s">
        <v>27</v>
      </c>
      <c r="J2890" s="1">
        <v>156</v>
      </c>
      <c r="K2890" s="1">
        <v>4.2</v>
      </c>
      <c r="L2890" s="4">
        <v>93.99</v>
      </c>
      <c r="M2890" s="1">
        <v>1.27</v>
      </c>
      <c r="N2890" s="1">
        <v>5</v>
      </c>
      <c r="O2890" s="1">
        <v>0.75</v>
      </c>
      <c r="P2890" s="1">
        <v>55</v>
      </c>
      <c r="Q2890" s="1">
        <v>14.98</v>
      </c>
      <c r="R2890" s="1">
        <v>0.35</v>
      </c>
      <c r="S2890" s="2">
        <v>45421</v>
      </c>
      <c r="T2890" s="1">
        <v>155.52000000000001</v>
      </c>
      <c r="U2890" s="1">
        <v>0.59299999999999997</v>
      </c>
      <c r="V2890" s="6">
        <f t="shared" si="135"/>
        <v>40321.71</v>
      </c>
      <c r="W2890" s="6" t="str">
        <f t="shared" si="136"/>
        <v>Sufficient</v>
      </c>
      <c r="X2890" s="8" t="str">
        <f t="shared" si="137"/>
        <v>High</v>
      </c>
    </row>
    <row r="2891" spans="1:24">
      <c r="A2891" s="7" t="s">
        <v>3021</v>
      </c>
      <c r="B2891" s="1" t="s">
        <v>33</v>
      </c>
      <c r="C2891" s="1">
        <v>478</v>
      </c>
      <c r="D2891" s="1">
        <v>64</v>
      </c>
      <c r="E2891" s="1">
        <v>14</v>
      </c>
      <c r="F2891" s="1">
        <v>7</v>
      </c>
      <c r="G2891" s="1">
        <v>29.83</v>
      </c>
      <c r="H2891" s="1" t="s">
        <v>309</v>
      </c>
      <c r="I2891" s="1" t="s">
        <v>31</v>
      </c>
      <c r="J2891" s="1">
        <v>169</v>
      </c>
      <c r="K2891" s="1">
        <v>1.1200000000000001</v>
      </c>
      <c r="L2891" s="4">
        <v>190.51</v>
      </c>
      <c r="M2891" s="1">
        <v>0.69</v>
      </c>
      <c r="N2891" s="1">
        <v>7</v>
      </c>
      <c r="O2891" s="1">
        <v>0.8</v>
      </c>
      <c r="P2891" s="1">
        <v>608</v>
      </c>
      <c r="Q2891" s="1">
        <v>13.49</v>
      </c>
      <c r="R2891" s="1">
        <v>0.87</v>
      </c>
      <c r="S2891" s="2">
        <v>45449</v>
      </c>
      <c r="T2891" s="1">
        <v>151.75</v>
      </c>
      <c r="U2891" s="1">
        <v>0.70499999999999996</v>
      </c>
      <c r="V2891" s="6">
        <f t="shared" si="135"/>
        <v>91063.78</v>
      </c>
      <c r="W2891" s="6" t="str">
        <f t="shared" si="136"/>
        <v>Sufficient</v>
      </c>
      <c r="X2891" s="8" t="str">
        <f t="shared" si="137"/>
        <v>High</v>
      </c>
    </row>
    <row r="2892" spans="1:24">
      <c r="A2892" s="7" t="s">
        <v>3022</v>
      </c>
      <c r="B2892" s="1" t="s">
        <v>33</v>
      </c>
      <c r="C2892" s="1">
        <v>315</v>
      </c>
      <c r="D2892" s="1">
        <v>81</v>
      </c>
      <c r="E2892" s="1">
        <v>4</v>
      </c>
      <c r="F2892" s="1">
        <v>9</v>
      </c>
      <c r="G2892" s="1">
        <v>28.53</v>
      </c>
      <c r="H2892" s="1" t="s">
        <v>221</v>
      </c>
      <c r="I2892" s="1" t="s">
        <v>31</v>
      </c>
      <c r="J2892" s="1">
        <v>76</v>
      </c>
      <c r="K2892" s="1">
        <v>2.11</v>
      </c>
      <c r="L2892" s="4">
        <v>114.88</v>
      </c>
      <c r="M2892" s="1">
        <v>0.77</v>
      </c>
      <c r="N2892" s="1">
        <v>4</v>
      </c>
      <c r="O2892" s="1">
        <v>0.91</v>
      </c>
      <c r="P2892" s="1">
        <v>624</v>
      </c>
      <c r="Q2892" s="1">
        <v>7.04</v>
      </c>
      <c r="R2892" s="1">
        <v>0.89</v>
      </c>
      <c r="S2892" s="2">
        <v>45587</v>
      </c>
      <c r="T2892" s="1">
        <v>170.59</v>
      </c>
      <c r="U2892" s="1">
        <v>0.69699999999999995</v>
      </c>
      <c r="V2892" s="6">
        <f t="shared" si="135"/>
        <v>36187.199999999997</v>
      </c>
      <c r="W2892" s="6" t="str">
        <f t="shared" si="136"/>
        <v>Sufficient</v>
      </c>
      <c r="X2892" s="8" t="str">
        <f t="shared" si="137"/>
        <v>High</v>
      </c>
    </row>
    <row r="2893" spans="1:24">
      <c r="A2893" s="7" t="s">
        <v>3023</v>
      </c>
      <c r="B2893" s="1" t="s">
        <v>29</v>
      </c>
      <c r="C2893" s="1">
        <v>325</v>
      </c>
      <c r="D2893" s="1">
        <v>69</v>
      </c>
      <c r="E2893" s="1">
        <v>14</v>
      </c>
      <c r="F2893" s="1">
        <v>4</v>
      </c>
      <c r="G2893" s="1">
        <v>33.36</v>
      </c>
      <c r="H2893" s="1" t="s">
        <v>74</v>
      </c>
      <c r="I2893" s="1" t="s">
        <v>27</v>
      </c>
      <c r="J2893" s="1">
        <v>124</v>
      </c>
      <c r="K2893" s="1">
        <v>2.63</v>
      </c>
      <c r="L2893" s="4">
        <v>72.11</v>
      </c>
      <c r="M2893" s="1">
        <v>1.19</v>
      </c>
      <c r="N2893" s="1">
        <v>9</v>
      </c>
      <c r="O2893" s="1">
        <v>0.83</v>
      </c>
      <c r="P2893" s="1">
        <v>994</v>
      </c>
      <c r="Q2893" s="1">
        <v>8.42</v>
      </c>
      <c r="R2893" s="1">
        <v>0.42</v>
      </c>
      <c r="S2893" s="2">
        <v>45468</v>
      </c>
      <c r="T2893" s="1">
        <v>46.89</v>
      </c>
      <c r="U2893" s="1">
        <v>0.46300000000000002</v>
      </c>
      <c r="V2893" s="6">
        <f t="shared" si="135"/>
        <v>23435.75</v>
      </c>
      <c r="W2893" s="6" t="str">
        <f t="shared" si="136"/>
        <v>Sufficient</v>
      </c>
      <c r="X2893" s="8" t="str">
        <f t="shared" si="137"/>
        <v>High</v>
      </c>
    </row>
    <row r="2894" spans="1:24">
      <c r="A2894" s="7" t="s">
        <v>3024</v>
      </c>
      <c r="B2894" s="1" t="s">
        <v>25</v>
      </c>
      <c r="C2894" s="1">
        <v>190</v>
      </c>
      <c r="D2894" s="1">
        <v>15</v>
      </c>
      <c r="E2894" s="1">
        <v>6</v>
      </c>
      <c r="F2894" s="1">
        <v>8</v>
      </c>
      <c r="G2894" s="1">
        <v>41.84</v>
      </c>
      <c r="H2894" s="1" t="s">
        <v>50</v>
      </c>
      <c r="I2894" s="1" t="s">
        <v>27</v>
      </c>
      <c r="J2894" s="1">
        <v>122</v>
      </c>
      <c r="K2894" s="1">
        <v>4.53</v>
      </c>
      <c r="L2894" s="4">
        <v>26.34</v>
      </c>
      <c r="M2894" s="1">
        <v>1.47</v>
      </c>
      <c r="N2894" s="1">
        <v>9</v>
      </c>
      <c r="O2894" s="1">
        <v>0.82</v>
      </c>
      <c r="P2894" s="1">
        <v>967</v>
      </c>
      <c r="Q2894" s="1">
        <v>6.51</v>
      </c>
      <c r="R2894" s="1">
        <v>0.65</v>
      </c>
      <c r="S2894" s="2">
        <v>45653</v>
      </c>
      <c r="T2894" s="1">
        <v>173.94</v>
      </c>
      <c r="U2894" s="1">
        <v>0.45400000000000001</v>
      </c>
      <c r="V2894" s="6">
        <f t="shared" si="135"/>
        <v>5004.6000000000004</v>
      </c>
      <c r="W2894" s="6" t="str">
        <f t="shared" si="136"/>
        <v>Sufficient</v>
      </c>
      <c r="X2894" s="8" t="str">
        <f t="shared" si="137"/>
        <v>Medium</v>
      </c>
    </row>
    <row r="2895" spans="1:24">
      <c r="A2895" s="7" t="s">
        <v>3025</v>
      </c>
      <c r="B2895" s="1" t="s">
        <v>66</v>
      </c>
      <c r="C2895" s="1">
        <v>350</v>
      </c>
      <c r="D2895" s="1">
        <v>28</v>
      </c>
      <c r="E2895" s="1">
        <v>10</v>
      </c>
      <c r="F2895" s="1">
        <v>8</v>
      </c>
      <c r="G2895" s="1">
        <v>36.57</v>
      </c>
      <c r="H2895" s="1" t="s">
        <v>394</v>
      </c>
      <c r="I2895" s="1" t="s">
        <v>45</v>
      </c>
      <c r="J2895" s="1">
        <v>41</v>
      </c>
      <c r="K2895" s="1">
        <v>0.6</v>
      </c>
      <c r="L2895" s="4">
        <v>81.38</v>
      </c>
      <c r="M2895" s="1">
        <v>0.87</v>
      </c>
      <c r="N2895" s="1">
        <v>7</v>
      </c>
      <c r="O2895" s="1">
        <v>0.93</v>
      </c>
      <c r="P2895" s="1">
        <v>628</v>
      </c>
      <c r="Q2895" s="1">
        <v>9.93</v>
      </c>
      <c r="R2895" s="1">
        <v>0.55000000000000004</v>
      </c>
      <c r="S2895" s="2">
        <v>45495</v>
      </c>
      <c r="T2895" s="1">
        <v>169.95</v>
      </c>
      <c r="U2895" s="1">
        <v>0.60099999999999998</v>
      </c>
      <c r="V2895" s="6">
        <f t="shared" si="135"/>
        <v>28483</v>
      </c>
      <c r="W2895" s="6" t="str">
        <f t="shared" si="136"/>
        <v>Sufficient</v>
      </c>
      <c r="X2895" s="8" t="str">
        <f t="shared" si="137"/>
        <v>High</v>
      </c>
    </row>
    <row r="2896" spans="1:24">
      <c r="A2896" s="7" t="s">
        <v>3026</v>
      </c>
      <c r="B2896" s="1" t="s">
        <v>29</v>
      </c>
      <c r="C2896" s="1">
        <v>214</v>
      </c>
      <c r="D2896" s="1">
        <v>36</v>
      </c>
      <c r="E2896" s="1">
        <v>13</v>
      </c>
      <c r="F2896" s="1">
        <v>6</v>
      </c>
      <c r="G2896" s="1">
        <v>39.72</v>
      </c>
      <c r="H2896" s="1" t="s">
        <v>470</v>
      </c>
      <c r="I2896" s="1" t="s">
        <v>45</v>
      </c>
      <c r="J2896" s="1">
        <v>114</v>
      </c>
      <c r="K2896" s="1">
        <v>3.02</v>
      </c>
      <c r="L2896" s="4">
        <v>118.04</v>
      </c>
      <c r="M2896" s="1">
        <v>0.37</v>
      </c>
      <c r="N2896" s="1">
        <v>2</v>
      </c>
      <c r="O2896" s="1">
        <v>0.7</v>
      </c>
      <c r="P2896" s="1">
        <v>964</v>
      </c>
      <c r="Q2896" s="1">
        <v>11.24</v>
      </c>
      <c r="R2896" s="1">
        <v>0.31</v>
      </c>
      <c r="S2896" s="2">
        <v>45362</v>
      </c>
      <c r="T2896" s="1">
        <v>228.78</v>
      </c>
      <c r="U2896" s="1">
        <v>0.67500000000000004</v>
      </c>
      <c r="V2896" s="6">
        <f t="shared" si="135"/>
        <v>25260.560000000001</v>
      </c>
      <c r="W2896" s="6" t="str">
        <f t="shared" si="136"/>
        <v>Sufficient</v>
      </c>
      <c r="X2896" s="8" t="str">
        <f t="shared" si="137"/>
        <v>Medium</v>
      </c>
    </row>
    <row r="2897" spans="1:24">
      <c r="A2897" s="7" t="s">
        <v>3027</v>
      </c>
      <c r="B2897" s="1" t="s">
        <v>29</v>
      </c>
      <c r="C2897" s="1">
        <v>31</v>
      </c>
      <c r="D2897" s="1">
        <v>10</v>
      </c>
      <c r="E2897" s="1">
        <v>12</v>
      </c>
      <c r="F2897" s="1">
        <v>7</v>
      </c>
      <c r="G2897" s="1">
        <v>15.15</v>
      </c>
      <c r="H2897" s="1" t="s">
        <v>128</v>
      </c>
      <c r="I2897" s="1" t="s">
        <v>39</v>
      </c>
      <c r="J2897" s="1">
        <v>34</v>
      </c>
      <c r="K2897" s="1">
        <v>3.39</v>
      </c>
      <c r="L2897" s="4">
        <v>143.62</v>
      </c>
      <c r="M2897" s="1">
        <v>0.97</v>
      </c>
      <c r="N2897" s="1">
        <v>6</v>
      </c>
      <c r="O2897" s="1">
        <v>0.9</v>
      </c>
      <c r="P2897" s="1">
        <v>744</v>
      </c>
      <c r="Q2897" s="1">
        <v>4.24</v>
      </c>
      <c r="R2897" s="1">
        <v>0.95</v>
      </c>
      <c r="S2897" s="2">
        <v>45629</v>
      </c>
      <c r="T2897" s="1">
        <v>193.9</v>
      </c>
      <c r="U2897" s="1">
        <v>0.61</v>
      </c>
      <c r="V2897" s="6">
        <f t="shared" si="135"/>
        <v>4452.22</v>
      </c>
      <c r="W2897" s="6" t="str">
        <f t="shared" si="136"/>
        <v>Sufficient</v>
      </c>
      <c r="X2897" s="8" t="str">
        <f t="shared" si="137"/>
        <v>LOW</v>
      </c>
    </row>
    <row r="2898" spans="1:24">
      <c r="A2898" s="7" t="s">
        <v>3028</v>
      </c>
      <c r="B2898" s="1" t="s">
        <v>66</v>
      </c>
      <c r="C2898" s="1">
        <v>214</v>
      </c>
      <c r="D2898" s="1">
        <v>42</v>
      </c>
      <c r="E2898" s="1">
        <v>8</v>
      </c>
      <c r="F2898" s="1">
        <v>9</v>
      </c>
      <c r="G2898" s="1">
        <v>19.989999999999998</v>
      </c>
      <c r="H2898" s="1" t="s">
        <v>183</v>
      </c>
      <c r="I2898" s="1" t="s">
        <v>39</v>
      </c>
      <c r="J2898" s="1">
        <v>62</v>
      </c>
      <c r="K2898" s="1">
        <v>1.92</v>
      </c>
      <c r="L2898" s="4">
        <v>176.27</v>
      </c>
      <c r="M2898" s="1">
        <v>1.93</v>
      </c>
      <c r="N2898" s="1">
        <v>0</v>
      </c>
      <c r="O2898" s="1">
        <v>0.85</v>
      </c>
      <c r="P2898" s="1">
        <v>211</v>
      </c>
      <c r="Q2898" s="1">
        <v>7.06</v>
      </c>
      <c r="R2898" s="1">
        <v>0.21</v>
      </c>
      <c r="S2898" s="2">
        <v>45352</v>
      </c>
      <c r="T2898" s="1">
        <v>286.95999999999998</v>
      </c>
      <c r="U2898" s="1">
        <v>0.51300000000000001</v>
      </c>
      <c r="V2898" s="6">
        <f t="shared" si="135"/>
        <v>37721.78</v>
      </c>
      <c r="W2898" s="6" t="str">
        <f t="shared" si="136"/>
        <v>Sufficient</v>
      </c>
      <c r="X2898" s="8" t="str">
        <f t="shared" si="137"/>
        <v>Medium</v>
      </c>
    </row>
    <row r="2899" spans="1:24">
      <c r="A2899" s="7" t="s">
        <v>3029</v>
      </c>
      <c r="B2899" s="1" t="s">
        <v>66</v>
      </c>
      <c r="C2899" s="1">
        <v>302</v>
      </c>
      <c r="D2899" s="1">
        <v>49</v>
      </c>
      <c r="E2899" s="1">
        <v>3</v>
      </c>
      <c r="F2899" s="1">
        <v>3</v>
      </c>
      <c r="G2899" s="1">
        <v>31.71</v>
      </c>
      <c r="H2899" s="1" t="s">
        <v>55</v>
      </c>
      <c r="I2899" s="1" t="s">
        <v>45</v>
      </c>
      <c r="J2899" s="1">
        <v>90</v>
      </c>
      <c r="K2899" s="1">
        <v>1.81</v>
      </c>
      <c r="L2899" s="4">
        <v>189.35</v>
      </c>
      <c r="M2899" s="1">
        <v>0.51</v>
      </c>
      <c r="N2899" s="1">
        <v>3</v>
      </c>
      <c r="O2899" s="1">
        <v>0.81</v>
      </c>
      <c r="P2899" s="1">
        <v>346</v>
      </c>
      <c r="Q2899" s="1">
        <v>9.9600000000000009</v>
      </c>
      <c r="R2899" s="1">
        <v>0.35</v>
      </c>
      <c r="S2899" s="2">
        <v>45409</v>
      </c>
      <c r="T2899" s="1">
        <v>33.229999999999997</v>
      </c>
      <c r="U2899" s="1">
        <v>0.65400000000000003</v>
      </c>
      <c r="V2899" s="6">
        <f t="shared" si="135"/>
        <v>57183.7</v>
      </c>
      <c r="W2899" s="6" t="str">
        <f t="shared" si="136"/>
        <v>Sufficient</v>
      </c>
      <c r="X2899" s="8" t="str">
        <f t="shared" si="137"/>
        <v>High</v>
      </c>
    </row>
    <row r="2900" spans="1:24">
      <c r="A2900" s="7" t="s">
        <v>3030</v>
      </c>
      <c r="B2900" s="1" t="s">
        <v>33</v>
      </c>
      <c r="C2900" s="1">
        <v>388</v>
      </c>
      <c r="D2900" s="1">
        <v>41</v>
      </c>
      <c r="E2900" s="1">
        <v>12</v>
      </c>
      <c r="F2900" s="1">
        <v>7</v>
      </c>
      <c r="G2900" s="1">
        <v>28.12</v>
      </c>
      <c r="H2900" s="1" t="s">
        <v>274</v>
      </c>
      <c r="I2900" s="1" t="s">
        <v>31</v>
      </c>
      <c r="J2900" s="1">
        <v>34</v>
      </c>
      <c r="K2900" s="1">
        <v>2.71</v>
      </c>
      <c r="L2900" s="4">
        <v>29.47</v>
      </c>
      <c r="M2900" s="1">
        <v>1.33</v>
      </c>
      <c r="N2900" s="1">
        <v>4</v>
      </c>
      <c r="O2900" s="1">
        <v>0.8</v>
      </c>
      <c r="P2900" s="1">
        <v>666</v>
      </c>
      <c r="Q2900" s="1">
        <v>14.83</v>
      </c>
      <c r="R2900" s="1">
        <v>0.48</v>
      </c>
      <c r="S2900" s="2">
        <v>45520</v>
      </c>
      <c r="T2900" s="1">
        <v>233.78</v>
      </c>
      <c r="U2900" s="1">
        <v>0.64100000000000001</v>
      </c>
      <c r="V2900" s="6">
        <f t="shared" si="135"/>
        <v>11434.359999999999</v>
      </c>
      <c r="W2900" s="6" t="str">
        <f t="shared" si="136"/>
        <v>Sufficient</v>
      </c>
      <c r="X2900" s="8" t="str">
        <f t="shared" si="137"/>
        <v>High</v>
      </c>
    </row>
    <row r="2901" spans="1:24">
      <c r="A2901" s="7" t="s">
        <v>3031</v>
      </c>
      <c r="B2901" s="1" t="s">
        <v>25</v>
      </c>
      <c r="C2901" s="1">
        <v>201</v>
      </c>
      <c r="D2901" s="1">
        <v>78</v>
      </c>
      <c r="E2901" s="1">
        <v>7</v>
      </c>
      <c r="F2901" s="1">
        <v>9</v>
      </c>
      <c r="G2901" s="1">
        <v>48.09</v>
      </c>
      <c r="H2901" s="1" t="s">
        <v>227</v>
      </c>
      <c r="I2901" s="1" t="s">
        <v>27</v>
      </c>
      <c r="J2901" s="1">
        <v>42</v>
      </c>
      <c r="K2901" s="1">
        <v>1.34</v>
      </c>
      <c r="L2901" s="4">
        <v>124.17</v>
      </c>
      <c r="M2901" s="1">
        <v>1.97</v>
      </c>
      <c r="N2901" s="1">
        <v>6</v>
      </c>
      <c r="O2901" s="1">
        <v>0.75</v>
      </c>
      <c r="P2901" s="1">
        <v>824</v>
      </c>
      <c r="Q2901" s="1">
        <v>5.55</v>
      </c>
      <c r="R2901" s="1">
        <v>0.89</v>
      </c>
      <c r="S2901" s="2">
        <v>45650</v>
      </c>
      <c r="T2901" s="1">
        <v>227.94</v>
      </c>
      <c r="U2901" s="1">
        <v>0.48499999999999999</v>
      </c>
      <c r="V2901" s="6">
        <f t="shared" si="135"/>
        <v>24958.170000000002</v>
      </c>
      <c r="W2901" s="6" t="str">
        <f t="shared" si="136"/>
        <v>Sufficient</v>
      </c>
      <c r="X2901" s="8" t="str">
        <f t="shared" si="137"/>
        <v>Medium</v>
      </c>
    </row>
    <row r="2902" spans="1:24">
      <c r="A2902" s="7" t="s">
        <v>3032</v>
      </c>
      <c r="B2902" s="1" t="s">
        <v>25</v>
      </c>
      <c r="C2902" s="1">
        <v>469</v>
      </c>
      <c r="D2902" s="1">
        <v>26</v>
      </c>
      <c r="E2902" s="1">
        <v>9</v>
      </c>
      <c r="F2902" s="1">
        <v>7</v>
      </c>
      <c r="G2902" s="1">
        <v>10.15</v>
      </c>
      <c r="H2902" s="1" t="s">
        <v>47</v>
      </c>
      <c r="I2902" s="1" t="s">
        <v>45</v>
      </c>
      <c r="J2902" s="1">
        <v>40</v>
      </c>
      <c r="K2902" s="1">
        <v>2.61</v>
      </c>
      <c r="L2902" s="4">
        <v>136.65</v>
      </c>
      <c r="M2902" s="1">
        <v>0.81</v>
      </c>
      <c r="N2902" s="1">
        <v>5</v>
      </c>
      <c r="O2902" s="1">
        <v>0.8</v>
      </c>
      <c r="P2902" s="1">
        <v>106</v>
      </c>
      <c r="Q2902" s="1">
        <v>11.43</v>
      </c>
      <c r="R2902" s="1">
        <v>0.83</v>
      </c>
      <c r="S2902" s="2">
        <v>45374</v>
      </c>
      <c r="T2902" s="1">
        <v>88.11</v>
      </c>
      <c r="U2902" s="1">
        <v>0.69699999999999995</v>
      </c>
      <c r="V2902" s="6">
        <f t="shared" si="135"/>
        <v>64088.850000000006</v>
      </c>
      <c r="W2902" s="6" t="str">
        <f t="shared" si="136"/>
        <v>Sufficient</v>
      </c>
      <c r="X2902" s="8" t="str">
        <f t="shared" si="137"/>
        <v>High</v>
      </c>
    </row>
    <row r="2903" spans="1:24">
      <c r="A2903" s="7" t="s">
        <v>3033</v>
      </c>
      <c r="B2903" s="1" t="s">
        <v>66</v>
      </c>
      <c r="C2903" s="1">
        <v>324</v>
      </c>
      <c r="D2903" s="1">
        <v>17</v>
      </c>
      <c r="E2903" s="1">
        <v>8</v>
      </c>
      <c r="F2903" s="1">
        <v>2</v>
      </c>
      <c r="G2903" s="1">
        <v>18.21</v>
      </c>
      <c r="H2903" s="1" t="s">
        <v>72</v>
      </c>
      <c r="I2903" s="1" t="s">
        <v>39</v>
      </c>
      <c r="J2903" s="1">
        <v>45</v>
      </c>
      <c r="K2903" s="1">
        <v>3.94</v>
      </c>
      <c r="L2903" s="4">
        <v>42.69</v>
      </c>
      <c r="M2903" s="1">
        <v>1.79</v>
      </c>
      <c r="N2903" s="1">
        <v>5</v>
      </c>
      <c r="O2903" s="1">
        <v>0.82</v>
      </c>
      <c r="P2903" s="1">
        <v>577</v>
      </c>
      <c r="Q2903" s="1">
        <v>5.85</v>
      </c>
      <c r="R2903" s="1">
        <v>0.66</v>
      </c>
      <c r="S2903" s="2">
        <v>45343</v>
      </c>
      <c r="T2903" s="1">
        <v>212.58</v>
      </c>
      <c r="U2903" s="1">
        <v>0.495</v>
      </c>
      <c r="V2903" s="6">
        <f t="shared" si="135"/>
        <v>13831.56</v>
      </c>
      <c r="W2903" s="6" t="str">
        <f t="shared" si="136"/>
        <v>Sufficient</v>
      </c>
      <c r="X2903" s="8" t="str">
        <f t="shared" si="137"/>
        <v>High</v>
      </c>
    </row>
    <row r="2904" spans="1:24">
      <c r="A2904" s="7" t="s">
        <v>3034</v>
      </c>
      <c r="B2904" s="1" t="s">
        <v>41</v>
      </c>
      <c r="C2904" s="1">
        <v>163</v>
      </c>
      <c r="D2904" s="1">
        <v>66</v>
      </c>
      <c r="E2904" s="1">
        <v>14</v>
      </c>
      <c r="F2904" s="1">
        <v>5</v>
      </c>
      <c r="G2904" s="1">
        <v>29.07</v>
      </c>
      <c r="H2904" s="1" t="s">
        <v>195</v>
      </c>
      <c r="I2904" s="1" t="s">
        <v>27</v>
      </c>
      <c r="J2904" s="1">
        <v>96</v>
      </c>
      <c r="K2904" s="1">
        <v>4.3</v>
      </c>
      <c r="L2904" s="4">
        <v>113.66</v>
      </c>
      <c r="M2904" s="1">
        <v>1.74</v>
      </c>
      <c r="N2904" s="1">
        <v>1</v>
      </c>
      <c r="O2904" s="1">
        <v>0.83</v>
      </c>
      <c r="P2904" s="1">
        <v>108</v>
      </c>
      <c r="Q2904" s="1">
        <v>2.29</v>
      </c>
      <c r="R2904" s="1">
        <v>0.76</v>
      </c>
      <c r="S2904" s="2">
        <v>45401</v>
      </c>
      <c r="T2904" s="1">
        <v>201.2</v>
      </c>
      <c r="U2904" s="1">
        <v>0.55500000000000005</v>
      </c>
      <c r="V2904" s="6">
        <f t="shared" si="135"/>
        <v>18526.579999999998</v>
      </c>
      <c r="W2904" s="6" t="str">
        <f t="shared" si="136"/>
        <v>Sufficient</v>
      </c>
      <c r="X2904" s="8" t="str">
        <f t="shared" si="137"/>
        <v>Medium</v>
      </c>
    </row>
    <row r="2905" spans="1:24">
      <c r="A2905" s="7" t="s">
        <v>3035</v>
      </c>
      <c r="B2905" s="1" t="s">
        <v>29</v>
      </c>
      <c r="C2905" s="1">
        <v>405</v>
      </c>
      <c r="D2905" s="1">
        <v>51</v>
      </c>
      <c r="E2905" s="1">
        <v>11</v>
      </c>
      <c r="F2905" s="1">
        <v>9</v>
      </c>
      <c r="G2905" s="1">
        <v>43.53</v>
      </c>
      <c r="H2905" s="1" t="s">
        <v>178</v>
      </c>
      <c r="I2905" s="1" t="s">
        <v>39</v>
      </c>
      <c r="J2905" s="1">
        <v>132</v>
      </c>
      <c r="K2905" s="1">
        <v>2.23</v>
      </c>
      <c r="L2905" s="4">
        <v>73.62</v>
      </c>
      <c r="M2905" s="1">
        <v>0.74</v>
      </c>
      <c r="N2905" s="1">
        <v>1</v>
      </c>
      <c r="O2905" s="1">
        <v>0.9</v>
      </c>
      <c r="P2905" s="1">
        <v>215</v>
      </c>
      <c r="Q2905" s="1">
        <v>11.78</v>
      </c>
      <c r="R2905" s="1">
        <v>0.47</v>
      </c>
      <c r="S2905" s="2">
        <v>45552</v>
      </c>
      <c r="T2905" s="1">
        <v>96.62</v>
      </c>
      <c r="U2905" s="1">
        <v>0.73699999999999999</v>
      </c>
      <c r="V2905" s="6">
        <f t="shared" si="135"/>
        <v>29816.100000000002</v>
      </c>
      <c r="W2905" s="6" t="str">
        <f t="shared" si="136"/>
        <v>Sufficient</v>
      </c>
      <c r="X2905" s="8" t="str">
        <f t="shared" si="137"/>
        <v>High</v>
      </c>
    </row>
    <row r="2906" spans="1:24">
      <c r="A2906" s="7" t="s">
        <v>3036</v>
      </c>
      <c r="B2906" s="1" t="s">
        <v>29</v>
      </c>
      <c r="C2906" s="1">
        <v>335</v>
      </c>
      <c r="D2906" s="1">
        <v>18</v>
      </c>
      <c r="E2906" s="1">
        <v>10</v>
      </c>
      <c r="F2906" s="1">
        <v>8</v>
      </c>
      <c r="G2906" s="1">
        <v>46.54</v>
      </c>
      <c r="H2906" s="1" t="s">
        <v>149</v>
      </c>
      <c r="I2906" s="1" t="s">
        <v>31</v>
      </c>
      <c r="J2906" s="1">
        <v>53</v>
      </c>
      <c r="K2906" s="1">
        <v>3.28</v>
      </c>
      <c r="L2906" s="4">
        <v>24.71</v>
      </c>
      <c r="M2906" s="1">
        <v>0.28999999999999998</v>
      </c>
      <c r="N2906" s="1">
        <v>1</v>
      </c>
      <c r="O2906" s="1">
        <v>0.84</v>
      </c>
      <c r="P2906" s="1">
        <v>954</v>
      </c>
      <c r="Q2906" s="1">
        <v>10.09</v>
      </c>
      <c r="R2906" s="1">
        <v>0.95</v>
      </c>
      <c r="S2906" s="2">
        <v>45497</v>
      </c>
      <c r="T2906" s="1">
        <v>219.9</v>
      </c>
      <c r="U2906" s="1">
        <v>0.84399999999999997</v>
      </c>
      <c r="V2906" s="6">
        <f t="shared" si="135"/>
        <v>8277.85</v>
      </c>
      <c r="W2906" s="6" t="str">
        <f t="shared" si="136"/>
        <v>Sufficient</v>
      </c>
      <c r="X2906" s="8" t="str">
        <f t="shared" si="137"/>
        <v>High</v>
      </c>
    </row>
    <row r="2907" spans="1:24">
      <c r="A2907" s="7" t="s">
        <v>3037</v>
      </c>
      <c r="B2907" s="1" t="s">
        <v>66</v>
      </c>
      <c r="C2907" s="1">
        <v>201</v>
      </c>
      <c r="D2907" s="1">
        <v>96</v>
      </c>
      <c r="E2907" s="1">
        <v>6</v>
      </c>
      <c r="F2907" s="1">
        <v>3</v>
      </c>
      <c r="G2907" s="1">
        <v>17.47</v>
      </c>
      <c r="H2907" s="1" t="s">
        <v>30</v>
      </c>
      <c r="I2907" s="1" t="s">
        <v>31</v>
      </c>
      <c r="J2907" s="1">
        <v>57</v>
      </c>
      <c r="K2907" s="1">
        <v>0.5</v>
      </c>
      <c r="L2907" s="4">
        <v>22.51</v>
      </c>
      <c r="M2907" s="1">
        <v>0.44</v>
      </c>
      <c r="N2907" s="1">
        <v>9</v>
      </c>
      <c r="O2907" s="1">
        <v>0.94</v>
      </c>
      <c r="P2907" s="1">
        <v>811</v>
      </c>
      <c r="Q2907" s="1">
        <v>8.1999999999999993</v>
      </c>
      <c r="R2907" s="1">
        <v>0.22</v>
      </c>
      <c r="S2907" s="2">
        <v>45465</v>
      </c>
      <c r="T2907" s="1">
        <v>279.89</v>
      </c>
      <c r="U2907" s="1">
        <v>0.51700000000000002</v>
      </c>
      <c r="V2907" s="6">
        <f t="shared" si="135"/>
        <v>4524.51</v>
      </c>
      <c r="W2907" s="6" t="str">
        <f t="shared" si="136"/>
        <v>Sufficient</v>
      </c>
      <c r="X2907" s="8" t="str">
        <f t="shared" si="137"/>
        <v>Medium</v>
      </c>
    </row>
    <row r="2908" spans="1:24">
      <c r="A2908" s="7" t="s">
        <v>3038</v>
      </c>
      <c r="B2908" s="1" t="s">
        <v>41</v>
      </c>
      <c r="C2908" s="1">
        <v>49</v>
      </c>
      <c r="D2908" s="1">
        <v>44</v>
      </c>
      <c r="E2908" s="1">
        <v>13</v>
      </c>
      <c r="F2908" s="1">
        <v>9</v>
      </c>
      <c r="G2908" s="1">
        <v>4.29</v>
      </c>
      <c r="H2908" s="1" t="s">
        <v>394</v>
      </c>
      <c r="I2908" s="1" t="s">
        <v>39</v>
      </c>
      <c r="J2908" s="1">
        <v>167</v>
      </c>
      <c r="K2908" s="1">
        <v>2.98</v>
      </c>
      <c r="L2908" s="4">
        <v>154.25</v>
      </c>
      <c r="M2908" s="1">
        <v>0.79</v>
      </c>
      <c r="N2908" s="1">
        <v>7</v>
      </c>
      <c r="O2908" s="1">
        <v>0.89</v>
      </c>
      <c r="P2908" s="1">
        <v>595</v>
      </c>
      <c r="Q2908" s="1">
        <v>10.45</v>
      </c>
      <c r="R2908" s="1">
        <v>0.28000000000000003</v>
      </c>
      <c r="S2908" s="2">
        <v>45573</v>
      </c>
      <c r="T2908" s="1">
        <v>98.51</v>
      </c>
      <c r="U2908" s="1">
        <v>0.55400000000000005</v>
      </c>
      <c r="V2908" s="6">
        <f t="shared" si="135"/>
        <v>7558.25</v>
      </c>
      <c r="W2908" s="6" t="str">
        <f t="shared" si="136"/>
        <v>Sufficient</v>
      </c>
      <c r="X2908" s="8" t="str">
        <f t="shared" si="137"/>
        <v>LOW</v>
      </c>
    </row>
    <row r="2909" spans="1:24">
      <c r="A2909" s="7" t="s">
        <v>3039</v>
      </c>
      <c r="B2909" s="1" t="s">
        <v>33</v>
      </c>
      <c r="C2909" s="1">
        <v>103</v>
      </c>
      <c r="D2909" s="1">
        <v>80</v>
      </c>
      <c r="E2909" s="1">
        <v>14</v>
      </c>
      <c r="F2909" s="1">
        <v>9</v>
      </c>
      <c r="G2909" s="1">
        <v>21.66</v>
      </c>
      <c r="H2909" s="1" t="s">
        <v>99</v>
      </c>
      <c r="I2909" s="1" t="s">
        <v>27</v>
      </c>
      <c r="J2909" s="1">
        <v>22</v>
      </c>
      <c r="K2909" s="1">
        <v>4.8899999999999997</v>
      </c>
      <c r="L2909" s="4">
        <v>126.94</v>
      </c>
      <c r="M2909" s="1">
        <v>1.92</v>
      </c>
      <c r="N2909" s="1">
        <v>6</v>
      </c>
      <c r="O2909" s="1">
        <v>0.76</v>
      </c>
      <c r="P2909" s="1">
        <v>95</v>
      </c>
      <c r="Q2909" s="1">
        <v>13.31</v>
      </c>
      <c r="R2909" s="1">
        <v>0.94</v>
      </c>
      <c r="S2909" s="2">
        <v>45606</v>
      </c>
      <c r="T2909" s="1">
        <v>294.22000000000003</v>
      </c>
      <c r="U2909" s="1">
        <v>0.60499999999999998</v>
      </c>
      <c r="V2909" s="6">
        <f t="shared" si="135"/>
        <v>13074.82</v>
      </c>
      <c r="W2909" s="6" t="str">
        <f t="shared" si="136"/>
        <v>Sufficient</v>
      </c>
      <c r="X2909" s="8" t="str">
        <f t="shared" si="137"/>
        <v>Medium</v>
      </c>
    </row>
    <row r="2910" spans="1:24">
      <c r="A2910" s="7" t="s">
        <v>3040</v>
      </c>
      <c r="B2910" s="1" t="s">
        <v>66</v>
      </c>
      <c r="C2910" s="1">
        <v>185</v>
      </c>
      <c r="D2910" s="1">
        <v>88</v>
      </c>
      <c r="E2910" s="1">
        <v>7</v>
      </c>
      <c r="F2910" s="1">
        <v>2</v>
      </c>
      <c r="G2910" s="1">
        <v>20.32</v>
      </c>
      <c r="H2910" s="1" t="s">
        <v>126</v>
      </c>
      <c r="I2910" s="1" t="s">
        <v>39</v>
      </c>
      <c r="J2910" s="1">
        <v>153</v>
      </c>
      <c r="K2910" s="1">
        <v>1.91</v>
      </c>
      <c r="L2910" s="4">
        <v>145.87</v>
      </c>
      <c r="M2910" s="1">
        <v>0.62</v>
      </c>
      <c r="N2910" s="1">
        <v>0</v>
      </c>
      <c r="O2910" s="1">
        <v>0.78</v>
      </c>
      <c r="P2910" s="1">
        <v>982</v>
      </c>
      <c r="Q2910" s="1">
        <v>11.59</v>
      </c>
      <c r="R2910" s="1">
        <v>0.96</v>
      </c>
      <c r="S2910" s="2">
        <v>45648</v>
      </c>
      <c r="T2910" s="1">
        <v>75.040000000000006</v>
      </c>
      <c r="U2910" s="1">
        <v>0.84099999999999997</v>
      </c>
      <c r="V2910" s="6">
        <f t="shared" si="135"/>
        <v>26985.95</v>
      </c>
      <c r="W2910" s="6" t="str">
        <f t="shared" si="136"/>
        <v>Sufficient</v>
      </c>
      <c r="X2910" s="8" t="str">
        <f t="shared" si="137"/>
        <v>Medium</v>
      </c>
    </row>
    <row r="2911" spans="1:24">
      <c r="A2911" s="7" t="s">
        <v>3041</v>
      </c>
      <c r="B2911" s="1" t="s">
        <v>66</v>
      </c>
      <c r="C2911" s="1">
        <v>303</v>
      </c>
      <c r="D2911" s="1">
        <v>62</v>
      </c>
      <c r="E2911" s="1">
        <v>9</v>
      </c>
      <c r="F2911" s="1">
        <v>8</v>
      </c>
      <c r="G2911" s="1">
        <v>49.34</v>
      </c>
      <c r="H2911" s="1" t="s">
        <v>128</v>
      </c>
      <c r="I2911" s="1" t="s">
        <v>27</v>
      </c>
      <c r="J2911" s="1">
        <v>100</v>
      </c>
      <c r="K2911" s="1">
        <v>3.18</v>
      </c>
      <c r="L2911" s="4">
        <v>140.19999999999999</v>
      </c>
      <c r="M2911" s="1">
        <v>1.86</v>
      </c>
      <c r="N2911" s="1">
        <v>8</v>
      </c>
      <c r="O2911" s="1">
        <v>0.72</v>
      </c>
      <c r="P2911" s="1">
        <v>860</v>
      </c>
      <c r="Q2911" s="1">
        <v>13.01</v>
      </c>
      <c r="R2911" s="1">
        <v>0.59</v>
      </c>
      <c r="S2911" s="2">
        <v>45642</v>
      </c>
      <c r="T2911" s="1">
        <v>49.05</v>
      </c>
      <c r="U2911" s="1">
        <v>0.48899999999999999</v>
      </c>
      <c r="V2911" s="6">
        <f t="shared" si="135"/>
        <v>42480.6</v>
      </c>
      <c r="W2911" s="6" t="str">
        <f t="shared" si="136"/>
        <v>Sufficient</v>
      </c>
      <c r="X2911" s="8" t="str">
        <f t="shared" si="137"/>
        <v>High</v>
      </c>
    </row>
    <row r="2912" spans="1:24">
      <c r="A2912" s="7" t="s">
        <v>3042</v>
      </c>
      <c r="B2912" s="1" t="s">
        <v>29</v>
      </c>
      <c r="C2912" s="1">
        <v>300</v>
      </c>
      <c r="D2912" s="1">
        <v>63</v>
      </c>
      <c r="E2912" s="1">
        <v>10</v>
      </c>
      <c r="F2912" s="1">
        <v>5</v>
      </c>
      <c r="G2912" s="1">
        <v>22.12</v>
      </c>
      <c r="H2912" s="1" t="s">
        <v>183</v>
      </c>
      <c r="I2912" s="1" t="s">
        <v>45</v>
      </c>
      <c r="J2912" s="1">
        <v>163</v>
      </c>
      <c r="K2912" s="1">
        <v>3.93</v>
      </c>
      <c r="L2912" s="4">
        <v>35.520000000000003</v>
      </c>
      <c r="M2912" s="1">
        <v>0.44</v>
      </c>
      <c r="N2912" s="1">
        <v>7</v>
      </c>
      <c r="O2912" s="1">
        <v>0.98</v>
      </c>
      <c r="P2912" s="1">
        <v>96</v>
      </c>
      <c r="Q2912" s="1">
        <v>5.0599999999999996</v>
      </c>
      <c r="R2912" s="1">
        <v>0.66</v>
      </c>
      <c r="S2912" s="2">
        <v>45653</v>
      </c>
      <c r="T2912" s="1">
        <v>32.340000000000003</v>
      </c>
      <c r="U2912" s="1">
        <v>0.61099999999999999</v>
      </c>
      <c r="V2912" s="6">
        <f t="shared" si="135"/>
        <v>10656.000000000002</v>
      </c>
      <c r="W2912" s="6" t="str">
        <f t="shared" si="136"/>
        <v>Sufficient</v>
      </c>
      <c r="X2912" s="8" t="str">
        <f t="shared" si="137"/>
        <v>High</v>
      </c>
    </row>
    <row r="2913" spans="1:24">
      <c r="A2913" s="7" t="s">
        <v>3043</v>
      </c>
      <c r="B2913" s="1" t="s">
        <v>66</v>
      </c>
      <c r="C2913" s="1">
        <v>115</v>
      </c>
      <c r="D2913" s="1">
        <v>93</v>
      </c>
      <c r="E2913" s="1">
        <v>7</v>
      </c>
      <c r="F2913" s="1">
        <v>2</v>
      </c>
      <c r="G2913" s="1">
        <v>15.98</v>
      </c>
      <c r="H2913" s="1" t="s">
        <v>276</v>
      </c>
      <c r="I2913" s="1" t="s">
        <v>39</v>
      </c>
      <c r="J2913" s="1">
        <v>174</v>
      </c>
      <c r="K2913" s="1">
        <v>3.24</v>
      </c>
      <c r="L2913" s="4">
        <v>38.799999999999997</v>
      </c>
      <c r="M2913" s="1">
        <v>1.94</v>
      </c>
      <c r="N2913" s="1">
        <v>8</v>
      </c>
      <c r="O2913" s="1">
        <v>0.97</v>
      </c>
      <c r="P2913" s="1">
        <v>439</v>
      </c>
      <c r="Q2913" s="1">
        <v>12.21</v>
      </c>
      <c r="R2913" s="1">
        <v>0.92</v>
      </c>
      <c r="S2913" s="2">
        <v>45318</v>
      </c>
      <c r="T2913" s="1">
        <v>71.97</v>
      </c>
      <c r="U2913" s="1">
        <v>0.58699999999999997</v>
      </c>
      <c r="V2913" s="6">
        <f t="shared" si="135"/>
        <v>4462</v>
      </c>
      <c r="W2913" s="6" t="str">
        <f t="shared" si="136"/>
        <v>Sufficient</v>
      </c>
      <c r="X2913" s="8" t="str">
        <f t="shared" si="137"/>
        <v>Medium</v>
      </c>
    </row>
    <row r="2914" spans="1:24">
      <c r="A2914" s="7" t="s">
        <v>3044</v>
      </c>
      <c r="B2914" s="1" t="s">
        <v>66</v>
      </c>
      <c r="C2914" s="1">
        <v>400</v>
      </c>
      <c r="D2914" s="1">
        <v>34</v>
      </c>
      <c r="E2914" s="1">
        <v>11</v>
      </c>
      <c r="F2914" s="1">
        <v>5</v>
      </c>
      <c r="G2914" s="1">
        <v>18.899999999999999</v>
      </c>
      <c r="H2914" s="1" t="s">
        <v>81</v>
      </c>
      <c r="I2914" s="1" t="s">
        <v>39</v>
      </c>
      <c r="J2914" s="1">
        <v>140</v>
      </c>
      <c r="K2914" s="1">
        <v>2.38</v>
      </c>
      <c r="L2914" s="4">
        <v>57.97</v>
      </c>
      <c r="M2914" s="1">
        <v>0.66</v>
      </c>
      <c r="N2914" s="1">
        <v>3</v>
      </c>
      <c r="O2914" s="1">
        <v>0.73</v>
      </c>
      <c r="P2914" s="1">
        <v>301</v>
      </c>
      <c r="Q2914" s="1">
        <v>6.04</v>
      </c>
      <c r="R2914" s="1">
        <v>0.88</v>
      </c>
      <c r="S2914" s="2">
        <v>45374</v>
      </c>
      <c r="T2914" s="1">
        <v>109.33</v>
      </c>
      <c r="U2914" s="1">
        <v>0.67700000000000005</v>
      </c>
      <c r="V2914" s="6">
        <f t="shared" si="135"/>
        <v>23188</v>
      </c>
      <c r="W2914" s="6" t="str">
        <f t="shared" si="136"/>
        <v>Sufficient</v>
      </c>
      <c r="X2914" s="8" t="str">
        <f t="shared" si="137"/>
        <v>High</v>
      </c>
    </row>
    <row r="2915" spans="1:24">
      <c r="A2915" s="7" t="s">
        <v>3045</v>
      </c>
      <c r="B2915" s="1" t="s">
        <v>66</v>
      </c>
      <c r="C2915" s="1">
        <v>285</v>
      </c>
      <c r="D2915" s="1">
        <v>76</v>
      </c>
      <c r="E2915" s="1">
        <v>12</v>
      </c>
      <c r="F2915" s="1">
        <v>5</v>
      </c>
      <c r="G2915" s="1">
        <v>20.45</v>
      </c>
      <c r="H2915" s="1" t="s">
        <v>440</v>
      </c>
      <c r="I2915" s="1" t="s">
        <v>27</v>
      </c>
      <c r="J2915" s="1">
        <v>163</v>
      </c>
      <c r="K2915" s="1">
        <v>1.19</v>
      </c>
      <c r="L2915" s="4">
        <v>85.83</v>
      </c>
      <c r="M2915" s="1">
        <v>1.3</v>
      </c>
      <c r="N2915" s="1">
        <v>4</v>
      </c>
      <c r="O2915" s="1">
        <v>0.87</v>
      </c>
      <c r="P2915" s="1">
        <v>215</v>
      </c>
      <c r="Q2915" s="1">
        <v>1.29</v>
      </c>
      <c r="R2915" s="1">
        <v>0.89</v>
      </c>
      <c r="S2915" s="2">
        <v>45491</v>
      </c>
      <c r="T2915" s="1">
        <v>222.62</v>
      </c>
      <c r="U2915" s="1">
        <v>0.55900000000000005</v>
      </c>
      <c r="V2915" s="6">
        <f t="shared" si="135"/>
        <v>24461.55</v>
      </c>
      <c r="W2915" s="6" t="str">
        <f t="shared" si="136"/>
        <v>Sufficient</v>
      </c>
      <c r="X2915" s="8" t="str">
        <f t="shared" si="137"/>
        <v>High</v>
      </c>
    </row>
    <row r="2916" spans="1:24">
      <c r="A2916" s="7" t="s">
        <v>3046</v>
      </c>
      <c r="B2916" s="1" t="s">
        <v>29</v>
      </c>
      <c r="C2916" s="1">
        <v>463</v>
      </c>
      <c r="D2916" s="1">
        <v>71</v>
      </c>
      <c r="E2916" s="1">
        <v>14</v>
      </c>
      <c r="F2916" s="1">
        <v>5</v>
      </c>
      <c r="G2916" s="1">
        <v>41.26</v>
      </c>
      <c r="H2916" s="1" t="s">
        <v>279</v>
      </c>
      <c r="I2916" s="1" t="s">
        <v>45</v>
      </c>
      <c r="J2916" s="1">
        <v>152</v>
      </c>
      <c r="K2916" s="1">
        <v>2.59</v>
      </c>
      <c r="L2916" s="4">
        <v>188.44</v>
      </c>
      <c r="M2916" s="1">
        <v>0.23</v>
      </c>
      <c r="N2916" s="1">
        <v>4</v>
      </c>
      <c r="O2916" s="1">
        <v>0.99</v>
      </c>
      <c r="P2916" s="1">
        <v>417</v>
      </c>
      <c r="Q2916" s="1">
        <v>1.6</v>
      </c>
      <c r="R2916" s="1">
        <v>0.5</v>
      </c>
      <c r="S2916" s="2">
        <v>45617</v>
      </c>
      <c r="T2916" s="1">
        <v>30.88</v>
      </c>
      <c r="U2916" s="1">
        <v>0.61599999999999999</v>
      </c>
      <c r="V2916" s="6">
        <f t="shared" si="135"/>
        <v>87247.72</v>
      </c>
      <c r="W2916" s="6" t="str">
        <f t="shared" si="136"/>
        <v>Sufficient</v>
      </c>
      <c r="X2916" s="8" t="str">
        <f t="shared" si="137"/>
        <v>High</v>
      </c>
    </row>
    <row r="2917" spans="1:24">
      <c r="A2917" s="7" t="s">
        <v>3047</v>
      </c>
      <c r="B2917" s="1" t="s">
        <v>33</v>
      </c>
      <c r="C2917" s="1">
        <v>317</v>
      </c>
      <c r="D2917" s="1">
        <v>64</v>
      </c>
      <c r="E2917" s="1">
        <v>6</v>
      </c>
      <c r="F2917" s="1">
        <v>2</v>
      </c>
      <c r="G2917" s="1">
        <v>4.97</v>
      </c>
      <c r="H2917" s="1" t="s">
        <v>36</v>
      </c>
      <c r="I2917" s="1" t="s">
        <v>27</v>
      </c>
      <c r="J2917" s="1">
        <v>75</v>
      </c>
      <c r="K2917" s="1">
        <v>1.83</v>
      </c>
      <c r="L2917" s="4">
        <v>138.04</v>
      </c>
      <c r="M2917" s="1">
        <v>0.67</v>
      </c>
      <c r="N2917" s="1">
        <v>8</v>
      </c>
      <c r="O2917" s="1">
        <v>0.92</v>
      </c>
      <c r="P2917" s="1">
        <v>428</v>
      </c>
      <c r="Q2917" s="1">
        <v>11.22</v>
      </c>
      <c r="R2917" s="1">
        <v>0.86</v>
      </c>
      <c r="S2917" s="2">
        <v>45294</v>
      </c>
      <c r="T2917" s="1">
        <v>157.11000000000001</v>
      </c>
      <c r="U2917" s="1">
        <v>0.67900000000000005</v>
      </c>
      <c r="V2917" s="6">
        <f t="shared" si="135"/>
        <v>43758.68</v>
      </c>
      <c r="W2917" s="6" t="str">
        <f t="shared" si="136"/>
        <v>Sufficient</v>
      </c>
      <c r="X2917" s="8" t="str">
        <f t="shared" si="137"/>
        <v>High</v>
      </c>
    </row>
    <row r="2918" spans="1:24">
      <c r="A2918" s="7" t="s">
        <v>3048</v>
      </c>
      <c r="B2918" s="1" t="s">
        <v>33</v>
      </c>
      <c r="C2918" s="1">
        <v>315</v>
      </c>
      <c r="D2918" s="1">
        <v>55</v>
      </c>
      <c r="E2918" s="1">
        <v>6</v>
      </c>
      <c r="F2918" s="1">
        <v>7</v>
      </c>
      <c r="G2918" s="1">
        <v>16.510000000000002</v>
      </c>
      <c r="H2918" s="1" t="s">
        <v>103</v>
      </c>
      <c r="I2918" s="1" t="s">
        <v>27</v>
      </c>
      <c r="J2918" s="1">
        <v>37</v>
      </c>
      <c r="K2918" s="1">
        <v>3.63</v>
      </c>
      <c r="L2918" s="4">
        <v>58.48</v>
      </c>
      <c r="M2918" s="1">
        <v>0.5</v>
      </c>
      <c r="N2918" s="1">
        <v>7</v>
      </c>
      <c r="O2918" s="1">
        <v>0.85</v>
      </c>
      <c r="P2918" s="1">
        <v>366</v>
      </c>
      <c r="Q2918" s="1">
        <v>4.8099999999999996</v>
      </c>
      <c r="R2918" s="1">
        <v>0.26</v>
      </c>
      <c r="S2918" s="2">
        <v>45338</v>
      </c>
      <c r="T2918" s="1">
        <v>160.44</v>
      </c>
      <c r="U2918" s="1">
        <v>0.496</v>
      </c>
      <c r="V2918" s="6">
        <f t="shared" si="135"/>
        <v>18421.2</v>
      </c>
      <c r="W2918" s="6" t="str">
        <f t="shared" si="136"/>
        <v>Sufficient</v>
      </c>
      <c r="X2918" s="8" t="str">
        <f t="shared" si="137"/>
        <v>High</v>
      </c>
    </row>
    <row r="2919" spans="1:24">
      <c r="A2919" s="7" t="s">
        <v>3049</v>
      </c>
      <c r="B2919" s="1" t="s">
        <v>66</v>
      </c>
      <c r="C2919" s="1">
        <v>244</v>
      </c>
      <c r="D2919" s="1">
        <v>33</v>
      </c>
      <c r="E2919" s="1">
        <v>10</v>
      </c>
      <c r="F2919" s="1">
        <v>9</v>
      </c>
      <c r="G2919" s="1">
        <v>48.35</v>
      </c>
      <c r="H2919" s="1" t="s">
        <v>139</v>
      </c>
      <c r="I2919" s="1" t="s">
        <v>39</v>
      </c>
      <c r="J2919" s="1">
        <v>134</v>
      </c>
      <c r="K2919" s="1">
        <v>2.4900000000000002</v>
      </c>
      <c r="L2919" s="4">
        <v>20.64</v>
      </c>
      <c r="M2919" s="1">
        <v>0.11</v>
      </c>
      <c r="N2919" s="1">
        <v>9</v>
      </c>
      <c r="O2919" s="1">
        <v>0.77</v>
      </c>
      <c r="P2919" s="1">
        <v>181</v>
      </c>
      <c r="Q2919" s="1">
        <v>5.31</v>
      </c>
      <c r="R2919" s="1">
        <v>0.59</v>
      </c>
      <c r="S2919" s="2">
        <v>45366</v>
      </c>
      <c r="T2919" s="1">
        <v>76.099999999999994</v>
      </c>
      <c r="U2919" s="1">
        <v>0.55200000000000005</v>
      </c>
      <c r="V2919" s="6">
        <f t="shared" si="135"/>
        <v>5036.16</v>
      </c>
      <c r="W2919" s="6" t="str">
        <f t="shared" si="136"/>
        <v>Sufficient</v>
      </c>
      <c r="X2919" s="8" t="str">
        <f t="shared" si="137"/>
        <v>Medium</v>
      </c>
    </row>
    <row r="2920" spans="1:24">
      <c r="A2920" s="7" t="s">
        <v>3050</v>
      </c>
      <c r="B2920" s="1" t="s">
        <v>29</v>
      </c>
      <c r="C2920" s="1">
        <v>352</v>
      </c>
      <c r="D2920" s="1">
        <v>55</v>
      </c>
      <c r="E2920" s="1">
        <v>3</v>
      </c>
      <c r="F2920" s="1">
        <v>5</v>
      </c>
      <c r="G2920" s="1">
        <v>8.5</v>
      </c>
      <c r="H2920" s="1" t="s">
        <v>221</v>
      </c>
      <c r="I2920" s="1" t="s">
        <v>39</v>
      </c>
      <c r="J2920" s="1">
        <v>175</v>
      </c>
      <c r="K2920" s="1">
        <v>4.32</v>
      </c>
      <c r="L2920" s="4">
        <v>140</v>
      </c>
      <c r="M2920" s="1">
        <v>0.4</v>
      </c>
      <c r="N2920" s="1">
        <v>5</v>
      </c>
      <c r="O2920" s="1">
        <v>0.78</v>
      </c>
      <c r="P2920" s="1">
        <v>438</v>
      </c>
      <c r="Q2920" s="1">
        <v>9.7200000000000006</v>
      </c>
      <c r="R2920" s="1">
        <v>0.39</v>
      </c>
      <c r="S2920" s="2">
        <v>45533</v>
      </c>
      <c r="T2920" s="1">
        <v>23.18</v>
      </c>
      <c r="U2920" s="1">
        <v>0.624</v>
      </c>
      <c r="V2920" s="6">
        <f t="shared" si="135"/>
        <v>49280</v>
      </c>
      <c r="W2920" s="6" t="str">
        <f t="shared" si="136"/>
        <v>Sufficient</v>
      </c>
      <c r="X2920" s="8" t="str">
        <f t="shared" si="137"/>
        <v>High</v>
      </c>
    </row>
    <row r="2921" spans="1:24">
      <c r="A2921" s="7" t="s">
        <v>3051</v>
      </c>
      <c r="B2921" s="1" t="s">
        <v>33</v>
      </c>
      <c r="C2921" s="1">
        <v>380</v>
      </c>
      <c r="D2921" s="1">
        <v>31</v>
      </c>
      <c r="E2921" s="1">
        <v>10</v>
      </c>
      <c r="F2921" s="1">
        <v>7</v>
      </c>
      <c r="G2921" s="1">
        <v>37.39</v>
      </c>
      <c r="H2921" s="1" t="s">
        <v>52</v>
      </c>
      <c r="I2921" s="1" t="s">
        <v>27</v>
      </c>
      <c r="J2921" s="1">
        <v>89</v>
      </c>
      <c r="K2921" s="1">
        <v>1.37</v>
      </c>
      <c r="L2921" s="4">
        <v>128.81</v>
      </c>
      <c r="M2921" s="1">
        <v>1.23</v>
      </c>
      <c r="N2921" s="1">
        <v>9</v>
      </c>
      <c r="O2921" s="1">
        <v>0.92</v>
      </c>
      <c r="P2921" s="1">
        <v>631</v>
      </c>
      <c r="Q2921" s="1">
        <v>11.38</v>
      </c>
      <c r="R2921" s="1">
        <v>0.23</v>
      </c>
      <c r="S2921" s="2">
        <v>45599</v>
      </c>
      <c r="T2921" s="1">
        <v>75.28</v>
      </c>
      <c r="U2921" s="1">
        <v>0.47899999999999998</v>
      </c>
      <c r="V2921" s="6">
        <f t="shared" si="135"/>
        <v>48947.8</v>
      </c>
      <c r="W2921" s="6" t="str">
        <f t="shared" si="136"/>
        <v>Sufficient</v>
      </c>
      <c r="X2921" s="8" t="str">
        <f t="shared" si="137"/>
        <v>High</v>
      </c>
    </row>
    <row r="2922" spans="1:24">
      <c r="A2922" s="7" t="s">
        <v>3052</v>
      </c>
      <c r="B2922" s="1" t="s">
        <v>33</v>
      </c>
      <c r="C2922" s="1">
        <v>393</v>
      </c>
      <c r="D2922" s="1">
        <v>20</v>
      </c>
      <c r="E2922" s="1">
        <v>7</v>
      </c>
      <c r="F2922" s="1">
        <v>9</v>
      </c>
      <c r="G2922" s="1">
        <v>18.46</v>
      </c>
      <c r="H2922" s="1" t="s">
        <v>256</v>
      </c>
      <c r="I2922" s="1" t="s">
        <v>31</v>
      </c>
      <c r="J2922" s="1">
        <v>141</v>
      </c>
      <c r="K2922" s="1">
        <v>2.38</v>
      </c>
      <c r="L2922" s="4">
        <v>138.4</v>
      </c>
      <c r="M2922" s="1">
        <v>0.84</v>
      </c>
      <c r="N2922" s="1">
        <v>9</v>
      </c>
      <c r="O2922" s="1">
        <v>0.93</v>
      </c>
      <c r="P2922" s="1">
        <v>621</v>
      </c>
      <c r="Q2922" s="1">
        <v>8.82</v>
      </c>
      <c r="R2922" s="1">
        <v>0.69</v>
      </c>
      <c r="S2922" s="2">
        <v>45514</v>
      </c>
      <c r="T2922" s="1">
        <v>76.81</v>
      </c>
      <c r="U2922" s="1">
        <v>0.57799999999999996</v>
      </c>
      <c r="V2922" s="6">
        <f t="shared" si="135"/>
        <v>54391.200000000004</v>
      </c>
      <c r="W2922" s="6" t="str">
        <f t="shared" si="136"/>
        <v>Sufficient</v>
      </c>
      <c r="X2922" s="8" t="str">
        <f t="shared" si="137"/>
        <v>High</v>
      </c>
    </row>
    <row r="2923" spans="1:24">
      <c r="A2923" s="7" t="s">
        <v>3053</v>
      </c>
      <c r="B2923" s="1" t="s">
        <v>33</v>
      </c>
      <c r="C2923" s="1">
        <v>61</v>
      </c>
      <c r="D2923" s="1">
        <v>57</v>
      </c>
      <c r="E2923" s="1">
        <v>13</v>
      </c>
      <c r="F2923" s="1">
        <v>8</v>
      </c>
      <c r="G2923" s="1">
        <v>29.51</v>
      </c>
      <c r="H2923" s="1" t="s">
        <v>149</v>
      </c>
      <c r="I2923" s="1" t="s">
        <v>31</v>
      </c>
      <c r="J2923" s="1">
        <v>81</v>
      </c>
      <c r="K2923" s="1">
        <v>3.01</v>
      </c>
      <c r="L2923" s="4">
        <v>59.62</v>
      </c>
      <c r="M2923" s="1">
        <v>1.47</v>
      </c>
      <c r="N2923" s="1">
        <v>0</v>
      </c>
      <c r="O2923" s="1">
        <v>0.86</v>
      </c>
      <c r="P2923" s="1">
        <v>766</v>
      </c>
      <c r="Q2923" s="1">
        <v>10.89</v>
      </c>
      <c r="R2923" s="1">
        <v>0.26</v>
      </c>
      <c r="S2923" s="2">
        <v>45337</v>
      </c>
      <c r="T2923" s="1">
        <v>209.53</v>
      </c>
      <c r="U2923" s="1">
        <v>0.622</v>
      </c>
      <c r="V2923" s="6">
        <f t="shared" si="135"/>
        <v>3636.8199999999997</v>
      </c>
      <c r="W2923" s="6" t="str">
        <f t="shared" si="136"/>
        <v>Sufficient</v>
      </c>
      <c r="X2923" s="8" t="str">
        <f t="shared" si="137"/>
        <v>LOW</v>
      </c>
    </row>
    <row r="2924" spans="1:24">
      <c r="A2924" s="7" t="s">
        <v>3054</v>
      </c>
      <c r="B2924" s="1" t="s">
        <v>29</v>
      </c>
      <c r="C2924" s="1">
        <v>322</v>
      </c>
      <c r="D2924" s="1">
        <v>17</v>
      </c>
      <c r="E2924" s="1">
        <v>3</v>
      </c>
      <c r="F2924" s="1">
        <v>9</v>
      </c>
      <c r="G2924" s="1">
        <v>5.88</v>
      </c>
      <c r="H2924" s="1" t="s">
        <v>304</v>
      </c>
      <c r="I2924" s="1" t="s">
        <v>31</v>
      </c>
      <c r="J2924" s="1">
        <v>53</v>
      </c>
      <c r="K2924" s="1">
        <v>1.07</v>
      </c>
      <c r="L2924" s="4">
        <v>108.22</v>
      </c>
      <c r="M2924" s="1">
        <v>1.38</v>
      </c>
      <c r="N2924" s="1">
        <v>6</v>
      </c>
      <c r="O2924" s="1">
        <v>0.74</v>
      </c>
      <c r="P2924" s="1">
        <v>799</v>
      </c>
      <c r="Q2924" s="1">
        <v>14.17</v>
      </c>
      <c r="R2924" s="1">
        <v>0.3</v>
      </c>
      <c r="S2924" s="2">
        <v>45324</v>
      </c>
      <c r="T2924" s="1">
        <v>77.8</v>
      </c>
      <c r="U2924" s="1">
        <v>0.53900000000000003</v>
      </c>
      <c r="V2924" s="6">
        <f t="shared" si="135"/>
        <v>34846.839999999997</v>
      </c>
      <c r="W2924" s="6" t="str">
        <f t="shared" si="136"/>
        <v>Sufficient</v>
      </c>
      <c r="X2924" s="8" t="str">
        <f t="shared" si="137"/>
        <v>High</v>
      </c>
    </row>
    <row r="2925" spans="1:24">
      <c r="A2925" s="7" t="s">
        <v>3055</v>
      </c>
      <c r="B2925" s="1" t="s">
        <v>29</v>
      </c>
      <c r="C2925" s="1">
        <v>440</v>
      </c>
      <c r="D2925" s="1">
        <v>48</v>
      </c>
      <c r="E2925" s="1">
        <v>6</v>
      </c>
      <c r="F2925" s="1">
        <v>8</v>
      </c>
      <c r="G2925" s="1">
        <v>16.010000000000002</v>
      </c>
      <c r="H2925" s="1" t="s">
        <v>558</v>
      </c>
      <c r="I2925" s="1" t="s">
        <v>39</v>
      </c>
      <c r="J2925" s="1">
        <v>128</v>
      </c>
      <c r="K2925" s="1">
        <v>3.15</v>
      </c>
      <c r="L2925" s="4">
        <v>78.72</v>
      </c>
      <c r="M2925" s="1">
        <v>1.62</v>
      </c>
      <c r="N2925" s="1">
        <v>8</v>
      </c>
      <c r="O2925" s="1">
        <v>0.98</v>
      </c>
      <c r="P2925" s="1">
        <v>905</v>
      </c>
      <c r="Q2925" s="1">
        <v>12.96</v>
      </c>
      <c r="R2925" s="1">
        <v>0.27</v>
      </c>
      <c r="S2925" s="2">
        <v>45426</v>
      </c>
      <c r="T2925" s="1">
        <v>108.68</v>
      </c>
      <c r="U2925" s="1">
        <v>0.501</v>
      </c>
      <c r="V2925" s="6">
        <f t="shared" si="135"/>
        <v>34636.800000000003</v>
      </c>
      <c r="W2925" s="6" t="str">
        <f t="shared" si="136"/>
        <v>Sufficient</v>
      </c>
      <c r="X2925" s="8" t="str">
        <f t="shared" si="137"/>
        <v>High</v>
      </c>
    </row>
    <row r="2926" spans="1:24">
      <c r="A2926" s="7" t="s">
        <v>3056</v>
      </c>
      <c r="B2926" s="1" t="s">
        <v>66</v>
      </c>
      <c r="C2926" s="1">
        <v>265</v>
      </c>
      <c r="D2926" s="1">
        <v>44</v>
      </c>
      <c r="E2926" s="1">
        <v>4</v>
      </c>
      <c r="F2926" s="1">
        <v>3</v>
      </c>
      <c r="G2926" s="1">
        <v>25.54</v>
      </c>
      <c r="H2926" s="1" t="s">
        <v>26</v>
      </c>
      <c r="I2926" s="1" t="s">
        <v>39</v>
      </c>
      <c r="J2926" s="1">
        <v>55</v>
      </c>
      <c r="K2926" s="1">
        <v>1.81</v>
      </c>
      <c r="L2926" s="4">
        <v>165.36</v>
      </c>
      <c r="M2926" s="1">
        <v>1.75</v>
      </c>
      <c r="N2926" s="1">
        <v>3</v>
      </c>
      <c r="O2926" s="1">
        <v>0.95</v>
      </c>
      <c r="P2926" s="1">
        <v>397</v>
      </c>
      <c r="Q2926" s="1">
        <v>4.37</v>
      </c>
      <c r="R2926" s="1">
        <v>0.98</v>
      </c>
      <c r="S2926" s="2">
        <v>45405</v>
      </c>
      <c r="T2926" s="1">
        <v>23.75</v>
      </c>
      <c r="U2926" s="1">
        <v>0.60899999999999999</v>
      </c>
      <c r="V2926" s="6">
        <f t="shared" si="135"/>
        <v>43820.4</v>
      </c>
      <c r="W2926" s="6" t="str">
        <f t="shared" si="136"/>
        <v>Sufficient</v>
      </c>
      <c r="X2926" s="8" t="str">
        <f t="shared" si="137"/>
        <v>High</v>
      </c>
    </row>
    <row r="2927" spans="1:24">
      <c r="A2927" s="7" t="s">
        <v>3057</v>
      </c>
      <c r="B2927" s="1" t="s">
        <v>25</v>
      </c>
      <c r="C2927" s="1">
        <v>227</v>
      </c>
      <c r="D2927" s="1">
        <v>58</v>
      </c>
      <c r="E2927" s="1">
        <v>6</v>
      </c>
      <c r="F2927" s="1">
        <v>6</v>
      </c>
      <c r="G2927" s="1">
        <v>12.35</v>
      </c>
      <c r="H2927" s="1" t="s">
        <v>216</v>
      </c>
      <c r="I2927" s="1" t="s">
        <v>45</v>
      </c>
      <c r="J2927" s="1">
        <v>93</v>
      </c>
      <c r="K2927" s="1">
        <v>1.53</v>
      </c>
      <c r="L2927" s="4">
        <v>23.19</v>
      </c>
      <c r="M2927" s="1">
        <v>1.66</v>
      </c>
      <c r="N2927" s="1">
        <v>3</v>
      </c>
      <c r="O2927" s="1">
        <v>0.74</v>
      </c>
      <c r="P2927" s="1">
        <v>894</v>
      </c>
      <c r="Q2927" s="1">
        <v>13.7</v>
      </c>
      <c r="R2927" s="1">
        <v>0.23</v>
      </c>
      <c r="S2927" s="2">
        <v>45481</v>
      </c>
      <c r="T2927" s="1">
        <v>190.94</v>
      </c>
      <c r="U2927" s="1">
        <v>0.55100000000000005</v>
      </c>
      <c r="V2927" s="6">
        <f t="shared" si="135"/>
        <v>5264.13</v>
      </c>
      <c r="W2927" s="6" t="str">
        <f t="shared" si="136"/>
        <v>Sufficient</v>
      </c>
      <c r="X2927" s="8" t="str">
        <f t="shared" si="137"/>
        <v>Medium</v>
      </c>
    </row>
    <row r="2928" spans="1:24">
      <c r="A2928" s="7" t="s">
        <v>3058</v>
      </c>
      <c r="B2928" s="1" t="s">
        <v>33</v>
      </c>
      <c r="C2928" s="1">
        <v>256</v>
      </c>
      <c r="D2928" s="1">
        <v>55</v>
      </c>
      <c r="E2928" s="1">
        <v>10</v>
      </c>
      <c r="F2928" s="1">
        <v>7</v>
      </c>
      <c r="G2928" s="1">
        <v>27.55</v>
      </c>
      <c r="H2928" s="1" t="s">
        <v>61</v>
      </c>
      <c r="I2928" s="1" t="s">
        <v>39</v>
      </c>
      <c r="J2928" s="1">
        <v>35</v>
      </c>
      <c r="K2928" s="1">
        <v>1.1399999999999999</v>
      </c>
      <c r="L2928" s="4">
        <v>62.33</v>
      </c>
      <c r="M2928" s="1">
        <v>0.95</v>
      </c>
      <c r="N2928" s="1">
        <v>4</v>
      </c>
      <c r="O2928" s="1">
        <v>0.72</v>
      </c>
      <c r="P2928" s="1">
        <v>667</v>
      </c>
      <c r="Q2928" s="1">
        <v>5.16</v>
      </c>
      <c r="R2928" s="1">
        <v>0.42</v>
      </c>
      <c r="S2928" s="2">
        <v>45332</v>
      </c>
      <c r="T2928" s="1">
        <v>147.5</v>
      </c>
      <c r="U2928" s="1">
        <v>0.52200000000000002</v>
      </c>
      <c r="V2928" s="6">
        <f t="shared" si="135"/>
        <v>15956.48</v>
      </c>
      <c r="W2928" s="6" t="str">
        <f t="shared" si="136"/>
        <v>Sufficient</v>
      </c>
      <c r="X2928" s="8" t="str">
        <f t="shared" si="137"/>
        <v>High</v>
      </c>
    </row>
    <row r="2929" spans="1:24">
      <c r="A2929" s="7" t="s">
        <v>3059</v>
      </c>
      <c r="B2929" s="1" t="s">
        <v>25</v>
      </c>
      <c r="C2929" s="1">
        <v>41</v>
      </c>
      <c r="D2929" s="1">
        <v>47</v>
      </c>
      <c r="E2929" s="1">
        <v>7</v>
      </c>
      <c r="F2929" s="1">
        <v>9</v>
      </c>
      <c r="G2929" s="1">
        <v>11.77</v>
      </c>
      <c r="H2929" s="1" t="s">
        <v>252</v>
      </c>
      <c r="I2929" s="1" t="s">
        <v>45</v>
      </c>
      <c r="J2929" s="1">
        <v>105</v>
      </c>
      <c r="K2929" s="1">
        <v>2.0699999999999998</v>
      </c>
      <c r="L2929" s="4">
        <v>124.56</v>
      </c>
      <c r="M2929" s="1">
        <v>0.69</v>
      </c>
      <c r="N2929" s="1">
        <v>7</v>
      </c>
      <c r="O2929" s="1">
        <v>0.86</v>
      </c>
      <c r="P2929" s="1">
        <v>546</v>
      </c>
      <c r="Q2929" s="1">
        <v>10.25</v>
      </c>
      <c r="R2929" s="1">
        <v>0.72</v>
      </c>
      <c r="S2929" s="2">
        <v>45603</v>
      </c>
      <c r="T2929" s="1">
        <v>110.04</v>
      </c>
      <c r="U2929" s="1">
        <v>0.64400000000000002</v>
      </c>
      <c r="V2929" s="6">
        <f t="shared" si="135"/>
        <v>5106.96</v>
      </c>
      <c r="W2929" s="6" t="str">
        <f t="shared" si="136"/>
        <v>Reorder Required</v>
      </c>
      <c r="X2929" s="8" t="str">
        <f t="shared" si="137"/>
        <v>LOW</v>
      </c>
    </row>
    <row r="2930" spans="1:24">
      <c r="A2930" s="7" t="s">
        <v>3060</v>
      </c>
      <c r="B2930" s="1" t="s">
        <v>29</v>
      </c>
      <c r="C2930" s="1">
        <v>204</v>
      </c>
      <c r="D2930" s="1">
        <v>17</v>
      </c>
      <c r="E2930" s="1">
        <v>3</v>
      </c>
      <c r="F2930" s="1">
        <v>8</v>
      </c>
      <c r="G2930" s="1">
        <v>32.85</v>
      </c>
      <c r="H2930" s="1" t="s">
        <v>205</v>
      </c>
      <c r="I2930" s="1" t="s">
        <v>39</v>
      </c>
      <c r="J2930" s="1">
        <v>22</v>
      </c>
      <c r="K2930" s="1">
        <v>4.68</v>
      </c>
      <c r="L2930" s="4">
        <v>48.99</v>
      </c>
      <c r="M2930" s="1">
        <v>1.05</v>
      </c>
      <c r="N2930" s="1">
        <v>4</v>
      </c>
      <c r="O2930" s="1">
        <v>0.79</v>
      </c>
      <c r="P2930" s="1">
        <v>745</v>
      </c>
      <c r="Q2930" s="1">
        <v>13.25</v>
      </c>
      <c r="R2930" s="1">
        <v>0.86</v>
      </c>
      <c r="S2930" s="2">
        <v>45311</v>
      </c>
      <c r="T2930" s="1">
        <v>213.84</v>
      </c>
      <c r="U2930" s="1">
        <v>0.72199999999999998</v>
      </c>
      <c r="V2930" s="6">
        <f t="shared" si="135"/>
        <v>9993.9600000000009</v>
      </c>
      <c r="W2930" s="6" t="str">
        <f t="shared" si="136"/>
        <v>Sufficient</v>
      </c>
      <c r="X2930" s="8" t="str">
        <f t="shared" si="137"/>
        <v>Medium</v>
      </c>
    </row>
    <row r="2931" spans="1:24">
      <c r="A2931" s="7" t="s">
        <v>3061</v>
      </c>
      <c r="B2931" s="1" t="s">
        <v>29</v>
      </c>
      <c r="C2931" s="1">
        <v>487</v>
      </c>
      <c r="D2931" s="1">
        <v>63</v>
      </c>
      <c r="E2931" s="1">
        <v>9</v>
      </c>
      <c r="F2931" s="1">
        <v>6</v>
      </c>
      <c r="G2931" s="1">
        <v>45.31</v>
      </c>
      <c r="H2931" s="1" t="s">
        <v>57</v>
      </c>
      <c r="I2931" s="1" t="s">
        <v>31</v>
      </c>
      <c r="J2931" s="1">
        <v>134</v>
      </c>
      <c r="K2931" s="1">
        <v>0.64</v>
      </c>
      <c r="L2931" s="4">
        <v>137.82</v>
      </c>
      <c r="M2931" s="1">
        <v>1.1200000000000001</v>
      </c>
      <c r="N2931" s="1">
        <v>3</v>
      </c>
      <c r="O2931" s="1">
        <v>0.78</v>
      </c>
      <c r="P2931" s="1">
        <v>899</v>
      </c>
      <c r="Q2931" s="1">
        <v>9.73</v>
      </c>
      <c r="R2931" s="1">
        <v>0.69</v>
      </c>
      <c r="S2931" s="2">
        <v>45488</v>
      </c>
      <c r="T2931" s="1">
        <v>207.82</v>
      </c>
      <c r="U2931" s="1">
        <v>0.65200000000000002</v>
      </c>
      <c r="V2931" s="6">
        <f t="shared" si="135"/>
        <v>67118.34</v>
      </c>
      <c r="W2931" s="6" t="str">
        <f t="shared" si="136"/>
        <v>Sufficient</v>
      </c>
      <c r="X2931" s="8" t="str">
        <f t="shared" si="137"/>
        <v>High</v>
      </c>
    </row>
    <row r="2932" spans="1:24">
      <c r="A2932" s="7" t="s">
        <v>3062</v>
      </c>
      <c r="B2932" s="1" t="s">
        <v>29</v>
      </c>
      <c r="C2932" s="1">
        <v>261</v>
      </c>
      <c r="D2932" s="1">
        <v>46</v>
      </c>
      <c r="E2932" s="1">
        <v>3</v>
      </c>
      <c r="F2932" s="1">
        <v>5</v>
      </c>
      <c r="G2932" s="1">
        <v>5.19</v>
      </c>
      <c r="H2932" s="1" t="s">
        <v>216</v>
      </c>
      <c r="I2932" s="1" t="s">
        <v>31</v>
      </c>
      <c r="J2932" s="1">
        <v>78</v>
      </c>
      <c r="K2932" s="1">
        <v>4.33</v>
      </c>
      <c r="L2932" s="4">
        <v>35.99</v>
      </c>
      <c r="M2932" s="1">
        <v>0.7</v>
      </c>
      <c r="N2932" s="1">
        <v>7</v>
      </c>
      <c r="O2932" s="1">
        <v>0.73</v>
      </c>
      <c r="P2932" s="1">
        <v>560</v>
      </c>
      <c r="Q2932" s="1">
        <v>12.29</v>
      </c>
      <c r="R2932" s="1">
        <v>0.98</v>
      </c>
      <c r="S2932" s="2">
        <v>45497</v>
      </c>
      <c r="T2932" s="1">
        <v>105.09</v>
      </c>
      <c r="U2932" s="1">
        <v>0.69599999999999995</v>
      </c>
      <c r="V2932" s="6">
        <f t="shared" si="135"/>
        <v>9393.3900000000012</v>
      </c>
      <c r="W2932" s="6" t="str">
        <f t="shared" si="136"/>
        <v>Sufficient</v>
      </c>
      <c r="X2932" s="8" t="str">
        <f t="shared" si="137"/>
        <v>High</v>
      </c>
    </row>
    <row r="2933" spans="1:24">
      <c r="A2933" s="7" t="s">
        <v>3063</v>
      </c>
      <c r="B2933" s="1" t="s">
        <v>25</v>
      </c>
      <c r="C2933" s="1">
        <v>382</v>
      </c>
      <c r="D2933" s="1">
        <v>49</v>
      </c>
      <c r="E2933" s="1">
        <v>11</v>
      </c>
      <c r="F2933" s="1">
        <v>6</v>
      </c>
      <c r="G2933" s="1">
        <v>11.61</v>
      </c>
      <c r="H2933" s="1" t="s">
        <v>176</v>
      </c>
      <c r="I2933" s="1" t="s">
        <v>27</v>
      </c>
      <c r="J2933" s="1">
        <v>60</v>
      </c>
      <c r="K2933" s="1">
        <v>2.29</v>
      </c>
      <c r="L2933" s="4">
        <v>14.33</v>
      </c>
      <c r="M2933" s="1">
        <v>1.1299999999999999</v>
      </c>
      <c r="N2933" s="1">
        <v>4</v>
      </c>
      <c r="O2933" s="1">
        <v>0.99</v>
      </c>
      <c r="P2933" s="1">
        <v>568</v>
      </c>
      <c r="Q2933" s="1">
        <v>13.98</v>
      </c>
      <c r="R2933" s="1">
        <v>0.47</v>
      </c>
      <c r="S2933" s="2">
        <v>45606</v>
      </c>
      <c r="T2933" s="1">
        <v>215.73</v>
      </c>
      <c r="U2933" s="1">
        <v>0.68500000000000005</v>
      </c>
      <c r="V2933" s="6">
        <f t="shared" si="135"/>
        <v>5474.06</v>
      </c>
      <c r="W2933" s="6" t="str">
        <f t="shared" si="136"/>
        <v>Sufficient</v>
      </c>
      <c r="X2933" s="8" t="str">
        <f t="shared" si="137"/>
        <v>High</v>
      </c>
    </row>
    <row r="2934" spans="1:24">
      <c r="A2934" s="7" t="s">
        <v>3064</v>
      </c>
      <c r="B2934" s="1" t="s">
        <v>29</v>
      </c>
      <c r="C2934" s="1">
        <v>302</v>
      </c>
      <c r="D2934" s="1">
        <v>43</v>
      </c>
      <c r="E2934" s="1">
        <v>5</v>
      </c>
      <c r="F2934" s="1">
        <v>6</v>
      </c>
      <c r="G2934" s="1">
        <v>42.38</v>
      </c>
      <c r="H2934" s="1" t="s">
        <v>115</v>
      </c>
      <c r="I2934" s="1" t="s">
        <v>27</v>
      </c>
      <c r="J2934" s="1">
        <v>22</v>
      </c>
      <c r="K2934" s="1">
        <v>3.03</v>
      </c>
      <c r="L2934" s="4">
        <v>174.06</v>
      </c>
      <c r="M2934" s="1">
        <v>0.3</v>
      </c>
      <c r="N2934" s="1">
        <v>7</v>
      </c>
      <c r="O2934" s="1">
        <v>0.95</v>
      </c>
      <c r="P2934" s="1">
        <v>501</v>
      </c>
      <c r="Q2934" s="1">
        <v>14.54</v>
      </c>
      <c r="R2934" s="1">
        <v>0.57999999999999996</v>
      </c>
      <c r="S2934" s="2">
        <v>45627</v>
      </c>
      <c r="T2934" s="1">
        <v>110.98</v>
      </c>
      <c r="U2934" s="1">
        <v>0.73</v>
      </c>
      <c r="V2934" s="6">
        <f t="shared" si="135"/>
        <v>52566.12</v>
      </c>
      <c r="W2934" s="6" t="str">
        <f t="shared" si="136"/>
        <v>Sufficient</v>
      </c>
      <c r="X2934" s="8" t="str">
        <f t="shared" si="137"/>
        <v>High</v>
      </c>
    </row>
    <row r="2935" spans="1:24">
      <c r="A2935" s="7" t="s">
        <v>3065</v>
      </c>
      <c r="B2935" s="1" t="s">
        <v>66</v>
      </c>
      <c r="C2935" s="1">
        <v>60</v>
      </c>
      <c r="D2935" s="1">
        <v>88</v>
      </c>
      <c r="E2935" s="1">
        <v>14</v>
      </c>
      <c r="F2935" s="1">
        <v>5</v>
      </c>
      <c r="G2935" s="1">
        <v>31.95</v>
      </c>
      <c r="H2935" s="1" t="s">
        <v>440</v>
      </c>
      <c r="I2935" s="1" t="s">
        <v>45</v>
      </c>
      <c r="J2935" s="1">
        <v>178</v>
      </c>
      <c r="K2935" s="1">
        <v>2.81</v>
      </c>
      <c r="L2935" s="4">
        <v>73.349999999999994</v>
      </c>
      <c r="M2935" s="1">
        <v>0.54</v>
      </c>
      <c r="N2935" s="1">
        <v>0</v>
      </c>
      <c r="O2935" s="1">
        <v>0.73</v>
      </c>
      <c r="P2935" s="1">
        <v>592</v>
      </c>
      <c r="Q2935" s="1">
        <v>6.75</v>
      </c>
      <c r="R2935" s="1">
        <v>0.86</v>
      </c>
      <c r="S2935" s="2">
        <v>45558</v>
      </c>
      <c r="T2935" s="1">
        <v>74.38</v>
      </c>
      <c r="U2935" s="1">
        <v>0.754</v>
      </c>
      <c r="V2935" s="6">
        <f t="shared" si="135"/>
        <v>4401</v>
      </c>
      <c r="W2935" s="6" t="str">
        <f t="shared" si="136"/>
        <v>Reorder Required</v>
      </c>
      <c r="X2935" s="8" t="str">
        <f t="shared" si="137"/>
        <v>LOW</v>
      </c>
    </row>
    <row r="2936" spans="1:24">
      <c r="A2936" s="7" t="s">
        <v>3066</v>
      </c>
      <c r="B2936" s="1" t="s">
        <v>29</v>
      </c>
      <c r="C2936" s="1">
        <v>355</v>
      </c>
      <c r="D2936" s="1">
        <v>26</v>
      </c>
      <c r="E2936" s="1">
        <v>5</v>
      </c>
      <c r="F2936" s="1">
        <v>7</v>
      </c>
      <c r="G2936" s="1">
        <v>4.8600000000000003</v>
      </c>
      <c r="H2936" s="1" t="s">
        <v>47</v>
      </c>
      <c r="I2936" s="1" t="s">
        <v>45</v>
      </c>
      <c r="J2936" s="1">
        <v>148</v>
      </c>
      <c r="K2936" s="1">
        <v>4.67</v>
      </c>
      <c r="L2936" s="4">
        <v>39.799999999999997</v>
      </c>
      <c r="M2936" s="1">
        <v>1.52</v>
      </c>
      <c r="N2936" s="1">
        <v>2</v>
      </c>
      <c r="O2936" s="1">
        <v>0.96</v>
      </c>
      <c r="P2936" s="1">
        <v>265</v>
      </c>
      <c r="Q2936" s="1">
        <v>14.9</v>
      </c>
      <c r="R2936" s="1">
        <v>0.75</v>
      </c>
      <c r="S2936" s="2">
        <v>45438</v>
      </c>
      <c r="T2936" s="1">
        <v>218.75</v>
      </c>
      <c r="U2936" s="1">
        <v>0.749</v>
      </c>
      <c r="V2936" s="6">
        <f t="shared" si="135"/>
        <v>14128.999999999998</v>
      </c>
      <c r="W2936" s="6" t="str">
        <f t="shared" si="136"/>
        <v>Sufficient</v>
      </c>
      <c r="X2936" s="8" t="str">
        <f t="shared" si="137"/>
        <v>High</v>
      </c>
    </row>
    <row r="2937" spans="1:24">
      <c r="A2937" s="7" t="s">
        <v>3067</v>
      </c>
      <c r="B2937" s="1" t="s">
        <v>41</v>
      </c>
      <c r="C2937" s="1">
        <v>181</v>
      </c>
      <c r="D2937" s="1">
        <v>42</v>
      </c>
      <c r="E2937" s="1">
        <v>8</v>
      </c>
      <c r="F2937" s="1">
        <v>9</v>
      </c>
      <c r="G2937" s="1">
        <v>24.83</v>
      </c>
      <c r="H2937" s="1" t="s">
        <v>459</v>
      </c>
      <c r="I2937" s="1" t="s">
        <v>27</v>
      </c>
      <c r="J2937" s="1">
        <v>174</v>
      </c>
      <c r="K2937" s="1">
        <v>3.97</v>
      </c>
      <c r="L2937" s="4">
        <v>42.81</v>
      </c>
      <c r="M2937" s="1">
        <v>0.45</v>
      </c>
      <c r="N2937" s="1">
        <v>6</v>
      </c>
      <c r="O2937" s="1">
        <v>0.9</v>
      </c>
      <c r="P2937" s="1">
        <v>519</v>
      </c>
      <c r="Q2937" s="1">
        <v>4.8</v>
      </c>
      <c r="R2937" s="1">
        <v>0.37</v>
      </c>
      <c r="S2937" s="2">
        <v>45656</v>
      </c>
      <c r="T2937" s="1">
        <v>221.13</v>
      </c>
      <c r="U2937" s="1">
        <v>0.55300000000000005</v>
      </c>
      <c r="V2937" s="6">
        <f t="shared" si="135"/>
        <v>7748.6100000000006</v>
      </c>
      <c r="W2937" s="6" t="str">
        <f t="shared" si="136"/>
        <v>Sufficient</v>
      </c>
      <c r="X2937" s="8" t="str">
        <f t="shared" si="137"/>
        <v>Medium</v>
      </c>
    </row>
    <row r="2938" spans="1:24">
      <c r="A2938" s="7" t="s">
        <v>3068</v>
      </c>
      <c r="B2938" s="1" t="s">
        <v>25</v>
      </c>
      <c r="C2938" s="1">
        <v>179</v>
      </c>
      <c r="D2938" s="1">
        <v>56</v>
      </c>
      <c r="E2938" s="1">
        <v>12</v>
      </c>
      <c r="F2938" s="1">
        <v>5</v>
      </c>
      <c r="G2938" s="1">
        <v>11.28</v>
      </c>
      <c r="H2938" s="1" t="s">
        <v>205</v>
      </c>
      <c r="I2938" s="1" t="s">
        <v>45</v>
      </c>
      <c r="J2938" s="1">
        <v>69</v>
      </c>
      <c r="K2938" s="1">
        <v>4.93</v>
      </c>
      <c r="L2938" s="4">
        <v>178.32</v>
      </c>
      <c r="M2938" s="1">
        <v>0.36</v>
      </c>
      <c r="N2938" s="1">
        <v>0</v>
      </c>
      <c r="O2938" s="1">
        <v>0.8</v>
      </c>
      <c r="P2938" s="1">
        <v>902</v>
      </c>
      <c r="Q2938" s="1">
        <v>7.47</v>
      </c>
      <c r="R2938" s="1">
        <v>0.6</v>
      </c>
      <c r="S2938" s="2">
        <v>45597</v>
      </c>
      <c r="T2938" s="1">
        <v>261.07</v>
      </c>
      <c r="U2938" s="1">
        <v>0.74399999999999999</v>
      </c>
      <c r="V2938" s="6">
        <f t="shared" si="135"/>
        <v>31919.279999999999</v>
      </c>
      <c r="W2938" s="6" t="str">
        <f t="shared" si="136"/>
        <v>Sufficient</v>
      </c>
      <c r="X2938" s="8" t="str">
        <f t="shared" si="137"/>
        <v>Medium</v>
      </c>
    </row>
    <row r="2939" spans="1:24">
      <c r="A2939" s="7" t="s">
        <v>3069</v>
      </c>
      <c r="B2939" s="1" t="s">
        <v>41</v>
      </c>
      <c r="C2939" s="1">
        <v>493</v>
      </c>
      <c r="D2939" s="1">
        <v>61</v>
      </c>
      <c r="E2939" s="1">
        <v>8</v>
      </c>
      <c r="F2939" s="1">
        <v>3</v>
      </c>
      <c r="G2939" s="1">
        <v>10.76</v>
      </c>
      <c r="H2939" s="1" t="s">
        <v>42</v>
      </c>
      <c r="I2939" s="1" t="s">
        <v>39</v>
      </c>
      <c r="J2939" s="1">
        <v>41</v>
      </c>
      <c r="K2939" s="1">
        <v>4.07</v>
      </c>
      <c r="L2939" s="4">
        <v>134.34</v>
      </c>
      <c r="M2939" s="1">
        <v>0.65</v>
      </c>
      <c r="N2939" s="1">
        <v>4</v>
      </c>
      <c r="O2939" s="1">
        <v>0.96</v>
      </c>
      <c r="P2939" s="1">
        <v>353</v>
      </c>
      <c r="Q2939" s="1">
        <v>11.65</v>
      </c>
      <c r="R2939" s="1">
        <v>0.98</v>
      </c>
      <c r="S2939" s="2">
        <v>45321</v>
      </c>
      <c r="T2939" s="1">
        <v>155.27000000000001</v>
      </c>
      <c r="U2939" s="1">
        <v>0.79800000000000004</v>
      </c>
      <c r="V2939" s="6">
        <f t="shared" si="135"/>
        <v>66229.62</v>
      </c>
      <c r="W2939" s="6" t="str">
        <f t="shared" si="136"/>
        <v>Sufficient</v>
      </c>
      <c r="X2939" s="8" t="str">
        <f t="shared" si="137"/>
        <v>High</v>
      </c>
    </row>
    <row r="2940" spans="1:24">
      <c r="A2940" s="7" t="s">
        <v>3070</v>
      </c>
      <c r="B2940" s="1" t="s">
        <v>29</v>
      </c>
      <c r="C2940" s="1">
        <v>108</v>
      </c>
      <c r="D2940" s="1">
        <v>89</v>
      </c>
      <c r="E2940" s="1">
        <v>13</v>
      </c>
      <c r="F2940" s="1">
        <v>4</v>
      </c>
      <c r="G2940" s="1">
        <v>47.09</v>
      </c>
      <c r="H2940" s="1" t="s">
        <v>95</v>
      </c>
      <c r="I2940" s="1" t="s">
        <v>31</v>
      </c>
      <c r="J2940" s="1">
        <v>27</v>
      </c>
      <c r="K2940" s="1">
        <v>1.83</v>
      </c>
      <c r="L2940" s="4">
        <v>191.71</v>
      </c>
      <c r="M2940" s="1">
        <v>0.8</v>
      </c>
      <c r="N2940" s="1">
        <v>5</v>
      </c>
      <c r="O2940" s="1">
        <v>0.88</v>
      </c>
      <c r="P2940" s="1">
        <v>347</v>
      </c>
      <c r="Q2940" s="1">
        <v>14.58</v>
      </c>
      <c r="R2940" s="1">
        <v>0.89</v>
      </c>
      <c r="S2940" s="2">
        <v>45381</v>
      </c>
      <c r="T2940" s="1">
        <v>77.39</v>
      </c>
      <c r="U2940" s="1">
        <v>0.76800000000000002</v>
      </c>
      <c r="V2940" s="6">
        <f t="shared" si="135"/>
        <v>20704.68</v>
      </c>
      <c r="W2940" s="6" t="str">
        <f t="shared" si="136"/>
        <v>Sufficient</v>
      </c>
      <c r="X2940" s="8" t="str">
        <f t="shared" si="137"/>
        <v>Medium</v>
      </c>
    </row>
    <row r="2941" spans="1:24">
      <c r="A2941" s="7" t="s">
        <v>3071</v>
      </c>
      <c r="B2941" s="1" t="s">
        <v>66</v>
      </c>
      <c r="C2941" s="1">
        <v>341</v>
      </c>
      <c r="D2941" s="1">
        <v>18</v>
      </c>
      <c r="E2941" s="1">
        <v>13</v>
      </c>
      <c r="F2941" s="1">
        <v>9</v>
      </c>
      <c r="G2941" s="1">
        <v>38.32</v>
      </c>
      <c r="H2941" s="1" t="s">
        <v>122</v>
      </c>
      <c r="I2941" s="1" t="s">
        <v>27</v>
      </c>
      <c r="J2941" s="1">
        <v>102</v>
      </c>
      <c r="K2941" s="1">
        <v>4.83</v>
      </c>
      <c r="L2941" s="4">
        <v>162.01</v>
      </c>
      <c r="M2941" s="1">
        <v>0.72</v>
      </c>
      <c r="N2941" s="1">
        <v>0</v>
      </c>
      <c r="O2941" s="1">
        <v>0.95</v>
      </c>
      <c r="P2941" s="1">
        <v>395</v>
      </c>
      <c r="Q2941" s="1">
        <v>1.74</v>
      </c>
      <c r="R2941" s="1">
        <v>0.35</v>
      </c>
      <c r="S2941" s="2">
        <v>45619</v>
      </c>
      <c r="T2941" s="1">
        <v>252.7</v>
      </c>
      <c r="U2941" s="1">
        <v>0.61099999999999999</v>
      </c>
      <c r="V2941" s="6">
        <f t="shared" si="135"/>
        <v>55245.409999999996</v>
      </c>
      <c r="W2941" s="6" t="str">
        <f t="shared" si="136"/>
        <v>Sufficient</v>
      </c>
      <c r="X2941" s="8" t="str">
        <f t="shared" si="137"/>
        <v>High</v>
      </c>
    </row>
    <row r="2942" spans="1:24">
      <c r="A2942" s="7" t="s">
        <v>3072</v>
      </c>
      <c r="B2942" s="1" t="s">
        <v>33</v>
      </c>
      <c r="C2942" s="1">
        <v>31</v>
      </c>
      <c r="D2942" s="1">
        <v>42</v>
      </c>
      <c r="E2942" s="1">
        <v>8</v>
      </c>
      <c r="F2942" s="1">
        <v>2</v>
      </c>
      <c r="G2942" s="1">
        <v>35.119999999999997</v>
      </c>
      <c r="H2942" s="1" t="s">
        <v>269</v>
      </c>
      <c r="I2942" s="1" t="s">
        <v>27</v>
      </c>
      <c r="J2942" s="1">
        <v>157</v>
      </c>
      <c r="K2942" s="1">
        <v>4.93</v>
      </c>
      <c r="L2942" s="4">
        <v>155.83000000000001</v>
      </c>
      <c r="M2942" s="1">
        <v>0.81</v>
      </c>
      <c r="N2942" s="1">
        <v>6</v>
      </c>
      <c r="O2942" s="1">
        <v>0.84</v>
      </c>
      <c r="P2942" s="1">
        <v>335</v>
      </c>
      <c r="Q2942" s="1">
        <v>14.24</v>
      </c>
      <c r="R2942" s="1">
        <v>0.34</v>
      </c>
      <c r="S2942" s="2">
        <v>45545</v>
      </c>
      <c r="T2942" s="1">
        <v>60.65</v>
      </c>
      <c r="U2942" s="1">
        <v>0.625</v>
      </c>
      <c r="V2942" s="6">
        <f t="shared" si="135"/>
        <v>4830.7300000000005</v>
      </c>
      <c r="W2942" s="6" t="str">
        <f t="shared" si="136"/>
        <v>Reorder Required</v>
      </c>
      <c r="X2942" s="8" t="str">
        <f t="shared" si="137"/>
        <v>LOW</v>
      </c>
    </row>
    <row r="2943" spans="1:24">
      <c r="A2943" s="7" t="s">
        <v>3073</v>
      </c>
      <c r="B2943" s="1" t="s">
        <v>29</v>
      </c>
      <c r="C2943" s="1">
        <v>443</v>
      </c>
      <c r="D2943" s="1">
        <v>69</v>
      </c>
      <c r="E2943" s="1">
        <v>3</v>
      </c>
      <c r="F2943" s="1">
        <v>5</v>
      </c>
      <c r="G2943" s="1">
        <v>12.71</v>
      </c>
      <c r="H2943" s="1" t="s">
        <v>333</v>
      </c>
      <c r="I2943" s="1" t="s">
        <v>39</v>
      </c>
      <c r="J2943" s="1">
        <v>53</v>
      </c>
      <c r="K2943" s="1">
        <v>1.05</v>
      </c>
      <c r="L2943" s="4">
        <v>104.97</v>
      </c>
      <c r="M2943" s="1">
        <v>0.37</v>
      </c>
      <c r="N2943" s="1">
        <v>8</v>
      </c>
      <c r="O2943" s="1">
        <v>0.85</v>
      </c>
      <c r="P2943" s="1">
        <v>934</v>
      </c>
      <c r="Q2943" s="1">
        <v>14.98</v>
      </c>
      <c r="R2943" s="1">
        <v>0.86</v>
      </c>
      <c r="S2943" s="2">
        <v>45516</v>
      </c>
      <c r="T2943" s="1">
        <v>282.2</v>
      </c>
      <c r="U2943" s="1">
        <v>0.745</v>
      </c>
      <c r="V2943" s="6">
        <f t="shared" si="135"/>
        <v>46501.71</v>
      </c>
      <c r="W2943" s="6" t="str">
        <f t="shared" si="136"/>
        <v>Sufficient</v>
      </c>
      <c r="X2943" s="8" t="str">
        <f t="shared" si="137"/>
        <v>High</v>
      </c>
    </row>
    <row r="2944" spans="1:24">
      <c r="A2944" s="7" t="s">
        <v>3074</v>
      </c>
      <c r="B2944" s="1" t="s">
        <v>66</v>
      </c>
      <c r="C2944" s="1">
        <v>92</v>
      </c>
      <c r="D2944" s="1">
        <v>86</v>
      </c>
      <c r="E2944" s="1">
        <v>7</v>
      </c>
      <c r="F2944" s="1">
        <v>5</v>
      </c>
      <c r="G2944" s="1">
        <v>6.81</v>
      </c>
      <c r="H2944" s="1" t="s">
        <v>91</v>
      </c>
      <c r="I2944" s="1" t="s">
        <v>45</v>
      </c>
      <c r="J2944" s="1">
        <v>173</v>
      </c>
      <c r="K2944" s="1">
        <v>4.55</v>
      </c>
      <c r="L2944" s="4">
        <v>165.95</v>
      </c>
      <c r="M2944" s="1">
        <v>0.41</v>
      </c>
      <c r="N2944" s="1">
        <v>8</v>
      </c>
      <c r="O2944" s="1">
        <v>0.79</v>
      </c>
      <c r="P2944" s="1">
        <v>175</v>
      </c>
      <c r="Q2944" s="1">
        <v>13.73</v>
      </c>
      <c r="R2944" s="1">
        <v>0.36</v>
      </c>
      <c r="S2944" s="2">
        <v>45297</v>
      </c>
      <c r="T2944" s="1">
        <v>98.93</v>
      </c>
      <c r="U2944" s="1">
        <v>0.61199999999999999</v>
      </c>
      <c r="V2944" s="6">
        <f t="shared" si="135"/>
        <v>15267.4</v>
      </c>
      <c r="W2944" s="6" t="str">
        <f t="shared" si="136"/>
        <v>Sufficient</v>
      </c>
      <c r="X2944" s="8" t="str">
        <f t="shared" si="137"/>
        <v>LOW</v>
      </c>
    </row>
    <row r="2945" spans="1:24">
      <c r="A2945" s="7" t="s">
        <v>3075</v>
      </c>
      <c r="B2945" s="1" t="s">
        <v>25</v>
      </c>
      <c r="C2945" s="1">
        <v>95</v>
      </c>
      <c r="D2945" s="1">
        <v>30</v>
      </c>
      <c r="E2945" s="1">
        <v>14</v>
      </c>
      <c r="F2945" s="1">
        <v>6</v>
      </c>
      <c r="G2945" s="1">
        <v>43.67</v>
      </c>
      <c r="H2945" s="1" t="s">
        <v>256</v>
      </c>
      <c r="I2945" s="1" t="s">
        <v>27</v>
      </c>
      <c r="J2945" s="1">
        <v>46</v>
      </c>
      <c r="K2945" s="1">
        <v>3.49</v>
      </c>
      <c r="L2945" s="4">
        <v>88.4</v>
      </c>
      <c r="M2945" s="1">
        <v>0.55000000000000004</v>
      </c>
      <c r="N2945" s="1">
        <v>2</v>
      </c>
      <c r="O2945" s="1">
        <v>0.82</v>
      </c>
      <c r="P2945" s="1">
        <v>100</v>
      </c>
      <c r="Q2945" s="1">
        <v>2.52</v>
      </c>
      <c r="R2945" s="1">
        <v>0.56000000000000005</v>
      </c>
      <c r="S2945" s="2">
        <v>45395</v>
      </c>
      <c r="T2945" s="1">
        <v>15.44</v>
      </c>
      <c r="U2945" s="1">
        <v>0.61499999999999999</v>
      </c>
      <c r="V2945" s="6">
        <f t="shared" si="135"/>
        <v>8398</v>
      </c>
      <c r="W2945" s="6" t="str">
        <f t="shared" si="136"/>
        <v>Sufficient</v>
      </c>
      <c r="X2945" s="8" t="str">
        <f t="shared" si="137"/>
        <v>LOW</v>
      </c>
    </row>
    <row r="2946" spans="1:24">
      <c r="A2946" s="7" t="s">
        <v>3076</v>
      </c>
      <c r="B2946" s="1" t="s">
        <v>41</v>
      </c>
      <c r="C2946" s="1">
        <v>365</v>
      </c>
      <c r="D2946" s="1">
        <v>67</v>
      </c>
      <c r="E2946" s="1">
        <v>8</v>
      </c>
      <c r="F2946" s="1">
        <v>3</v>
      </c>
      <c r="G2946" s="1">
        <v>1.29</v>
      </c>
      <c r="H2946" s="1" t="s">
        <v>178</v>
      </c>
      <c r="I2946" s="1" t="s">
        <v>27</v>
      </c>
      <c r="J2946" s="1">
        <v>170</v>
      </c>
      <c r="K2946" s="1">
        <v>4.6500000000000004</v>
      </c>
      <c r="L2946" s="4">
        <v>167.13</v>
      </c>
      <c r="M2946" s="1">
        <v>0.86</v>
      </c>
      <c r="N2946" s="1">
        <v>3</v>
      </c>
      <c r="O2946" s="1">
        <v>0.87</v>
      </c>
      <c r="P2946" s="1">
        <v>468</v>
      </c>
      <c r="Q2946" s="1">
        <v>12.77</v>
      </c>
      <c r="R2946" s="1">
        <v>0.34</v>
      </c>
      <c r="S2946" s="2">
        <v>45628</v>
      </c>
      <c r="T2946" s="1">
        <v>64.16</v>
      </c>
      <c r="U2946" s="1">
        <v>0.66600000000000004</v>
      </c>
      <c r="V2946" s="6">
        <f t="shared" si="135"/>
        <v>61002.45</v>
      </c>
      <c r="W2946" s="6" t="str">
        <f t="shared" si="136"/>
        <v>Sufficient</v>
      </c>
      <c r="X2946" s="8" t="str">
        <f t="shared" si="137"/>
        <v>High</v>
      </c>
    </row>
    <row r="2947" spans="1:24">
      <c r="A2947" s="7" t="s">
        <v>3077</v>
      </c>
      <c r="B2947" s="1" t="s">
        <v>41</v>
      </c>
      <c r="C2947" s="1">
        <v>220</v>
      </c>
      <c r="D2947" s="1">
        <v>94</v>
      </c>
      <c r="E2947" s="1">
        <v>10</v>
      </c>
      <c r="F2947" s="1">
        <v>8</v>
      </c>
      <c r="G2947" s="1">
        <v>20.02</v>
      </c>
      <c r="H2947" s="1" t="s">
        <v>394</v>
      </c>
      <c r="I2947" s="1" t="s">
        <v>39</v>
      </c>
      <c r="J2947" s="1">
        <v>136</v>
      </c>
      <c r="K2947" s="1">
        <v>4.62</v>
      </c>
      <c r="L2947" s="4">
        <v>153.97</v>
      </c>
      <c r="M2947" s="1">
        <v>0.74</v>
      </c>
      <c r="N2947" s="1">
        <v>0</v>
      </c>
      <c r="O2947" s="1">
        <v>0.98</v>
      </c>
      <c r="P2947" s="1">
        <v>751</v>
      </c>
      <c r="Q2947" s="1">
        <v>9.9600000000000009</v>
      </c>
      <c r="R2947" s="1">
        <v>0.21</v>
      </c>
      <c r="S2947" s="2">
        <v>45557</v>
      </c>
      <c r="T2947" s="1">
        <v>130.29</v>
      </c>
      <c r="U2947" s="1">
        <v>0.69699999999999995</v>
      </c>
      <c r="V2947" s="6">
        <f t="shared" si="135"/>
        <v>33873.4</v>
      </c>
      <c r="W2947" s="6" t="str">
        <f t="shared" si="136"/>
        <v>Sufficient</v>
      </c>
      <c r="X2947" s="8" t="str">
        <f t="shared" si="137"/>
        <v>Medium</v>
      </c>
    </row>
    <row r="2948" spans="1:24">
      <c r="A2948" s="7" t="s">
        <v>3078</v>
      </c>
      <c r="B2948" s="1" t="s">
        <v>41</v>
      </c>
      <c r="C2948" s="1">
        <v>29</v>
      </c>
      <c r="D2948" s="1">
        <v>78</v>
      </c>
      <c r="E2948" s="1">
        <v>3</v>
      </c>
      <c r="F2948" s="1">
        <v>8</v>
      </c>
      <c r="G2948" s="1">
        <v>14.6</v>
      </c>
      <c r="H2948" s="1" t="s">
        <v>309</v>
      </c>
      <c r="I2948" s="1" t="s">
        <v>31</v>
      </c>
      <c r="J2948" s="1">
        <v>28</v>
      </c>
      <c r="K2948" s="1">
        <v>4.51</v>
      </c>
      <c r="L2948" s="4">
        <v>138.9</v>
      </c>
      <c r="M2948" s="1">
        <v>1.6</v>
      </c>
      <c r="N2948" s="1">
        <v>3</v>
      </c>
      <c r="O2948" s="1">
        <v>0.88</v>
      </c>
      <c r="P2948" s="1">
        <v>100</v>
      </c>
      <c r="Q2948" s="1">
        <v>1.1299999999999999</v>
      </c>
      <c r="R2948" s="1">
        <v>0.9</v>
      </c>
      <c r="S2948" s="2">
        <v>45438</v>
      </c>
      <c r="T2948" s="1">
        <v>26</v>
      </c>
      <c r="U2948" s="1">
        <v>0.55100000000000005</v>
      </c>
      <c r="V2948" s="6">
        <f t="shared" ref="V2948:V3011" si="138">C2948*L2948</f>
        <v>4028.1000000000004</v>
      </c>
      <c r="W2948" s="6" t="str">
        <f t="shared" ref="W2948:W3011" si="139">IF(C2948&lt;=D2948,"Reorder Required","Sufficient")</f>
        <v>Reorder Required</v>
      </c>
      <c r="X2948" s="8" t="str">
        <f t="shared" ref="X2948:X3011" si="140">IF(C2948&lt;100,"LOW",IF(C2948&lt;250,"Medium","High"))</f>
        <v>LOW</v>
      </c>
    </row>
    <row r="2949" spans="1:24">
      <c r="A2949" s="7" t="s">
        <v>3079</v>
      </c>
      <c r="B2949" s="1" t="s">
        <v>25</v>
      </c>
      <c r="C2949" s="1">
        <v>371</v>
      </c>
      <c r="D2949" s="1">
        <v>19</v>
      </c>
      <c r="E2949" s="1">
        <v>7</v>
      </c>
      <c r="F2949" s="1">
        <v>6</v>
      </c>
      <c r="G2949" s="1">
        <v>28.95</v>
      </c>
      <c r="H2949" s="1" t="s">
        <v>244</v>
      </c>
      <c r="I2949" s="1" t="s">
        <v>27</v>
      </c>
      <c r="J2949" s="1">
        <v>41</v>
      </c>
      <c r="K2949" s="1">
        <v>4.4800000000000004</v>
      </c>
      <c r="L2949" s="4">
        <v>72.650000000000006</v>
      </c>
      <c r="M2949" s="1">
        <v>1.1000000000000001</v>
      </c>
      <c r="N2949" s="1">
        <v>4</v>
      </c>
      <c r="O2949" s="1">
        <v>0.74</v>
      </c>
      <c r="P2949" s="1">
        <v>520</v>
      </c>
      <c r="Q2949" s="1">
        <v>14.78</v>
      </c>
      <c r="R2949" s="1">
        <v>0.82</v>
      </c>
      <c r="S2949" s="2">
        <v>45391</v>
      </c>
      <c r="T2949" s="1">
        <v>128.76</v>
      </c>
      <c r="U2949" s="1">
        <v>0.71899999999999997</v>
      </c>
      <c r="V2949" s="6">
        <f t="shared" si="138"/>
        <v>26953.15</v>
      </c>
      <c r="W2949" s="6" t="str">
        <f t="shared" si="139"/>
        <v>Sufficient</v>
      </c>
      <c r="X2949" s="8" t="str">
        <f t="shared" si="140"/>
        <v>High</v>
      </c>
    </row>
    <row r="2950" spans="1:24">
      <c r="A2950" s="7" t="s">
        <v>3080</v>
      </c>
      <c r="B2950" s="1" t="s">
        <v>66</v>
      </c>
      <c r="C2950" s="1">
        <v>245</v>
      </c>
      <c r="D2950" s="1">
        <v>15</v>
      </c>
      <c r="E2950" s="1">
        <v>5</v>
      </c>
      <c r="F2950" s="1">
        <v>7</v>
      </c>
      <c r="G2950" s="1">
        <v>13.27</v>
      </c>
      <c r="H2950" s="1" t="s">
        <v>282</v>
      </c>
      <c r="I2950" s="1" t="s">
        <v>27</v>
      </c>
      <c r="J2950" s="1">
        <v>115</v>
      </c>
      <c r="K2950" s="1">
        <v>1.03</v>
      </c>
      <c r="L2950" s="4">
        <v>129.84</v>
      </c>
      <c r="M2950" s="1">
        <v>1.19</v>
      </c>
      <c r="N2950" s="1">
        <v>6</v>
      </c>
      <c r="O2950" s="1">
        <v>0.7</v>
      </c>
      <c r="P2950" s="1">
        <v>425</v>
      </c>
      <c r="Q2950" s="1">
        <v>3.11</v>
      </c>
      <c r="R2950" s="1">
        <v>0.57999999999999996</v>
      </c>
      <c r="S2950" s="2">
        <v>45309</v>
      </c>
      <c r="T2950" s="1">
        <v>68.84</v>
      </c>
      <c r="U2950" s="1">
        <v>0.45800000000000002</v>
      </c>
      <c r="V2950" s="6">
        <f t="shared" si="138"/>
        <v>31810.799999999999</v>
      </c>
      <c r="W2950" s="6" t="str">
        <f t="shared" si="139"/>
        <v>Sufficient</v>
      </c>
      <c r="X2950" s="8" t="str">
        <f t="shared" si="140"/>
        <v>Medium</v>
      </c>
    </row>
    <row r="2951" spans="1:24">
      <c r="A2951" s="7" t="s">
        <v>3081</v>
      </c>
      <c r="B2951" s="1" t="s">
        <v>25</v>
      </c>
      <c r="C2951" s="1">
        <v>195</v>
      </c>
      <c r="D2951" s="1">
        <v>22</v>
      </c>
      <c r="E2951" s="1">
        <v>4</v>
      </c>
      <c r="F2951" s="1">
        <v>9</v>
      </c>
      <c r="G2951" s="1">
        <v>16.25</v>
      </c>
      <c r="H2951" s="1" t="s">
        <v>147</v>
      </c>
      <c r="I2951" s="1" t="s">
        <v>39</v>
      </c>
      <c r="J2951" s="1">
        <v>31</v>
      </c>
      <c r="K2951" s="1">
        <v>1.1499999999999999</v>
      </c>
      <c r="L2951" s="4">
        <v>106.29</v>
      </c>
      <c r="M2951" s="1">
        <v>1.17</v>
      </c>
      <c r="N2951" s="1">
        <v>4</v>
      </c>
      <c r="O2951" s="1">
        <v>0.96</v>
      </c>
      <c r="P2951" s="1">
        <v>414</v>
      </c>
      <c r="Q2951" s="1">
        <v>6.56</v>
      </c>
      <c r="R2951" s="1">
        <v>0.33</v>
      </c>
      <c r="S2951" s="2">
        <v>45598</v>
      </c>
      <c r="T2951" s="1">
        <v>15.5</v>
      </c>
      <c r="U2951" s="1">
        <v>0.54800000000000004</v>
      </c>
      <c r="V2951" s="6">
        <f t="shared" si="138"/>
        <v>20726.550000000003</v>
      </c>
      <c r="W2951" s="6" t="str">
        <f t="shared" si="139"/>
        <v>Sufficient</v>
      </c>
      <c r="X2951" s="8" t="str">
        <f t="shared" si="140"/>
        <v>Medium</v>
      </c>
    </row>
    <row r="2952" spans="1:24">
      <c r="A2952" s="7" t="s">
        <v>3082</v>
      </c>
      <c r="B2952" s="1" t="s">
        <v>41</v>
      </c>
      <c r="C2952" s="1">
        <v>295</v>
      </c>
      <c r="D2952" s="1">
        <v>74</v>
      </c>
      <c r="E2952" s="1">
        <v>13</v>
      </c>
      <c r="F2952" s="1">
        <v>5</v>
      </c>
      <c r="G2952" s="1">
        <v>42.65</v>
      </c>
      <c r="H2952" s="1" t="s">
        <v>279</v>
      </c>
      <c r="I2952" s="1" t="s">
        <v>27</v>
      </c>
      <c r="J2952" s="1">
        <v>131</v>
      </c>
      <c r="K2952" s="1">
        <v>1.03</v>
      </c>
      <c r="L2952" s="4">
        <v>97.69</v>
      </c>
      <c r="M2952" s="1">
        <v>0.86</v>
      </c>
      <c r="N2952" s="1">
        <v>7</v>
      </c>
      <c r="O2952" s="1">
        <v>0.81</v>
      </c>
      <c r="P2952" s="1">
        <v>281</v>
      </c>
      <c r="Q2952" s="1">
        <v>1.42</v>
      </c>
      <c r="R2952" s="1">
        <v>0.85</v>
      </c>
      <c r="S2952" s="2">
        <v>45553</v>
      </c>
      <c r="T2952" s="1">
        <v>96.71</v>
      </c>
      <c r="U2952" s="1">
        <v>0.52500000000000002</v>
      </c>
      <c r="V2952" s="6">
        <f t="shared" si="138"/>
        <v>28818.55</v>
      </c>
      <c r="W2952" s="6" t="str">
        <f t="shared" si="139"/>
        <v>Sufficient</v>
      </c>
      <c r="X2952" s="8" t="str">
        <f t="shared" si="140"/>
        <v>High</v>
      </c>
    </row>
    <row r="2953" spans="1:24">
      <c r="A2953" s="7" t="s">
        <v>3083</v>
      </c>
      <c r="B2953" s="1" t="s">
        <v>29</v>
      </c>
      <c r="C2953" s="1">
        <v>58</v>
      </c>
      <c r="D2953" s="1">
        <v>29</v>
      </c>
      <c r="E2953" s="1">
        <v>10</v>
      </c>
      <c r="F2953" s="1">
        <v>9</v>
      </c>
      <c r="G2953" s="1">
        <v>30.56</v>
      </c>
      <c r="H2953" s="1" t="s">
        <v>122</v>
      </c>
      <c r="I2953" s="1" t="s">
        <v>27</v>
      </c>
      <c r="J2953" s="1">
        <v>138</v>
      </c>
      <c r="K2953" s="1">
        <v>0.91</v>
      </c>
      <c r="L2953" s="4">
        <v>198.15</v>
      </c>
      <c r="M2953" s="1">
        <v>1.96</v>
      </c>
      <c r="N2953" s="1">
        <v>6</v>
      </c>
      <c r="O2953" s="1">
        <v>0.79</v>
      </c>
      <c r="P2953" s="1">
        <v>739</v>
      </c>
      <c r="Q2953" s="1">
        <v>5.33</v>
      </c>
      <c r="R2953" s="1">
        <v>0.49</v>
      </c>
      <c r="S2953" s="2">
        <v>45556</v>
      </c>
      <c r="T2953" s="1">
        <v>75.63</v>
      </c>
      <c r="U2953" s="1">
        <v>0.41099999999999998</v>
      </c>
      <c r="V2953" s="6">
        <f t="shared" si="138"/>
        <v>11492.7</v>
      </c>
      <c r="W2953" s="6" t="str">
        <f t="shared" si="139"/>
        <v>Sufficient</v>
      </c>
      <c r="X2953" s="8" t="str">
        <f t="shared" si="140"/>
        <v>LOW</v>
      </c>
    </row>
    <row r="2954" spans="1:24">
      <c r="A2954" s="7" t="s">
        <v>3084</v>
      </c>
      <c r="B2954" s="1" t="s">
        <v>33</v>
      </c>
      <c r="C2954" s="1">
        <v>79</v>
      </c>
      <c r="D2954" s="1">
        <v>66</v>
      </c>
      <c r="E2954" s="1">
        <v>9</v>
      </c>
      <c r="F2954" s="1">
        <v>9</v>
      </c>
      <c r="G2954" s="1">
        <v>8.14</v>
      </c>
      <c r="H2954" s="1" t="s">
        <v>83</v>
      </c>
      <c r="I2954" s="1" t="s">
        <v>31</v>
      </c>
      <c r="J2954" s="1">
        <v>63</v>
      </c>
      <c r="K2954" s="1">
        <v>2.09</v>
      </c>
      <c r="L2954" s="4">
        <v>105.84</v>
      </c>
      <c r="M2954" s="1">
        <v>0.17</v>
      </c>
      <c r="N2954" s="1">
        <v>0</v>
      </c>
      <c r="O2954" s="1">
        <v>0.94</v>
      </c>
      <c r="P2954" s="1">
        <v>719</v>
      </c>
      <c r="Q2954" s="1">
        <v>8.9600000000000009</v>
      </c>
      <c r="R2954" s="1">
        <v>0.73</v>
      </c>
      <c r="S2954" s="2">
        <v>45649</v>
      </c>
      <c r="T2954" s="1">
        <v>131.72999999999999</v>
      </c>
      <c r="U2954" s="1">
        <v>0.83599999999999997</v>
      </c>
      <c r="V2954" s="6">
        <f t="shared" si="138"/>
        <v>8361.36</v>
      </c>
      <c r="W2954" s="6" t="str">
        <f t="shared" si="139"/>
        <v>Sufficient</v>
      </c>
      <c r="X2954" s="8" t="str">
        <f t="shared" si="140"/>
        <v>LOW</v>
      </c>
    </row>
    <row r="2955" spans="1:24">
      <c r="A2955" s="7" t="s">
        <v>3085</v>
      </c>
      <c r="B2955" s="1" t="s">
        <v>25</v>
      </c>
      <c r="C2955" s="1">
        <v>85</v>
      </c>
      <c r="D2955" s="1">
        <v>55</v>
      </c>
      <c r="E2955" s="1">
        <v>12</v>
      </c>
      <c r="F2955" s="1">
        <v>5</v>
      </c>
      <c r="G2955" s="1">
        <v>36.6</v>
      </c>
      <c r="H2955" s="1" t="s">
        <v>145</v>
      </c>
      <c r="I2955" s="1" t="s">
        <v>27</v>
      </c>
      <c r="J2955" s="1">
        <v>157</v>
      </c>
      <c r="K2955" s="1">
        <v>3.58</v>
      </c>
      <c r="L2955" s="4">
        <v>16.079999999999998</v>
      </c>
      <c r="M2955" s="1">
        <v>0.51</v>
      </c>
      <c r="N2955" s="1">
        <v>1</v>
      </c>
      <c r="O2955" s="1">
        <v>0.98</v>
      </c>
      <c r="P2955" s="1">
        <v>708</v>
      </c>
      <c r="Q2955" s="1">
        <v>14.03</v>
      </c>
      <c r="R2955" s="1">
        <v>0.45</v>
      </c>
      <c r="S2955" s="2">
        <v>45410</v>
      </c>
      <c r="T2955" s="1">
        <v>230.11</v>
      </c>
      <c r="U2955" s="1">
        <v>0.80200000000000005</v>
      </c>
      <c r="V2955" s="6">
        <f t="shared" si="138"/>
        <v>1366.8</v>
      </c>
      <c r="W2955" s="6" t="str">
        <f t="shared" si="139"/>
        <v>Sufficient</v>
      </c>
      <c r="X2955" s="8" t="str">
        <f t="shared" si="140"/>
        <v>LOW</v>
      </c>
    </row>
    <row r="2956" spans="1:24">
      <c r="A2956" s="7" t="s">
        <v>3086</v>
      </c>
      <c r="B2956" s="1" t="s">
        <v>25</v>
      </c>
      <c r="C2956" s="1">
        <v>340</v>
      </c>
      <c r="D2956" s="1">
        <v>17</v>
      </c>
      <c r="E2956" s="1">
        <v>9</v>
      </c>
      <c r="F2956" s="1">
        <v>6</v>
      </c>
      <c r="G2956" s="1">
        <v>11.17</v>
      </c>
      <c r="H2956" s="1" t="s">
        <v>200</v>
      </c>
      <c r="I2956" s="1" t="s">
        <v>39</v>
      </c>
      <c r="J2956" s="1">
        <v>67</v>
      </c>
      <c r="K2956" s="1">
        <v>2.1</v>
      </c>
      <c r="L2956" s="4">
        <v>129.03</v>
      </c>
      <c r="M2956" s="1">
        <v>0.64</v>
      </c>
      <c r="N2956" s="1">
        <v>6</v>
      </c>
      <c r="O2956" s="1">
        <v>0.92</v>
      </c>
      <c r="P2956" s="1">
        <v>529</v>
      </c>
      <c r="Q2956" s="1">
        <v>14.87</v>
      </c>
      <c r="R2956" s="1">
        <v>0.55000000000000004</v>
      </c>
      <c r="S2956" s="2">
        <v>45606</v>
      </c>
      <c r="T2956" s="1">
        <v>157.83000000000001</v>
      </c>
      <c r="U2956" s="1">
        <v>0.70799999999999996</v>
      </c>
      <c r="V2956" s="6">
        <f t="shared" si="138"/>
        <v>43870.2</v>
      </c>
      <c r="W2956" s="6" t="str">
        <f t="shared" si="139"/>
        <v>Sufficient</v>
      </c>
      <c r="X2956" s="8" t="str">
        <f t="shared" si="140"/>
        <v>High</v>
      </c>
    </row>
    <row r="2957" spans="1:24">
      <c r="A2957" s="7" t="s">
        <v>3087</v>
      </c>
      <c r="B2957" s="1" t="s">
        <v>66</v>
      </c>
      <c r="C2957" s="1">
        <v>454</v>
      </c>
      <c r="D2957" s="1">
        <v>19</v>
      </c>
      <c r="E2957" s="1">
        <v>7</v>
      </c>
      <c r="F2957" s="1">
        <v>9</v>
      </c>
      <c r="G2957" s="1">
        <v>22.22</v>
      </c>
      <c r="H2957" s="1" t="s">
        <v>333</v>
      </c>
      <c r="I2957" s="1" t="s">
        <v>31</v>
      </c>
      <c r="J2957" s="1">
        <v>172</v>
      </c>
      <c r="K2957" s="1">
        <v>3.74</v>
      </c>
      <c r="L2957" s="4">
        <v>148.32</v>
      </c>
      <c r="M2957" s="1">
        <v>1.77</v>
      </c>
      <c r="N2957" s="1">
        <v>2</v>
      </c>
      <c r="O2957" s="1">
        <v>0.75</v>
      </c>
      <c r="P2957" s="1">
        <v>355</v>
      </c>
      <c r="Q2957" s="1">
        <v>6.93</v>
      </c>
      <c r="R2957" s="1">
        <v>0.63</v>
      </c>
      <c r="S2957" s="2">
        <v>45378</v>
      </c>
      <c r="T2957" s="1">
        <v>232.74</v>
      </c>
      <c r="U2957" s="1">
        <v>0.55100000000000005</v>
      </c>
      <c r="V2957" s="6">
        <f t="shared" si="138"/>
        <v>67337.279999999999</v>
      </c>
      <c r="W2957" s="6" t="str">
        <f t="shared" si="139"/>
        <v>Sufficient</v>
      </c>
      <c r="X2957" s="8" t="str">
        <f t="shared" si="140"/>
        <v>High</v>
      </c>
    </row>
    <row r="2958" spans="1:24">
      <c r="A2958" s="7" t="s">
        <v>3088</v>
      </c>
      <c r="B2958" s="1" t="s">
        <v>66</v>
      </c>
      <c r="C2958" s="1">
        <v>143</v>
      </c>
      <c r="D2958" s="1">
        <v>82</v>
      </c>
      <c r="E2958" s="1">
        <v>14</v>
      </c>
      <c r="F2958" s="1">
        <v>5</v>
      </c>
      <c r="G2958" s="1">
        <v>32.68</v>
      </c>
      <c r="H2958" s="1" t="s">
        <v>210</v>
      </c>
      <c r="I2958" s="1" t="s">
        <v>31</v>
      </c>
      <c r="J2958" s="1">
        <v>79</v>
      </c>
      <c r="K2958" s="1">
        <v>4.1900000000000004</v>
      </c>
      <c r="L2958" s="4">
        <v>178.18</v>
      </c>
      <c r="M2958" s="1">
        <v>1.85</v>
      </c>
      <c r="N2958" s="1">
        <v>1</v>
      </c>
      <c r="O2958" s="1">
        <v>0.82</v>
      </c>
      <c r="P2958" s="1">
        <v>487</v>
      </c>
      <c r="Q2958" s="1">
        <v>6.99</v>
      </c>
      <c r="R2958" s="1">
        <v>0.81</v>
      </c>
      <c r="S2958" s="2">
        <v>45637</v>
      </c>
      <c r="T2958" s="1">
        <v>107.64</v>
      </c>
      <c r="U2958" s="1">
        <v>0.61399999999999999</v>
      </c>
      <c r="V2958" s="6">
        <f t="shared" si="138"/>
        <v>25479.74</v>
      </c>
      <c r="W2958" s="6" t="str">
        <f t="shared" si="139"/>
        <v>Sufficient</v>
      </c>
      <c r="X2958" s="8" t="str">
        <f t="shared" si="140"/>
        <v>Medium</v>
      </c>
    </row>
    <row r="2959" spans="1:24">
      <c r="A2959" s="7" t="s">
        <v>3089</v>
      </c>
      <c r="B2959" s="1" t="s">
        <v>25</v>
      </c>
      <c r="C2959" s="1">
        <v>183</v>
      </c>
      <c r="D2959" s="1">
        <v>76</v>
      </c>
      <c r="E2959" s="1">
        <v>11</v>
      </c>
      <c r="F2959" s="1">
        <v>7</v>
      </c>
      <c r="G2959" s="1">
        <v>14.32</v>
      </c>
      <c r="H2959" s="1" t="s">
        <v>176</v>
      </c>
      <c r="I2959" s="1" t="s">
        <v>31</v>
      </c>
      <c r="J2959" s="1">
        <v>72</v>
      </c>
      <c r="K2959" s="1">
        <v>3.5</v>
      </c>
      <c r="L2959" s="4">
        <v>130.21</v>
      </c>
      <c r="M2959" s="1">
        <v>1.71</v>
      </c>
      <c r="N2959" s="1">
        <v>8</v>
      </c>
      <c r="O2959" s="1">
        <v>0.93</v>
      </c>
      <c r="P2959" s="1">
        <v>300</v>
      </c>
      <c r="Q2959" s="1">
        <v>3.24</v>
      </c>
      <c r="R2959" s="1">
        <v>0.87</v>
      </c>
      <c r="S2959" s="2">
        <v>45310</v>
      </c>
      <c r="T2959" s="1">
        <v>13.82</v>
      </c>
      <c r="U2959" s="1">
        <v>0.47199999999999998</v>
      </c>
      <c r="V2959" s="6">
        <f t="shared" si="138"/>
        <v>23828.43</v>
      </c>
      <c r="W2959" s="6" t="str">
        <f t="shared" si="139"/>
        <v>Sufficient</v>
      </c>
      <c r="X2959" s="8" t="str">
        <f t="shared" si="140"/>
        <v>Medium</v>
      </c>
    </row>
    <row r="2960" spans="1:24">
      <c r="A2960" s="7" t="s">
        <v>3090</v>
      </c>
      <c r="B2960" s="1" t="s">
        <v>41</v>
      </c>
      <c r="C2960" s="1">
        <v>427</v>
      </c>
      <c r="D2960" s="1">
        <v>20</v>
      </c>
      <c r="E2960" s="1">
        <v>7</v>
      </c>
      <c r="F2960" s="1">
        <v>9</v>
      </c>
      <c r="G2960" s="1">
        <v>19.82</v>
      </c>
      <c r="H2960" s="1" t="s">
        <v>132</v>
      </c>
      <c r="I2960" s="1" t="s">
        <v>45</v>
      </c>
      <c r="J2960" s="1">
        <v>12</v>
      </c>
      <c r="K2960" s="1">
        <v>2.59</v>
      </c>
      <c r="L2960" s="4">
        <v>13.7</v>
      </c>
      <c r="M2960" s="1">
        <v>0.89</v>
      </c>
      <c r="N2960" s="1">
        <v>9</v>
      </c>
      <c r="O2960" s="1">
        <v>0.97</v>
      </c>
      <c r="P2960" s="1">
        <v>900</v>
      </c>
      <c r="Q2960" s="1">
        <v>7.98</v>
      </c>
      <c r="R2960" s="1">
        <v>0.55000000000000004</v>
      </c>
      <c r="S2960" s="2">
        <v>45476</v>
      </c>
      <c r="T2960" s="1">
        <v>277.43</v>
      </c>
      <c r="U2960" s="1">
        <v>0.54100000000000004</v>
      </c>
      <c r="V2960" s="6">
        <f t="shared" si="138"/>
        <v>5849.9</v>
      </c>
      <c r="W2960" s="6" t="str">
        <f t="shared" si="139"/>
        <v>Sufficient</v>
      </c>
      <c r="X2960" s="8" t="str">
        <f t="shared" si="140"/>
        <v>High</v>
      </c>
    </row>
    <row r="2961" spans="1:24">
      <c r="A2961" s="7" t="s">
        <v>3091</v>
      </c>
      <c r="B2961" s="1" t="s">
        <v>33</v>
      </c>
      <c r="C2961" s="1">
        <v>430</v>
      </c>
      <c r="D2961" s="1">
        <v>21</v>
      </c>
      <c r="E2961" s="1">
        <v>4</v>
      </c>
      <c r="F2961" s="1">
        <v>4</v>
      </c>
      <c r="G2961" s="1">
        <v>36.97</v>
      </c>
      <c r="H2961" s="1" t="s">
        <v>195</v>
      </c>
      <c r="I2961" s="1" t="s">
        <v>39</v>
      </c>
      <c r="J2961" s="1">
        <v>108</v>
      </c>
      <c r="K2961" s="1">
        <v>1.83</v>
      </c>
      <c r="L2961" s="4">
        <v>32.75</v>
      </c>
      <c r="M2961" s="1">
        <v>1.84</v>
      </c>
      <c r="N2961" s="1">
        <v>7</v>
      </c>
      <c r="O2961" s="1">
        <v>1</v>
      </c>
      <c r="P2961" s="1">
        <v>391</v>
      </c>
      <c r="Q2961" s="1">
        <v>14.16</v>
      </c>
      <c r="R2961" s="1">
        <v>0.39</v>
      </c>
      <c r="S2961" s="2">
        <v>45414</v>
      </c>
      <c r="T2961" s="1">
        <v>101.27</v>
      </c>
      <c r="U2961" s="1">
        <v>0.54300000000000004</v>
      </c>
      <c r="V2961" s="6">
        <f t="shared" si="138"/>
        <v>14082.5</v>
      </c>
      <c r="W2961" s="6" t="str">
        <f t="shared" si="139"/>
        <v>Sufficient</v>
      </c>
      <c r="X2961" s="8" t="str">
        <f t="shared" si="140"/>
        <v>High</v>
      </c>
    </row>
    <row r="2962" spans="1:24">
      <c r="A2962" s="7" t="s">
        <v>3092</v>
      </c>
      <c r="B2962" s="1" t="s">
        <v>66</v>
      </c>
      <c r="C2962" s="1">
        <v>405</v>
      </c>
      <c r="D2962" s="1">
        <v>19</v>
      </c>
      <c r="E2962" s="1">
        <v>5</v>
      </c>
      <c r="F2962" s="1">
        <v>2</v>
      </c>
      <c r="G2962" s="1">
        <v>46.96</v>
      </c>
      <c r="H2962" s="1" t="s">
        <v>331</v>
      </c>
      <c r="I2962" s="1" t="s">
        <v>45</v>
      </c>
      <c r="J2962" s="1">
        <v>54</v>
      </c>
      <c r="K2962" s="1">
        <v>1.06</v>
      </c>
      <c r="L2962" s="4">
        <v>40.64</v>
      </c>
      <c r="M2962" s="1">
        <v>0.28999999999999998</v>
      </c>
      <c r="N2962" s="1">
        <v>7</v>
      </c>
      <c r="O2962" s="1">
        <v>0.85</v>
      </c>
      <c r="P2962" s="1">
        <v>181</v>
      </c>
      <c r="Q2962" s="1">
        <v>3.32</v>
      </c>
      <c r="R2962" s="1">
        <v>0.32</v>
      </c>
      <c r="S2962" s="2">
        <v>45627</v>
      </c>
      <c r="T2962" s="1">
        <v>162.79</v>
      </c>
      <c r="U2962" s="1">
        <v>0.50900000000000001</v>
      </c>
      <c r="V2962" s="6">
        <f t="shared" si="138"/>
        <v>16459.2</v>
      </c>
      <c r="W2962" s="6" t="str">
        <f t="shared" si="139"/>
        <v>Sufficient</v>
      </c>
      <c r="X2962" s="8" t="str">
        <f t="shared" si="140"/>
        <v>High</v>
      </c>
    </row>
    <row r="2963" spans="1:24">
      <c r="A2963" s="7" t="s">
        <v>3093</v>
      </c>
      <c r="B2963" s="1" t="s">
        <v>41</v>
      </c>
      <c r="C2963" s="1">
        <v>178</v>
      </c>
      <c r="D2963" s="1">
        <v>34</v>
      </c>
      <c r="E2963" s="1">
        <v>6</v>
      </c>
      <c r="F2963" s="1">
        <v>2</v>
      </c>
      <c r="G2963" s="1">
        <v>26.93</v>
      </c>
      <c r="H2963" s="1" t="s">
        <v>99</v>
      </c>
      <c r="I2963" s="1" t="s">
        <v>27</v>
      </c>
      <c r="J2963" s="1">
        <v>152</v>
      </c>
      <c r="K2963" s="1">
        <v>2.72</v>
      </c>
      <c r="L2963" s="4">
        <v>50.14</v>
      </c>
      <c r="M2963" s="1">
        <v>1.34</v>
      </c>
      <c r="N2963" s="1">
        <v>2</v>
      </c>
      <c r="O2963" s="1">
        <v>0.95</v>
      </c>
      <c r="P2963" s="1">
        <v>798</v>
      </c>
      <c r="Q2963" s="1">
        <v>4.7300000000000004</v>
      </c>
      <c r="R2963" s="1">
        <v>0.47</v>
      </c>
      <c r="S2963" s="2">
        <v>45292</v>
      </c>
      <c r="T2963" s="1">
        <v>146.07</v>
      </c>
      <c r="U2963" s="1">
        <v>0.57299999999999995</v>
      </c>
      <c r="V2963" s="6">
        <f t="shared" si="138"/>
        <v>8924.92</v>
      </c>
      <c r="W2963" s="6" t="str">
        <f t="shared" si="139"/>
        <v>Sufficient</v>
      </c>
      <c r="X2963" s="8" t="str">
        <f t="shared" si="140"/>
        <v>Medium</v>
      </c>
    </row>
    <row r="2964" spans="1:24">
      <c r="A2964" s="7" t="s">
        <v>3094</v>
      </c>
      <c r="B2964" s="1" t="s">
        <v>29</v>
      </c>
      <c r="C2964" s="1">
        <v>76</v>
      </c>
      <c r="D2964" s="1">
        <v>58</v>
      </c>
      <c r="E2964" s="1">
        <v>7</v>
      </c>
      <c r="F2964" s="1">
        <v>2</v>
      </c>
      <c r="G2964" s="1">
        <v>1.49</v>
      </c>
      <c r="H2964" s="1" t="s">
        <v>216</v>
      </c>
      <c r="I2964" s="1" t="s">
        <v>31</v>
      </c>
      <c r="J2964" s="1">
        <v>26</v>
      </c>
      <c r="K2964" s="1">
        <v>3.74</v>
      </c>
      <c r="L2964" s="4">
        <v>161.96</v>
      </c>
      <c r="M2964" s="1">
        <v>1.88</v>
      </c>
      <c r="N2964" s="1">
        <v>9</v>
      </c>
      <c r="O2964" s="1">
        <v>0.71</v>
      </c>
      <c r="P2964" s="1">
        <v>573</v>
      </c>
      <c r="Q2964" s="1">
        <v>13.48</v>
      </c>
      <c r="R2964" s="1">
        <v>0.84</v>
      </c>
      <c r="S2964" s="2">
        <v>45372</v>
      </c>
      <c r="T2964" s="1">
        <v>179.09</v>
      </c>
      <c r="U2964" s="1">
        <v>0.52200000000000002</v>
      </c>
      <c r="V2964" s="6">
        <f t="shared" si="138"/>
        <v>12308.960000000001</v>
      </c>
      <c r="W2964" s="6" t="str">
        <f t="shared" si="139"/>
        <v>Sufficient</v>
      </c>
      <c r="X2964" s="8" t="str">
        <f t="shared" si="140"/>
        <v>LOW</v>
      </c>
    </row>
    <row r="2965" spans="1:24">
      <c r="A2965" s="7" t="s">
        <v>3095</v>
      </c>
      <c r="B2965" s="1" t="s">
        <v>66</v>
      </c>
      <c r="C2965" s="1">
        <v>97</v>
      </c>
      <c r="D2965" s="1">
        <v>58</v>
      </c>
      <c r="E2965" s="1">
        <v>5</v>
      </c>
      <c r="F2965" s="1">
        <v>4</v>
      </c>
      <c r="G2965" s="1">
        <v>17.579999999999998</v>
      </c>
      <c r="H2965" s="1" t="s">
        <v>181</v>
      </c>
      <c r="I2965" s="1" t="s">
        <v>45</v>
      </c>
      <c r="J2965" s="1">
        <v>152</v>
      </c>
      <c r="K2965" s="1">
        <v>2.97</v>
      </c>
      <c r="L2965" s="4">
        <v>68.849999999999994</v>
      </c>
      <c r="M2965" s="1">
        <v>1.53</v>
      </c>
      <c r="N2965" s="1">
        <v>8</v>
      </c>
      <c r="O2965" s="1">
        <v>0.79</v>
      </c>
      <c r="P2965" s="1">
        <v>704</v>
      </c>
      <c r="Q2965" s="1">
        <v>9.77</v>
      </c>
      <c r="R2965" s="1">
        <v>0.42</v>
      </c>
      <c r="S2965" s="2">
        <v>45336</v>
      </c>
      <c r="T2965" s="1">
        <v>266.64</v>
      </c>
      <c r="U2965" s="1">
        <v>0.45900000000000002</v>
      </c>
      <c r="V2965" s="6">
        <f t="shared" si="138"/>
        <v>6678.45</v>
      </c>
      <c r="W2965" s="6" t="str">
        <f t="shared" si="139"/>
        <v>Sufficient</v>
      </c>
      <c r="X2965" s="8" t="str">
        <f t="shared" si="140"/>
        <v>LOW</v>
      </c>
    </row>
    <row r="2966" spans="1:24">
      <c r="A2966" s="7" t="s">
        <v>3096</v>
      </c>
      <c r="B2966" s="1" t="s">
        <v>41</v>
      </c>
      <c r="C2966" s="1">
        <v>213</v>
      </c>
      <c r="D2966" s="1">
        <v>98</v>
      </c>
      <c r="E2966" s="1">
        <v>14</v>
      </c>
      <c r="F2966" s="1">
        <v>5</v>
      </c>
      <c r="G2966" s="1">
        <v>20.53</v>
      </c>
      <c r="H2966" s="1" t="s">
        <v>72</v>
      </c>
      <c r="I2966" s="1" t="s">
        <v>27</v>
      </c>
      <c r="J2966" s="1">
        <v>14</v>
      </c>
      <c r="K2966" s="1">
        <v>3.75</v>
      </c>
      <c r="L2966" s="4">
        <v>69.349999999999994</v>
      </c>
      <c r="M2966" s="1">
        <v>0.63</v>
      </c>
      <c r="N2966" s="1">
        <v>7</v>
      </c>
      <c r="O2966" s="1">
        <v>0.81</v>
      </c>
      <c r="P2966" s="1">
        <v>555</v>
      </c>
      <c r="Q2966" s="1">
        <v>5.63</v>
      </c>
      <c r="R2966" s="1">
        <v>0.24</v>
      </c>
      <c r="S2966" s="2">
        <v>45433</v>
      </c>
      <c r="T2966" s="1">
        <v>261.5</v>
      </c>
      <c r="U2966" s="1">
        <v>0.48199999999999998</v>
      </c>
      <c r="V2966" s="6">
        <f t="shared" si="138"/>
        <v>14771.55</v>
      </c>
      <c r="W2966" s="6" t="str">
        <f t="shared" si="139"/>
        <v>Sufficient</v>
      </c>
      <c r="X2966" s="8" t="str">
        <f t="shared" si="140"/>
        <v>Medium</v>
      </c>
    </row>
    <row r="2967" spans="1:24">
      <c r="A2967" s="7" t="s">
        <v>3097</v>
      </c>
      <c r="B2967" s="1" t="s">
        <v>41</v>
      </c>
      <c r="C2967" s="1">
        <v>304</v>
      </c>
      <c r="D2967" s="1">
        <v>20</v>
      </c>
      <c r="E2967" s="1">
        <v>9</v>
      </c>
      <c r="F2967" s="1">
        <v>6</v>
      </c>
      <c r="G2967" s="1">
        <v>17.62</v>
      </c>
      <c r="H2967" s="1" t="s">
        <v>151</v>
      </c>
      <c r="I2967" s="1" t="s">
        <v>45</v>
      </c>
      <c r="J2967" s="1">
        <v>20</v>
      </c>
      <c r="K2967" s="1">
        <v>2.0099999999999998</v>
      </c>
      <c r="L2967" s="4">
        <v>153.56</v>
      </c>
      <c r="M2967" s="1">
        <v>1.46</v>
      </c>
      <c r="N2967" s="1">
        <v>1</v>
      </c>
      <c r="O2967" s="1">
        <v>0.99</v>
      </c>
      <c r="P2967" s="1">
        <v>448</v>
      </c>
      <c r="Q2967" s="1">
        <v>12.38</v>
      </c>
      <c r="R2967" s="1">
        <v>0.65</v>
      </c>
      <c r="S2967" s="2">
        <v>45496</v>
      </c>
      <c r="T2967" s="1">
        <v>294.5</v>
      </c>
      <c r="U2967" s="1">
        <v>0.72699999999999998</v>
      </c>
      <c r="V2967" s="6">
        <f t="shared" si="138"/>
        <v>46682.239999999998</v>
      </c>
      <c r="W2967" s="6" t="str">
        <f t="shared" si="139"/>
        <v>Sufficient</v>
      </c>
      <c r="X2967" s="8" t="str">
        <f t="shared" si="140"/>
        <v>High</v>
      </c>
    </row>
    <row r="2968" spans="1:24">
      <c r="A2968" s="7" t="s">
        <v>3098</v>
      </c>
      <c r="B2968" s="1" t="s">
        <v>33</v>
      </c>
      <c r="C2968" s="1">
        <v>34</v>
      </c>
      <c r="D2968" s="1">
        <v>71</v>
      </c>
      <c r="E2968" s="1">
        <v>7</v>
      </c>
      <c r="F2968" s="1">
        <v>8</v>
      </c>
      <c r="G2968" s="1">
        <v>22.38</v>
      </c>
      <c r="H2968" s="1" t="s">
        <v>159</v>
      </c>
      <c r="I2968" s="1" t="s">
        <v>31</v>
      </c>
      <c r="J2968" s="1">
        <v>101</v>
      </c>
      <c r="K2968" s="1">
        <v>0.8</v>
      </c>
      <c r="L2968" s="4">
        <v>88.36</v>
      </c>
      <c r="M2968" s="1">
        <v>0.66</v>
      </c>
      <c r="N2968" s="1">
        <v>6</v>
      </c>
      <c r="O2968" s="1">
        <v>0.7</v>
      </c>
      <c r="P2968" s="1">
        <v>955</v>
      </c>
      <c r="Q2968" s="1">
        <v>2.5299999999999998</v>
      </c>
      <c r="R2968" s="1">
        <v>0.23</v>
      </c>
      <c r="S2968" s="2">
        <v>45472</v>
      </c>
      <c r="T2968" s="1">
        <v>163.22999999999999</v>
      </c>
      <c r="U2968" s="1">
        <v>0.434</v>
      </c>
      <c r="V2968" s="6">
        <f t="shared" si="138"/>
        <v>3004.24</v>
      </c>
      <c r="W2968" s="6" t="str">
        <f t="shared" si="139"/>
        <v>Reorder Required</v>
      </c>
      <c r="X2968" s="8" t="str">
        <f t="shared" si="140"/>
        <v>LOW</v>
      </c>
    </row>
    <row r="2969" spans="1:24">
      <c r="A2969" s="7" t="s">
        <v>3099</v>
      </c>
      <c r="B2969" s="1" t="s">
        <v>33</v>
      </c>
      <c r="C2969" s="1">
        <v>31</v>
      </c>
      <c r="D2969" s="1">
        <v>45</v>
      </c>
      <c r="E2969" s="1">
        <v>7</v>
      </c>
      <c r="F2969" s="1">
        <v>3</v>
      </c>
      <c r="G2969" s="1">
        <v>32</v>
      </c>
      <c r="H2969" s="1" t="s">
        <v>331</v>
      </c>
      <c r="I2969" s="1" t="s">
        <v>27</v>
      </c>
      <c r="J2969" s="1">
        <v>151</v>
      </c>
      <c r="K2969" s="1">
        <v>3.97</v>
      </c>
      <c r="L2969" s="4">
        <v>22.28</v>
      </c>
      <c r="M2969" s="1">
        <v>0.31</v>
      </c>
      <c r="N2969" s="1">
        <v>7</v>
      </c>
      <c r="O2969" s="1">
        <v>0.79</v>
      </c>
      <c r="P2969" s="1">
        <v>167</v>
      </c>
      <c r="Q2969" s="1">
        <v>13.02</v>
      </c>
      <c r="R2969" s="1">
        <v>0.91</v>
      </c>
      <c r="S2969" s="2">
        <v>45634</v>
      </c>
      <c r="T2969" s="1">
        <v>277.51</v>
      </c>
      <c r="U2969" s="1">
        <v>0.74299999999999999</v>
      </c>
      <c r="V2969" s="6">
        <f t="shared" si="138"/>
        <v>690.68000000000006</v>
      </c>
      <c r="W2969" s="6" t="str">
        <f t="shared" si="139"/>
        <v>Reorder Required</v>
      </c>
      <c r="X2969" s="8" t="str">
        <f t="shared" si="140"/>
        <v>LOW</v>
      </c>
    </row>
    <row r="2970" spans="1:24">
      <c r="A2970" s="7" t="s">
        <v>3100</v>
      </c>
      <c r="B2970" s="1" t="s">
        <v>29</v>
      </c>
      <c r="C2970" s="1">
        <v>120</v>
      </c>
      <c r="D2970" s="1">
        <v>48</v>
      </c>
      <c r="E2970" s="1">
        <v>8</v>
      </c>
      <c r="F2970" s="1">
        <v>5</v>
      </c>
      <c r="G2970" s="1">
        <v>6.94</v>
      </c>
      <c r="H2970" s="1" t="s">
        <v>200</v>
      </c>
      <c r="I2970" s="1" t="s">
        <v>31</v>
      </c>
      <c r="J2970" s="1">
        <v>48</v>
      </c>
      <c r="K2970" s="1">
        <v>1.49</v>
      </c>
      <c r="L2970" s="4">
        <v>121.17</v>
      </c>
      <c r="M2970" s="1">
        <v>1.46</v>
      </c>
      <c r="N2970" s="1">
        <v>6</v>
      </c>
      <c r="O2970" s="1">
        <v>0.98</v>
      </c>
      <c r="P2970" s="1">
        <v>110</v>
      </c>
      <c r="Q2970" s="1">
        <v>8.25</v>
      </c>
      <c r="R2970" s="1">
        <v>0.74</v>
      </c>
      <c r="S2970" s="2">
        <v>45494</v>
      </c>
      <c r="T2970" s="1">
        <v>149.91</v>
      </c>
      <c r="U2970" s="1">
        <v>0.58799999999999997</v>
      </c>
      <c r="V2970" s="6">
        <f t="shared" si="138"/>
        <v>14540.4</v>
      </c>
      <c r="W2970" s="6" t="str">
        <f t="shared" si="139"/>
        <v>Sufficient</v>
      </c>
      <c r="X2970" s="8" t="str">
        <f t="shared" si="140"/>
        <v>Medium</v>
      </c>
    </row>
    <row r="2971" spans="1:24">
      <c r="A2971" s="7" t="s">
        <v>3101</v>
      </c>
      <c r="B2971" s="1" t="s">
        <v>41</v>
      </c>
      <c r="C2971" s="1">
        <v>175</v>
      </c>
      <c r="D2971" s="1">
        <v>62</v>
      </c>
      <c r="E2971" s="1">
        <v>9</v>
      </c>
      <c r="F2971" s="1">
        <v>4</v>
      </c>
      <c r="G2971" s="1">
        <v>14.36</v>
      </c>
      <c r="H2971" s="1" t="s">
        <v>132</v>
      </c>
      <c r="I2971" s="1" t="s">
        <v>31</v>
      </c>
      <c r="J2971" s="1">
        <v>51</v>
      </c>
      <c r="K2971" s="1">
        <v>3.27</v>
      </c>
      <c r="L2971" s="4">
        <v>34.71</v>
      </c>
      <c r="M2971" s="1">
        <v>0.44</v>
      </c>
      <c r="N2971" s="1">
        <v>8</v>
      </c>
      <c r="O2971" s="1">
        <v>0.79</v>
      </c>
      <c r="P2971" s="1">
        <v>964</v>
      </c>
      <c r="Q2971" s="1">
        <v>11.6</v>
      </c>
      <c r="R2971" s="1">
        <v>0.41</v>
      </c>
      <c r="S2971" s="2">
        <v>45499</v>
      </c>
      <c r="T2971" s="1">
        <v>22.88</v>
      </c>
      <c r="U2971" s="1">
        <v>0.59099999999999997</v>
      </c>
      <c r="V2971" s="6">
        <f t="shared" si="138"/>
        <v>6074.25</v>
      </c>
      <c r="W2971" s="6" t="str">
        <f t="shared" si="139"/>
        <v>Sufficient</v>
      </c>
      <c r="X2971" s="8" t="str">
        <f t="shared" si="140"/>
        <v>Medium</v>
      </c>
    </row>
    <row r="2972" spans="1:24">
      <c r="A2972" s="7" t="s">
        <v>3102</v>
      </c>
      <c r="B2972" s="1" t="s">
        <v>41</v>
      </c>
      <c r="C2972" s="1">
        <v>359</v>
      </c>
      <c r="D2972" s="1">
        <v>99</v>
      </c>
      <c r="E2972" s="1">
        <v>12</v>
      </c>
      <c r="F2972" s="1">
        <v>9</v>
      </c>
      <c r="G2972" s="1">
        <v>25.87</v>
      </c>
      <c r="H2972" s="1" t="s">
        <v>26</v>
      </c>
      <c r="I2972" s="1" t="s">
        <v>45</v>
      </c>
      <c r="J2972" s="1">
        <v>103</v>
      </c>
      <c r="K2972" s="1">
        <v>4.12</v>
      </c>
      <c r="L2972" s="4">
        <v>118.62</v>
      </c>
      <c r="M2972" s="1">
        <v>0.31</v>
      </c>
      <c r="N2972" s="1">
        <v>6</v>
      </c>
      <c r="O2972" s="1">
        <v>0.77</v>
      </c>
      <c r="P2972" s="1">
        <v>230</v>
      </c>
      <c r="Q2972" s="1">
        <v>8.26</v>
      </c>
      <c r="R2972" s="1">
        <v>0.57999999999999996</v>
      </c>
      <c r="S2972" s="2">
        <v>45592</v>
      </c>
      <c r="T2972" s="1">
        <v>52.4</v>
      </c>
      <c r="U2972" s="1">
        <v>0.629</v>
      </c>
      <c r="V2972" s="6">
        <f t="shared" si="138"/>
        <v>42584.58</v>
      </c>
      <c r="W2972" s="6" t="str">
        <f t="shared" si="139"/>
        <v>Sufficient</v>
      </c>
      <c r="X2972" s="8" t="str">
        <f t="shared" si="140"/>
        <v>High</v>
      </c>
    </row>
    <row r="2973" spans="1:24">
      <c r="A2973" s="7" t="s">
        <v>3103</v>
      </c>
      <c r="B2973" s="1" t="s">
        <v>33</v>
      </c>
      <c r="C2973" s="1">
        <v>144</v>
      </c>
      <c r="D2973" s="1">
        <v>87</v>
      </c>
      <c r="E2973" s="1">
        <v>12</v>
      </c>
      <c r="F2973" s="1">
        <v>7</v>
      </c>
      <c r="G2973" s="1">
        <v>16.46</v>
      </c>
      <c r="H2973" s="1" t="s">
        <v>139</v>
      </c>
      <c r="I2973" s="1" t="s">
        <v>39</v>
      </c>
      <c r="J2973" s="1">
        <v>14</v>
      </c>
      <c r="K2973" s="1">
        <v>1.1299999999999999</v>
      </c>
      <c r="L2973" s="4">
        <v>158.13</v>
      </c>
      <c r="M2973" s="1">
        <v>1.1499999999999999</v>
      </c>
      <c r="N2973" s="1">
        <v>6</v>
      </c>
      <c r="O2973" s="1">
        <v>0.92</v>
      </c>
      <c r="P2973" s="1">
        <v>362</v>
      </c>
      <c r="Q2973" s="1">
        <v>4.45</v>
      </c>
      <c r="R2973" s="1">
        <v>0.79</v>
      </c>
      <c r="S2973" s="2">
        <v>45394</v>
      </c>
      <c r="T2973" s="1">
        <v>106.86</v>
      </c>
      <c r="U2973" s="1">
        <v>0.56599999999999995</v>
      </c>
      <c r="V2973" s="6">
        <f t="shared" si="138"/>
        <v>22770.720000000001</v>
      </c>
      <c r="W2973" s="6" t="str">
        <f t="shared" si="139"/>
        <v>Sufficient</v>
      </c>
      <c r="X2973" s="8" t="str">
        <f t="shared" si="140"/>
        <v>Medium</v>
      </c>
    </row>
    <row r="2974" spans="1:24">
      <c r="A2974" s="7" t="s">
        <v>3104</v>
      </c>
      <c r="B2974" s="1" t="s">
        <v>66</v>
      </c>
      <c r="C2974" s="1">
        <v>378</v>
      </c>
      <c r="D2974" s="1">
        <v>65</v>
      </c>
      <c r="E2974" s="1">
        <v>10</v>
      </c>
      <c r="F2974" s="1">
        <v>4</v>
      </c>
      <c r="G2974" s="1">
        <v>49.56</v>
      </c>
      <c r="H2974" s="1" t="s">
        <v>171</v>
      </c>
      <c r="I2974" s="1" t="s">
        <v>27</v>
      </c>
      <c r="J2974" s="1">
        <v>61</v>
      </c>
      <c r="K2974" s="1">
        <v>3.19</v>
      </c>
      <c r="L2974" s="4">
        <v>186.6</v>
      </c>
      <c r="M2974" s="1">
        <v>1.28</v>
      </c>
      <c r="N2974" s="1">
        <v>0</v>
      </c>
      <c r="O2974" s="1">
        <v>0.92</v>
      </c>
      <c r="P2974" s="1">
        <v>314</v>
      </c>
      <c r="Q2974" s="1">
        <v>9.9700000000000006</v>
      </c>
      <c r="R2974" s="1">
        <v>0.93</v>
      </c>
      <c r="S2974" s="2">
        <v>45557</v>
      </c>
      <c r="T2974" s="1">
        <v>220.38</v>
      </c>
      <c r="U2974" s="1">
        <v>0.77500000000000002</v>
      </c>
      <c r="V2974" s="6">
        <f t="shared" si="138"/>
        <v>70534.8</v>
      </c>
      <c r="W2974" s="6" t="str">
        <f t="shared" si="139"/>
        <v>Sufficient</v>
      </c>
      <c r="X2974" s="8" t="str">
        <f t="shared" si="140"/>
        <v>High</v>
      </c>
    </row>
    <row r="2975" spans="1:24">
      <c r="A2975" s="7" t="s">
        <v>3105</v>
      </c>
      <c r="B2975" s="1" t="s">
        <v>66</v>
      </c>
      <c r="C2975" s="1">
        <v>299</v>
      </c>
      <c r="D2975" s="1">
        <v>10</v>
      </c>
      <c r="E2975" s="1">
        <v>11</v>
      </c>
      <c r="F2975" s="1">
        <v>9</v>
      </c>
      <c r="G2975" s="1">
        <v>22.14</v>
      </c>
      <c r="H2975" s="1" t="s">
        <v>558</v>
      </c>
      <c r="I2975" s="1" t="s">
        <v>27</v>
      </c>
      <c r="J2975" s="1">
        <v>159</v>
      </c>
      <c r="K2975" s="1">
        <v>3.6</v>
      </c>
      <c r="L2975" s="4">
        <v>22.74</v>
      </c>
      <c r="M2975" s="1">
        <v>0.2</v>
      </c>
      <c r="N2975" s="1">
        <v>1</v>
      </c>
      <c r="O2975" s="1">
        <v>0.84</v>
      </c>
      <c r="P2975" s="1">
        <v>78</v>
      </c>
      <c r="Q2975" s="1">
        <v>3.17</v>
      </c>
      <c r="R2975" s="1">
        <v>0.9</v>
      </c>
      <c r="S2975" s="2">
        <v>45299</v>
      </c>
      <c r="T2975" s="1">
        <v>33.6</v>
      </c>
      <c r="U2975" s="1">
        <v>0.75</v>
      </c>
      <c r="V2975" s="6">
        <f t="shared" si="138"/>
        <v>6799.2599999999993</v>
      </c>
      <c r="W2975" s="6" t="str">
        <f t="shared" si="139"/>
        <v>Sufficient</v>
      </c>
      <c r="X2975" s="8" t="str">
        <f t="shared" si="140"/>
        <v>High</v>
      </c>
    </row>
    <row r="2976" spans="1:24">
      <c r="A2976" s="7" t="s">
        <v>3106</v>
      </c>
      <c r="B2976" s="1" t="s">
        <v>25</v>
      </c>
      <c r="C2976" s="1">
        <v>424</v>
      </c>
      <c r="D2976" s="1">
        <v>65</v>
      </c>
      <c r="E2976" s="1">
        <v>13</v>
      </c>
      <c r="F2976" s="1">
        <v>8</v>
      </c>
      <c r="G2976" s="1">
        <v>43.62</v>
      </c>
      <c r="H2976" s="1" t="s">
        <v>44</v>
      </c>
      <c r="I2976" s="1" t="s">
        <v>39</v>
      </c>
      <c r="J2976" s="1">
        <v>53</v>
      </c>
      <c r="K2976" s="1">
        <v>3.86</v>
      </c>
      <c r="L2976" s="4">
        <v>67.75</v>
      </c>
      <c r="M2976" s="1">
        <v>0.11</v>
      </c>
      <c r="N2976" s="1">
        <v>4</v>
      </c>
      <c r="O2976" s="1">
        <v>0.98</v>
      </c>
      <c r="P2976" s="1">
        <v>312</v>
      </c>
      <c r="Q2976" s="1">
        <v>4.22</v>
      </c>
      <c r="R2976" s="1">
        <v>0.26</v>
      </c>
      <c r="S2976" s="2">
        <v>45652</v>
      </c>
      <c r="T2976" s="1">
        <v>114.85</v>
      </c>
      <c r="U2976" s="1">
        <v>0.61299999999999999</v>
      </c>
      <c r="V2976" s="6">
        <f t="shared" si="138"/>
        <v>28726</v>
      </c>
      <c r="W2976" s="6" t="str">
        <f t="shared" si="139"/>
        <v>Sufficient</v>
      </c>
      <c r="X2976" s="8" t="str">
        <f t="shared" si="140"/>
        <v>High</v>
      </c>
    </row>
    <row r="2977" spans="1:24">
      <c r="A2977" s="7" t="s">
        <v>3107</v>
      </c>
      <c r="B2977" s="1" t="s">
        <v>33</v>
      </c>
      <c r="C2977" s="1">
        <v>413</v>
      </c>
      <c r="D2977" s="1">
        <v>13</v>
      </c>
      <c r="E2977" s="1">
        <v>6</v>
      </c>
      <c r="F2977" s="1">
        <v>2</v>
      </c>
      <c r="G2977" s="1">
        <v>44.93</v>
      </c>
      <c r="H2977" s="1" t="s">
        <v>44</v>
      </c>
      <c r="I2977" s="1" t="s">
        <v>27</v>
      </c>
      <c r="J2977" s="1">
        <v>124</v>
      </c>
      <c r="K2977" s="1">
        <v>1.1599999999999999</v>
      </c>
      <c r="L2977" s="4">
        <v>133.97</v>
      </c>
      <c r="M2977" s="1">
        <v>1.78</v>
      </c>
      <c r="N2977" s="1">
        <v>0</v>
      </c>
      <c r="O2977" s="1">
        <v>0.76</v>
      </c>
      <c r="P2977" s="1">
        <v>761</v>
      </c>
      <c r="Q2977" s="1">
        <v>8.69</v>
      </c>
      <c r="R2977" s="1">
        <v>0.26</v>
      </c>
      <c r="S2977" s="2">
        <v>45327</v>
      </c>
      <c r="T2977" s="1">
        <v>294.88</v>
      </c>
      <c r="U2977" s="1">
        <v>0.54200000000000004</v>
      </c>
      <c r="V2977" s="6">
        <f t="shared" si="138"/>
        <v>55329.61</v>
      </c>
      <c r="W2977" s="6" t="str">
        <f t="shared" si="139"/>
        <v>Sufficient</v>
      </c>
      <c r="X2977" s="8" t="str">
        <f t="shared" si="140"/>
        <v>High</v>
      </c>
    </row>
    <row r="2978" spans="1:24">
      <c r="A2978" s="7" t="s">
        <v>3108</v>
      </c>
      <c r="B2978" s="1" t="s">
        <v>25</v>
      </c>
      <c r="C2978" s="1">
        <v>129</v>
      </c>
      <c r="D2978" s="1">
        <v>39</v>
      </c>
      <c r="E2978" s="1">
        <v>7</v>
      </c>
      <c r="F2978" s="1">
        <v>5</v>
      </c>
      <c r="G2978" s="1">
        <v>41.96</v>
      </c>
      <c r="H2978" s="1" t="s">
        <v>47</v>
      </c>
      <c r="I2978" s="1" t="s">
        <v>45</v>
      </c>
      <c r="J2978" s="1">
        <v>162</v>
      </c>
      <c r="K2978" s="1">
        <v>4.21</v>
      </c>
      <c r="L2978" s="4">
        <v>69.94</v>
      </c>
      <c r="M2978" s="1">
        <v>0.32</v>
      </c>
      <c r="N2978" s="1">
        <v>9</v>
      </c>
      <c r="O2978" s="1">
        <v>0.97</v>
      </c>
      <c r="P2978" s="1">
        <v>666</v>
      </c>
      <c r="Q2978" s="1">
        <v>6.46</v>
      </c>
      <c r="R2978" s="1">
        <v>0.68</v>
      </c>
      <c r="S2978" s="2">
        <v>45338</v>
      </c>
      <c r="T2978" s="1">
        <v>237.85</v>
      </c>
      <c r="U2978" s="1">
        <v>0.60399999999999998</v>
      </c>
      <c r="V2978" s="6">
        <f t="shared" si="138"/>
        <v>9022.26</v>
      </c>
      <c r="W2978" s="6" t="str">
        <f t="shared" si="139"/>
        <v>Sufficient</v>
      </c>
      <c r="X2978" s="8" t="str">
        <f t="shared" si="140"/>
        <v>Medium</v>
      </c>
    </row>
    <row r="2979" spans="1:24">
      <c r="A2979" s="7" t="s">
        <v>3109</v>
      </c>
      <c r="B2979" s="1" t="s">
        <v>33</v>
      </c>
      <c r="C2979" s="1">
        <v>353</v>
      </c>
      <c r="D2979" s="1">
        <v>21</v>
      </c>
      <c r="E2979" s="1">
        <v>7</v>
      </c>
      <c r="F2979" s="1">
        <v>8</v>
      </c>
      <c r="G2979" s="1">
        <v>3.3</v>
      </c>
      <c r="H2979" s="1" t="s">
        <v>459</v>
      </c>
      <c r="I2979" s="1" t="s">
        <v>27</v>
      </c>
      <c r="J2979" s="1">
        <v>136</v>
      </c>
      <c r="K2979" s="1">
        <v>0.92</v>
      </c>
      <c r="L2979" s="4">
        <v>95.69</v>
      </c>
      <c r="M2979" s="1">
        <v>1.21</v>
      </c>
      <c r="N2979" s="1">
        <v>6</v>
      </c>
      <c r="O2979" s="1">
        <v>0.93</v>
      </c>
      <c r="P2979" s="1">
        <v>962</v>
      </c>
      <c r="Q2979" s="1">
        <v>11.43</v>
      </c>
      <c r="R2979" s="1">
        <v>0.6</v>
      </c>
      <c r="S2979" s="2">
        <v>45573</v>
      </c>
      <c r="T2979" s="1">
        <v>175.88</v>
      </c>
      <c r="U2979" s="1">
        <v>0.61699999999999999</v>
      </c>
      <c r="V2979" s="6">
        <f t="shared" si="138"/>
        <v>33778.57</v>
      </c>
      <c r="W2979" s="6" t="str">
        <f t="shared" si="139"/>
        <v>Sufficient</v>
      </c>
      <c r="X2979" s="8" t="str">
        <f t="shared" si="140"/>
        <v>High</v>
      </c>
    </row>
    <row r="2980" spans="1:24">
      <c r="A2980" s="7" t="s">
        <v>3110</v>
      </c>
      <c r="B2980" s="1" t="s">
        <v>29</v>
      </c>
      <c r="C2980" s="1">
        <v>376</v>
      </c>
      <c r="D2980" s="1">
        <v>44</v>
      </c>
      <c r="E2980" s="1">
        <v>10</v>
      </c>
      <c r="F2980" s="1">
        <v>2</v>
      </c>
      <c r="G2980" s="1">
        <v>47.44</v>
      </c>
      <c r="H2980" s="1" t="s">
        <v>106</v>
      </c>
      <c r="I2980" s="1" t="s">
        <v>45</v>
      </c>
      <c r="J2980" s="1">
        <v>125</v>
      </c>
      <c r="K2980" s="1">
        <v>2.84</v>
      </c>
      <c r="L2980" s="4">
        <v>13.82</v>
      </c>
      <c r="M2980" s="1">
        <v>1.91</v>
      </c>
      <c r="N2980" s="1">
        <v>4</v>
      </c>
      <c r="O2980" s="1">
        <v>0.81</v>
      </c>
      <c r="P2980" s="1">
        <v>640</v>
      </c>
      <c r="Q2980" s="1">
        <v>9.17</v>
      </c>
      <c r="R2980" s="1">
        <v>0.43</v>
      </c>
      <c r="S2980" s="2">
        <v>45437</v>
      </c>
      <c r="T2980" s="1">
        <v>27.91</v>
      </c>
      <c r="U2980" s="1">
        <v>0.499</v>
      </c>
      <c r="V2980" s="6">
        <f t="shared" si="138"/>
        <v>5196.32</v>
      </c>
      <c r="W2980" s="6" t="str">
        <f t="shared" si="139"/>
        <v>Sufficient</v>
      </c>
      <c r="X2980" s="8" t="str">
        <f t="shared" si="140"/>
        <v>High</v>
      </c>
    </row>
    <row r="2981" spans="1:24">
      <c r="A2981" s="7" t="s">
        <v>3111</v>
      </c>
      <c r="B2981" s="1" t="s">
        <v>41</v>
      </c>
      <c r="C2981" s="1">
        <v>165</v>
      </c>
      <c r="D2981" s="1">
        <v>86</v>
      </c>
      <c r="E2981" s="1">
        <v>11</v>
      </c>
      <c r="F2981" s="1">
        <v>3</v>
      </c>
      <c r="G2981" s="1">
        <v>7.31</v>
      </c>
      <c r="H2981" s="1" t="s">
        <v>128</v>
      </c>
      <c r="I2981" s="1" t="s">
        <v>27</v>
      </c>
      <c r="J2981" s="1">
        <v>158</v>
      </c>
      <c r="K2981" s="1">
        <v>2.5</v>
      </c>
      <c r="L2981" s="4">
        <v>141.76</v>
      </c>
      <c r="M2981" s="1">
        <v>1.07</v>
      </c>
      <c r="N2981" s="1">
        <v>4</v>
      </c>
      <c r="O2981" s="1">
        <v>0.94</v>
      </c>
      <c r="P2981" s="1">
        <v>705</v>
      </c>
      <c r="Q2981" s="1">
        <v>6.34</v>
      </c>
      <c r="R2981" s="1">
        <v>0.98</v>
      </c>
      <c r="S2981" s="2">
        <v>45578</v>
      </c>
      <c r="T2981" s="1">
        <v>14.24</v>
      </c>
      <c r="U2981" s="1">
        <v>0.68200000000000005</v>
      </c>
      <c r="V2981" s="6">
        <f t="shared" si="138"/>
        <v>23390.399999999998</v>
      </c>
      <c r="W2981" s="6" t="str">
        <f t="shared" si="139"/>
        <v>Sufficient</v>
      </c>
      <c r="X2981" s="8" t="str">
        <f t="shared" si="140"/>
        <v>Medium</v>
      </c>
    </row>
    <row r="2982" spans="1:24">
      <c r="A2982" s="7" t="s">
        <v>3112</v>
      </c>
      <c r="B2982" s="1" t="s">
        <v>29</v>
      </c>
      <c r="C2982" s="1">
        <v>235</v>
      </c>
      <c r="D2982" s="1">
        <v>61</v>
      </c>
      <c r="E2982" s="1">
        <v>9</v>
      </c>
      <c r="F2982" s="1">
        <v>9</v>
      </c>
      <c r="G2982" s="1">
        <v>2.69</v>
      </c>
      <c r="H2982" s="1" t="s">
        <v>238</v>
      </c>
      <c r="I2982" s="1" t="s">
        <v>45</v>
      </c>
      <c r="J2982" s="1">
        <v>77</v>
      </c>
      <c r="K2982" s="1">
        <v>1.5</v>
      </c>
      <c r="L2982" s="4">
        <v>177.82</v>
      </c>
      <c r="M2982" s="1">
        <v>0.37</v>
      </c>
      <c r="N2982" s="1">
        <v>7</v>
      </c>
      <c r="O2982" s="1">
        <v>0.74</v>
      </c>
      <c r="P2982" s="1">
        <v>760</v>
      </c>
      <c r="Q2982" s="1">
        <v>5.57</v>
      </c>
      <c r="R2982" s="1">
        <v>0.8</v>
      </c>
      <c r="S2982" s="2">
        <v>45590</v>
      </c>
      <c r="T2982" s="1">
        <v>40.520000000000003</v>
      </c>
      <c r="U2982" s="1">
        <v>0.60499999999999998</v>
      </c>
      <c r="V2982" s="6">
        <f t="shared" si="138"/>
        <v>41787.699999999997</v>
      </c>
      <c r="W2982" s="6" t="str">
        <f t="shared" si="139"/>
        <v>Sufficient</v>
      </c>
      <c r="X2982" s="8" t="str">
        <f t="shared" si="140"/>
        <v>Medium</v>
      </c>
    </row>
    <row r="2983" spans="1:24">
      <c r="A2983" s="7" t="s">
        <v>3113</v>
      </c>
      <c r="B2983" s="1" t="s">
        <v>33</v>
      </c>
      <c r="C2983" s="1">
        <v>417</v>
      </c>
      <c r="D2983" s="1">
        <v>40</v>
      </c>
      <c r="E2983" s="1">
        <v>7</v>
      </c>
      <c r="F2983" s="1">
        <v>9</v>
      </c>
      <c r="G2983" s="1">
        <v>21.3</v>
      </c>
      <c r="H2983" s="1" t="s">
        <v>74</v>
      </c>
      <c r="I2983" s="1" t="s">
        <v>39</v>
      </c>
      <c r="J2983" s="1">
        <v>56</v>
      </c>
      <c r="K2983" s="1">
        <v>1.86</v>
      </c>
      <c r="L2983" s="4">
        <v>195.6</v>
      </c>
      <c r="M2983" s="1">
        <v>0.85</v>
      </c>
      <c r="N2983" s="1">
        <v>8</v>
      </c>
      <c r="O2983" s="1">
        <v>0.74</v>
      </c>
      <c r="P2983" s="1">
        <v>667</v>
      </c>
      <c r="Q2983" s="1">
        <v>13.79</v>
      </c>
      <c r="R2983" s="1">
        <v>0.75</v>
      </c>
      <c r="S2983" s="2">
        <v>45470</v>
      </c>
      <c r="T2983" s="1">
        <v>104.87</v>
      </c>
      <c r="U2983" s="1">
        <v>0.63700000000000001</v>
      </c>
      <c r="V2983" s="6">
        <f t="shared" si="138"/>
        <v>81565.2</v>
      </c>
      <c r="W2983" s="6" t="str">
        <f t="shared" si="139"/>
        <v>Sufficient</v>
      </c>
      <c r="X2983" s="8" t="str">
        <f t="shared" si="140"/>
        <v>High</v>
      </c>
    </row>
    <row r="2984" spans="1:24">
      <c r="A2984" s="7" t="s">
        <v>3114</v>
      </c>
      <c r="B2984" s="1" t="s">
        <v>41</v>
      </c>
      <c r="C2984" s="1">
        <v>181</v>
      </c>
      <c r="D2984" s="1">
        <v>96</v>
      </c>
      <c r="E2984" s="1">
        <v>5</v>
      </c>
      <c r="F2984" s="1">
        <v>7</v>
      </c>
      <c r="G2984" s="1">
        <v>10.54</v>
      </c>
      <c r="H2984" s="1" t="s">
        <v>171</v>
      </c>
      <c r="I2984" s="1" t="s">
        <v>27</v>
      </c>
      <c r="J2984" s="1">
        <v>136</v>
      </c>
      <c r="K2984" s="1">
        <v>1.24</v>
      </c>
      <c r="L2984" s="4">
        <v>167.8</v>
      </c>
      <c r="M2984" s="1">
        <v>1.29</v>
      </c>
      <c r="N2984" s="1">
        <v>9</v>
      </c>
      <c r="O2984" s="1">
        <v>0.98</v>
      </c>
      <c r="P2984" s="1">
        <v>388</v>
      </c>
      <c r="Q2984" s="1">
        <v>1.56</v>
      </c>
      <c r="R2984" s="1">
        <v>0.35</v>
      </c>
      <c r="S2984" s="2">
        <v>45469</v>
      </c>
      <c r="T2984" s="1">
        <v>185.85</v>
      </c>
      <c r="U2984" s="1">
        <v>0.378</v>
      </c>
      <c r="V2984" s="6">
        <f t="shared" si="138"/>
        <v>30371.800000000003</v>
      </c>
      <c r="W2984" s="6" t="str">
        <f t="shared" si="139"/>
        <v>Sufficient</v>
      </c>
      <c r="X2984" s="8" t="str">
        <f t="shared" si="140"/>
        <v>Medium</v>
      </c>
    </row>
    <row r="2985" spans="1:24">
      <c r="A2985" s="7" t="s">
        <v>3115</v>
      </c>
      <c r="B2985" s="1" t="s">
        <v>66</v>
      </c>
      <c r="C2985" s="1">
        <v>147</v>
      </c>
      <c r="D2985" s="1">
        <v>77</v>
      </c>
      <c r="E2985" s="1">
        <v>3</v>
      </c>
      <c r="F2985" s="1">
        <v>2</v>
      </c>
      <c r="G2985" s="1">
        <v>10.029999999999999</v>
      </c>
      <c r="H2985" s="1" t="s">
        <v>88</v>
      </c>
      <c r="I2985" s="1" t="s">
        <v>45</v>
      </c>
      <c r="J2985" s="1">
        <v>44</v>
      </c>
      <c r="K2985" s="1">
        <v>2.42</v>
      </c>
      <c r="L2985" s="4">
        <v>16.04</v>
      </c>
      <c r="M2985" s="1">
        <v>1.55</v>
      </c>
      <c r="N2985" s="1">
        <v>0</v>
      </c>
      <c r="O2985" s="1">
        <v>0.73</v>
      </c>
      <c r="P2985" s="1">
        <v>471</v>
      </c>
      <c r="Q2985" s="1">
        <v>10.67</v>
      </c>
      <c r="R2985" s="1">
        <v>0.43</v>
      </c>
      <c r="S2985" s="2">
        <v>45433</v>
      </c>
      <c r="T2985" s="1">
        <v>67.27</v>
      </c>
      <c r="U2985" s="1">
        <v>0.61899999999999999</v>
      </c>
      <c r="V2985" s="6">
        <f t="shared" si="138"/>
        <v>2357.8799999999997</v>
      </c>
      <c r="W2985" s="6" t="str">
        <f t="shared" si="139"/>
        <v>Sufficient</v>
      </c>
      <c r="X2985" s="8" t="str">
        <f t="shared" si="140"/>
        <v>Medium</v>
      </c>
    </row>
    <row r="2986" spans="1:24">
      <c r="A2986" s="7" t="s">
        <v>3116</v>
      </c>
      <c r="B2986" s="1" t="s">
        <v>66</v>
      </c>
      <c r="C2986" s="1">
        <v>333</v>
      </c>
      <c r="D2986" s="1">
        <v>61</v>
      </c>
      <c r="E2986" s="1">
        <v>13</v>
      </c>
      <c r="F2986" s="1">
        <v>3</v>
      </c>
      <c r="G2986" s="1">
        <v>15.1</v>
      </c>
      <c r="H2986" s="1" t="s">
        <v>85</v>
      </c>
      <c r="I2986" s="1" t="s">
        <v>31</v>
      </c>
      <c r="J2986" s="1">
        <v>16</v>
      </c>
      <c r="K2986" s="1">
        <v>0.66</v>
      </c>
      <c r="L2986" s="4">
        <v>133.85</v>
      </c>
      <c r="M2986" s="1">
        <v>1.25</v>
      </c>
      <c r="N2986" s="1">
        <v>9</v>
      </c>
      <c r="O2986" s="1">
        <v>0.7</v>
      </c>
      <c r="P2986" s="1">
        <v>138</v>
      </c>
      <c r="Q2986" s="1">
        <v>6.49</v>
      </c>
      <c r="R2986" s="1">
        <v>0.68</v>
      </c>
      <c r="S2986" s="2">
        <v>45407</v>
      </c>
      <c r="T2986" s="1">
        <v>24.83</v>
      </c>
      <c r="U2986" s="1">
        <v>0.45800000000000002</v>
      </c>
      <c r="V2986" s="6">
        <f t="shared" si="138"/>
        <v>44572.049999999996</v>
      </c>
      <c r="W2986" s="6" t="str">
        <f t="shared" si="139"/>
        <v>Sufficient</v>
      </c>
      <c r="X2986" s="8" t="str">
        <f t="shared" si="140"/>
        <v>High</v>
      </c>
    </row>
    <row r="2987" spans="1:24">
      <c r="A2987" s="7" t="s">
        <v>3117</v>
      </c>
      <c r="B2987" s="1" t="s">
        <v>25</v>
      </c>
      <c r="C2987" s="1">
        <v>351</v>
      </c>
      <c r="D2987" s="1">
        <v>89</v>
      </c>
      <c r="E2987" s="1">
        <v>11</v>
      </c>
      <c r="F2987" s="1">
        <v>9</v>
      </c>
      <c r="G2987" s="1">
        <v>13.17</v>
      </c>
      <c r="H2987" s="1" t="s">
        <v>137</v>
      </c>
      <c r="I2987" s="1" t="s">
        <v>31</v>
      </c>
      <c r="J2987" s="1">
        <v>125</v>
      </c>
      <c r="K2987" s="1">
        <v>4.5</v>
      </c>
      <c r="L2987" s="4">
        <v>104.18</v>
      </c>
      <c r="M2987" s="1">
        <v>0.17</v>
      </c>
      <c r="N2987" s="1">
        <v>3</v>
      </c>
      <c r="O2987" s="1">
        <v>0.82</v>
      </c>
      <c r="P2987" s="1">
        <v>381</v>
      </c>
      <c r="Q2987" s="1">
        <v>6.28</v>
      </c>
      <c r="R2987" s="1">
        <v>0.84</v>
      </c>
      <c r="S2987" s="2">
        <v>45602</v>
      </c>
      <c r="T2987" s="1">
        <v>36.35</v>
      </c>
      <c r="U2987" s="1">
        <v>0.73899999999999999</v>
      </c>
      <c r="V2987" s="6">
        <f t="shared" si="138"/>
        <v>36567.18</v>
      </c>
      <c r="W2987" s="6" t="str">
        <f t="shared" si="139"/>
        <v>Sufficient</v>
      </c>
      <c r="X2987" s="8" t="str">
        <f t="shared" si="140"/>
        <v>High</v>
      </c>
    </row>
    <row r="2988" spans="1:24">
      <c r="A2988" s="7" t="s">
        <v>3118</v>
      </c>
      <c r="B2988" s="1" t="s">
        <v>33</v>
      </c>
      <c r="C2988" s="1">
        <v>169</v>
      </c>
      <c r="D2988" s="1">
        <v>16</v>
      </c>
      <c r="E2988" s="1">
        <v>7</v>
      </c>
      <c r="F2988" s="1">
        <v>4</v>
      </c>
      <c r="G2988" s="1">
        <v>34.549999999999997</v>
      </c>
      <c r="H2988" s="1" t="s">
        <v>350</v>
      </c>
      <c r="I2988" s="1" t="s">
        <v>31</v>
      </c>
      <c r="J2988" s="1">
        <v>61</v>
      </c>
      <c r="K2988" s="1">
        <v>1.24</v>
      </c>
      <c r="L2988" s="4">
        <v>188.2</v>
      </c>
      <c r="M2988" s="1">
        <v>0.37</v>
      </c>
      <c r="N2988" s="1">
        <v>1</v>
      </c>
      <c r="O2988" s="1">
        <v>0.73</v>
      </c>
      <c r="P2988" s="1">
        <v>480</v>
      </c>
      <c r="Q2988" s="1">
        <v>10.130000000000001</v>
      </c>
      <c r="R2988" s="1">
        <v>0.94</v>
      </c>
      <c r="S2988" s="2">
        <v>45391</v>
      </c>
      <c r="T2988" s="1">
        <v>133.77000000000001</v>
      </c>
      <c r="U2988" s="1">
        <v>0.81200000000000006</v>
      </c>
      <c r="V2988" s="6">
        <f t="shared" si="138"/>
        <v>31805.8</v>
      </c>
      <c r="W2988" s="6" t="str">
        <f t="shared" si="139"/>
        <v>Sufficient</v>
      </c>
      <c r="X2988" s="8" t="str">
        <f t="shared" si="140"/>
        <v>Medium</v>
      </c>
    </row>
    <row r="2989" spans="1:24">
      <c r="A2989" s="7" t="s">
        <v>3119</v>
      </c>
      <c r="B2989" s="1" t="s">
        <v>33</v>
      </c>
      <c r="C2989" s="1">
        <v>473</v>
      </c>
      <c r="D2989" s="1">
        <v>31</v>
      </c>
      <c r="E2989" s="1">
        <v>11</v>
      </c>
      <c r="F2989" s="1">
        <v>2</v>
      </c>
      <c r="G2989" s="1">
        <v>10.15</v>
      </c>
      <c r="H2989" s="1" t="s">
        <v>256</v>
      </c>
      <c r="I2989" s="1" t="s">
        <v>27</v>
      </c>
      <c r="J2989" s="1">
        <v>119</v>
      </c>
      <c r="K2989" s="1">
        <v>4.49</v>
      </c>
      <c r="L2989" s="4">
        <v>181.41</v>
      </c>
      <c r="M2989" s="1">
        <v>0.81</v>
      </c>
      <c r="N2989" s="1">
        <v>8</v>
      </c>
      <c r="O2989" s="1">
        <v>0.96</v>
      </c>
      <c r="P2989" s="1">
        <v>827</v>
      </c>
      <c r="Q2989" s="1">
        <v>12.91</v>
      </c>
      <c r="R2989" s="1">
        <v>0.76</v>
      </c>
      <c r="S2989" s="2">
        <v>45524</v>
      </c>
      <c r="T2989" s="1">
        <v>234.21</v>
      </c>
      <c r="U2989" s="1">
        <v>0.67500000000000004</v>
      </c>
      <c r="V2989" s="6">
        <f t="shared" si="138"/>
        <v>85806.93</v>
      </c>
      <c r="W2989" s="6" t="str">
        <f t="shared" si="139"/>
        <v>Sufficient</v>
      </c>
      <c r="X2989" s="8" t="str">
        <f t="shared" si="140"/>
        <v>High</v>
      </c>
    </row>
    <row r="2990" spans="1:24">
      <c r="A2990" s="7" t="s">
        <v>3120</v>
      </c>
      <c r="B2990" s="1" t="s">
        <v>66</v>
      </c>
      <c r="C2990" s="1">
        <v>55</v>
      </c>
      <c r="D2990" s="1">
        <v>84</v>
      </c>
      <c r="E2990" s="1">
        <v>12</v>
      </c>
      <c r="F2990" s="1">
        <v>2</v>
      </c>
      <c r="G2990" s="1">
        <v>27.61</v>
      </c>
      <c r="H2990" s="1" t="s">
        <v>130</v>
      </c>
      <c r="I2990" s="1" t="s">
        <v>45</v>
      </c>
      <c r="J2990" s="1">
        <v>55</v>
      </c>
      <c r="K2990" s="1">
        <v>4.3899999999999997</v>
      </c>
      <c r="L2990" s="4">
        <v>197.73</v>
      </c>
      <c r="M2990" s="1">
        <v>1.44</v>
      </c>
      <c r="N2990" s="1">
        <v>8</v>
      </c>
      <c r="O2990" s="1">
        <v>0.98</v>
      </c>
      <c r="P2990" s="1">
        <v>812</v>
      </c>
      <c r="Q2990" s="1">
        <v>11.14</v>
      </c>
      <c r="R2990" s="1">
        <v>0.53</v>
      </c>
      <c r="S2990" s="2">
        <v>45498</v>
      </c>
      <c r="T2990" s="1">
        <v>248.12</v>
      </c>
      <c r="U2990" s="1">
        <v>0.54700000000000004</v>
      </c>
      <c r="V2990" s="6">
        <f t="shared" si="138"/>
        <v>10875.15</v>
      </c>
      <c r="W2990" s="6" t="str">
        <f t="shared" si="139"/>
        <v>Reorder Required</v>
      </c>
      <c r="X2990" s="8" t="str">
        <f t="shared" si="140"/>
        <v>LOW</v>
      </c>
    </row>
    <row r="2991" spans="1:24">
      <c r="A2991" s="7" t="s">
        <v>3121</v>
      </c>
      <c r="B2991" s="1" t="s">
        <v>29</v>
      </c>
      <c r="C2991" s="1">
        <v>192</v>
      </c>
      <c r="D2991" s="1">
        <v>65</v>
      </c>
      <c r="E2991" s="1">
        <v>14</v>
      </c>
      <c r="F2991" s="1">
        <v>6</v>
      </c>
      <c r="G2991" s="1">
        <v>49.33</v>
      </c>
      <c r="H2991" s="1" t="s">
        <v>176</v>
      </c>
      <c r="I2991" s="1" t="s">
        <v>31</v>
      </c>
      <c r="J2991" s="1">
        <v>146</v>
      </c>
      <c r="K2991" s="1">
        <v>2.5299999999999998</v>
      </c>
      <c r="L2991" s="4">
        <v>173.77</v>
      </c>
      <c r="M2991" s="1">
        <v>1.21</v>
      </c>
      <c r="N2991" s="1">
        <v>0</v>
      </c>
      <c r="O2991" s="1">
        <v>0.84</v>
      </c>
      <c r="P2991" s="1">
        <v>201</v>
      </c>
      <c r="Q2991" s="1">
        <v>10.38</v>
      </c>
      <c r="R2991" s="1">
        <v>0.75</v>
      </c>
      <c r="S2991" s="2">
        <v>45586</v>
      </c>
      <c r="T2991" s="1">
        <v>94.41</v>
      </c>
      <c r="U2991" s="1">
        <v>0.73499999999999999</v>
      </c>
      <c r="V2991" s="6">
        <f t="shared" si="138"/>
        <v>33363.840000000004</v>
      </c>
      <c r="W2991" s="6" t="str">
        <f t="shared" si="139"/>
        <v>Sufficient</v>
      </c>
      <c r="X2991" s="8" t="str">
        <f t="shared" si="140"/>
        <v>Medium</v>
      </c>
    </row>
    <row r="2992" spans="1:24">
      <c r="A2992" s="7" t="s">
        <v>3122</v>
      </c>
      <c r="B2992" s="1" t="s">
        <v>41</v>
      </c>
      <c r="C2992" s="1">
        <v>439</v>
      </c>
      <c r="D2992" s="1">
        <v>67</v>
      </c>
      <c r="E2992" s="1">
        <v>6</v>
      </c>
      <c r="F2992" s="1">
        <v>7</v>
      </c>
      <c r="G2992" s="1">
        <v>22.19</v>
      </c>
      <c r="H2992" s="1" t="s">
        <v>68</v>
      </c>
      <c r="I2992" s="1" t="s">
        <v>27</v>
      </c>
      <c r="J2992" s="1">
        <v>32</v>
      </c>
      <c r="K2992" s="1">
        <v>2.74</v>
      </c>
      <c r="L2992" s="4">
        <v>113.91</v>
      </c>
      <c r="M2992" s="1">
        <v>0.18</v>
      </c>
      <c r="N2992" s="1">
        <v>2</v>
      </c>
      <c r="O2992" s="1">
        <v>0.83</v>
      </c>
      <c r="P2992" s="1">
        <v>867</v>
      </c>
      <c r="Q2992" s="1">
        <v>7.95</v>
      </c>
      <c r="R2992" s="1">
        <v>0.26</v>
      </c>
      <c r="S2992" s="2">
        <v>45294</v>
      </c>
      <c r="T2992" s="1">
        <v>202.4</v>
      </c>
      <c r="U2992" s="1">
        <v>0.66600000000000004</v>
      </c>
      <c r="V2992" s="6">
        <f t="shared" si="138"/>
        <v>50006.49</v>
      </c>
      <c r="W2992" s="6" t="str">
        <f t="shared" si="139"/>
        <v>Sufficient</v>
      </c>
      <c r="X2992" s="8" t="str">
        <f t="shared" si="140"/>
        <v>High</v>
      </c>
    </row>
    <row r="2993" spans="1:24">
      <c r="A2993" s="7" t="s">
        <v>3123</v>
      </c>
      <c r="B2993" s="1" t="s">
        <v>29</v>
      </c>
      <c r="C2993" s="1">
        <v>41</v>
      </c>
      <c r="D2993" s="1">
        <v>73</v>
      </c>
      <c r="E2993" s="1">
        <v>7</v>
      </c>
      <c r="F2993" s="1">
        <v>7</v>
      </c>
      <c r="G2993" s="1">
        <v>32.450000000000003</v>
      </c>
      <c r="H2993" s="1" t="s">
        <v>97</v>
      </c>
      <c r="I2993" s="1" t="s">
        <v>45</v>
      </c>
      <c r="J2993" s="1">
        <v>140</v>
      </c>
      <c r="K2993" s="1">
        <v>1.86</v>
      </c>
      <c r="L2993" s="4">
        <v>145.83000000000001</v>
      </c>
      <c r="M2993" s="1">
        <v>1.61</v>
      </c>
      <c r="N2993" s="1">
        <v>9</v>
      </c>
      <c r="O2993" s="1">
        <v>0.86</v>
      </c>
      <c r="P2993" s="1">
        <v>757</v>
      </c>
      <c r="Q2993" s="1">
        <v>7.57</v>
      </c>
      <c r="R2993" s="1">
        <v>0.68</v>
      </c>
      <c r="S2993" s="2">
        <v>45425</v>
      </c>
      <c r="T2993" s="1">
        <v>123.89</v>
      </c>
      <c r="U2993" s="1">
        <v>0.46800000000000003</v>
      </c>
      <c r="V2993" s="6">
        <f t="shared" si="138"/>
        <v>5979.0300000000007</v>
      </c>
      <c r="W2993" s="6" t="str">
        <f t="shared" si="139"/>
        <v>Reorder Required</v>
      </c>
      <c r="X2993" s="8" t="str">
        <f t="shared" si="140"/>
        <v>LOW</v>
      </c>
    </row>
    <row r="2994" spans="1:24">
      <c r="A2994" s="7" t="s">
        <v>3124</v>
      </c>
      <c r="B2994" s="1" t="s">
        <v>29</v>
      </c>
      <c r="C2994" s="1">
        <v>225</v>
      </c>
      <c r="D2994" s="1">
        <v>21</v>
      </c>
      <c r="E2994" s="1">
        <v>6</v>
      </c>
      <c r="F2994" s="1">
        <v>8</v>
      </c>
      <c r="G2994" s="1">
        <v>48.5</v>
      </c>
      <c r="H2994" s="1" t="s">
        <v>42</v>
      </c>
      <c r="I2994" s="1" t="s">
        <v>31</v>
      </c>
      <c r="J2994" s="1">
        <v>136</v>
      </c>
      <c r="K2994" s="1">
        <v>4.99</v>
      </c>
      <c r="L2994" s="4">
        <v>193.29</v>
      </c>
      <c r="M2994" s="1">
        <v>1.25</v>
      </c>
      <c r="N2994" s="1">
        <v>7</v>
      </c>
      <c r="O2994" s="1">
        <v>0.77</v>
      </c>
      <c r="P2994" s="1">
        <v>175</v>
      </c>
      <c r="Q2994" s="1">
        <v>7.45</v>
      </c>
      <c r="R2994" s="1">
        <v>0.92</v>
      </c>
      <c r="S2994" s="2">
        <v>45381</v>
      </c>
      <c r="T2994" s="1">
        <v>292.02999999999997</v>
      </c>
      <c r="U2994" s="1">
        <v>0.57199999999999995</v>
      </c>
      <c r="V2994" s="6">
        <f t="shared" si="138"/>
        <v>43490.25</v>
      </c>
      <c r="W2994" s="6" t="str">
        <f t="shared" si="139"/>
        <v>Sufficient</v>
      </c>
      <c r="X2994" s="8" t="str">
        <f t="shared" si="140"/>
        <v>Medium</v>
      </c>
    </row>
    <row r="2995" spans="1:24">
      <c r="A2995" s="7" t="s">
        <v>3125</v>
      </c>
      <c r="B2995" s="1" t="s">
        <v>66</v>
      </c>
      <c r="C2995" s="1">
        <v>146</v>
      </c>
      <c r="D2995" s="1">
        <v>16</v>
      </c>
      <c r="E2995" s="1">
        <v>4</v>
      </c>
      <c r="F2995" s="1">
        <v>4</v>
      </c>
      <c r="G2995" s="1">
        <v>7.74</v>
      </c>
      <c r="H2995" s="1" t="s">
        <v>181</v>
      </c>
      <c r="I2995" s="1" t="s">
        <v>31</v>
      </c>
      <c r="J2995" s="1">
        <v>18</v>
      </c>
      <c r="K2995" s="1">
        <v>3.52</v>
      </c>
      <c r="L2995" s="4">
        <v>119.84</v>
      </c>
      <c r="M2995" s="1">
        <v>1.79</v>
      </c>
      <c r="N2995" s="1">
        <v>1</v>
      </c>
      <c r="O2995" s="1">
        <v>0.79</v>
      </c>
      <c r="P2995" s="1">
        <v>92</v>
      </c>
      <c r="Q2995" s="1">
        <v>3.04</v>
      </c>
      <c r="R2995" s="1">
        <v>0.71</v>
      </c>
      <c r="S2995" s="2">
        <v>45500</v>
      </c>
      <c r="T2995" s="1">
        <v>127.44</v>
      </c>
      <c r="U2995" s="1">
        <v>0.54200000000000004</v>
      </c>
      <c r="V2995" s="6">
        <f t="shared" si="138"/>
        <v>17496.64</v>
      </c>
      <c r="W2995" s="6" t="str">
        <f t="shared" si="139"/>
        <v>Sufficient</v>
      </c>
      <c r="X2995" s="8" t="str">
        <f t="shared" si="140"/>
        <v>Medium</v>
      </c>
    </row>
    <row r="2996" spans="1:24">
      <c r="A2996" s="7" t="s">
        <v>3126</v>
      </c>
      <c r="B2996" s="1" t="s">
        <v>66</v>
      </c>
      <c r="C2996" s="1">
        <v>355</v>
      </c>
      <c r="D2996" s="1">
        <v>64</v>
      </c>
      <c r="E2996" s="1">
        <v>14</v>
      </c>
      <c r="F2996" s="1">
        <v>6</v>
      </c>
      <c r="G2996" s="1">
        <v>21.51</v>
      </c>
      <c r="H2996" s="1" t="s">
        <v>256</v>
      </c>
      <c r="I2996" s="1" t="s">
        <v>27</v>
      </c>
      <c r="J2996" s="1">
        <v>62</v>
      </c>
      <c r="K2996" s="1">
        <v>4.78</v>
      </c>
      <c r="L2996" s="4">
        <v>169.6</v>
      </c>
      <c r="M2996" s="1">
        <v>0.89</v>
      </c>
      <c r="N2996" s="1">
        <v>1</v>
      </c>
      <c r="O2996" s="1">
        <v>0.73</v>
      </c>
      <c r="P2996" s="1">
        <v>470</v>
      </c>
      <c r="Q2996" s="1">
        <v>8.83</v>
      </c>
      <c r="R2996" s="1">
        <v>0.21</v>
      </c>
      <c r="S2996" s="2">
        <v>45551</v>
      </c>
      <c r="T2996" s="1">
        <v>124.81</v>
      </c>
      <c r="U2996" s="1">
        <v>0.59699999999999998</v>
      </c>
      <c r="V2996" s="6">
        <f t="shared" si="138"/>
        <v>60208</v>
      </c>
      <c r="W2996" s="6" t="str">
        <f t="shared" si="139"/>
        <v>Sufficient</v>
      </c>
      <c r="X2996" s="8" t="str">
        <f t="shared" si="140"/>
        <v>High</v>
      </c>
    </row>
    <row r="2997" spans="1:24">
      <c r="A2997" s="7" t="s">
        <v>3127</v>
      </c>
      <c r="B2997" s="1" t="s">
        <v>66</v>
      </c>
      <c r="C2997" s="1">
        <v>464</v>
      </c>
      <c r="D2997" s="1">
        <v>71</v>
      </c>
      <c r="E2997" s="1">
        <v>3</v>
      </c>
      <c r="F2997" s="1">
        <v>8</v>
      </c>
      <c r="G2997" s="1">
        <v>42.66</v>
      </c>
      <c r="H2997" s="1" t="s">
        <v>266</v>
      </c>
      <c r="I2997" s="1" t="s">
        <v>45</v>
      </c>
      <c r="J2997" s="1">
        <v>57</v>
      </c>
      <c r="K2997" s="1">
        <v>2.37</v>
      </c>
      <c r="L2997" s="4">
        <v>189.02</v>
      </c>
      <c r="M2997" s="1">
        <v>1.03</v>
      </c>
      <c r="N2997" s="1">
        <v>1</v>
      </c>
      <c r="O2997" s="1">
        <v>0.83</v>
      </c>
      <c r="P2997" s="1">
        <v>734</v>
      </c>
      <c r="Q2997" s="1">
        <v>5.42</v>
      </c>
      <c r="R2997" s="1">
        <v>0.76</v>
      </c>
      <c r="S2997" s="2">
        <v>45346</v>
      </c>
      <c r="T2997" s="1">
        <v>155.44999999999999</v>
      </c>
      <c r="U2997" s="1">
        <v>0.66700000000000004</v>
      </c>
      <c r="V2997" s="6">
        <f t="shared" si="138"/>
        <v>87705.279999999999</v>
      </c>
      <c r="W2997" s="6" t="str">
        <f t="shared" si="139"/>
        <v>Sufficient</v>
      </c>
      <c r="X2997" s="8" t="str">
        <f t="shared" si="140"/>
        <v>High</v>
      </c>
    </row>
    <row r="2998" spans="1:24">
      <c r="A2998" s="7" t="s">
        <v>3128</v>
      </c>
      <c r="B2998" s="1" t="s">
        <v>25</v>
      </c>
      <c r="C2998" s="1">
        <v>375</v>
      </c>
      <c r="D2998" s="1">
        <v>99</v>
      </c>
      <c r="E2998" s="1">
        <v>10</v>
      </c>
      <c r="F2998" s="1">
        <v>3</v>
      </c>
      <c r="G2998" s="1">
        <v>46.68</v>
      </c>
      <c r="H2998" s="1" t="s">
        <v>135</v>
      </c>
      <c r="I2998" s="1" t="s">
        <v>27</v>
      </c>
      <c r="J2998" s="1">
        <v>132</v>
      </c>
      <c r="K2998" s="1">
        <v>4.47</v>
      </c>
      <c r="L2998" s="4">
        <v>118.4</v>
      </c>
      <c r="M2998" s="1">
        <v>0.87</v>
      </c>
      <c r="N2998" s="1">
        <v>4</v>
      </c>
      <c r="O2998" s="1">
        <v>0.88</v>
      </c>
      <c r="P2998" s="1">
        <v>539</v>
      </c>
      <c r="Q2998" s="1">
        <v>9.66</v>
      </c>
      <c r="R2998" s="1">
        <v>0.78</v>
      </c>
      <c r="S2998" s="2">
        <v>45578</v>
      </c>
      <c r="T2998" s="1">
        <v>17.399999999999999</v>
      </c>
      <c r="U2998" s="1">
        <v>0.69399999999999995</v>
      </c>
      <c r="V2998" s="6">
        <f t="shared" si="138"/>
        <v>44400</v>
      </c>
      <c r="W2998" s="6" t="str">
        <f t="shared" si="139"/>
        <v>Sufficient</v>
      </c>
      <c r="X2998" s="8" t="str">
        <f t="shared" si="140"/>
        <v>High</v>
      </c>
    </row>
    <row r="2999" spans="1:24">
      <c r="A2999" s="7" t="s">
        <v>3129</v>
      </c>
      <c r="B2999" s="1" t="s">
        <v>29</v>
      </c>
      <c r="C2999" s="1">
        <v>459</v>
      </c>
      <c r="D2999" s="1">
        <v>82</v>
      </c>
      <c r="E2999" s="1">
        <v>6</v>
      </c>
      <c r="F2999" s="1">
        <v>8</v>
      </c>
      <c r="G2999" s="1">
        <v>30.46</v>
      </c>
      <c r="H2999" s="1" t="s">
        <v>274</v>
      </c>
      <c r="I2999" s="1" t="s">
        <v>31</v>
      </c>
      <c r="J2999" s="1">
        <v>91</v>
      </c>
      <c r="K2999" s="1">
        <v>2.52</v>
      </c>
      <c r="L2999" s="4">
        <v>40.24</v>
      </c>
      <c r="M2999" s="1">
        <v>1.47</v>
      </c>
      <c r="N2999" s="1">
        <v>8</v>
      </c>
      <c r="O2999" s="1">
        <v>0.98</v>
      </c>
      <c r="P2999" s="1">
        <v>615</v>
      </c>
      <c r="Q2999" s="1">
        <v>8.48</v>
      </c>
      <c r="R2999" s="1">
        <v>0.63</v>
      </c>
      <c r="S2999" s="2">
        <v>45329</v>
      </c>
      <c r="T2999" s="1">
        <v>131.19999999999999</v>
      </c>
      <c r="U2999" s="1">
        <v>0.52800000000000002</v>
      </c>
      <c r="V2999" s="6">
        <f t="shared" si="138"/>
        <v>18470.16</v>
      </c>
      <c r="W2999" s="6" t="str">
        <f t="shared" si="139"/>
        <v>Sufficient</v>
      </c>
      <c r="X2999" s="8" t="str">
        <f t="shared" si="140"/>
        <v>High</v>
      </c>
    </row>
    <row r="3000" spans="1:24">
      <c r="A3000" s="7" t="s">
        <v>3130</v>
      </c>
      <c r="B3000" s="1" t="s">
        <v>33</v>
      </c>
      <c r="C3000" s="1">
        <v>236</v>
      </c>
      <c r="D3000" s="1">
        <v>86</v>
      </c>
      <c r="E3000" s="1">
        <v>7</v>
      </c>
      <c r="F3000" s="1">
        <v>3</v>
      </c>
      <c r="G3000" s="1">
        <v>8.0299999999999994</v>
      </c>
      <c r="H3000" s="1" t="s">
        <v>91</v>
      </c>
      <c r="I3000" s="1" t="s">
        <v>27</v>
      </c>
      <c r="J3000" s="1">
        <v>118</v>
      </c>
      <c r="K3000" s="1">
        <v>4.4000000000000004</v>
      </c>
      <c r="L3000" s="4">
        <v>39.56</v>
      </c>
      <c r="M3000" s="1">
        <v>1.53</v>
      </c>
      <c r="N3000" s="1">
        <v>6</v>
      </c>
      <c r="O3000" s="1">
        <v>0.92</v>
      </c>
      <c r="P3000" s="1">
        <v>302</v>
      </c>
      <c r="Q3000" s="1">
        <v>14.16</v>
      </c>
      <c r="R3000" s="1">
        <v>0.85</v>
      </c>
      <c r="S3000" s="2">
        <v>45549</v>
      </c>
      <c r="T3000" s="1">
        <v>250.33</v>
      </c>
      <c r="U3000" s="1">
        <v>0.67</v>
      </c>
      <c r="V3000" s="6">
        <f t="shared" si="138"/>
        <v>9336.16</v>
      </c>
      <c r="W3000" s="6" t="str">
        <f t="shared" si="139"/>
        <v>Sufficient</v>
      </c>
      <c r="X3000" s="8" t="str">
        <f t="shared" si="140"/>
        <v>Medium</v>
      </c>
    </row>
    <row r="3001" spans="1:24">
      <c r="A3001" s="7" t="s">
        <v>3131</v>
      </c>
      <c r="B3001" s="1" t="s">
        <v>41</v>
      </c>
      <c r="C3001" s="1">
        <v>115</v>
      </c>
      <c r="D3001" s="1">
        <v>64</v>
      </c>
      <c r="E3001" s="1">
        <v>8</v>
      </c>
      <c r="F3001" s="1">
        <v>4</v>
      </c>
      <c r="G3001" s="1">
        <v>45.17</v>
      </c>
      <c r="H3001" s="1" t="s">
        <v>274</v>
      </c>
      <c r="I3001" s="1" t="s">
        <v>27</v>
      </c>
      <c r="J3001" s="1">
        <v>16</v>
      </c>
      <c r="K3001" s="1">
        <v>1.0900000000000001</v>
      </c>
      <c r="L3001" s="4">
        <v>31.91</v>
      </c>
      <c r="M3001" s="1">
        <v>1.47</v>
      </c>
      <c r="N3001" s="1">
        <v>6</v>
      </c>
      <c r="O3001" s="1">
        <v>0.92</v>
      </c>
      <c r="P3001" s="1">
        <v>860</v>
      </c>
      <c r="Q3001" s="1">
        <v>7.09</v>
      </c>
      <c r="R3001" s="1">
        <v>0.36</v>
      </c>
      <c r="S3001" s="2">
        <v>45442</v>
      </c>
      <c r="T3001" s="1">
        <v>187.5</v>
      </c>
      <c r="U3001" s="1">
        <v>0.48399999999999999</v>
      </c>
      <c r="V3001" s="6">
        <f t="shared" si="138"/>
        <v>3669.65</v>
      </c>
      <c r="W3001" s="6" t="str">
        <f t="shared" si="139"/>
        <v>Sufficient</v>
      </c>
      <c r="X3001" s="8" t="str">
        <f t="shared" si="140"/>
        <v>Medium</v>
      </c>
    </row>
    <row r="3002" spans="1:24">
      <c r="A3002" s="7" t="s">
        <v>3132</v>
      </c>
      <c r="B3002" s="1" t="s">
        <v>25</v>
      </c>
      <c r="C3002" s="1">
        <v>436</v>
      </c>
      <c r="D3002" s="1">
        <v>45</v>
      </c>
      <c r="E3002" s="1">
        <v>10</v>
      </c>
      <c r="F3002" s="1">
        <v>9</v>
      </c>
      <c r="G3002" s="1">
        <v>9.5500000000000007</v>
      </c>
      <c r="H3002" s="1" t="s">
        <v>151</v>
      </c>
      <c r="I3002" s="1" t="s">
        <v>31</v>
      </c>
      <c r="J3002" s="1">
        <v>108</v>
      </c>
      <c r="K3002" s="1">
        <v>3.37</v>
      </c>
      <c r="L3002" s="4">
        <v>100.5</v>
      </c>
      <c r="M3002" s="1">
        <v>0.65</v>
      </c>
      <c r="N3002" s="1">
        <v>1</v>
      </c>
      <c r="O3002" s="1">
        <v>0.79</v>
      </c>
      <c r="P3002" s="1">
        <v>757</v>
      </c>
      <c r="Q3002" s="1">
        <v>10.3</v>
      </c>
      <c r="R3002" s="1">
        <v>0.53</v>
      </c>
      <c r="S3002" s="2">
        <v>45466</v>
      </c>
      <c r="T3002" s="1">
        <v>291.13</v>
      </c>
      <c r="U3002" s="1">
        <v>0.71599999999999997</v>
      </c>
      <c r="V3002" s="6">
        <f t="shared" si="138"/>
        <v>43818</v>
      </c>
      <c r="W3002" s="6" t="str">
        <f t="shared" si="139"/>
        <v>Sufficient</v>
      </c>
      <c r="X3002" s="8" t="str">
        <f t="shared" si="140"/>
        <v>High</v>
      </c>
    </row>
    <row r="3003" spans="1:24">
      <c r="A3003" s="7" t="s">
        <v>3133</v>
      </c>
      <c r="B3003" s="1" t="s">
        <v>33</v>
      </c>
      <c r="C3003" s="1">
        <v>448</v>
      </c>
      <c r="D3003" s="1">
        <v>98</v>
      </c>
      <c r="E3003" s="1">
        <v>13</v>
      </c>
      <c r="F3003" s="1">
        <v>7</v>
      </c>
      <c r="G3003" s="1">
        <v>18.29</v>
      </c>
      <c r="H3003" s="1" t="s">
        <v>145</v>
      </c>
      <c r="I3003" s="1" t="s">
        <v>31</v>
      </c>
      <c r="J3003" s="1">
        <v>40</v>
      </c>
      <c r="K3003" s="1">
        <v>3.55</v>
      </c>
      <c r="L3003" s="4">
        <v>101.23</v>
      </c>
      <c r="M3003" s="1">
        <v>1.31</v>
      </c>
      <c r="N3003" s="1">
        <v>1</v>
      </c>
      <c r="O3003" s="1">
        <v>0.97</v>
      </c>
      <c r="P3003" s="1">
        <v>533</v>
      </c>
      <c r="Q3003" s="1">
        <v>9.3000000000000007</v>
      </c>
      <c r="R3003" s="1">
        <v>0.85</v>
      </c>
      <c r="S3003" s="2">
        <v>45351</v>
      </c>
      <c r="T3003" s="1">
        <v>104.43</v>
      </c>
      <c r="U3003" s="1">
        <v>0.73699999999999999</v>
      </c>
      <c r="V3003" s="6">
        <f t="shared" si="138"/>
        <v>45351.040000000001</v>
      </c>
      <c r="W3003" s="6" t="str">
        <f t="shared" si="139"/>
        <v>Sufficient</v>
      </c>
      <c r="X3003" s="8" t="str">
        <f t="shared" si="140"/>
        <v>High</v>
      </c>
    </row>
    <row r="3004" spans="1:24">
      <c r="A3004" s="7" t="s">
        <v>3134</v>
      </c>
      <c r="B3004" s="1" t="s">
        <v>29</v>
      </c>
      <c r="C3004" s="1">
        <v>183</v>
      </c>
      <c r="D3004" s="1">
        <v>33</v>
      </c>
      <c r="E3004" s="1">
        <v>10</v>
      </c>
      <c r="F3004" s="1">
        <v>9</v>
      </c>
      <c r="G3004" s="1">
        <v>19.399999999999999</v>
      </c>
      <c r="H3004" s="1" t="s">
        <v>185</v>
      </c>
      <c r="I3004" s="1" t="s">
        <v>45</v>
      </c>
      <c r="J3004" s="1">
        <v>111</v>
      </c>
      <c r="K3004" s="1">
        <v>3.45</v>
      </c>
      <c r="L3004" s="4">
        <v>127.3</v>
      </c>
      <c r="M3004" s="1">
        <v>0.74</v>
      </c>
      <c r="N3004" s="1">
        <v>4</v>
      </c>
      <c r="O3004" s="1">
        <v>0.98</v>
      </c>
      <c r="P3004" s="1">
        <v>342</v>
      </c>
      <c r="Q3004" s="1">
        <v>10.58</v>
      </c>
      <c r="R3004" s="1">
        <v>0.68</v>
      </c>
      <c r="S3004" s="2">
        <v>45554</v>
      </c>
      <c r="T3004" s="1">
        <v>56.84</v>
      </c>
      <c r="U3004" s="1">
        <v>0.71899999999999997</v>
      </c>
      <c r="V3004" s="6">
        <f t="shared" si="138"/>
        <v>23295.899999999998</v>
      </c>
      <c r="W3004" s="6" t="str">
        <f t="shared" si="139"/>
        <v>Sufficient</v>
      </c>
      <c r="X3004" s="8" t="str">
        <f t="shared" si="140"/>
        <v>Medium</v>
      </c>
    </row>
    <row r="3005" spans="1:24">
      <c r="A3005" s="7" t="s">
        <v>3135</v>
      </c>
      <c r="B3005" s="1" t="s">
        <v>66</v>
      </c>
      <c r="C3005" s="1">
        <v>167</v>
      </c>
      <c r="D3005" s="1">
        <v>53</v>
      </c>
      <c r="E3005" s="1">
        <v>9</v>
      </c>
      <c r="F3005" s="1">
        <v>3</v>
      </c>
      <c r="G3005" s="1">
        <v>22.92</v>
      </c>
      <c r="H3005" s="1" t="s">
        <v>221</v>
      </c>
      <c r="I3005" s="1" t="s">
        <v>45</v>
      </c>
      <c r="J3005" s="1">
        <v>65</v>
      </c>
      <c r="K3005" s="1">
        <v>2.5099999999999998</v>
      </c>
      <c r="L3005" s="4">
        <v>101.75</v>
      </c>
      <c r="M3005" s="1">
        <v>1.68</v>
      </c>
      <c r="N3005" s="1">
        <v>6</v>
      </c>
      <c r="O3005" s="1">
        <v>0.98</v>
      </c>
      <c r="P3005" s="1">
        <v>266</v>
      </c>
      <c r="Q3005" s="1">
        <v>4.74</v>
      </c>
      <c r="R3005" s="1">
        <v>1</v>
      </c>
      <c r="S3005" s="2">
        <v>45423</v>
      </c>
      <c r="T3005" s="1">
        <v>227.67</v>
      </c>
      <c r="U3005" s="1">
        <v>0.57099999999999995</v>
      </c>
      <c r="V3005" s="6">
        <f t="shared" si="138"/>
        <v>16992.25</v>
      </c>
      <c r="W3005" s="6" t="str">
        <f t="shared" si="139"/>
        <v>Sufficient</v>
      </c>
      <c r="X3005" s="8" t="str">
        <f t="shared" si="140"/>
        <v>Medium</v>
      </c>
    </row>
    <row r="3006" spans="1:24">
      <c r="A3006" s="7" t="s">
        <v>3136</v>
      </c>
      <c r="B3006" s="1" t="s">
        <v>29</v>
      </c>
      <c r="C3006" s="1">
        <v>37</v>
      </c>
      <c r="D3006" s="1">
        <v>26</v>
      </c>
      <c r="E3006" s="1">
        <v>6</v>
      </c>
      <c r="F3006" s="1">
        <v>4</v>
      </c>
      <c r="G3006" s="1">
        <v>39.72</v>
      </c>
      <c r="H3006" s="1" t="s">
        <v>30</v>
      </c>
      <c r="I3006" s="1" t="s">
        <v>31</v>
      </c>
      <c r="J3006" s="1">
        <v>108</v>
      </c>
      <c r="K3006" s="1">
        <v>3.58</v>
      </c>
      <c r="L3006" s="4">
        <v>194.88</v>
      </c>
      <c r="M3006" s="1">
        <v>0.2</v>
      </c>
      <c r="N3006" s="1">
        <v>6</v>
      </c>
      <c r="O3006" s="1">
        <v>0.71</v>
      </c>
      <c r="P3006" s="1">
        <v>218</v>
      </c>
      <c r="Q3006" s="1">
        <v>4.5999999999999996</v>
      </c>
      <c r="R3006" s="1">
        <v>0.26</v>
      </c>
      <c r="S3006" s="2">
        <v>45567</v>
      </c>
      <c r="T3006" s="1">
        <v>22.66</v>
      </c>
      <c r="U3006" s="1">
        <v>0.51500000000000001</v>
      </c>
      <c r="V3006" s="6">
        <f t="shared" si="138"/>
        <v>7210.5599999999995</v>
      </c>
      <c r="W3006" s="6" t="str">
        <f t="shared" si="139"/>
        <v>Sufficient</v>
      </c>
      <c r="X3006" s="8" t="str">
        <f t="shared" si="140"/>
        <v>LOW</v>
      </c>
    </row>
    <row r="3007" spans="1:24">
      <c r="A3007" s="7" t="s">
        <v>3137</v>
      </c>
      <c r="B3007" s="1" t="s">
        <v>41</v>
      </c>
      <c r="C3007" s="1">
        <v>313</v>
      </c>
      <c r="D3007" s="1">
        <v>11</v>
      </c>
      <c r="E3007" s="1">
        <v>8</v>
      </c>
      <c r="F3007" s="1">
        <v>9</v>
      </c>
      <c r="G3007" s="1">
        <v>40.31</v>
      </c>
      <c r="H3007" s="1" t="s">
        <v>210</v>
      </c>
      <c r="I3007" s="1" t="s">
        <v>31</v>
      </c>
      <c r="J3007" s="1">
        <v>14</v>
      </c>
      <c r="K3007" s="1">
        <v>1.58</v>
      </c>
      <c r="L3007" s="4">
        <v>65.349999999999994</v>
      </c>
      <c r="M3007" s="1">
        <v>0.17</v>
      </c>
      <c r="N3007" s="1">
        <v>8</v>
      </c>
      <c r="O3007" s="1">
        <v>0.88</v>
      </c>
      <c r="P3007" s="1">
        <v>783</v>
      </c>
      <c r="Q3007" s="1">
        <v>8.84</v>
      </c>
      <c r="R3007" s="1">
        <v>0.4</v>
      </c>
      <c r="S3007" s="2">
        <v>45586</v>
      </c>
      <c r="T3007" s="1">
        <v>56.27</v>
      </c>
      <c r="U3007" s="1">
        <v>0.59699999999999998</v>
      </c>
      <c r="V3007" s="6">
        <f t="shared" si="138"/>
        <v>20454.55</v>
      </c>
      <c r="W3007" s="6" t="str">
        <f t="shared" si="139"/>
        <v>Sufficient</v>
      </c>
      <c r="X3007" s="8" t="str">
        <f t="shared" si="140"/>
        <v>High</v>
      </c>
    </row>
    <row r="3008" spans="1:24">
      <c r="A3008" s="7" t="s">
        <v>3138</v>
      </c>
      <c r="B3008" s="1" t="s">
        <v>25</v>
      </c>
      <c r="C3008" s="1">
        <v>214</v>
      </c>
      <c r="D3008" s="1">
        <v>22</v>
      </c>
      <c r="E3008" s="1">
        <v>6</v>
      </c>
      <c r="F3008" s="1">
        <v>8</v>
      </c>
      <c r="G3008" s="1">
        <v>36.26</v>
      </c>
      <c r="H3008" s="1" t="s">
        <v>137</v>
      </c>
      <c r="I3008" s="1" t="s">
        <v>39</v>
      </c>
      <c r="J3008" s="1">
        <v>39</v>
      </c>
      <c r="K3008" s="1">
        <v>3.18</v>
      </c>
      <c r="L3008" s="4">
        <v>176.03</v>
      </c>
      <c r="M3008" s="1">
        <v>0.28999999999999998</v>
      </c>
      <c r="N3008" s="1">
        <v>2</v>
      </c>
      <c r="O3008" s="1">
        <v>0.89</v>
      </c>
      <c r="P3008" s="1">
        <v>689</v>
      </c>
      <c r="Q3008" s="1">
        <v>12.89</v>
      </c>
      <c r="R3008" s="1">
        <v>0.36</v>
      </c>
      <c r="S3008" s="2">
        <v>45420</v>
      </c>
      <c r="T3008" s="1">
        <v>157.02000000000001</v>
      </c>
      <c r="U3008" s="1">
        <v>0.753</v>
      </c>
      <c r="V3008" s="6">
        <f t="shared" si="138"/>
        <v>37670.42</v>
      </c>
      <c r="W3008" s="6" t="str">
        <f t="shared" si="139"/>
        <v>Sufficient</v>
      </c>
      <c r="X3008" s="8" t="str">
        <f t="shared" si="140"/>
        <v>Medium</v>
      </c>
    </row>
    <row r="3009" spans="1:24">
      <c r="A3009" s="7" t="s">
        <v>3139</v>
      </c>
      <c r="B3009" s="1" t="s">
        <v>25</v>
      </c>
      <c r="C3009" s="1">
        <v>170</v>
      </c>
      <c r="D3009" s="1">
        <v>40</v>
      </c>
      <c r="E3009" s="1">
        <v>9</v>
      </c>
      <c r="F3009" s="1">
        <v>3</v>
      </c>
      <c r="G3009" s="1">
        <v>2.08</v>
      </c>
      <c r="H3009" s="1" t="s">
        <v>72</v>
      </c>
      <c r="I3009" s="1" t="s">
        <v>39</v>
      </c>
      <c r="J3009" s="1">
        <v>31</v>
      </c>
      <c r="K3009" s="1">
        <v>2.99</v>
      </c>
      <c r="L3009" s="4">
        <v>29.06</v>
      </c>
      <c r="M3009" s="1">
        <v>0.48</v>
      </c>
      <c r="N3009" s="1">
        <v>0</v>
      </c>
      <c r="O3009" s="1">
        <v>0.79</v>
      </c>
      <c r="P3009" s="1">
        <v>434</v>
      </c>
      <c r="Q3009" s="1">
        <v>11.08</v>
      </c>
      <c r="R3009" s="1">
        <v>0.98</v>
      </c>
      <c r="S3009" s="2">
        <v>45647</v>
      </c>
      <c r="T3009" s="1">
        <v>228.53</v>
      </c>
      <c r="U3009" s="1">
        <v>0.85399999999999998</v>
      </c>
      <c r="V3009" s="6">
        <f t="shared" si="138"/>
        <v>4940.2</v>
      </c>
      <c r="W3009" s="6" t="str">
        <f t="shared" si="139"/>
        <v>Sufficient</v>
      </c>
      <c r="X3009" s="8" t="str">
        <f t="shared" si="140"/>
        <v>Medium</v>
      </c>
    </row>
    <row r="3010" spans="1:24">
      <c r="A3010" s="7" t="s">
        <v>3140</v>
      </c>
      <c r="B3010" s="1" t="s">
        <v>41</v>
      </c>
      <c r="C3010" s="1">
        <v>499</v>
      </c>
      <c r="D3010" s="1">
        <v>37</v>
      </c>
      <c r="E3010" s="1">
        <v>14</v>
      </c>
      <c r="F3010" s="1">
        <v>5</v>
      </c>
      <c r="G3010" s="1">
        <v>28.68</v>
      </c>
      <c r="H3010" s="1" t="s">
        <v>79</v>
      </c>
      <c r="I3010" s="1" t="s">
        <v>45</v>
      </c>
      <c r="J3010" s="1">
        <v>154</v>
      </c>
      <c r="K3010" s="1">
        <v>1.93</v>
      </c>
      <c r="L3010" s="4">
        <v>124.36</v>
      </c>
      <c r="M3010" s="1">
        <v>0.17</v>
      </c>
      <c r="N3010" s="1">
        <v>8</v>
      </c>
      <c r="O3010" s="1">
        <v>1</v>
      </c>
      <c r="P3010" s="1">
        <v>910</v>
      </c>
      <c r="Q3010" s="1">
        <v>7.85</v>
      </c>
      <c r="R3010" s="1">
        <v>0.9</v>
      </c>
      <c r="S3010" s="2">
        <v>45518</v>
      </c>
      <c r="T3010" s="1">
        <v>184.28</v>
      </c>
      <c r="U3010" s="1">
        <v>0.70799999999999996</v>
      </c>
      <c r="V3010" s="6">
        <f t="shared" si="138"/>
        <v>62055.64</v>
      </c>
      <c r="W3010" s="6" t="str">
        <f t="shared" si="139"/>
        <v>Sufficient</v>
      </c>
      <c r="X3010" s="8" t="str">
        <f t="shared" si="140"/>
        <v>High</v>
      </c>
    </row>
    <row r="3011" spans="1:24">
      <c r="A3011" s="7" t="s">
        <v>3141</v>
      </c>
      <c r="B3011" s="1" t="s">
        <v>33</v>
      </c>
      <c r="C3011" s="1">
        <v>384</v>
      </c>
      <c r="D3011" s="1">
        <v>69</v>
      </c>
      <c r="E3011" s="1">
        <v>14</v>
      </c>
      <c r="F3011" s="1">
        <v>2</v>
      </c>
      <c r="G3011" s="1">
        <v>37.630000000000003</v>
      </c>
      <c r="H3011" s="1" t="s">
        <v>147</v>
      </c>
      <c r="I3011" s="1" t="s">
        <v>27</v>
      </c>
      <c r="J3011" s="1">
        <v>147</v>
      </c>
      <c r="K3011" s="1">
        <v>4</v>
      </c>
      <c r="L3011" s="4">
        <v>133.18</v>
      </c>
      <c r="M3011" s="1">
        <v>0.24</v>
      </c>
      <c r="N3011" s="1">
        <v>0</v>
      </c>
      <c r="O3011" s="1">
        <v>0.79</v>
      </c>
      <c r="P3011" s="1">
        <v>65</v>
      </c>
      <c r="Q3011" s="1">
        <v>4.57</v>
      </c>
      <c r="R3011" s="1">
        <v>0.31</v>
      </c>
      <c r="S3011" s="2">
        <v>45485</v>
      </c>
      <c r="T3011" s="1">
        <v>298.52</v>
      </c>
      <c r="U3011" s="1">
        <v>0.65700000000000003</v>
      </c>
      <c r="V3011" s="6">
        <f t="shared" si="138"/>
        <v>51141.120000000003</v>
      </c>
      <c r="W3011" s="6" t="str">
        <f t="shared" si="139"/>
        <v>Sufficient</v>
      </c>
      <c r="X3011" s="8" t="str">
        <f t="shared" si="140"/>
        <v>High</v>
      </c>
    </row>
    <row r="3012" spans="1:24">
      <c r="A3012" s="7" t="s">
        <v>3142</v>
      </c>
      <c r="B3012" s="1" t="s">
        <v>33</v>
      </c>
      <c r="C3012" s="1">
        <v>142</v>
      </c>
      <c r="D3012" s="1">
        <v>36</v>
      </c>
      <c r="E3012" s="1">
        <v>13</v>
      </c>
      <c r="F3012" s="1">
        <v>8</v>
      </c>
      <c r="G3012" s="1">
        <v>22.79</v>
      </c>
      <c r="H3012" s="1" t="s">
        <v>130</v>
      </c>
      <c r="I3012" s="1" t="s">
        <v>31</v>
      </c>
      <c r="J3012" s="1">
        <v>179</v>
      </c>
      <c r="K3012" s="1">
        <v>0.86</v>
      </c>
      <c r="L3012" s="4">
        <v>156.72</v>
      </c>
      <c r="M3012" s="1">
        <v>0.68</v>
      </c>
      <c r="N3012" s="1">
        <v>7</v>
      </c>
      <c r="O3012" s="1">
        <v>0.76</v>
      </c>
      <c r="P3012" s="1">
        <v>86</v>
      </c>
      <c r="Q3012" s="1">
        <v>11.63</v>
      </c>
      <c r="R3012" s="1">
        <v>0.48</v>
      </c>
      <c r="S3012" s="2">
        <v>45580</v>
      </c>
      <c r="T3012" s="1">
        <v>199.93</v>
      </c>
      <c r="U3012" s="1">
        <v>0.59499999999999997</v>
      </c>
      <c r="V3012" s="6">
        <f t="shared" ref="V3012:V3075" si="141">C3012*L3012</f>
        <v>22254.240000000002</v>
      </c>
      <c r="W3012" s="6" t="str">
        <f t="shared" ref="W3012:W3075" si="142">IF(C3012&lt;=D3012,"Reorder Required","Sufficient")</f>
        <v>Sufficient</v>
      </c>
      <c r="X3012" s="8" t="str">
        <f t="shared" ref="X3012:X3075" si="143">IF(C3012&lt;100,"LOW",IF(C3012&lt;250,"Medium","High"))</f>
        <v>Medium</v>
      </c>
    </row>
    <row r="3013" spans="1:24">
      <c r="A3013" s="7" t="s">
        <v>3143</v>
      </c>
      <c r="B3013" s="1" t="s">
        <v>25</v>
      </c>
      <c r="C3013" s="1">
        <v>419</v>
      </c>
      <c r="D3013" s="1">
        <v>24</v>
      </c>
      <c r="E3013" s="1">
        <v>3</v>
      </c>
      <c r="F3013" s="1">
        <v>7</v>
      </c>
      <c r="G3013" s="1">
        <v>47.3</v>
      </c>
      <c r="H3013" s="1" t="s">
        <v>106</v>
      </c>
      <c r="I3013" s="1" t="s">
        <v>31</v>
      </c>
      <c r="J3013" s="1">
        <v>36</v>
      </c>
      <c r="K3013" s="1">
        <v>1.27</v>
      </c>
      <c r="L3013" s="4">
        <v>105.57</v>
      </c>
      <c r="M3013" s="1">
        <v>0.28999999999999998</v>
      </c>
      <c r="N3013" s="1">
        <v>4</v>
      </c>
      <c r="O3013" s="1">
        <v>0.85</v>
      </c>
      <c r="P3013" s="1">
        <v>470</v>
      </c>
      <c r="Q3013" s="1">
        <v>13.97</v>
      </c>
      <c r="R3013" s="1">
        <v>0.24</v>
      </c>
      <c r="S3013" s="2">
        <v>45539</v>
      </c>
      <c r="T3013" s="1">
        <v>220.24</v>
      </c>
      <c r="U3013" s="1">
        <v>0.69499999999999995</v>
      </c>
      <c r="V3013" s="6">
        <f t="shared" si="141"/>
        <v>44233.829999999994</v>
      </c>
      <c r="W3013" s="6" t="str">
        <f t="shared" si="142"/>
        <v>Sufficient</v>
      </c>
      <c r="X3013" s="8" t="str">
        <f t="shared" si="143"/>
        <v>High</v>
      </c>
    </row>
    <row r="3014" spans="1:24">
      <c r="A3014" s="7" t="s">
        <v>3144</v>
      </c>
      <c r="B3014" s="1" t="s">
        <v>25</v>
      </c>
      <c r="C3014" s="1">
        <v>206</v>
      </c>
      <c r="D3014" s="1">
        <v>88</v>
      </c>
      <c r="E3014" s="1">
        <v>7</v>
      </c>
      <c r="F3014" s="1">
        <v>9</v>
      </c>
      <c r="G3014" s="1">
        <v>41.37</v>
      </c>
      <c r="H3014" s="1" t="s">
        <v>189</v>
      </c>
      <c r="I3014" s="1" t="s">
        <v>27</v>
      </c>
      <c r="J3014" s="1">
        <v>136</v>
      </c>
      <c r="K3014" s="1">
        <v>2.62</v>
      </c>
      <c r="L3014" s="4">
        <v>47.47</v>
      </c>
      <c r="M3014" s="1">
        <v>1.62</v>
      </c>
      <c r="N3014" s="1">
        <v>7</v>
      </c>
      <c r="O3014" s="1">
        <v>0.8</v>
      </c>
      <c r="P3014" s="1">
        <v>952</v>
      </c>
      <c r="Q3014" s="1">
        <v>3.98</v>
      </c>
      <c r="R3014" s="1">
        <v>0.71</v>
      </c>
      <c r="S3014" s="2">
        <v>45416</v>
      </c>
      <c r="T3014" s="1">
        <v>298.24</v>
      </c>
      <c r="U3014" s="1">
        <v>0.45300000000000001</v>
      </c>
      <c r="V3014" s="6">
        <f t="shared" si="141"/>
        <v>9778.82</v>
      </c>
      <c r="W3014" s="6" t="str">
        <f t="shared" si="142"/>
        <v>Sufficient</v>
      </c>
      <c r="X3014" s="8" t="str">
        <f t="shared" si="143"/>
        <v>Medium</v>
      </c>
    </row>
    <row r="3015" spans="1:24">
      <c r="A3015" s="7" t="s">
        <v>3145</v>
      </c>
      <c r="B3015" s="1" t="s">
        <v>66</v>
      </c>
      <c r="C3015" s="1">
        <v>472</v>
      </c>
      <c r="D3015" s="1">
        <v>42</v>
      </c>
      <c r="E3015" s="1">
        <v>12</v>
      </c>
      <c r="F3015" s="1">
        <v>8</v>
      </c>
      <c r="G3015" s="1">
        <v>32.270000000000003</v>
      </c>
      <c r="H3015" s="1" t="s">
        <v>205</v>
      </c>
      <c r="I3015" s="1" t="s">
        <v>45</v>
      </c>
      <c r="J3015" s="1">
        <v>144</v>
      </c>
      <c r="K3015" s="1">
        <v>4.51</v>
      </c>
      <c r="L3015" s="4">
        <v>80.11</v>
      </c>
      <c r="M3015" s="1">
        <v>0.2</v>
      </c>
      <c r="N3015" s="1">
        <v>6</v>
      </c>
      <c r="O3015" s="1">
        <v>0.98</v>
      </c>
      <c r="P3015" s="1">
        <v>345</v>
      </c>
      <c r="Q3015" s="1">
        <v>12.19</v>
      </c>
      <c r="R3015" s="1">
        <v>0.46</v>
      </c>
      <c r="S3015" s="2">
        <v>45465</v>
      </c>
      <c r="T3015" s="1">
        <v>181.81</v>
      </c>
      <c r="U3015" s="1">
        <v>0.71099999999999997</v>
      </c>
      <c r="V3015" s="6">
        <f t="shared" si="141"/>
        <v>37811.919999999998</v>
      </c>
      <c r="W3015" s="6" t="str">
        <f t="shared" si="142"/>
        <v>Sufficient</v>
      </c>
      <c r="X3015" s="8" t="str">
        <f t="shared" si="143"/>
        <v>High</v>
      </c>
    </row>
    <row r="3016" spans="1:24">
      <c r="A3016" s="7" t="s">
        <v>3146</v>
      </c>
      <c r="B3016" s="1" t="s">
        <v>33</v>
      </c>
      <c r="C3016" s="1">
        <v>471</v>
      </c>
      <c r="D3016" s="1">
        <v>29</v>
      </c>
      <c r="E3016" s="1">
        <v>14</v>
      </c>
      <c r="F3016" s="1">
        <v>5</v>
      </c>
      <c r="G3016" s="1">
        <v>4.0599999999999996</v>
      </c>
      <c r="H3016" s="1" t="s">
        <v>372</v>
      </c>
      <c r="I3016" s="1" t="s">
        <v>39</v>
      </c>
      <c r="J3016" s="1">
        <v>32</v>
      </c>
      <c r="K3016" s="1">
        <v>3.09</v>
      </c>
      <c r="L3016" s="4">
        <v>61.71</v>
      </c>
      <c r="M3016" s="1">
        <v>1.83</v>
      </c>
      <c r="N3016" s="1">
        <v>8</v>
      </c>
      <c r="O3016" s="1">
        <v>0.83</v>
      </c>
      <c r="P3016" s="1">
        <v>484</v>
      </c>
      <c r="Q3016" s="1">
        <v>3.41</v>
      </c>
      <c r="R3016" s="1">
        <v>0.41</v>
      </c>
      <c r="S3016" s="2">
        <v>45526</v>
      </c>
      <c r="T3016" s="1">
        <v>217.24</v>
      </c>
      <c r="U3016" s="1">
        <v>0.35</v>
      </c>
      <c r="V3016" s="6">
        <f t="shared" si="141"/>
        <v>29065.41</v>
      </c>
      <c r="W3016" s="6" t="str">
        <f t="shared" si="142"/>
        <v>Sufficient</v>
      </c>
      <c r="X3016" s="8" t="str">
        <f t="shared" si="143"/>
        <v>High</v>
      </c>
    </row>
    <row r="3017" spans="1:24">
      <c r="A3017" s="7" t="s">
        <v>3147</v>
      </c>
      <c r="B3017" s="1" t="s">
        <v>41</v>
      </c>
      <c r="C3017" s="1">
        <v>168</v>
      </c>
      <c r="D3017" s="1">
        <v>51</v>
      </c>
      <c r="E3017" s="1">
        <v>12</v>
      </c>
      <c r="F3017" s="1">
        <v>4</v>
      </c>
      <c r="G3017" s="1">
        <v>32.96</v>
      </c>
      <c r="H3017" s="1" t="s">
        <v>370</v>
      </c>
      <c r="I3017" s="1" t="s">
        <v>45</v>
      </c>
      <c r="J3017" s="1">
        <v>84</v>
      </c>
      <c r="K3017" s="1">
        <v>4.29</v>
      </c>
      <c r="L3017" s="4">
        <v>89.63</v>
      </c>
      <c r="M3017" s="1">
        <v>1.75</v>
      </c>
      <c r="N3017" s="1">
        <v>1</v>
      </c>
      <c r="O3017" s="1">
        <v>0.82</v>
      </c>
      <c r="P3017" s="1">
        <v>369</v>
      </c>
      <c r="Q3017" s="1">
        <v>13.61</v>
      </c>
      <c r="R3017" s="1">
        <v>0.62</v>
      </c>
      <c r="S3017" s="2">
        <v>45640</v>
      </c>
      <c r="T3017" s="1">
        <v>96.52</v>
      </c>
      <c r="U3017" s="1">
        <v>0.67400000000000004</v>
      </c>
      <c r="V3017" s="6">
        <f t="shared" si="141"/>
        <v>15057.84</v>
      </c>
      <c r="W3017" s="6" t="str">
        <f t="shared" si="142"/>
        <v>Sufficient</v>
      </c>
      <c r="X3017" s="8" t="str">
        <f t="shared" si="143"/>
        <v>Medium</v>
      </c>
    </row>
    <row r="3018" spans="1:24">
      <c r="A3018" s="7" t="s">
        <v>3148</v>
      </c>
      <c r="B3018" s="1" t="s">
        <v>33</v>
      </c>
      <c r="C3018" s="1">
        <v>123</v>
      </c>
      <c r="D3018" s="1">
        <v>21</v>
      </c>
      <c r="E3018" s="1">
        <v>6</v>
      </c>
      <c r="F3018" s="1">
        <v>4</v>
      </c>
      <c r="G3018" s="1">
        <v>45.67</v>
      </c>
      <c r="H3018" s="1" t="s">
        <v>30</v>
      </c>
      <c r="I3018" s="1" t="s">
        <v>27</v>
      </c>
      <c r="J3018" s="1">
        <v>126</v>
      </c>
      <c r="K3018" s="1">
        <v>2.83</v>
      </c>
      <c r="L3018" s="4">
        <v>110.69</v>
      </c>
      <c r="M3018" s="1">
        <v>0.5</v>
      </c>
      <c r="N3018" s="1">
        <v>8</v>
      </c>
      <c r="O3018" s="1">
        <v>0.89</v>
      </c>
      <c r="P3018" s="1">
        <v>786</v>
      </c>
      <c r="Q3018" s="1">
        <v>9.99</v>
      </c>
      <c r="R3018" s="1">
        <v>0.84</v>
      </c>
      <c r="S3018" s="2">
        <v>45527</v>
      </c>
      <c r="T3018" s="1">
        <v>165.66</v>
      </c>
      <c r="U3018" s="1">
        <v>0.66900000000000004</v>
      </c>
      <c r="V3018" s="6">
        <f t="shared" si="141"/>
        <v>13614.869999999999</v>
      </c>
      <c r="W3018" s="6" t="str">
        <f t="shared" si="142"/>
        <v>Sufficient</v>
      </c>
      <c r="X3018" s="8" t="str">
        <f t="shared" si="143"/>
        <v>Medium</v>
      </c>
    </row>
    <row r="3019" spans="1:24">
      <c r="A3019" s="7" t="s">
        <v>3149</v>
      </c>
      <c r="B3019" s="1" t="s">
        <v>66</v>
      </c>
      <c r="C3019" s="1">
        <v>262</v>
      </c>
      <c r="D3019" s="1">
        <v>82</v>
      </c>
      <c r="E3019" s="1">
        <v>13</v>
      </c>
      <c r="F3019" s="1">
        <v>8</v>
      </c>
      <c r="G3019" s="1">
        <v>19.59</v>
      </c>
      <c r="H3019" s="1" t="s">
        <v>181</v>
      </c>
      <c r="I3019" s="1" t="s">
        <v>31</v>
      </c>
      <c r="J3019" s="1">
        <v>145</v>
      </c>
      <c r="K3019" s="1">
        <v>4.03</v>
      </c>
      <c r="L3019" s="4">
        <v>128.76</v>
      </c>
      <c r="M3019" s="1">
        <v>0.24</v>
      </c>
      <c r="N3019" s="1">
        <v>9</v>
      </c>
      <c r="O3019" s="1">
        <v>0.72</v>
      </c>
      <c r="P3019" s="1">
        <v>675</v>
      </c>
      <c r="Q3019" s="1">
        <v>3.53</v>
      </c>
      <c r="R3019" s="1">
        <v>0.52</v>
      </c>
      <c r="S3019" s="2">
        <v>45592</v>
      </c>
      <c r="T3019" s="1">
        <v>274.47000000000003</v>
      </c>
      <c r="U3019" s="1">
        <v>0.49099999999999999</v>
      </c>
      <c r="V3019" s="6">
        <f t="shared" si="141"/>
        <v>33735.119999999995</v>
      </c>
      <c r="W3019" s="6" t="str">
        <f t="shared" si="142"/>
        <v>Sufficient</v>
      </c>
      <c r="X3019" s="8" t="str">
        <f t="shared" si="143"/>
        <v>High</v>
      </c>
    </row>
    <row r="3020" spans="1:24">
      <c r="A3020" s="7" t="s">
        <v>3150</v>
      </c>
      <c r="B3020" s="1" t="s">
        <v>25</v>
      </c>
      <c r="C3020" s="1">
        <v>481</v>
      </c>
      <c r="D3020" s="1">
        <v>32</v>
      </c>
      <c r="E3020" s="1">
        <v>9</v>
      </c>
      <c r="F3020" s="1">
        <v>5</v>
      </c>
      <c r="G3020" s="1">
        <v>42.07</v>
      </c>
      <c r="H3020" s="1" t="s">
        <v>174</v>
      </c>
      <c r="I3020" s="1" t="s">
        <v>39</v>
      </c>
      <c r="J3020" s="1">
        <v>17</v>
      </c>
      <c r="K3020" s="1">
        <v>1.97</v>
      </c>
      <c r="L3020" s="4">
        <v>170.57</v>
      </c>
      <c r="M3020" s="1">
        <v>0.3</v>
      </c>
      <c r="N3020" s="1">
        <v>4</v>
      </c>
      <c r="O3020" s="1">
        <v>0.93</v>
      </c>
      <c r="P3020" s="1">
        <v>583</v>
      </c>
      <c r="Q3020" s="1">
        <v>1.51</v>
      </c>
      <c r="R3020" s="1">
        <v>0.81</v>
      </c>
      <c r="S3020" s="2">
        <v>45306</v>
      </c>
      <c r="T3020" s="1">
        <v>257.45999999999998</v>
      </c>
      <c r="U3020" s="1">
        <v>0.65800000000000003</v>
      </c>
      <c r="V3020" s="6">
        <f t="shared" si="141"/>
        <v>82044.17</v>
      </c>
      <c r="W3020" s="6" t="str">
        <f t="shared" si="142"/>
        <v>Sufficient</v>
      </c>
      <c r="X3020" s="8" t="str">
        <f t="shared" si="143"/>
        <v>High</v>
      </c>
    </row>
    <row r="3021" spans="1:24">
      <c r="A3021" s="7" t="s">
        <v>3151</v>
      </c>
      <c r="B3021" s="1" t="s">
        <v>25</v>
      </c>
      <c r="C3021" s="1">
        <v>250</v>
      </c>
      <c r="D3021" s="1">
        <v>81</v>
      </c>
      <c r="E3021" s="1">
        <v>11</v>
      </c>
      <c r="F3021" s="1">
        <v>9</v>
      </c>
      <c r="G3021" s="1">
        <v>16.34</v>
      </c>
      <c r="H3021" s="1" t="s">
        <v>81</v>
      </c>
      <c r="I3021" s="1" t="s">
        <v>27</v>
      </c>
      <c r="J3021" s="1">
        <v>110</v>
      </c>
      <c r="K3021" s="1">
        <v>4.17</v>
      </c>
      <c r="L3021" s="4">
        <v>182.9</v>
      </c>
      <c r="M3021" s="1">
        <v>1.1599999999999999</v>
      </c>
      <c r="N3021" s="1">
        <v>4</v>
      </c>
      <c r="O3021" s="1">
        <v>0.93</v>
      </c>
      <c r="P3021" s="1">
        <v>348</v>
      </c>
      <c r="Q3021" s="1">
        <v>10.72</v>
      </c>
      <c r="R3021" s="1">
        <v>0.56000000000000005</v>
      </c>
      <c r="S3021" s="2">
        <v>45538</v>
      </c>
      <c r="T3021" s="1">
        <v>98.82</v>
      </c>
      <c r="U3021" s="1">
        <v>0.64500000000000002</v>
      </c>
      <c r="V3021" s="6">
        <f t="shared" si="141"/>
        <v>45725</v>
      </c>
      <c r="W3021" s="6" t="str">
        <f t="shared" si="142"/>
        <v>Sufficient</v>
      </c>
      <c r="X3021" s="8" t="str">
        <f t="shared" si="143"/>
        <v>High</v>
      </c>
    </row>
    <row r="3022" spans="1:24">
      <c r="A3022" s="7" t="s">
        <v>3152</v>
      </c>
      <c r="B3022" s="1" t="s">
        <v>66</v>
      </c>
      <c r="C3022" s="1">
        <v>498</v>
      </c>
      <c r="D3022" s="1">
        <v>23</v>
      </c>
      <c r="E3022" s="1">
        <v>7</v>
      </c>
      <c r="F3022" s="1">
        <v>8</v>
      </c>
      <c r="G3022" s="1">
        <v>28.94</v>
      </c>
      <c r="H3022" s="1" t="s">
        <v>244</v>
      </c>
      <c r="I3022" s="1" t="s">
        <v>31</v>
      </c>
      <c r="J3022" s="1">
        <v>14</v>
      </c>
      <c r="K3022" s="1">
        <v>2.31</v>
      </c>
      <c r="L3022" s="4">
        <v>97.89</v>
      </c>
      <c r="M3022" s="1">
        <v>1.24</v>
      </c>
      <c r="N3022" s="1">
        <v>0</v>
      </c>
      <c r="O3022" s="1">
        <v>0.84</v>
      </c>
      <c r="P3022" s="1">
        <v>623</v>
      </c>
      <c r="Q3022" s="1">
        <v>9.49</v>
      </c>
      <c r="R3022" s="1">
        <v>0.37</v>
      </c>
      <c r="S3022" s="2">
        <v>45351</v>
      </c>
      <c r="T3022" s="1">
        <v>113.59</v>
      </c>
      <c r="U3022" s="1">
        <v>0.64500000000000002</v>
      </c>
      <c r="V3022" s="6">
        <f t="shared" si="141"/>
        <v>48749.22</v>
      </c>
      <c r="W3022" s="6" t="str">
        <f t="shared" si="142"/>
        <v>Sufficient</v>
      </c>
      <c r="X3022" s="8" t="str">
        <f t="shared" si="143"/>
        <v>High</v>
      </c>
    </row>
    <row r="3023" spans="1:24">
      <c r="A3023" s="7" t="s">
        <v>3153</v>
      </c>
      <c r="B3023" s="1" t="s">
        <v>41</v>
      </c>
      <c r="C3023" s="1">
        <v>225</v>
      </c>
      <c r="D3023" s="1">
        <v>34</v>
      </c>
      <c r="E3023" s="1">
        <v>6</v>
      </c>
      <c r="F3023" s="1">
        <v>2</v>
      </c>
      <c r="G3023" s="1">
        <v>32.770000000000003</v>
      </c>
      <c r="H3023" s="1" t="s">
        <v>325</v>
      </c>
      <c r="I3023" s="1" t="s">
        <v>45</v>
      </c>
      <c r="J3023" s="1">
        <v>95</v>
      </c>
      <c r="K3023" s="1">
        <v>3.01</v>
      </c>
      <c r="L3023" s="4">
        <v>26.85</v>
      </c>
      <c r="M3023" s="1">
        <v>0.7</v>
      </c>
      <c r="N3023" s="1">
        <v>5</v>
      </c>
      <c r="O3023" s="1">
        <v>0.99</v>
      </c>
      <c r="P3023" s="1">
        <v>743</v>
      </c>
      <c r="Q3023" s="1">
        <v>9.56</v>
      </c>
      <c r="R3023" s="1">
        <v>0.56000000000000005</v>
      </c>
      <c r="S3023" s="2">
        <v>45424</v>
      </c>
      <c r="T3023" s="1">
        <v>255.45</v>
      </c>
      <c r="U3023" s="1">
        <v>0.66700000000000004</v>
      </c>
      <c r="V3023" s="6">
        <f t="shared" si="141"/>
        <v>6041.25</v>
      </c>
      <c r="W3023" s="6" t="str">
        <f t="shared" si="142"/>
        <v>Sufficient</v>
      </c>
      <c r="X3023" s="8" t="str">
        <f t="shared" si="143"/>
        <v>Medium</v>
      </c>
    </row>
    <row r="3024" spans="1:24">
      <c r="A3024" s="7" t="s">
        <v>3154</v>
      </c>
      <c r="B3024" s="1" t="s">
        <v>25</v>
      </c>
      <c r="C3024" s="1">
        <v>217</v>
      </c>
      <c r="D3024" s="1">
        <v>86</v>
      </c>
      <c r="E3024" s="1">
        <v>11</v>
      </c>
      <c r="F3024" s="1">
        <v>2</v>
      </c>
      <c r="G3024" s="1">
        <v>34.22</v>
      </c>
      <c r="H3024" s="1" t="s">
        <v>57</v>
      </c>
      <c r="I3024" s="1" t="s">
        <v>39</v>
      </c>
      <c r="J3024" s="1">
        <v>139</v>
      </c>
      <c r="K3024" s="1">
        <v>1.29</v>
      </c>
      <c r="L3024" s="4">
        <v>161.44</v>
      </c>
      <c r="M3024" s="1">
        <v>0.66</v>
      </c>
      <c r="N3024" s="1">
        <v>9</v>
      </c>
      <c r="O3024" s="1">
        <v>0.87</v>
      </c>
      <c r="P3024" s="1">
        <v>972</v>
      </c>
      <c r="Q3024" s="1">
        <v>7.75</v>
      </c>
      <c r="R3024" s="1">
        <v>0.63</v>
      </c>
      <c r="S3024" s="2">
        <v>45326</v>
      </c>
      <c r="T3024" s="1">
        <v>92.56</v>
      </c>
      <c r="U3024" s="1">
        <v>0.55700000000000005</v>
      </c>
      <c r="V3024" s="6">
        <f t="shared" si="141"/>
        <v>35032.479999999996</v>
      </c>
      <c r="W3024" s="6" t="str">
        <f t="shared" si="142"/>
        <v>Sufficient</v>
      </c>
      <c r="X3024" s="8" t="str">
        <f t="shared" si="143"/>
        <v>Medium</v>
      </c>
    </row>
    <row r="3025" spans="1:24">
      <c r="A3025" s="7" t="s">
        <v>3155</v>
      </c>
      <c r="B3025" s="1" t="s">
        <v>29</v>
      </c>
      <c r="C3025" s="1">
        <v>415</v>
      </c>
      <c r="D3025" s="1">
        <v>94</v>
      </c>
      <c r="E3025" s="1">
        <v>7</v>
      </c>
      <c r="F3025" s="1">
        <v>6</v>
      </c>
      <c r="G3025" s="1">
        <v>44.24</v>
      </c>
      <c r="H3025" s="1" t="s">
        <v>252</v>
      </c>
      <c r="I3025" s="1" t="s">
        <v>31</v>
      </c>
      <c r="J3025" s="1">
        <v>21</v>
      </c>
      <c r="K3025" s="1">
        <v>4.6399999999999997</v>
      </c>
      <c r="L3025" s="4">
        <v>100.66</v>
      </c>
      <c r="M3025" s="1">
        <v>1.1100000000000001</v>
      </c>
      <c r="N3025" s="1">
        <v>9</v>
      </c>
      <c r="O3025" s="1">
        <v>0.91</v>
      </c>
      <c r="P3025" s="1">
        <v>846</v>
      </c>
      <c r="Q3025" s="1">
        <v>9.6</v>
      </c>
      <c r="R3025" s="1">
        <v>0.56999999999999995</v>
      </c>
      <c r="S3025" s="2">
        <v>45487</v>
      </c>
      <c r="T3025" s="1">
        <v>267.41000000000003</v>
      </c>
      <c r="U3025" s="1">
        <v>0.53300000000000003</v>
      </c>
      <c r="V3025" s="6">
        <f t="shared" si="141"/>
        <v>41773.9</v>
      </c>
      <c r="W3025" s="6" t="str">
        <f t="shared" si="142"/>
        <v>Sufficient</v>
      </c>
      <c r="X3025" s="8" t="str">
        <f t="shared" si="143"/>
        <v>High</v>
      </c>
    </row>
    <row r="3026" spans="1:24">
      <c r="A3026" s="7" t="s">
        <v>3156</v>
      </c>
      <c r="B3026" s="1" t="s">
        <v>25</v>
      </c>
      <c r="C3026" s="1">
        <v>419</v>
      </c>
      <c r="D3026" s="1">
        <v>40</v>
      </c>
      <c r="E3026" s="1">
        <v>11</v>
      </c>
      <c r="F3026" s="1">
        <v>3</v>
      </c>
      <c r="G3026" s="1">
        <v>12.5</v>
      </c>
      <c r="H3026" s="1" t="s">
        <v>91</v>
      </c>
      <c r="I3026" s="1" t="s">
        <v>31</v>
      </c>
      <c r="J3026" s="1">
        <v>56</v>
      </c>
      <c r="K3026" s="1">
        <v>3.66</v>
      </c>
      <c r="L3026" s="4">
        <v>113.82</v>
      </c>
      <c r="M3026" s="1">
        <v>0.68</v>
      </c>
      <c r="N3026" s="1">
        <v>9</v>
      </c>
      <c r="O3026" s="1">
        <v>0.98</v>
      </c>
      <c r="P3026" s="1">
        <v>65</v>
      </c>
      <c r="Q3026" s="1">
        <v>13.23</v>
      </c>
      <c r="R3026" s="1">
        <v>0.42</v>
      </c>
      <c r="S3026" s="2">
        <v>45616</v>
      </c>
      <c r="T3026" s="1">
        <v>234.39</v>
      </c>
      <c r="U3026" s="1">
        <v>0.60799999999999998</v>
      </c>
      <c r="V3026" s="6">
        <f t="shared" si="141"/>
        <v>47690.579999999994</v>
      </c>
      <c r="W3026" s="6" t="str">
        <f t="shared" si="142"/>
        <v>Sufficient</v>
      </c>
      <c r="X3026" s="8" t="str">
        <f t="shared" si="143"/>
        <v>High</v>
      </c>
    </row>
    <row r="3027" spans="1:24">
      <c r="A3027" s="7" t="s">
        <v>3157</v>
      </c>
      <c r="B3027" s="1" t="s">
        <v>29</v>
      </c>
      <c r="C3027" s="1">
        <v>356</v>
      </c>
      <c r="D3027" s="1">
        <v>63</v>
      </c>
      <c r="E3027" s="1">
        <v>10</v>
      </c>
      <c r="F3027" s="1">
        <v>6</v>
      </c>
      <c r="G3027" s="1">
        <v>13.86</v>
      </c>
      <c r="H3027" s="1" t="s">
        <v>210</v>
      </c>
      <c r="I3027" s="1" t="s">
        <v>31</v>
      </c>
      <c r="J3027" s="1">
        <v>35</v>
      </c>
      <c r="K3027" s="1">
        <v>4.3600000000000003</v>
      </c>
      <c r="L3027" s="4">
        <v>123.2</v>
      </c>
      <c r="M3027" s="1">
        <v>1.88</v>
      </c>
      <c r="N3027" s="1">
        <v>9</v>
      </c>
      <c r="O3027" s="1">
        <v>0.9</v>
      </c>
      <c r="P3027" s="1">
        <v>444</v>
      </c>
      <c r="Q3027" s="1">
        <v>14.33</v>
      </c>
      <c r="R3027" s="1">
        <v>0.35</v>
      </c>
      <c r="S3027" s="2">
        <v>45404</v>
      </c>
      <c r="T3027" s="1">
        <v>54.18</v>
      </c>
      <c r="U3027" s="1">
        <v>0.47299999999999998</v>
      </c>
      <c r="V3027" s="6">
        <f t="shared" si="141"/>
        <v>43859.200000000004</v>
      </c>
      <c r="W3027" s="6" t="str">
        <f t="shared" si="142"/>
        <v>Sufficient</v>
      </c>
      <c r="X3027" s="8" t="str">
        <f t="shared" si="143"/>
        <v>High</v>
      </c>
    </row>
    <row r="3028" spans="1:24">
      <c r="A3028" s="7" t="s">
        <v>3158</v>
      </c>
      <c r="B3028" s="1" t="s">
        <v>66</v>
      </c>
      <c r="C3028" s="1">
        <v>106</v>
      </c>
      <c r="D3028" s="1">
        <v>14</v>
      </c>
      <c r="E3028" s="1">
        <v>6</v>
      </c>
      <c r="F3028" s="1">
        <v>9</v>
      </c>
      <c r="G3028" s="1">
        <v>35.5</v>
      </c>
      <c r="H3028" s="1" t="s">
        <v>128</v>
      </c>
      <c r="I3028" s="1" t="s">
        <v>31</v>
      </c>
      <c r="J3028" s="1">
        <v>111</v>
      </c>
      <c r="K3028" s="1">
        <v>1.44</v>
      </c>
      <c r="L3028" s="4">
        <v>136.88999999999999</v>
      </c>
      <c r="M3028" s="1">
        <v>0.83</v>
      </c>
      <c r="N3028" s="1">
        <v>2</v>
      </c>
      <c r="O3028" s="1">
        <v>0.83</v>
      </c>
      <c r="P3028" s="1">
        <v>326</v>
      </c>
      <c r="Q3028" s="1">
        <v>5.82</v>
      </c>
      <c r="R3028" s="1">
        <v>0.96</v>
      </c>
      <c r="S3028" s="2">
        <v>45638</v>
      </c>
      <c r="T3028" s="1">
        <v>218.73</v>
      </c>
      <c r="U3028" s="1">
        <v>0.71299999999999997</v>
      </c>
      <c r="V3028" s="6">
        <f t="shared" si="141"/>
        <v>14510.339999999998</v>
      </c>
      <c r="W3028" s="6" t="str">
        <f t="shared" si="142"/>
        <v>Sufficient</v>
      </c>
      <c r="X3028" s="8" t="str">
        <f t="shared" si="143"/>
        <v>Medium</v>
      </c>
    </row>
    <row r="3029" spans="1:24">
      <c r="A3029" s="7" t="s">
        <v>3159</v>
      </c>
      <c r="B3029" s="1" t="s">
        <v>66</v>
      </c>
      <c r="C3029" s="1">
        <v>161</v>
      </c>
      <c r="D3029" s="1">
        <v>22</v>
      </c>
      <c r="E3029" s="1">
        <v>13</v>
      </c>
      <c r="F3029" s="1">
        <v>2</v>
      </c>
      <c r="G3029" s="1">
        <v>9.68</v>
      </c>
      <c r="H3029" s="1" t="s">
        <v>346</v>
      </c>
      <c r="I3029" s="1" t="s">
        <v>31</v>
      </c>
      <c r="J3029" s="1">
        <v>129</v>
      </c>
      <c r="K3029" s="1">
        <v>0.8</v>
      </c>
      <c r="L3029" s="4">
        <v>179.12</v>
      </c>
      <c r="M3029" s="1">
        <v>0.52</v>
      </c>
      <c r="N3029" s="1">
        <v>9</v>
      </c>
      <c r="O3029" s="1">
        <v>0.71</v>
      </c>
      <c r="P3029" s="1">
        <v>698</v>
      </c>
      <c r="Q3029" s="1">
        <v>7.83</v>
      </c>
      <c r="R3029" s="1">
        <v>0.44</v>
      </c>
      <c r="S3029" s="2">
        <v>45651</v>
      </c>
      <c r="T3029" s="1">
        <v>251.95</v>
      </c>
      <c r="U3029" s="1">
        <v>0.502</v>
      </c>
      <c r="V3029" s="6">
        <f t="shared" si="141"/>
        <v>28838.32</v>
      </c>
      <c r="W3029" s="6" t="str">
        <f t="shared" si="142"/>
        <v>Sufficient</v>
      </c>
      <c r="X3029" s="8" t="str">
        <f t="shared" si="143"/>
        <v>Medium</v>
      </c>
    </row>
    <row r="3030" spans="1:24">
      <c r="A3030" s="7" t="s">
        <v>3160</v>
      </c>
      <c r="B3030" s="1" t="s">
        <v>25</v>
      </c>
      <c r="C3030" s="1">
        <v>336</v>
      </c>
      <c r="D3030" s="1">
        <v>37</v>
      </c>
      <c r="E3030" s="1">
        <v>13</v>
      </c>
      <c r="F3030" s="1">
        <v>5</v>
      </c>
      <c r="G3030" s="1">
        <v>23.75</v>
      </c>
      <c r="H3030" s="1" t="s">
        <v>252</v>
      </c>
      <c r="I3030" s="1" t="s">
        <v>45</v>
      </c>
      <c r="J3030" s="1">
        <v>79</v>
      </c>
      <c r="K3030" s="1">
        <v>2.02</v>
      </c>
      <c r="L3030" s="4">
        <v>190.91</v>
      </c>
      <c r="M3030" s="1">
        <v>0.38</v>
      </c>
      <c r="N3030" s="1">
        <v>2</v>
      </c>
      <c r="O3030" s="1">
        <v>0.92</v>
      </c>
      <c r="P3030" s="1">
        <v>332</v>
      </c>
      <c r="Q3030" s="1">
        <v>4.82</v>
      </c>
      <c r="R3030" s="1">
        <v>0.76</v>
      </c>
      <c r="S3030" s="2">
        <v>45409</v>
      </c>
      <c r="T3030" s="1">
        <v>51.86</v>
      </c>
      <c r="U3030" s="1">
        <v>0.72199999999999998</v>
      </c>
      <c r="V3030" s="6">
        <f t="shared" si="141"/>
        <v>64145.760000000002</v>
      </c>
      <c r="W3030" s="6" t="str">
        <f t="shared" si="142"/>
        <v>Sufficient</v>
      </c>
      <c r="X3030" s="8" t="str">
        <f t="shared" si="143"/>
        <v>High</v>
      </c>
    </row>
    <row r="3031" spans="1:24">
      <c r="A3031" s="7" t="s">
        <v>3161</v>
      </c>
      <c r="B3031" s="1" t="s">
        <v>33</v>
      </c>
      <c r="C3031" s="1">
        <v>218</v>
      </c>
      <c r="D3031" s="1">
        <v>52</v>
      </c>
      <c r="E3031" s="1">
        <v>9</v>
      </c>
      <c r="F3031" s="1">
        <v>3</v>
      </c>
      <c r="G3031" s="1">
        <v>1.98</v>
      </c>
      <c r="H3031" s="1" t="s">
        <v>88</v>
      </c>
      <c r="I3031" s="1" t="s">
        <v>27</v>
      </c>
      <c r="J3031" s="1">
        <v>11</v>
      </c>
      <c r="K3031" s="1">
        <v>2.83</v>
      </c>
      <c r="L3031" s="4">
        <v>188.63</v>
      </c>
      <c r="M3031" s="1">
        <v>1.3</v>
      </c>
      <c r="N3031" s="1">
        <v>2</v>
      </c>
      <c r="O3031" s="1">
        <v>0.99</v>
      </c>
      <c r="P3031" s="1">
        <v>688</v>
      </c>
      <c r="Q3031" s="1">
        <v>6.76</v>
      </c>
      <c r="R3031" s="1">
        <v>0.47</v>
      </c>
      <c r="S3031" s="2">
        <v>45453</v>
      </c>
      <c r="T3031" s="1">
        <v>142.63</v>
      </c>
      <c r="U3031" s="1">
        <v>0.61199999999999999</v>
      </c>
      <c r="V3031" s="6">
        <f t="shared" si="141"/>
        <v>41121.339999999997</v>
      </c>
      <c r="W3031" s="6" t="str">
        <f t="shared" si="142"/>
        <v>Sufficient</v>
      </c>
      <c r="X3031" s="8" t="str">
        <f t="shared" si="143"/>
        <v>Medium</v>
      </c>
    </row>
    <row r="3032" spans="1:24">
      <c r="A3032" s="7" t="s">
        <v>3162</v>
      </c>
      <c r="B3032" s="1" t="s">
        <v>29</v>
      </c>
      <c r="C3032" s="1">
        <v>65</v>
      </c>
      <c r="D3032" s="1">
        <v>98</v>
      </c>
      <c r="E3032" s="1">
        <v>7</v>
      </c>
      <c r="F3032" s="1">
        <v>9</v>
      </c>
      <c r="G3032" s="1">
        <v>7.91</v>
      </c>
      <c r="H3032" s="1" t="s">
        <v>128</v>
      </c>
      <c r="I3032" s="1" t="s">
        <v>39</v>
      </c>
      <c r="J3032" s="1">
        <v>35</v>
      </c>
      <c r="K3032" s="1">
        <v>4.1100000000000003</v>
      </c>
      <c r="L3032" s="4">
        <v>163.80000000000001</v>
      </c>
      <c r="M3032" s="1">
        <v>0.72</v>
      </c>
      <c r="N3032" s="1">
        <v>3</v>
      </c>
      <c r="O3032" s="1">
        <v>0.84</v>
      </c>
      <c r="P3032" s="1">
        <v>135</v>
      </c>
      <c r="Q3032" s="1">
        <v>12.14</v>
      </c>
      <c r="R3032" s="1">
        <v>0.98</v>
      </c>
      <c r="S3032" s="2">
        <v>45503</v>
      </c>
      <c r="T3032" s="1">
        <v>260.16000000000003</v>
      </c>
      <c r="U3032" s="1">
        <v>0.79400000000000004</v>
      </c>
      <c r="V3032" s="6">
        <f t="shared" si="141"/>
        <v>10647</v>
      </c>
      <c r="W3032" s="6" t="str">
        <f t="shared" si="142"/>
        <v>Reorder Required</v>
      </c>
      <c r="X3032" s="8" t="str">
        <f t="shared" si="143"/>
        <v>LOW</v>
      </c>
    </row>
    <row r="3033" spans="1:24">
      <c r="A3033" s="7" t="s">
        <v>3163</v>
      </c>
      <c r="B3033" s="1" t="s">
        <v>41</v>
      </c>
      <c r="C3033" s="1">
        <v>307</v>
      </c>
      <c r="D3033" s="1">
        <v>56</v>
      </c>
      <c r="E3033" s="1">
        <v>12</v>
      </c>
      <c r="F3033" s="1">
        <v>5</v>
      </c>
      <c r="G3033" s="1">
        <v>34.26</v>
      </c>
      <c r="H3033" s="1" t="s">
        <v>221</v>
      </c>
      <c r="I3033" s="1" t="s">
        <v>45</v>
      </c>
      <c r="J3033" s="1">
        <v>23</v>
      </c>
      <c r="K3033" s="1">
        <v>2.29</v>
      </c>
      <c r="L3033" s="4">
        <v>178.96</v>
      </c>
      <c r="M3033" s="1">
        <v>0.46</v>
      </c>
      <c r="N3033" s="1">
        <v>8</v>
      </c>
      <c r="O3033" s="1">
        <v>0.8</v>
      </c>
      <c r="P3033" s="1">
        <v>256</v>
      </c>
      <c r="Q3033" s="1">
        <v>6.95</v>
      </c>
      <c r="R3033" s="1">
        <v>0.99</v>
      </c>
      <c r="S3033" s="2">
        <v>45472</v>
      </c>
      <c r="T3033" s="1">
        <v>67.61</v>
      </c>
      <c r="U3033" s="1">
        <v>0.64500000000000002</v>
      </c>
      <c r="V3033" s="6">
        <f t="shared" si="141"/>
        <v>54940.72</v>
      </c>
      <c r="W3033" s="6" t="str">
        <f t="shared" si="142"/>
        <v>Sufficient</v>
      </c>
      <c r="X3033" s="8" t="str">
        <f t="shared" si="143"/>
        <v>High</v>
      </c>
    </row>
    <row r="3034" spans="1:24">
      <c r="A3034" s="7" t="s">
        <v>3164</v>
      </c>
      <c r="B3034" s="1" t="s">
        <v>25</v>
      </c>
      <c r="C3034" s="1">
        <v>34</v>
      </c>
      <c r="D3034" s="1">
        <v>80</v>
      </c>
      <c r="E3034" s="1">
        <v>6</v>
      </c>
      <c r="F3034" s="1">
        <v>9</v>
      </c>
      <c r="G3034" s="1">
        <v>37.630000000000003</v>
      </c>
      <c r="H3034" s="1" t="s">
        <v>210</v>
      </c>
      <c r="I3034" s="1" t="s">
        <v>39</v>
      </c>
      <c r="J3034" s="1">
        <v>91</v>
      </c>
      <c r="K3034" s="1">
        <v>1.71</v>
      </c>
      <c r="L3034" s="4">
        <v>19.43</v>
      </c>
      <c r="M3034" s="1">
        <v>0.62</v>
      </c>
      <c r="N3034" s="1">
        <v>7</v>
      </c>
      <c r="O3034" s="1">
        <v>0.86</v>
      </c>
      <c r="P3034" s="1">
        <v>924</v>
      </c>
      <c r="Q3034" s="1">
        <v>6.48</v>
      </c>
      <c r="R3034" s="1">
        <v>0.86</v>
      </c>
      <c r="S3034" s="2">
        <v>45556</v>
      </c>
      <c r="T3034" s="1">
        <v>140.24</v>
      </c>
      <c r="U3034" s="1">
        <v>0.628</v>
      </c>
      <c r="V3034" s="6">
        <f t="shared" si="141"/>
        <v>660.62</v>
      </c>
      <c r="W3034" s="6" t="str">
        <f t="shared" si="142"/>
        <v>Reorder Required</v>
      </c>
      <c r="X3034" s="8" t="str">
        <f t="shared" si="143"/>
        <v>LOW</v>
      </c>
    </row>
    <row r="3035" spans="1:24">
      <c r="A3035" s="7" t="s">
        <v>3165</v>
      </c>
      <c r="B3035" s="1" t="s">
        <v>41</v>
      </c>
      <c r="C3035" s="1">
        <v>63</v>
      </c>
      <c r="D3035" s="1">
        <v>47</v>
      </c>
      <c r="E3035" s="1">
        <v>7</v>
      </c>
      <c r="F3035" s="1">
        <v>6</v>
      </c>
      <c r="G3035" s="1">
        <v>6.65</v>
      </c>
      <c r="H3035" s="1" t="s">
        <v>77</v>
      </c>
      <c r="I3035" s="1" t="s">
        <v>31</v>
      </c>
      <c r="J3035" s="1">
        <v>111</v>
      </c>
      <c r="K3035" s="1">
        <v>2.1800000000000002</v>
      </c>
      <c r="L3035" s="4">
        <v>171.33</v>
      </c>
      <c r="M3035" s="1">
        <v>0.68</v>
      </c>
      <c r="N3035" s="1">
        <v>5</v>
      </c>
      <c r="O3035" s="1">
        <v>0.92</v>
      </c>
      <c r="P3035" s="1">
        <v>712</v>
      </c>
      <c r="Q3035" s="1">
        <v>12.9</v>
      </c>
      <c r="R3035" s="1">
        <v>0.67</v>
      </c>
      <c r="S3035" s="2">
        <v>45566</v>
      </c>
      <c r="T3035" s="1">
        <v>187.7</v>
      </c>
      <c r="U3035" s="1">
        <v>0.72199999999999998</v>
      </c>
      <c r="V3035" s="6">
        <f t="shared" si="141"/>
        <v>10793.79</v>
      </c>
      <c r="W3035" s="6" t="str">
        <f t="shared" si="142"/>
        <v>Sufficient</v>
      </c>
      <c r="X3035" s="8" t="str">
        <f t="shared" si="143"/>
        <v>LOW</v>
      </c>
    </row>
    <row r="3036" spans="1:24">
      <c r="A3036" s="7" t="s">
        <v>3166</v>
      </c>
      <c r="B3036" s="1" t="s">
        <v>25</v>
      </c>
      <c r="C3036" s="1">
        <v>420</v>
      </c>
      <c r="D3036" s="1">
        <v>76</v>
      </c>
      <c r="E3036" s="1">
        <v>7</v>
      </c>
      <c r="F3036" s="1">
        <v>4</v>
      </c>
      <c r="G3036" s="1">
        <v>12.16</v>
      </c>
      <c r="H3036" s="1" t="s">
        <v>195</v>
      </c>
      <c r="I3036" s="1" t="s">
        <v>27</v>
      </c>
      <c r="J3036" s="1">
        <v>41</v>
      </c>
      <c r="K3036" s="1">
        <v>3.67</v>
      </c>
      <c r="L3036" s="4">
        <v>23.73</v>
      </c>
      <c r="M3036" s="1">
        <v>1.29</v>
      </c>
      <c r="N3036" s="1">
        <v>7</v>
      </c>
      <c r="O3036" s="1">
        <v>0.7</v>
      </c>
      <c r="P3036" s="1">
        <v>612</v>
      </c>
      <c r="Q3036" s="1">
        <v>1.02</v>
      </c>
      <c r="R3036" s="1">
        <v>0.63</v>
      </c>
      <c r="S3036" s="2">
        <v>45296</v>
      </c>
      <c r="T3036" s="1">
        <v>38.200000000000003</v>
      </c>
      <c r="U3036" s="1">
        <v>0.41099999999999998</v>
      </c>
      <c r="V3036" s="6">
        <f t="shared" si="141"/>
        <v>9966.6</v>
      </c>
      <c r="W3036" s="6" t="str">
        <f t="shared" si="142"/>
        <v>Sufficient</v>
      </c>
      <c r="X3036" s="8" t="str">
        <f t="shared" si="143"/>
        <v>High</v>
      </c>
    </row>
    <row r="3037" spans="1:24">
      <c r="A3037" s="7" t="s">
        <v>3167</v>
      </c>
      <c r="B3037" s="1" t="s">
        <v>33</v>
      </c>
      <c r="C3037" s="1">
        <v>188</v>
      </c>
      <c r="D3037" s="1">
        <v>71</v>
      </c>
      <c r="E3037" s="1">
        <v>13</v>
      </c>
      <c r="F3037" s="1">
        <v>5</v>
      </c>
      <c r="G3037" s="1">
        <v>5.85</v>
      </c>
      <c r="H3037" s="1" t="s">
        <v>52</v>
      </c>
      <c r="I3037" s="1" t="s">
        <v>31</v>
      </c>
      <c r="J3037" s="1">
        <v>71</v>
      </c>
      <c r="K3037" s="1">
        <v>2.0099999999999998</v>
      </c>
      <c r="L3037" s="4">
        <v>151.78</v>
      </c>
      <c r="M3037" s="1">
        <v>0.43</v>
      </c>
      <c r="N3037" s="1">
        <v>7</v>
      </c>
      <c r="O3037" s="1">
        <v>0.97</v>
      </c>
      <c r="P3037" s="1">
        <v>526</v>
      </c>
      <c r="Q3037" s="1">
        <v>12.93</v>
      </c>
      <c r="R3037" s="1">
        <v>0.46</v>
      </c>
      <c r="S3037" s="2">
        <v>45650</v>
      </c>
      <c r="T3037" s="1">
        <v>71.5</v>
      </c>
      <c r="U3037" s="1">
        <v>0.67500000000000004</v>
      </c>
      <c r="V3037" s="6">
        <f t="shared" si="141"/>
        <v>28534.639999999999</v>
      </c>
      <c r="W3037" s="6" t="str">
        <f t="shared" si="142"/>
        <v>Sufficient</v>
      </c>
      <c r="X3037" s="8" t="str">
        <f t="shared" si="143"/>
        <v>Medium</v>
      </c>
    </row>
    <row r="3038" spans="1:24">
      <c r="A3038" s="7" t="s">
        <v>3168</v>
      </c>
      <c r="B3038" s="1" t="s">
        <v>33</v>
      </c>
      <c r="C3038" s="1">
        <v>329</v>
      </c>
      <c r="D3038" s="1">
        <v>48</v>
      </c>
      <c r="E3038" s="1">
        <v>11</v>
      </c>
      <c r="F3038" s="1">
        <v>6</v>
      </c>
      <c r="G3038" s="1">
        <v>22.24</v>
      </c>
      <c r="H3038" s="1" t="s">
        <v>331</v>
      </c>
      <c r="I3038" s="1" t="s">
        <v>45</v>
      </c>
      <c r="J3038" s="1">
        <v>124</v>
      </c>
      <c r="K3038" s="1">
        <v>4.91</v>
      </c>
      <c r="L3038" s="4">
        <v>42.18</v>
      </c>
      <c r="M3038" s="1">
        <v>1.49</v>
      </c>
      <c r="N3038" s="1">
        <v>0</v>
      </c>
      <c r="O3038" s="1">
        <v>0.97</v>
      </c>
      <c r="P3038" s="1">
        <v>792</v>
      </c>
      <c r="Q3038" s="1">
        <v>3.54</v>
      </c>
      <c r="R3038" s="1">
        <v>0.3</v>
      </c>
      <c r="S3038" s="2">
        <v>45426</v>
      </c>
      <c r="T3038" s="1">
        <v>145.35</v>
      </c>
      <c r="U3038" s="1">
        <v>0.55200000000000005</v>
      </c>
      <c r="V3038" s="6">
        <f t="shared" si="141"/>
        <v>13877.22</v>
      </c>
      <c r="W3038" s="6" t="str">
        <f t="shared" si="142"/>
        <v>Sufficient</v>
      </c>
      <c r="X3038" s="8" t="str">
        <f t="shared" si="143"/>
        <v>High</v>
      </c>
    </row>
    <row r="3039" spans="1:24">
      <c r="A3039" s="7" t="s">
        <v>3169</v>
      </c>
      <c r="B3039" s="1" t="s">
        <v>33</v>
      </c>
      <c r="C3039" s="1">
        <v>63</v>
      </c>
      <c r="D3039" s="1">
        <v>46</v>
      </c>
      <c r="E3039" s="1">
        <v>14</v>
      </c>
      <c r="F3039" s="1">
        <v>6</v>
      </c>
      <c r="G3039" s="1">
        <v>7.18</v>
      </c>
      <c r="H3039" s="1" t="s">
        <v>282</v>
      </c>
      <c r="I3039" s="1" t="s">
        <v>45</v>
      </c>
      <c r="J3039" s="1">
        <v>39</v>
      </c>
      <c r="K3039" s="1">
        <v>1.29</v>
      </c>
      <c r="L3039" s="4">
        <v>78.42</v>
      </c>
      <c r="M3039" s="1">
        <v>0.68</v>
      </c>
      <c r="N3039" s="1">
        <v>8</v>
      </c>
      <c r="O3039" s="1">
        <v>0.86</v>
      </c>
      <c r="P3039" s="1">
        <v>641</v>
      </c>
      <c r="Q3039" s="1">
        <v>4.84</v>
      </c>
      <c r="R3039" s="1">
        <v>0.26</v>
      </c>
      <c r="S3039" s="2">
        <v>45419</v>
      </c>
      <c r="T3039" s="1">
        <v>118.37</v>
      </c>
      <c r="U3039" s="1">
        <v>0.46100000000000002</v>
      </c>
      <c r="V3039" s="6">
        <f t="shared" si="141"/>
        <v>4940.46</v>
      </c>
      <c r="W3039" s="6" t="str">
        <f t="shared" si="142"/>
        <v>Sufficient</v>
      </c>
      <c r="X3039" s="8" t="str">
        <f t="shared" si="143"/>
        <v>LOW</v>
      </c>
    </row>
    <row r="3040" spans="1:24">
      <c r="A3040" s="7" t="s">
        <v>3170</v>
      </c>
      <c r="B3040" s="1" t="s">
        <v>33</v>
      </c>
      <c r="C3040" s="1">
        <v>117</v>
      </c>
      <c r="D3040" s="1">
        <v>95</v>
      </c>
      <c r="E3040" s="1">
        <v>11</v>
      </c>
      <c r="F3040" s="1">
        <v>6</v>
      </c>
      <c r="G3040" s="1">
        <v>22.43</v>
      </c>
      <c r="H3040" s="1" t="s">
        <v>327</v>
      </c>
      <c r="I3040" s="1" t="s">
        <v>39</v>
      </c>
      <c r="J3040" s="1">
        <v>150</v>
      </c>
      <c r="K3040" s="1">
        <v>3.89</v>
      </c>
      <c r="L3040" s="4">
        <v>44.99</v>
      </c>
      <c r="M3040" s="1">
        <v>1.03</v>
      </c>
      <c r="N3040" s="1">
        <v>0</v>
      </c>
      <c r="O3040" s="1">
        <v>0.74</v>
      </c>
      <c r="P3040" s="1">
        <v>180</v>
      </c>
      <c r="Q3040" s="1">
        <v>6.06</v>
      </c>
      <c r="R3040" s="1">
        <v>0.56999999999999995</v>
      </c>
      <c r="S3040" s="2">
        <v>45439</v>
      </c>
      <c r="T3040" s="1">
        <v>104.19</v>
      </c>
      <c r="U3040" s="1">
        <v>0.64</v>
      </c>
      <c r="V3040" s="6">
        <f t="shared" si="141"/>
        <v>5263.83</v>
      </c>
      <c r="W3040" s="6" t="str">
        <f t="shared" si="142"/>
        <v>Sufficient</v>
      </c>
      <c r="X3040" s="8" t="str">
        <f t="shared" si="143"/>
        <v>Medium</v>
      </c>
    </row>
    <row r="3041" spans="1:24">
      <c r="A3041" s="7" t="s">
        <v>3171</v>
      </c>
      <c r="B3041" s="1" t="s">
        <v>66</v>
      </c>
      <c r="C3041" s="1">
        <v>280</v>
      </c>
      <c r="D3041" s="1">
        <v>17</v>
      </c>
      <c r="E3041" s="1">
        <v>8</v>
      </c>
      <c r="F3041" s="1">
        <v>4</v>
      </c>
      <c r="G3041" s="1">
        <v>36.869999999999997</v>
      </c>
      <c r="H3041" s="1" t="s">
        <v>229</v>
      </c>
      <c r="I3041" s="1" t="s">
        <v>31</v>
      </c>
      <c r="J3041" s="1">
        <v>177</v>
      </c>
      <c r="K3041" s="1">
        <v>3.15</v>
      </c>
      <c r="L3041" s="4">
        <v>94.26</v>
      </c>
      <c r="M3041" s="1">
        <v>1.34</v>
      </c>
      <c r="N3041" s="1">
        <v>1</v>
      </c>
      <c r="O3041" s="1">
        <v>0.9</v>
      </c>
      <c r="P3041" s="1">
        <v>449</v>
      </c>
      <c r="Q3041" s="1">
        <v>13.33</v>
      </c>
      <c r="R3041" s="1">
        <v>0.98</v>
      </c>
      <c r="S3041" s="2">
        <v>45339</v>
      </c>
      <c r="T3041" s="1">
        <v>17.649999999999999</v>
      </c>
      <c r="U3041" s="1">
        <v>0.8</v>
      </c>
      <c r="V3041" s="6">
        <f t="shared" si="141"/>
        <v>26392.800000000003</v>
      </c>
      <c r="W3041" s="6" t="str">
        <f t="shared" si="142"/>
        <v>Sufficient</v>
      </c>
      <c r="X3041" s="8" t="str">
        <f t="shared" si="143"/>
        <v>High</v>
      </c>
    </row>
    <row r="3042" spans="1:24">
      <c r="A3042" s="7" t="s">
        <v>3172</v>
      </c>
      <c r="B3042" s="1" t="s">
        <v>66</v>
      </c>
      <c r="C3042" s="1">
        <v>128</v>
      </c>
      <c r="D3042" s="1">
        <v>90</v>
      </c>
      <c r="E3042" s="1">
        <v>6</v>
      </c>
      <c r="F3042" s="1">
        <v>4</v>
      </c>
      <c r="G3042" s="1">
        <v>34.49</v>
      </c>
      <c r="H3042" s="1" t="s">
        <v>276</v>
      </c>
      <c r="I3042" s="1" t="s">
        <v>31</v>
      </c>
      <c r="J3042" s="1">
        <v>40</v>
      </c>
      <c r="K3042" s="1">
        <v>1.55</v>
      </c>
      <c r="L3042" s="4">
        <v>88.23</v>
      </c>
      <c r="M3042" s="1">
        <v>1.1299999999999999</v>
      </c>
      <c r="N3042" s="1">
        <v>8</v>
      </c>
      <c r="O3042" s="1">
        <v>0.74</v>
      </c>
      <c r="P3042" s="1">
        <v>185</v>
      </c>
      <c r="Q3042" s="1">
        <v>13.72</v>
      </c>
      <c r="R3042" s="1">
        <v>0.4</v>
      </c>
      <c r="S3042" s="2">
        <v>45496</v>
      </c>
      <c r="T3042" s="1">
        <v>279.10000000000002</v>
      </c>
      <c r="U3042" s="1">
        <v>0.53800000000000003</v>
      </c>
      <c r="V3042" s="6">
        <f t="shared" si="141"/>
        <v>11293.44</v>
      </c>
      <c r="W3042" s="6" t="str">
        <f t="shared" si="142"/>
        <v>Sufficient</v>
      </c>
      <c r="X3042" s="8" t="str">
        <f t="shared" si="143"/>
        <v>Medium</v>
      </c>
    </row>
    <row r="3043" spans="1:24">
      <c r="A3043" s="7" t="s">
        <v>3173</v>
      </c>
      <c r="B3043" s="1" t="s">
        <v>29</v>
      </c>
      <c r="C3043" s="1">
        <v>302</v>
      </c>
      <c r="D3043" s="1">
        <v>61</v>
      </c>
      <c r="E3043" s="1">
        <v>4</v>
      </c>
      <c r="F3043" s="1">
        <v>8</v>
      </c>
      <c r="G3043" s="1">
        <v>14.74</v>
      </c>
      <c r="H3043" s="1" t="s">
        <v>95</v>
      </c>
      <c r="I3043" s="1" t="s">
        <v>27</v>
      </c>
      <c r="J3043" s="1">
        <v>46</v>
      </c>
      <c r="K3043" s="1">
        <v>3.89</v>
      </c>
      <c r="L3043" s="4">
        <v>19.13</v>
      </c>
      <c r="M3043" s="1">
        <v>1.36</v>
      </c>
      <c r="N3043" s="1">
        <v>6</v>
      </c>
      <c r="O3043" s="1">
        <v>0.85</v>
      </c>
      <c r="P3043" s="1">
        <v>395</v>
      </c>
      <c r="Q3043" s="1">
        <v>10.26</v>
      </c>
      <c r="R3043" s="1">
        <v>0.53</v>
      </c>
      <c r="S3043" s="2">
        <v>45636</v>
      </c>
      <c r="T3043" s="1">
        <v>262.70999999999998</v>
      </c>
      <c r="U3043" s="1">
        <v>0.55700000000000005</v>
      </c>
      <c r="V3043" s="6">
        <f t="shared" si="141"/>
        <v>5777.2599999999993</v>
      </c>
      <c r="W3043" s="6" t="str">
        <f t="shared" si="142"/>
        <v>Sufficient</v>
      </c>
      <c r="X3043" s="8" t="str">
        <f t="shared" si="143"/>
        <v>High</v>
      </c>
    </row>
    <row r="3044" spans="1:24">
      <c r="A3044" s="7" t="s">
        <v>3174</v>
      </c>
      <c r="B3044" s="1" t="s">
        <v>41</v>
      </c>
      <c r="C3044" s="1">
        <v>391</v>
      </c>
      <c r="D3044" s="1">
        <v>42</v>
      </c>
      <c r="E3044" s="1">
        <v>5</v>
      </c>
      <c r="F3044" s="1">
        <v>4</v>
      </c>
      <c r="G3044" s="1">
        <v>34.01</v>
      </c>
      <c r="H3044" s="1" t="s">
        <v>238</v>
      </c>
      <c r="I3044" s="1" t="s">
        <v>27</v>
      </c>
      <c r="J3044" s="1">
        <v>111</v>
      </c>
      <c r="K3044" s="1">
        <v>2.5099999999999998</v>
      </c>
      <c r="L3044" s="4">
        <v>167.79</v>
      </c>
      <c r="M3044" s="1">
        <v>0.71</v>
      </c>
      <c r="N3044" s="1">
        <v>9</v>
      </c>
      <c r="O3044" s="1">
        <v>0.73</v>
      </c>
      <c r="P3044" s="1">
        <v>219</v>
      </c>
      <c r="Q3044" s="1">
        <v>7.15</v>
      </c>
      <c r="R3044" s="1">
        <v>0.71</v>
      </c>
      <c r="S3044" s="2">
        <v>45467</v>
      </c>
      <c r="T3044" s="1">
        <v>123.86</v>
      </c>
      <c r="U3044" s="1">
        <v>0.53200000000000003</v>
      </c>
      <c r="V3044" s="6">
        <f t="shared" si="141"/>
        <v>65605.89</v>
      </c>
      <c r="W3044" s="6" t="str">
        <f t="shared" si="142"/>
        <v>Sufficient</v>
      </c>
      <c r="X3044" s="8" t="str">
        <f t="shared" si="143"/>
        <v>High</v>
      </c>
    </row>
    <row r="3045" spans="1:24">
      <c r="A3045" s="7" t="s">
        <v>3175</v>
      </c>
      <c r="B3045" s="1" t="s">
        <v>25</v>
      </c>
      <c r="C3045" s="1">
        <v>362</v>
      </c>
      <c r="D3045" s="1">
        <v>90</v>
      </c>
      <c r="E3045" s="1">
        <v>4</v>
      </c>
      <c r="F3045" s="1">
        <v>3</v>
      </c>
      <c r="G3045" s="1">
        <v>46.46</v>
      </c>
      <c r="H3045" s="1" t="s">
        <v>68</v>
      </c>
      <c r="I3045" s="1" t="s">
        <v>31</v>
      </c>
      <c r="J3045" s="1">
        <v>137</v>
      </c>
      <c r="K3045" s="1">
        <v>3.57</v>
      </c>
      <c r="L3045" s="4">
        <v>172.3</v>
      </c>
      <c r="M3045" s="1">
        <v>1.93</v>
      </c>
      <c r="N3045" s="1">
        <v>0</v>
      </c>
      <c r="O3045" s="1">
        <v>0.88</v>
      </c>
      <c r="P3045" s="1">
        <v>212</v>
      </c>
      <c r="Q3045" s="1">
        <v>8.23</v>
      </c>
      <c r="R3045" s="1">
        <v>0.48</v>
      </c>
      <c r="S3045" s="2">
        <v>45330</v>
      </c>
      <c r="T3045" s="1">
        <v>62.6</v>
      </c>
      <c r="U3045" s="1">
        <v>0.58899999999999997</v>
      </c>
      <c r="V3045" s="6">
        <f t="shared" si="141"/>
        <v>62372.600000000006</v>
      </c>
      <c r="W3045" s="6" t="str">
        <f t="shared" si="142"/>
        <v>Sufficient</v>
      </c>
      <c r="X3045" s="8" t="str">
        <f t="shared" si="143"/>
        <v>High</v>
      </c>
    </row>
    <row r="3046" spans="1:24">
      <c r="A3046" s="7" t="s">
        <v>3176</v>
      </c>
      <c r="B3046" s="1" t="s">
        <v>25</v>
      </c>
      <c r="C3046" s="1">
        <v>123</v>
      </c>
      <c r="D3046" s="1">
        <v>51</v>
      </c>
      <c r="E3046" s="1">
        <v>7</v>
      </c>
      <c r="F3046" s="1">
        <v>4</v>
      </c>
      <c r="G3046" s="1">
        <v>18.03</v>
      </c>
      <c r="H3046" s="1" t="s">
        <v>244</v>
      </c>
      <c r="I3046" s="1" t="s">
        <v>39</v>
      </c>
      <c r="J3046" s="1">
        <v>95</v>
      </c>
      <c r="K3046" s="1">
        <v>3.48</v>
      </c>
      <c r="L3046" s="4">
        <v>159.63</v>
      </c>
      <c r="M3046" s="1">
        <v>0.97</v>
      </c>
      <c r="N3046" s="1">
        <v>2</v>
      </c>
      <c r="O3046" s="1">
        <v>0.8</v>
      </c>
      <c r="P3046" s="1">
        <v>248</v>
      </c>
      <c r="Q3046" s="1">
        <v>9.1300000000000008</v>
      </c>
      <c r="R3046" s="1">
        <v>0.2</v>
      </c>
      <c r="S3046" s="2">
        <v>45575</v>
      </c>
      <c r="T3046" s="1">
        <v>30.02</v>
      </c>
      <c r="U3046" s="1">
        <v>0.58499999999999996</v>
      </c>
      <c r="V3046" s="6">
        <f t="shared" si="141"/>
        <v>19634.489999999998</v>
      </c>
      <c r="W3046" s="6" t="str">
        <f t="shared" si="142"/>
        <v>Sufficient</v>
      </c>
      <c r="X3046" s="8" t="str">
        <f t="shared" si="143"/>
        <v>Medium</v>
      </c>
    </row>
    <row r="3047" spans="1:24">
      <c r="A3047" s="7" t="s">
        <v>3177</v>
      </c>
      <c r="B3047" s="1" t="s">
        <v>66</v>
      </c>
      <c r="C3047" s="1">
        <v>275</v>
      </c>
      <c r="D3047" s="1">
        <v>85</v>
      </c>
      <c r="E3047" s="1">
        <v>8</v>
      </c>
      <c r="F3047" s="1">
        <v>4</v>
      </c>
      <c r="G3047" s="1">
        <v>17.13</v>
      </c>
      <c r="H3047" s="1" t="s">
        <v>185</v>
      </c>
      <c r="I3047" s="1" t="s">
        <v>27</v>
      </c>
      <c r="J3047" s="1">
        <v>68</v>
      </c>
      <c r="K3047" s="1">
        <v>1</v>
      </c>
      <c r="L3047" s="4">
        <v>171.05</v>
      </c>
      <c r="M3047" s="1">
        <v>0.71</v>
      </c>
      <c r="N3047" s="1">
        <v>0</v>
      </c>
      <c r="O3047" s="1">
        <v>0.95</v>
      </c>
      <c r="P3047" s="1">
        <v>788</v>
      </c>
      <c r="Q3047" s="1">
        <v>14.36</v>
      </c>
      <c r="R3047" s="1">
        <v>0.52</v>
      </c>
      <c r="S3047" s="2">
        <v>45383</v>
      </c>
      <c r="T3047" s="1">
        <v>45.72</v>
      </c>
      <c r="U3047" s="1">
        <v>0.81399999999999995</v>
      </c>
      <c r="V3047" s="6">
        <f t="shared" si="141"/>
        <v>47038.75</v>
      </c>
      <c r="W3047" s="6" t="str">
        <f t="shared" si="142"/>
        <v>Sufficient</v>
      </c>
      <c r="X3047" s="8" t="str">
        <f t="shared" si="143"/>
        <v>High</v>
      </c>
    </row>
    <row r="3048" spans="1:24">
      <c r="A3048" s="7" t="s">
        <v>3178</v>
      </c>
      <c r="B3048" s="1" t="s">
        <v>25</v>
      </c>
      <c r="C3048" s="1">
        <v>398</v>
      </c>
      <c r="D3048" s="1">
        <v>36</v>
      </c>
      <c r="E3048" s="1">
        <v>13</v>
      </c>
      <c r="F3048" s="1">
        <v>4</v>
      </c>
      <c r="G3048" s="1">
        <v>29</v>
      </c>
      <c r="H3048" s="1" t="s">
        <v>124</v>
      </c>
      <c r="I3048" s="1" t="s">
        <v>31</v>
      </c>
      <c r="J3048" s="1">
        <v>37</v>
      </c>
      <c r="K3048" s="1">
        <v>4.28</v>
      </c>
      <c r="L3048" s="4">
        <v>152.66999999999999</v>
      </c>
      <c r="M3048" s="1">
        <v>0.66</v>
      </c>
      <c r="N3048" s="1">
        <v>4</v>
      </c>
      <c r="O3048" s="1">
        <v>0.94</v>
      </c>
      <c r="P3048" s="1">
        <v>97</v>
      </c>
      <c r="Q3048" s="1">
        <v>14.57</v>
      </c>
      <c r="R3048" s="1">
        <v>0.84</v>
      </c>
      <c r="S3048" s="2">
        <v>45535</v>
      </c>
      <c r="T3048" s="1">
        <v>184.59</v>
      </c>
      <c r="U3048" s="1">
        <v>0.80400000000000005</v>
      </c>
      <c r="V3048" s="6">
        <f t="shared" si="141"/>
        <v>60762.659999999996</v>
      </c>
      <c r="W3048" s="6" t="str">
        <f t="shared" si="142"/>
        <v>Sufficient</v>
      </c>
      <c r="X3048" s="8" t="str">
        <f t="shared" si="143"/>
        <v>High</v>
      </c>
    </row>
    <row r="3049" spans="1:24">
      <c r="A3049" s="7" t="s">
        <v>3179</v>
      </c>
      <c r="B3049" s="1" t="s">
        <v>66</v>
      </c>
      <c r="C3049" s="1">
        <v>225</v>
      </c>
      <c r="D3049" s="1">
        <v>17</v>
      </c>
      <c r="E3049" s="1">
        <v>7</v>
      </c>
      <c r="F3049" s="1">
        <v>9</v>
      </c>
      <c r="G3049" s="1">
        <v>13.03</v>
      </c>
      <c r="H3049" s="1" t="s">
        <v>61</v>
      </c>
      <c r="I3049" s="1" t="s">
        <v>31</v>
      </c>
      <c r="J3049" s="1">
        <v>131</v>
      </c>
      <c r="K3049" s="1">
        <v>3.57</v>
      </c>
      <c r="L3049" s="4">
        <v>188.12</v>
      </c>
      <c r="M3049" s="1">
        <v>0.18</v>
      </c>
      <c r="N3049" s="1">
        <v>3</v>
      </c>
      <c r="O3049" s="1">
        <v>1</v>
      </c>
      <c r="P3049" s="1">
        <v>871</v>
      </c>
      <c r="Q3049" s="1">
        <v>12.86</v>
      </c>
      <c r="R3049" s="1">
        <v>0.96</v>
      </c>
      <c r="S3049" s="2">
        <v>45452</v>
      </c>
      <c r="T3049" s="1">
        <v>222.84</v>
      </c>
      <c r="U3049" s="1">
        <v>0.88500000000000001</v>
      </c>
      <c r="V3049" s="6">
        <f t="shared" si="141"/>
        <v>42327</v>
      </c>
      <c r="W3049" s="6" t="str">
        <f t="shared" si="142"/>
        <v>Sufficient</v>
      </c>
      <c r="X3049" s="8" t="str">
        <f t="shared" si="143"/>
        <v>Medium</v>
      </c>
    </row>
    <row r="3050" spans="1:24">
      <c r="A3050" s="7" t="s">
        <v>3180</v>
      </c>
      <c r="B3050" s="1" t="s">
        <v>29</v>
      </c>
      <c r="C3050" s="1">
        <v>354</v>
      </c>
      <c r="D3050" s="1">
        <v>32</v>
      </c>
      <c r="E3050" s="1">
        <v>4</v>
      </c>
      <c r="F3050" s="1">
        <v>5</v>
      </c>
      <c r="G3050" s="1">
        <v>32.93</v>
      </c>
      <c r="H3050" s="1" t="s">
        <v>119</v>
      </c>
      <c r="I3050" s="1" t="s">
        <v>31</v>
      </c>
      <c r="J3050" s="1">
        <v>70</v>
      </c>
      <c r="K3050" s="1">
        <v>4.01</v>
      </c>
      <c r="L3050" s="4">
        <v>119.51</v>
      </c>
      <c r="M3050" s="1">
        <v>1.4</v>
      </c>
      <c r="N3050" s="1">
        <v>7</v>
      </c>
      <c r="O3050" s="1">
        <v>0.78</v>
      </c>
      <c r="P3050" s="1">
        <v>814</v>
      </c>
      <c r="Q3050" s="1">
        <v>9.17</v>
      </c>
      <c r="R3050" s="1">
        <v>0.42</v>
      </c>
      <c r="S3050" s="2">
        <v>45473</v>
      </c>
      <c r="T3050" s="1">
        <v>55.36</v>
      </c>
      <c r="U3050" s="1">
        <v>0.48199999999999998</v>
      </c>
      <c r="V3050" s="6">
        <f t="shared" si="141"/>
        <v>42306.54</v>
      </c>
      <c r="W3050" s="6" t="str">
        <f t="shared" si="142"/>
        <v>Sufficient</v>
      </c>
      <c r="X3050" s="8" t="str">
        <f t="shared" si="143"/>
        <v>High</v>
      </c>
    </row>
    <row r="3051" spans="1:24">
      <c r="A3051" s="7" t="s">
        <v>3181</v>
      </c>
      <c r="B3051" s="1" t="s">
        <v>41</v>
      </c>
      <c r="C3051" s="1">
        <v>62</v>
      </c>
      <c r="D3051" s="1">
        <v>73</v>
      </c>
      <c r="E3051" s="1">
        <v>14</v>
      </c>
      <c r="F3051" s="1">
        <v>4</v>
      </c>
      <c r="G3051" s="1">
        <v>41.78</v>
      </c>
      <c r="H3051" s="1" t="s">
        <v>85</v>
      </c>
      <c r="I3051" s="1" t="s">
        <v>45</v>
      </c>
      <c r="J3051" s="1">
        <v>156</v>
      </c>
      <c r="K3051" s="1">
        <v>2.5099999999999998</v>
      </c>
      <c r="L3051" s="4">
        <v>120.7</v>
      </c>
      <c r="M3051" s="1">
        <v>0.6</v>
      </c>
      <c r="N3051" s="1">
        <v>8</v>
      </c>
      <c r="O3051" s="1">
        <v>0.72</v>
      </c>
      <c r="P3051" s="1">
        <v>543</v>
      </c>
      <c r="Q3051" s="1">
        <v>6.47</v>
      </c>
      <c r="R3051" s="1">
        <v>0.94</v>
      </c>
      <c r="S3051" s="2">
        <v>45403</v>
      </c>
      <c r="T3051" s="1">
        <v>42.71</v>
      </c>
      <c r="U3051" s="1">
        <v>0.59799999999999998</v>
      </c>
      <c r="V3051" s="6">
        <f t="shared" si="141"/>
        <v>7483.4000000000005</v>
      </c>
      <c r="W3051" s="6" t="str">
        <f t="shared" si="142"/>
        <v>Reorder Required</v>
      </c>
      <c r="X3051" s="8" t="str">
        <f t="shared" si="143"/>
        <v>LOW</v>
      </c>
    </row>
    <row r="3052" spans="1:24">
      <c r="A3052" s="7" t="s">
        <v>3182</v>
      </c>
      <c r="B3052" s="1" t="s">
        <v>29</v>
      </c>
      <c r="C3052" s="1">
        <v>372</v>
      </c>
      <c r="D3052" s="1">
        <v>29</v>
      </c>
      <c r="E3052" s="1">
        <v>7</v>
      </c>
      <c r="F3052" s="1">
        <v>3</v>
      </c>
      <c r="G3052" s="1">
        <v>23.51</v>
      </c>
      <c r="H3052" s="1" t="s">
        <v>153</v>
      </c>
      <c r="I3052" s="1" t="s">
        <v>39</v>
      </c>
      <c r="J3052" s="1">
        <v>25</v>
      </c>
      <c r="K3052" s="1">
        <v>1.38</v>
      </c>
      <c r="L3052" s="4">
        <v>173.38</v>
      </c>
      <c r="M3052" s="1">
        <v>1.92</v>
      </c>
      <c r="N3052" s="1">
        <v>3</v>
      </c>
      <c r="O3052" s="1">
        <v>0.83</v>
      </c>
      <c r="P3052" s="1">
        <v>152</v>
      </c>
      <c r="Q3052" s="1">
        <v>4.22</v>
      </c>
      <c r="R3052" s="1">
        <v>0.89</v>
      </c>
      <c r="S3052" s="2">
        <v>45585</v>
      </c>
      <c r="T3052" s="1">
        <v>210.41</v>
      </c>
      <c r="U3052" s="1">
        <v>0.54800000000000004</v>
      </c>
      <c r="V3052" s="6">
        <f t="shared" si="141"/>
        <v>64497.36</v>
      </c>
      <c r="W3052" s="6" t="str">
        <f t="shared" si="142"/>
        <v>Sufficient</v>
      </c>
      <c r="X3052" s="8" t="str">
        <f t="shared" si="143"/>
        <v>High</v>
      </c>
    </row>
    <row r="3053" spans="1:24">
      <c r="A3053" s="7" t="s">
        <v>3183</v>
      </c>
      <c r="B3053" s="1" t="s">
        <v>33</v>
      </c>
      <c r="C3053" s="1">
        <v>264</v>
      </c>
      <c r="D3053" s="1">
        <v>25</v>
      </c>
      <c r="E3053" s="1">
        <v>11</v>
      </c>
      <c r="F3053" s="1">
        <v>9</v>
      </c>
      <c r="G3053" s="1">
        <v>34.299999999999997</v>
      </c>
      <c r="H3053" s="1" t="s">
        <v>55</v>
      </c>
      <c r="I3053" s="1" t="s">
        <v>31</v>
      </c>
      <c r="J3053" s="1">
        <v>78</v>
      </c>
      <c r="K3053" s="1">
        <v>1.97</v>
      </c>
      <c r="L3053" s="4">
        <v>76.39</v>
      </c>
      <c r="M3053" s="1">
        <v>0.5</v>
      </c>
      <c r="N3053" s="1">
        <v>2</v>
      </c>
      <c r="O3053" s="1">
        <v>0.73</v>
      </c>
      <c r="P3053" s="1">
        <v>597</v>
      </c>
      <c r="Q3053" s="1">
        <v>8.48</v>
      </c>
      <c r="R3053" s="1">
        <v>0.53</v>
      </c>
      <c r="S3053" s="2">
        <v>45429</v>
      </c>
      <c r="T3053" s="1">
        <v>159.94</v>
      </c>
      <c r="U3053" s="1">
        <v>0.67500000000000004</v>
      </c>
      <c r="V3053" s="6">
        <f t="shared" si="141"/>
        <v>20166.96</v>
      </c>
      <c r="W3053" s="6" t="str">
        <f t="shared" si="142"/>
        <v>Sufficient</v>
      </c>
      <c r="X3053" s="8" t="str">
        <f t="shared" si="143"/>
        <v>High</v>
      </c>
    </row>
    <row r="3054" spans="1:24">
      <c r="A3054" s="7" t="s">
        <v>3184</v>
      </c>
      <c r="B3054" s="1" t="s">
        <v>33</v>
      </c>
      <c r="C3054" s="1">
        <v>306</v>
      </c>
      <c r="D3054" s="1">
        <v>26</v>
      </c>
      <c r="E3054" s="1">
        <v>6</v>
      </c>
      <c r="F3054" s="1">
        <v>6</v>
      </c>
      <c r="G3054" s="1">
        <v>32.94</v>
      </c>
      <c r="H3054" s="1" t="s">
        <v>210</v>
      </c>
      <c r="I3054" s="1" t="s">
        <v>31</v>
      </c>
      <c r="J3054" s="1">
        <v>53</v>
      </c>
      <c r="K3054" s="1">
        <v>4.5599999999999996</v>
      </c>
      <c r="L3054" s="4">
        <v>19.52</v>
      </c>
      <c r="M3054" s="1">
        <v>1.1100000000000001</v>
      </c>
      <c r="N3054" s="1">
        <v>3</v>
      </c>
      <c r="O3054" s="1">
        <v>0.75</v>
      </c>
      <c r="P3054" s="1">
        <v>55</v>
      </c>
      <c r="Q3054" s="1">
        <v>5.84</v>
      </c>
      <c r="R3054" s="1">
        <v>0.2</v>
      </c>
      <c r="S3054" s="2">
        <v>45385</v>
      </c>
      <c r="T3054" s="1">
        <v>117.83</v>
      </c>
      <c r="U3054" s="1">
        <v>0.497</v>
      </c>
      <c r="V3054" s="6">
        <f t="shared" si="141"/>
        <v>5973.12</v>
      </c>
      <c r="W3054" s="6" t="str">
        <f t="shared" si="142"/>
        <v>Sufficient</v>
      </c>
      <c r="X3054" s="8" t="str">
        <f t="shared" si="143"/>
        <v>High</v>
      </c>
    </row>
    <row r="3055" spans="1:24">
      <c r="A3055" s="7" t="s">
        <v>3185</v>
      </c>
      <c r="B3055" s="1" t="s">
        <v>33</v>
      </c>
      <c r="C3055" s="1">
        <v>374</v>
      </c>
      <c r="D3055" s="1">
        <v>89</v>
      </c>
      <c r="E3055" s="1">
        <v>14</v>
      </c>
      <c r="F3055" s="1">
        <v>5</v>
      </c>
      <c r="G3055" s="1">
        <v>2.89</v>
      </c>
      <c r="H3055" s="1" t="s">
        <v>153</v>
      </c>
      <c r="I3055" s="1" t="s">
        <v>31</v>
      </c>
      <c r="J3055" s="1">
        <v>122</v>
      </c>
      <c r="K3055" s="1">
        <v>4.72</v>
      </c>
      <c r="L3055" s="4">
        <v>152.47</v>
      </c>
      <c r="M3055" s="1">
        <v>1.5</v>
      </c>
      <c r="N3055" s="1">
        <v>2</v>
      </c>
      <c r="O3055" s="1">
        <v>0.88</v>
      </c>
      <c r="P3055" s="1">
        <v>760</v>
      </c>
      <c r="Q3055" s="1">
        <v>2.02</v>
      </c>
      <c r="R3055" s="1">
        <v>0.88</v>
      </c>
      <c r="S3055" s="2">
        <v>45641</v>
      </c>
      <c r="T3055" s="1">
        <v>220.24</v>
      </c>
      <c r="U3055" s="1">
        <v>0.58899999999999997</v>
      </c>
      <c r="V3055" s="6">
        <f t="shared" si="141"/>
        <v>57023.78</v>
      </c>
      <c r="W3055" s="6" t="str">
        <f t="shared" si="142"/>
        <v>Sufficient</v>
      </c>
      <c r="X3055" s="8" t="str">
        <f t="shared" si="143"/>
        <v>High</v>
      </c>
    </row>
    <row r="3056" spans="1:24">
      <c r="A3056" s="7" t="s">
        <v>3186</v>
      </c>
      <c r="B3056" s="1" t="s">
        <v>29</v>
      </c>
      <c r="C3056" s="1">
        <v>292</v>
      </c>
      <c r="D3056" s="1">
        <v>28</v>
      </c>
      <c r="E3056" s="1">
        <v>12</v>
      </c>
      <c r="F3056" s="1">
        <v>2</v>
      </c>
      <c r="G3056" s="1">
        <v>9.99</v>
      </c>
      <c r="H3056" s="1" t="s">
        <v>350</v>
      </c>
      <c r="I3056" s="1" t="s">
        <v>27</v>
      </c>
      <c r="J3056" s="1">
        <v>147</v>
      </c>
      <c r="K3056" s="1">
        <v>2.67</v>
      </c>
      <c r="L3056" s="4">
        <v>58.37</v>
      </c>
      <c r="M3056" s="1">
        <v>1.75</v>
      </c>
      <c r="N3056" s="1">
        <v>5</v>
      </c>
      <c r="O3056" s="1">
        <v>0.88</v>
      </c>
      <c r="P3056" s="1">
        <v>61</v>
      </c>
      <c r="Q3056" s="1">
        <v>7.67</v>
      </c>
      <c r="R3056" s="1">
        <v>0.43</v>
      </c>
      <c r="S3056" s="2">
        <v>45389</v>
      </c>
      <c r="T3056" s="1">
        <v>142.15</v>
      </c>
      <c r="U3056" s="1">
        <v>0.48899999999999999</v>
      </c>
      <c r="V3056" s="6">
        <f t="shared" si="141"/>
        <v>17044.04</v>
      </c>
      <c r="W3056" s="6" t="str">
        <f t="shared" si="142"/>
        <v>Sufficient</v>
      </c>
      <c r="X3056" s="8" t="str">
        <f t="shared" si="143"/>
        <v>High</v>
      </c>
    </row>
    <row r="3057" spans="1:24">
      <c r="A3057" s="7" t="s">
        <v>3187</v>
      </c>
      <c r="B3057" s="1" t="s">
        <v>25</v>
      </c>
      <c r="C3057" s="1">
        <v>495</v>
      </c>
      <c r="D3057" s="1">
        <v>17</v>
      </c>
      <c r="E3057" s="1">
        <v>4</v>
      </c>
      <c r="F3057" s="1">
        <v>9</v>
      </c>
      <c r="G3057" s="1">
        <v>44.78</v>
      </c>
      <c r="H3057" s="1" t="s">
        <v>63</v>
      </c>
      <c r="I3057" s="1" t="s">
        <v>31</v>
      </c>
      <c r="J3057" s="1">
        <v>28</v>
      </c>
      <c r="K3057" s="1">
        <v>1.84</v>
      </c>
      <c r="L3057" s="4">
        <v>100.1</v>
      </c>
      <c r="M3057" s="1">
        <v>0.4</v>
      </c>
      <c r="N3057" s="1">
        <v>0</v>
      </c>
      <c r="O3057" s="1">
        <v>0.71</v>
      </c>
      <c r="P3057" s="1">
        <v>152</v>
      </c>
      <c r="Q3057" s="1">
        <v>9</v>
      </c>
      <c r="R3057" s="1">
        <v>0.8</v>
      </c>
      <c r="S3057" s="2">
        <v>45547</v>
      </c>
      <c r="T3057" s="1">
        <v>144.88999999999999</v>
      </c>
      <c r="U3057" s="1">
        <v>0.78200000000000003</v>
      </c>
      <c r="V3057" s="6">
        <f t="shared" si="141"/>
        <v>49549.5</v>
      </c>
      <c r="W3057" s="6" t="str">
        <f t="shared" si="142"/>
        <v>Sufficient</v>
      </c>
      <c r="X3057" s="8" t="str">
        <f t="shared" si="143"/>
        <v>High</v>
      </c>
    </row>
    <row r="3058" spans="1:24">
      <c r="A3058" s="7" t="s">
        <v>3188</v>
      </c>
      <c r="B3058" s="1" t="s">
        <v>41</v>
      </c>
      <c r="C3058" s="1">
        <v>102</v>
      </c>
      <c r="D3058" s="1">
        <v>47</v>
      </c>
      <c r="E3058" s="1">
        <v>5</v>
      </c>
      <c r="F3058" s="1">
        <v>4</v>
      </c>
      <c r="G3058" s="1">
        <v>47.01</v>
      </c>
      <c r="H3058" s="1" t="s">
        <v>470</v>
      </c>
      <c r="I3058" s="1" t="s">
        <v>45</v>
      </c>
      <c r="J3058" s="1">
        <v>93</v>
      </c>
      <c r="K3058" s="1">
        <v>3.79</v>
      </c>
      <c r="L3058" s="4">
        <v>55.68</v>
      </c>
      <c r="M3058" s="1">
        <v>1.97</v>
      </c>
      <c r="N3058" s="1">
        <v>1</v>
      </c>
      <c r="O3058" s="1">
        <v>0.83</v>
      </c>
      <c r="P3058" s="1">
        <v>748</v>
      </c>
      <c r="Q3058" s="1">
        <v>9.56</v>
      </c>
      <c r="R3058" s="1">
        <v>0.66</v>
      </c>
      <c r="S3058" s="2">
        <v>45394</v>
      </c>
      <c r="T3058" s="1">
        <v>14.56</v>
      </c>
      <c r="U3058" s="1">
        <v>0.60799999999999998</v>
      </c>
      <c r="V3058" s="6">
        <f t="shared" si="141"/>
        <v>5679.36</v>
      </c>
      <c r="W3058" s="6" t="str">
        <f t="shared" si="142"/>
        <v>Sufficient</v>
      </c>
      <c r="X3058" s="8" t="str">
        <f t="shared" si="143"/>
        <v>Medium</v>
      </c>
    </row>
    <row r="3059" spans="1:24">
      <c r="A3059" s="7" t="s">
        <v>3189</v>
      </c>
      <c r="B3059" s="1" t="s">
        <v>33</v>
      </c>
      <c r="C3059" s="1">
        <v>129</v>
      </c>
      <c r="D3059" s="1">
        <v>47</v>
      </c>
      <c r="E3059" s="1">
        <v>5</v>
      </c>
      <c r="F3059" s="1">
        <v>9</v>
      </c>
      <c r="G3059" s="1">
        <v>39.24</v>
      </c>
      <c r="H3059" s="1" t="s">
        <v>411</v>
      </c>
      <c r="I3059" s="1" t="s">
        <v>45</v>
      </c>
      <c r="J3059" s="1">
        <v>102</v>
      </c>
      <c r="K3059" s="1">
        <v>3.95</v>
      </c>
      <c r="L3059" s="4">
        <v>167.15</v>
      </c>
      <c r="M3059" s="1">
        <v>1.82</v>
      </c>
      <c r="N3059" s="1">
        <v>7</v>
      </c>
      <c r="O3059" s="1">
        <v>0.86</v>
      </c>
      <c r="P3059" s="1">
        <v>882</v>
      </c>
      <c r="Q3059" s="1">
        <v>2.0299999999999998</v>
      </c>
      <c r="R3059" s="1">
        <v>0.38</v>
      </c>
      <c r="S3059" s="2">
        <v>45412</v>
      </c>
      <c r="T3059" s="1">
        <v>101.64</v>
      </c>
      <c r="U3059" s="1">
        <v>0.35299999999999998</v>
      </c>
      <c r="V3059" s="6">
        <f t="shared" si="141"/>
        <v>21562.350000000002</v>
      </c>
      <c r="W3059" s="6" t="str">
        <f t="shared" si="142"/>
        <v>Sufficient</v>
      </c>
      <c r="X3059" s="8" t="str">
        <f t="shared" si="143"/>
        <v>Medium</v>
      </c>
    </row>
    <row r="3060" spans="1:24">
      <c r="A3060" s="7" t="s">
        <v>3190</v>
      </c>
      <c r="B3060" s="1" t="s">
        <v>33</v>
      </c>
      <c r="C3060" s="1">
        <v>457</v>
      </c>
      <c r="D3060" s="1">
        <v>62</v>
      </c>
      <c r="E3060" s="1">
        <v>11</v>
      </c>
      <c r="F3060" s="1">
        <v>8</v>
      </c>
      <c r="G3060" s="1">
        <v>46.14</v>
      </c>
      <c r="H3060" s="1" t="s">
        <v>440</v>
      </c>
      <c r="I3060" s="1" t="s">
        <v>39</v>
      </c>
      <c r="J3060" s="1">
        <v>150</v>
      </c>
      <c r="K3060" s="1">
        <v>4.17</v>
      </c>
      <c r="L3060" s="4">
        <v>192.08</v>
      </c>
      <c r="M3060" s="1">
        <v>1.93</v>
      </c>
      <c r="N3060" s="1">
        <v>2</v>
      </c>
      <c r="O3060" s="1">
        <v>0.78</v>
      </c>
      <c r="P3060" s="1">
        <v>739</v>
      </c>
      <c r="Q3060" s="1">
        <v>7.76</v>
      </c>
      <c r="R3060" s="1">
        <v>0.72</v>
      </c>
      <c r="S3060" s="2">
        <v>45415</v>
      </c>
      <c r="T3060" s="1">
        <v>11.46</v>
      </c>
      <c r="U3060" s="1">
        <v>0.56999999999999995</v>
      </c>
      <c r="V3060" s="6">
        <f t="shared" si="141"/>
        <v>87780.560000000012</v>
      </c>
      <c r="W3060" s="6" t="str">
        <f t="shared" si="142"/>
        <v>Sufficient</v>
      </c>
      <c r="X3060" s="8" t="str">
        <f t="shared" si="143"/>
        <v>High</v>
      </c>
    </row>
    <row r="3061" spans="1:24">
      <c r="A3061" s="7" t="s">
        <v>3191</v>
      </c>
      <c r="B3061" s="1" t="s">
        <v>33</v>
      </c>
      <c r="C3061" s="1">
        <v>209</v>
      </c>
      <c r="D3061" s="1">
        <v>99</v>
      </c>
      <c r="E3061" s="1">
        <v>6</v>
      </c>
      <c r="F3061" s="1">
        <v>8</v>
      </c>
      <c r="G3061" s="1">
        <v>16</v>
      </c>
      <c r="H3061" s="1" t="s">
        <v>159</v>
      </c>
      <c r="I3061" s="1" t="s">
        <v>31</v>
      </c>
      <c r="J3061" s="1">
        <v>153</v>
      </c>
      <c r="K3061" s="1">
        <v>0.64</v>
      </c>
      <c r="L3061" s="4">
        <v>20.45</v>
      </c>
      <c r="M3061" s="1">
        <v>1.72</v>
      </c>
      <c r="N3061" s="1">
        <v>3</v>
      </c>
      <c r="O3061" s="1">
        <v>0.96</v>
      </c>
      <c r="P3061" s="1">
        <v>476</v>
      </c>
      <c r="Q3061" s="1">
        <v>10.18</v>
      </c>
      <c r="R3061" s="1">
        <v>0.81</v>
      </c>
      <c r="S3061" s="2">
        <v>45427</v>
      </c>
      <c r="T3061" s="1">
        <v>277.92</v>
      </c>
      <c r="U3061" s="1">
        <v>0.65800000000000003</v>
      </c>
      <c r="V3061" s="6">
        <f t="shared" si="141"/>
        <v>4274.05</v>
      </c>
      <c r="W3061" s="6" t="str">
        <f t="shared" si="142"/>
        <v>Sufficient</v>
      </c>
      <c r="X3061" s="8" t="str">
        <f t="shared" si="143"/>
        <v>Medium</v>
      </c>
    </row>
    <row r="3062" spans="1:24">
      <c r="A3062" s="7" t="s">
        <v>3192</v>
      </c>
      <c r="B3062" s="1" t="s">
        <v>41</v>
      </c>
      <c r="C3062" s="1">
        <v>490</v>
      </c>
      <c r="D3062" s="1">
        <v>40</v>
      </c>
      <c r="E3062" s="1">
        <v>3</v>
      </c>
      <c r="F3062" s="1">
        <v>9</v>
      </c>
      <c r="G3062" s="1">
        <v>13.14</v>
      </c>
      <c r="H3062" s="1" t="s">
        <v>47</v>
      </c>
      <c r="I3062" s="1" t="s">
        <v>31</v>
      </c>
      <c r="J3062" s="1">
        <v>172</v>
      </c>
      <c r="K3062" s="1">
        <v>0.54</v>
      </c>
      <c r="L3062" s="4">
        <v>54.34</v>
      </c>
      <c r="M3062" s="1">
        <v>1.77</v>
      </c>
      <c r="N3062" s="1">
        <v>0</v>
      </c>
      <c r="O3062" s="1">
        <v>0.75</v>
      </c>
      <c r="P3062" s="1">
        <v>220</v>
      </c>
      <c r="Q3062" s="1">
        <v>14.45</v>
      </c>
      <c r="R3062" s="1">
        <v>0.57999999999999996</v>
      </c>
      <c r="S3062" s="2">
        <v>45397</v>
      </c>
      <c r="T3062" s="1">
        <v>95.24</v>
      </c>
      <c r="U3062" s="1">
        <v>0.68200000000000005</v>
      </c>
      <c r="V3062" s="6">
        <f t="shared" si="141"/>
        <v>26626.600000000002</v>
      </c>
      <c r="W3062" s="6" t="str">
        <f t="shared" si="142"/>
        <v>Sufficient</v>
      </c>
      <c r="X3062" s="8" t="str">
        <f t="shared" si="143"/>
        <v>High</v>
      </c>
    </row>
    <row r="3063" spans="1:24">
      <c r="A3063" s="7" t="s">
        <v>3193</v>
      </c>
      <c r="B3063" s="1" t="s">
        <v>33</v>
      </c>
      <c r="C3063" s="1">
        <v>307</v>
      </c>
      <c r="D3063" s="1">
        <v>53</v>
      </c>
      <c r="E3063" s="1">
        <v>3</v>
      </c>
      <c r="F3063" s="1">
        <v>6</v>
      </c>
      <c r="G3063" s="1">
        <v>19.829999999999998</v>
      </c>
      <c r="H3063" s="1" t="s">
        <v>159</v>
      </c>
      <c r="I3063" s="1" t="s">
        <v>31</v>
      </c>
      <c r="J3063" s="1">
        <v>109</v>
      </c>
      <c r="K3063" s="1">
        <v>2.11</v>
      </c>
      <c r="L3063" s="4">
        <v>46.02</v>
      </c>
      <c r="M3063" s="1">
        <v>1.24</v>
      </c>
      <c r="N3063" s="1">
        <v>2</v>
      </c>
      <c r="O3063" s="1">
        <v>0.78</v>
      </c>
      <c r="P3063" s="1">
        <v>738</v>
      </c>
      <c r="Q3063" s="1">
        <v>1.35</v>
      </c>
      <c r="R3063" s="1">
        <v>0.8</v>
      </c>
      <c r="S3063" s="2">
        <v>45409</v>
      </c>
      <c r="T3063" s="1">
        <v>62.35</v>
      </c>
      <c r="U3063" s="1">
        <v>0.56999999999999995</v>
      </c>
      <c r="V3063" s="6">
        <f t="shared" si="141"/>
        <v>14128.140000000001</v>
      </c>
      <c r="W3063" s="6" t="str">
        <f t="shared" si="142"/>
        <v>Sufficient</v>
      </c>
      <c r="X3063" s="8" t="str">
        <f t="shared" si="143"/>
        <v>High</v>
      </c>
    </row>
    <row r="3064" spans="1:24">
      <c r="A3064" s="7" t="s">
        <v>3194</v>
      </c>
      <c r="B3064" s="1" t="s">
        <v>41</v>
      </c>
      <c r="C3064" s="1">
        <v>443</v>
      </c>
      <c r="D3064" s="1">
        <v>69</v>
      </c>
      <c r="E3064" s="1">
        <v>9</v>
      </c>
      <c r="F3064" s="1">
        <v>6</v>
      </c>
      <c r="G3064" s="1">
        <v>3.71</v>
      </c>
      <c r="H3064" s="1" t="s">
        <v>183</v>
      </c>
      <c r="I3064" s="1" t="s">
        <v>45</v>
      </c>
      <c r="J3064" s="1">
        <v>48</v>
      </c>
      <c r="K3064" s="1">
        <v>1.19</v>
      </c>
      <c r="L3064" s="4">
        <v>137.91</v>
      </c>
      <c r="M3064" s="1">
        <v>1.71</v>
      </c>
      <c r="N3064" s="1">
        <v>0</v>
      </c>
      <c r="O3064" s="1">
        <v>0.75</v>
      </c>
      <c r="P3064" s="1">
        <v>138</v>
      </c>
      <c r="Q3064" s="1">
        <v>10.47</v>
      </c>
      <c r="R3064" s="1">
        <v>0.52</v>
      </c>
      <c r="S3064" s="2">
        <v>45395</v>
      </c>
      <c r="T3064" s="1">
        <v>36.36</v>
      </c>
      <c r="U3064" s="1">
        <v>0.623</v>
      </c>
      <c r="V3064" s="6">
        <f t="shared" si="141"/>
        <v>61094.13</v>
      </c>
      <c r="W3064" s="6" t="str">
        <f t="shared" si="142"/>
        <v>Sufficient</v>
      </c>
      <c r="X3064" s="8" t="str">
        <f t="shared" si="143"/>
        <v>High</v>
      </c>
    </row>
    <row r="3065" spans="1:24">
      <c r="A3065" s="7" t="s">
        <v>3195</v>
      </c>
      <c r="B3065" s="1" t="s">
        <v>33</v>
      </c>
      <c r="C3065" s="1">
        <v>416</v>
      </c>
      <c r="D3065" s="1">
        <v>85</v>
      </c>
      <c r="E3065" s="1">
        <v>9</v>
      </c>
      <c r="F3065" s="1">
        <v>5</v>
      </c>
      <c r="G3065" s="1">
        <v>40.68</v>
      </c>
      <c r="H3065" s="1" t="s">
        <v>126</v>
      </c>
      <c r="I3065" s="1" t="s">
        <v>27</v>
      </c>
      <c r="J3065" s="1">
        <v>76</v>
      </c>
      <c r="K3065" s="1">
        <v>4.12</v>
      </c>
      <c r="L3065" s="4">
        <v>91.45</v>
      </c>
      <c r="M3065" s="1">
        <v>1.1100000000000001</v>
      </c>
      <c r="N3065" s="1">
        <v>9</v>
      </c>
      <c r="O3065" s="1">
        <v>0.73</v>
      </c>
      <c r="P3065" s="1">
        <v>765</v>
      </c>
      <c r="Q3065" s="1">
        <v>1.87</v>
      </c>
      <c r="R3065" s="1">
        <v>0.98</v>
      </c>
      <c r="S3065" s="2">
        <v>45419</v>
      </c>
      <c r="T3065" s="1">
        <v>23.52</v>
      </c>
      <c r="U3065" s="1">
        <v>0.47599999999999998</v>
      </c>
      <c r="V3065" s="6">
        <f t="shared" si="141"/>
        <v>38043.200000000004</v>
      </c>
      <c r="W3065" s="6" t="str">
        <f t="shared" si="142"/>
        <v>Sufficient</v>
      </c>
      <c r="X3065" s="8" t="str">
        <f t="shared" si="143"/>
        <v>High</v>
      </c>
    </row>
    <row r="3066" spans="1:24">
      <c r="A3066" s="7" t="s">
        <v>3196</v>
      </c>
      <c r="B3066" s="1" t="s">
        <v>29</v>
      </c>
      <c r="C3066" s="1">
        <v>270</v>
      </c>
      <c r="D3066" s="1">
        <v>26</v>
      </c>
      <c r="E3066" s="1">
        <v>4</v>
      </c>
      <c r="F3066" s="1">
        <v>8</v>
      </c>
      <c r="G3066" s="1">
        <v>49.22</v>
      </c>
      <c r="H3066" s="1" t="s">
        <v>183</v>
      </c>
      <c r="I3066" s="1" t="s">
        <v>27</v>
      </c>
      <c r="J3066" s="1">
        <v>82</v>
      </c>
      <c r="K3066" s="1">
        <v>2.9</v>
      </c>
      <c r="L3066" s="4">
        <v>96.69</v>
      </c>
      <c r="M3066" s="1">
        <v>1.1200000000000001</v>
      </c>
      <c r="N3066" s="1">
        <v>4</v>
      </c>
      <c r="O3066" s="1">
        <v>0.96</v>
      </c>
      <c r="P3066" s="1">
        <v>488</v>
      </c>
      <c r="Q3066" s="1">
        <v>3.22</v>
      </c>
      <c r="R3066" s="1">
        <v>0.39</v>
      </c>
      <c r="S3066" s="2">
        <v>45608</v>
      </c>
      <c r="T3066" s="1">
        <v>266.94</v>
      </c>
      <c r="U3066" s="1">
        <v>0.52100000000000002</v>
      </c>
      <c r="V3066" s="6">
        <f t="shared" si="141"/>
        <v>26106.3</v>
      </c>
      <c r="W3066" s="6" t="str">
        <f t="shared" si="142"/>
        <v>Sufficient</v>
      </c>
      <c r="X3066" s="8" t="str">
        <f t="shared" si="143"/>
        <v>High</v>
      </c>
    </row>
    <row r="3067" spans="1:24">
      <c r="A3067" s="7" t="s">
        <v>3197</v>
      </c>
      <c r="B3067" s="1" t="s">
        <v>29</v>
      </c>
      <c r="C3067" s="1">
        <v>231</v>
      </c>
      <c r="D3067" s="1">
        <v>88</v>
      </c>
      <c r="E3067" s="1">
        <v>11</v>
      </c>
      <c r="F3067" s="1">
        <v>2</v>
      </c>
      <c r="G3067" s="1">
        <v>41.38</v>
      </c>
      <c r="H3067" s="1" t="s">
        <v>88</v>
      </c>
      <c r="I3067" s="1" t="s">
        <v>31</v>
      </c>
      <c r="J3067" s="1">
        <v>59</v>
      </c>
      <c r="K3067" s="1">
        <v>4.21</v>
      </c>
      <c r="L3067" s="4">
        <v>39.85</v>
      </c>
      <c r="M3067" s="1">
        <v>1.17</v>
      </c>
      <c r="N3067" s="1">
        <v>0</v>
      </c>
      <c r="O3067" s="1">
        <v>0.78</v>
      </c>
      <c r="P3067" s="1">
        <v>396</v>
      </c>
      <c r="Q3067" s="1">
        <v>3.43</v>
      </c>
      <c r="R3067" s="1">
        <v>0.82</v>
      </c>
      <c r="S3067" s="2">
        <v>45474</v>
      </c>
      <c r="T3067" s="1">
        <v>58.87</v>
      </c>
      <c r="U3067" s="1">
        <v>0.64900000000000002</v>
      </c>
      <c r="V3067" s="6">
        <f t="shared" si="141"/>
        <v>9205.35</v>
      </c>
      <c r="W3067" s="6" t="str">
        <f t="shared" si="142"/>
        <v>Sufficient</v>
      </c>
      <c r="X3067" s="8" t="str">
        <f t="shared" si="143"/>
        <v>Medium</v>
      </c>
    </row>
    <row r="3068" spans="1:24">
      <c r="A3068" s="7" t="s">
        <v>3198</v>
      </c>
      <c r="B3068" s="1" t="s">
        <v>41</v>
      </c>
      <c r="C3068" s="1">
        <v>310</v>
      </c>
      <c r="D3068" s="1">
        <v>82</v>
      </c>
      <c r="E3068" s="1">
        <v>11</v>
      </c>
      <c r="F3068" s="1">
        <v>7</v>
      </c>
      <c r="G3068" s="1">
        <v>28.19</v>
      </c>
      <c r="H3068" s="1" t="s">
        <v>171</v>
      </c>
      <c r="I3068" s="1" t="s">
        <v>27</v>
      </c>
      <c r="J3068" s="1">
        <v>62</v>
      </c>
      <c r="K3068" s="1">
        <v>1.3</v>
      </c>
      <c r="L3068" s="4">
        <v>88.8</v>
      </c>
      <c r="M3068" s="1">
        <v>1.99</v>
      </c>
      <c r="N3068" s="1">
        <v>8</v>
      </c>
      <c r="O3068" s="1">
        <v>0.92</v>
      </c>
      <c r="P3068" s="1">
        <v>904</v>
      </c>
      <c r="Q3068" s="1">
        <v>5.6</v>
      </c>
      <c r="R3068" s="1">
        <v>0.8</v>
      </c>
      <c r="S3068" s="2">
        <v>45371</v>
      </c>
      <c r="T3068" s="1">
        <v>189.07</v>
      </c>
      <c r="U3068" s="1">
        <v>0.46</v>
      </c>
      <c r="V3068" s="6">
        <f t="shared" si="141"/>
        <v>27528</v>
      </c>
      <c r="W3068" s="6" t="str">
        <f t="shared" si="142"/>
        <v>Sufficient</v>
      </c>
      <c r="X3068" s="8" t="str">
        <f t="shared" si="143"/>
        <v>High</v>
      </c>
    </row>
    <row r="3069" spans="1:24">
      <c r="A3069" s="7" t="s">
        <v>3199</v>
      </c>
      <c r="B3069" s="1" t="s">
        <v>29</v>
      </c>
      <c r="C3069" s="1">
        <v>152</v>
      </c>
      <c r="D3069" s="1">
        <v>48</v>
      </c>
      <c r="E3069" s="1">
        <v>7</v>
      </c>
      <c r="F3069" s="1">
        <v>8</v>
      </c>
      <c r="G3069" s="1">
        <v>15.47</v>
      </c>
      <c r="H3069" s="1" t="s">
        <v>113</v>
      </c>
      <c r="I3069" s="1" t="s">
        <v>39</v>
      </c>
      <c r="J3069" s="1">
        <v>55</v>
      </c>
      <c r="K3069" s="1">
        <v>3.32</v>
      </c>
      <c r="L3069" s="4">
        <v>67.61</v>
      </c>
      <c r="M3069" s="1">
        <v>0.3</v>
      </c>
      <c r="N3069" s="1">
        <v>6</v>
      </c>
      <c r="O3069" s="1">
        <v>0.83</v>
      </c>
      <c r="P3069" s="1">
        <v>260</v>
      </c>
      <c r="Q3069" s="1">
        <v>12.64</v>
      </c>
      <c r="R3069" s="1">
        <v>0.62</v>
      </c>
      <c r="S3069" s="2">
        <v>45346</v>
      </c>
      <c r="T3069" s="1">
        <v>198.85</v>
      </c>
      <c r="U3069" s="1">
        <v>0.70899999999999996</v>
      </c>
      <c r="V3069" s="6">
        <f t="shared" si="141"/>
        <v>10276.719999999999</v>
      </c>
      <c r="W3069" s="6" t="str">
        <f t="shared" si="142"/>
        <v>Sufficient</v>
      </c>
      <c r="X3069" s="8" t="str">
        <f t="shared" si="143"/>
        <v>Medium</v>
      </c>
    </row>
    <row r="3070" spans="1:24">
      <c r="A3070" s="7" t="s">
        <v>3200</v>
      </c>
      <c r="B3070" s="1" t="s">
        <v>41</v>
      </c>
      <c r="C3070" s="1">
        <v>220</v>
      </c>
      <c r="D3070" s="1">
        <v>51</v>
      </c>
      <c r="E3070" s="1">
        <v>5</v>
      </c>
      <c r="F3070" s="1">
        <v>9</v>
      </c>
      <c r="G3070" s="1">
        <v>10.69</v>
      </c>
      <c r="H3070" s="1" t="s">
        <v>91</v>
      </c>
      <c r="I3070" s="1" t="s">
        <v>45</v>
      </c>
      <c r="J3070" s="1">
        <v>61</v>
      </c>
      <c r="K3070" s="1">
        <v>3.11</v>
      </c>
      <c r="L3070" s="4">
        <v>126.13</v>
      </c>
      <c r="M3070" s="1">
        <v>1.63</v>
      </c>
      <c r="N3070" s="1">
        <v>7</v>
      </c>
      <c r="O3070" s="1">
        <v>0.89</v>
      </c>
      <c r="P3070" s="1">
        <v>774</v>
      </c>
      <c r="Q3070" s="1">
        <v>12.99</v>
      </c>
      <c r="R3070" s="1">
        <v>0.48</v>
      </c>
      <c r="S3070" s="2">
        <v>45353</v>
      </c>
      <c r="T3070" s="1">
        <v>102.09</v>
      </c>
      <c r="U3070" s="1">
        <v>0.54400000000000004</v>
      </c>
      <c r="V3070" s="6">
        <f t="shared" si="141"/>
        <v>27748.6</v>
      </c>
      <c r="W3070" s="6" t="str">
        <f t="shared" si="142"/>
        <v>Sufficient</v>
      </c>
      <c r="X3070" s="8" t="str">
        <f t="shared" si="143"/>
        <v>Medium</v>
      </c>
    </row>
    <row r="3071" spans="1:24">
      <c r="A3071" s="7" t="s">
        <v>3201</v>
      </c>
      <c r="B3071" s="1" t="s">
        <v>29</v>
      </c>
      <c r="C3071" s="1">
        <v>304</v>
      </c>
      <c r="D3071" s="1">
        <v>57</v>
      </c>
      <c r="E3071" s="1">
        <v>5</v>
      </c>
      <c r="F3071" s="1">
        <v>8</v>
      </c>
      <c r="G3071" s="1">
        <v>18.84</v>
      </c>
      <c r="H3071" s="1" t="s">
        <v>113</v>
      </c>
      <c r="I3071" s="1" t="s">
        <v>31</v>
      </c>
      <c r="J3071" s="1">
        <v>133</v>
      </c>
      <c r="K3071" s="1">
        <v>2.0299999999999998</v>
      </c>
      <c r="L3071" s="4">
        <v>51.28</v>
      </c>
      <c r="M3071" s="1">
        <v>0.62</v>
      </c>
      <c r="N3071" s="1">
        <v>8</v>
      </c>
      <c r="O3071" s="1">
        <v>0.98</v>
      </c>
      <c r="P3071" s="1">
        <v>483</v>
      </c>
      <c r="Q3071" s="1">
        <v>6.25</v>
      </c>
      <c r="R3071" s="1">
        <v>0.56000000000000005</v>
      </c>
      <c r="S3071" s="2">
        <v>45332</v>
      </c>
      <c r="T3071" s="1">
        <v>251.64</v>
      </c>
      <c r="U3071" s="1">
        <v>0.56899999999999995</v>
      </c>
      <c r="V3071" s="6">
        <f t="shared" si="141"/>
        <v>15589.12</v>
      </c>
      <c r="W3071" s="6" t="str">
        <f t="shared" si="142"/>
        <v>Sufficient</v>
      </c>
      <c r="X3071" s="8" t="str">
        <f t="shared" si="143"/>
        <v>High</v>
      </c>
    </row>
    <row r="3072" spans="1:24">
      <c r="A3072" s="7" t="s">
        <v>3202</v>
      </c>
      <c r="B3072" s="1" t="s">
        <v>29</v>
      </c>
      <c r="C3072" s="1">
        <v>345</v>
      </c>
      <c r="D3072" s="1">
        <v>21</v>
      </c>
      <c r="E3072" s="1">
        <v>14</v>
      </c>
      <c r="F3072" s="1">
        <v>3</v>
      </c>
      <c r="G3072" s="1">
        <v>33.68</v>
      </c>
      <c r="H3072" s="1" t="s">
        <v>113</v>
      </c>
      <c r="I3072" s="1" t="s">
        <v>27</v>
      </c>
      <c r="J3072" s="1">
        <v>166</v>
      </c>
      <c r="K3072" s="1">
        <v>2.83</v>
      </c>
      <c r="L3072" s="4">
        <v>126.81</v>
      </c>
      <c r="M3072" s="1">
        <v>0.79</v>
      </c>
      <c r="N3072" s="1">
        <v>9</v>
      </c>
      <c r="O3072" s="1">
        <v>0.95</v>
      </c>
      <c r="P3072" s="1">
        <v>582</v>
      </c>
      <c r="Q3072" s="1">
        <v>7.04</v>
      </c>
      <c r="R3072" s="1">
        <v>0.7</v>
      </c>
      <c r="S3072" s="2">
        <v>45638</v>
      </c>
      <c r="T3072" s="1">
        <v>72.069999999999993</v>
      </c>
      <c r="U3072" s="1">
        <v>0.56499999999999995</v>
      </c>
      <c r="V3072" s="6">
        <f t="shared" si="141"/>
        <v>43749.450000000004</v>
      </c>
      <c r="W3072" s="6" t="str">
        <f t="shared" si="142"/>
        <v>Sufficient</v>
      </c>
      <c r="X3072" s="8" t="str">
        <f t="shared" si="143"/>
        <v>High</v>
      </c>
    </row>
    <row r="3073" spans="1:24">
      <c r="A3073" s="7" t="s">
        <v>3203</v>
      </c>
      <c r="B3073" s="1" t="s">
        <v>41</v>
      </c>
      <c r="C3073" s="1">
        <v>428</v>
      </c>
      <c r="D3073" s="1">
        <v>98</v>
      </c>
      <c r="E3073" s="1">
        <v>5</v>
      </c>
      <c r="F3073" s="1">
        <v>7</v>
      </c>
      <c r="G3073" s="1">
        <v>22.91</v>
      </c>
      <c r="H3073" s="1" t="s">
        <v>135</v>
      </c>
      <c r="I3073" s="1" t="s">
        <v>31</v>
      </c>
      <c r="J3073" s="1">
        <v>14</v>
      </c>
      <c r="K3073" s="1">
        <v>3.15</v>
      </c>
      <c r="L3073" s="4">
        <v>81.77</v>
      </c>
      <c r="M3073" s="1">
        <v>0.25</v>
      </c>
      <c r="N3073" s="1">
        <v>7</v>
      </c>
      <c r="O3073" s="1">
        <v>0.72</v>
      </c>
      <c r="P3073" s="1">
        <v>649</v>
      </c>
      <c r="Q3073" s="1">
        <v>4.04</v>
      </c>
      <c r="R3073" s="1">
        <v>0.62</v>
      </c>
      <c r="S3073" s="2">
        <v>45631</v>
      </c>
      <c r="T3073" s="1">
        <v>30.72</v>
      </c>
      <c r="U3073" s="1">
        <v>0.55700000000000005</v>
      </c>
      <c r="V3073" s="6">
        <f t="shared" si="141"/>
        <v>34997.56</v>
      </c>
      <c r="W3073" s="6" t="str">
        <f t="shared" si="142"/>
        <v>Sufficient</v>
      </c>
      <c r="X3073" s="8" t="str">
        <f t="shared" si="143"/>
        <v>High</v>
      </c>
    </row>
    <row r="3074" spans="1:24">
      <c r="A3074" s="7" t="s">
        <v>3204</v>
      </c>
      <c r="B3074" s="1" t="s">
        <v>25</v>
      </c>
      <c r="C3074" s="1">
        <v>114</v>
      </c>
      <c r="D3074" s="1">
        <v>27</v>
      </c>
      <c r="E3074" s="1">
        <v>8</v>
      </c>
      <c r="F3074" s="1">
        <v>6</v>
      </c>
      <c r="G3074" s="1">
        <v>46.77</v>
      </c>
      <c r="H3074" s="1" t="s">
        <v>181</v>
      </c>
      <c r="I3074" s="1" t="s">
        <v>31</v>
      </c>
      <c r="J3074" s="1">
        <v>83</v>
      </c>
      <c r="K3074" s="1">
        <v>4.5</v>
      </c>
      <c r="L3074" s="4">
        <v>75.8</v>
      </c>
      <c r="M3074" s="1">
        <v>0.77</v>
      </c>
      <c r="N3074" s="1">
        <v>2</v>
      </c>
      <c r="O3074" s="1">
        <v>0.95</v>
      </c>
      <c r="P3074" s="1">
        <v>574</v>
      </c>
      <c r="Q3074" s="1">
        <v>7.06</v>
      </c>
      <c r="R3074" s="1">
        <v>0.81</v>
      </c>
      <c r="S3074" s="2">
        <v>45544</v>
      </c>
      <c r="T3074" s="1">
        <v>29.88</v>
      </c>
      <c r="U3074" s="1">
        <v>0.72899999999999998</v>
      </c>
      <c r="V3074" s="6">
        <f t="shared" si="141"/>
        <v>8641.1999999999989</v>
      </c>
      <c r="W3074" s="6" t="str">
        <f t="shared" si="142"/>
        <v>Sufficient</v>
      </c>
      <c r="X3074" s="8" t="str">
        <f t="shared" si="143"/>
        <v>Medium</v>
      </c>
    </row>
    <row r="3075" spans="1:24">
      <c r="A3075" s="7" t="s">
        <v>3205</v>
      </c>
      <c r="B3075" s="1" t="s">
        <v>29</v>
      </c>
      <c r="C3075" s="1">
        <v>297</v>
      </c>
      <c r="D3075" s="1">
        <v>88</v>
      </c>
      <c r="E3075" s="1">
        <v>6</v>
      </c>
      <c r="F3075" s="1">
        <v>7</v>
      </c>
      <c r="G3075" s="1">
        <v>42.86</v>
      </c>
      <c r="H3075" s="1" t="s">
        <v>156</v>
      </c>
      <c r="I3075" s="1" t="s">
        <v>45</v>
      </c>
      <c r="J3075" s="1">
        <v>104</v>
      </c>
      <c r="K3075" s="1">
        <v>0.75</v>
      </c>
      <c r="L3075" s="4">
        <v>68.06</v>
      </c>
      <c r="M3075" s="1">
        <v>1.98</v>
      </c>
      <c r="N3075" s="1">
        <v>6</v>
      </c>
      <c r="O3075" s="1">
        <v>0.84</v>
      </c>
      <c r="P3075" s="1">
        <v>475</v>
      </c>
      <c r="Q3075" s="1">
        <v>4.8499999999999996</v>
      </c>
      <c r="R3075" s="1">
        <v>0.49</v>
      </c>
      <c r="S3075" s="2">
        <v>45606</v>
      </c>
      <c r="T3075" s="1">
        <v>97.12</v>
      </c>
      <c r="U3075" s="1">
        <v>0.41299999999999998</v>
      </c>
      <c r="V3075" s="6">
        <f t="shared" si="141"/>
        <v>20213.82</v>
      </c>
      <c r="W3075" s="6" t="str">
        <f t="shared" si="142"/>
        <v>Sufficient</v>
      </c>
      <c r="X3075" s="8" t="str">
        <f t="shared" si="143"/>
        <v>High</v>
      </c>
    </row>
    <row r="3076" spans="1:24">
      <c r="A3076" s="7" t="s">
        <v>3206</v>
      </c>
      <c r="B3076" s="1" t="s">
        <v>33</v>
      </c>
      <c r="C3076" s="1">
        <v>469</v>
      </c>
      <c r="D3076" s="1">
        <v>15</v>
      </c>
      <c r="E3076" s="1">
        <v>10</v>
      </c>
      <c r="F3076" s="1">
        <v>8</v>
      </c>
      <c r="G3076" s="1">
        <v>6.02</v>
      </c>
      <c r="H3076" s="1" t="s">
        <v>55</v>
      </c>
      <c r="I3076" s="1" t="s">
        <v>45</v>
      </c>
      <c r="J3076" s="1">
        <v>84</v>
      </c>
      <c r="K3076" s="1">
        <v>4.21</v>
      </c>
      <c r="L3076" s="4">
        <v>138.03</v>
      </c>
      <c r="M3076" s="1">
        <v>0.85</v>
      </c>
      <c r="N3076" s="1">
        <v>6</v>
      </c>
      <c r="O3076" s="1">
        <v>0.81</v>
      </c>
      <c r="P3076" s="1">
        <v>169</v>
      </c>
      <c r="Q3076" s="1">
        <v>3.45</v>
      </c>
      <c r="R3076" s="1">
        <v>0.28999999999999998</v>
      </c>
      <c r="S3076" s="2">
        <v>45295</v>
      </c>
      <c r="T3076" s="1">
        <v>144.34</v>
      </c>
      <c r="U3076" s="1">
        <v>0.46100000000000002</v>
      </c>
      <c r="V3076" s="6">
        <f t="shared" ref="V3076:V3139" si="144">C3076*L3076</f>
        <v>64736.07</v>
      </c>
      <c r="W3076" s="6" t="str">
        <f t="shared" ref="W3076:W3139" si="145">IF(C3076&lt;=D3076,"Reorder Required","Sufficient")</f>
        <v>Sufficient</v>
      </c>
      <c r="X3076" s="8" t="str">
        <f t="shared" ref="X3076:X3139" si="146">IF(C3076&lt;100,"LOW",IF(C3076&lt;250,"Medium","High"))</f>
        <v>High</v>
      </c>
    </row>
    <row r="3077" spans="1:24">
      <c r="A3077" s="7" t="s">
        <v>3207</v>
      </c>
      <c r="B3077" s="1" t="s">
        <v>25</v>
      </c>
      <c r="C3077" s="1">
        <v>448</v>
      </c>
      <c r="D3077" s="1">
        <v>52</v>
      </c>
      <c r="E3077" s="1">
        <v>13</v>
      </c>
      <c r="F3077" s="1">
        <v>6</v>
      </c>
      <c r="G3077" s="1">
        <v>7.44</v>
      </c>
      <c r="H3077" s="1" t="s">
        <v>47</v>
      </c>
      <c r="I3077" s="1" t="s">
        <v>27</v>
      </c>
      <c r="J3077" s="1">
        <v>177</v>
      </c>
      <c r="K3077" s="1">
        <v>4.91</v>
      </c>
      <c r="L3077" s="4">
        <v>116.86</v>
      </c>
      <c r="M3077" s="1">
        <v>1.37</v>
      </c>
      <c r="N3077" s="1">
        <v>6</v>
      </c>
      <c r="O3077" s="1">
        <v>0.9</v>
      </c>
      <c r="P3077" s="1">
        <v>960</v>
      </c>
      <c r="Q3077" s="1">
        <v>3.22</v>
      </c>
      <c r="R3077" s="1">
        <v>0.6</v>
      </c>
      <c r="S3077" s="2">
        <v>45569</v>
      </c>
      <c r="T3077" s="1">
        <v>192.52</v>
      </c>
      <c r="U3077" s="1">
        <v>0.48599999999999999</v>
      </c>
      <c r="V3077" s="6">
        <f t="shared" si="144"/>
        <v>52353.279999999999</v>
      </c>
      <c r="W3077" s="6" t="str">
        <f t="shared" si="145"/>
        <v>Sufficient</v>
      </c>
      <c r="X3077" s="8" t="str">
        <f t="shared" si="146"/>
        <v>High</v>
      </c>
    </row>
    <row r="3078" spans="1:24">
      <c r="A3078" s="7" t="s">
        <v>3208</v>
      </c>
      <c r="B3078" s="1" t="s">
        <v>41</v>
      </c>
      <c r="C3078" s="1">
        <v>344</v>
      </c>
      <c r="D3078" s="1">
        <v>44</v>
      </c>
      <c r="E3078" s="1">
        <v>13</v>
      </c>
      <c r="F3078" s="1">
        <v>7</v>
      </c>
      <c r="G3078" s="1">
        <v>34.14</v>
      </c>
      <c r="H3078" s="1" t="s">
        <v>83</v>
      </c>
      <c r="I3078" s="1" t="s">
        <v>45</v>
      </c>
      <c r="J3078" s="1">
        <v>125</v>
      </c>
      <c r="K3078" s="1">
        <v>3.79</v>
      </c>
      <c r="L3078" s="4">
        <v>171.83</v>
      </c>
      <c r="M3078" s="1">
        <v>0.33</v>
      </c>
      <c r="N3078" s="1">
        <v>7</v>
      </c>
      <c r="O3078" s="1">
        <v>0.99</v>
      </c>
      <c r="P3078" s="1">
        <v>227</v>
      </c>
      <c r="Q3078" s="1">
        <v>11.86</v>
      </c>
      <c r="R3078" s="1">
        <v>0.41</v>
      </c>
      <c r="S3078" s="2">
        <v>45313</v>
      </c>
      <c r="T3078" s="1">
        <v>221.33</v>
      </c>
      <c r="U3078" s="1">
        <v>0.66500000000000004</v>
      </c>
      <c r="V3078" s="6">
        <f t="shared" si="144"/>
        <v>59109.520000000004</v>
      </c>
      <c r="W3078" s="6" t="str">
        <f t="shared" si="145"/>
        <v>Sufficient</v>
      </c>
      <c r="X3078" s="8" t="str">
        <f t="shared" si="146"/>
        <v>High</v>
      </c>
    </row>
    <row r="3079" spans="1:24">
      <c r="A3079" s="7" t="s">
        <v>3209</v>
      </c>
      <c r="B3079" s="1" t="s">
        <v>25</v>
      </c>
      <c r="C3079" s="1">
        <v>238</v>
      </c>
      <c r="D3079" s="1">
        <v>63</v>
      </c>
      <c r="E3079" s="1">
        <v>13</v>
      </c>
      <c r="F3079" s="1">
        <v>6</v>
      </c>
      <c r="G3079" s="1">
        <v>12.31</v>
      </c>
      <c r="H3079" s="1" t="s">
        <v>119</v>
      </c>
      <c r="I3079" s="1" t="s">
        <v>39</v>
      </c>
      <c r="J3079" s="1">
        <v>139</v>
      </c>
      <c r="K3079" s="1">
        <v>3.82</v>
      </c>
      <c r="L3079" s="4">
        <v>55.91</v>
      </c>
      <c r="M3079" s="1">
        <v>1.85</v>
      </c>
      <c r="N3079" s="1">
        <v>3</v>
      </c>
      <c r="O3079" s="1">
        <v>0.73</v>
      </c>
      <c r="P3079" s="1">
        <v>178</v>
      </c>
      <c r="Q3079" s="1">
        <v>2.64</v>
      </c>
      <c r="R3079" s="1">
        <v>0.69</v>
      </c>
      <c r="S3079" s="2">
        <v>45538</v>
      </c>
      <c r="T3079" s="1">
        <v>61.82</v>
      </c>
      <c r="U3079" s="1">
        <v>0.47399999999999998</v>
      </c>
      <c r="V3079" s="6">
        <f t="shared" si="144"/>
        <v>13306.58</v>
      </c>
      <c r="W3079" s="6" t="str">
        <f t="shared" si="145"/>
        <v>Sufficient</v>
      </c>
      <c r="X3079" s="8" t="str">
        <f t="shared" si="146"/>
        <v>Medium</v>
      </c>
    </row>
    <row r="3080" spans="1:24">
      <c r="A3080" s="7" t="s">
        <v>3210</v>
      </c>
      <c r="B3080" s="1" t="s">
        <v>66</v>
      </c>
      <c r="C3080" s="1">
        <v>108</v>
      </c>
      <c r="D3080" s="1">
        <v>71</v>
      </c>
      <c r="E3080" s="1">
        <v>7</v>
      </c>
      <c r="F3080" s="1">
        <v>6</v>
      </c>
      <c r="G3080" s="1">
        <v>39.76</v>
      </c>
      <c r="H3080" s="1" t="s">
        <v>132</v>
      </c>
      <c r="I3080" s="1" t="s">
        <v>31</v>
      </c>
      <c r="J3080" s="1">
        <v>77</v>
      </c>
      <c r="K3080" s="1">
        <v>1.48</v>
      </c>
      <c r="L3080" s="4">
        <v>17.62</v>
      </c>
      <c r="M3080" s="1">
        <v>1.67</v>
      </c>
      <c r="N3080" s="1">
        <v>5</v>
      </c>
      <c r="O3080" s="1">
        <v>0.93</v>
      </c>
      <c r="P3080" s="1">
        <v>612</v>
      </c>
      <c r="Q3080" s="1">
        <v>9.6199999999999992</v>
      </c>
      <c r="R3080" s="1">
        <v>0.62</v>
      </c>
      <c r="S3080" s="2">
        <v>45482</v>
      </c>
      <c r="T3080" s="1">
        <v>208.34</v>
      </c>
      <c r="U3080" s="1">
        <v>0.57099999999999995</v>
      </c>
      <c r="V3080" s="6">
        <f t="shared" si="144"/>
        <v>1902.96</v>
      </c>
      <c r="W3080" s="6" t="str">
        <f t="shared" si="145"/>
        <v>Sufficient</v>
      </c>
      <c r="X3080" s="8" t="str">
        <f t="shared" si="146"/>
        <v>Medium</v>
      </c>
    </row>
    <row r="3081" spans="1:24">
      <c r="A3081" s="7" t="s">
        <v>3211</v>
      </c>
      <c r="B3081" s="1" t="s">
        <v>66</v>
      </c>
      <c r="C3081" s="1">
        <v>91</v>
      </c>
      <c r="D3081" s="1">
        <v>78</v>
      </c>
      <c r="E3081" s="1">
        <v>3</v>
      </c>
      <c r="F3081" s="1">
        <v>5</v>
      </c>
      <c r="G3081" s="1">
        <v>29.98</v>
      </c>
      <c r="H3081" s="1" t="s">
        <v>304</v>
      </c>
      <c r="I3081" s="1" t="s">
        <v>45</v>
      </c>
      <c r="J3081" s="1">
        <v>89</v>
      </c>
      <c r="K3081" s="1">
        <v>2.85</v>
      </c>
      <c r="L3081" s="4">
        <v>44.58</v>
      </c>
      <c r="M3081" s="1">
        <v>0.83</v>
      </c>
      <c r="N3081" s="1">
        <v>1</v>
      </c>
      <c r="O3081" s="1">
        <v>0.76</v>
      </c>
      <c r="P3081" s="1">
        <v>467</v>
      </c>
      <c r="Q3081" s="1">
        <v>3.34</v>
      </c>
      <c r="R3081" s="1">
        <v>0.82</v>
      </c>
      <c r="S3081" s="2">
        <v>45609</v>
      </c>
      <c r="T3081" s="1">
        <v>62.94</v>
      </c>
      <c r="U3081" s="1">
        <v>0.65800000000000003</v>
      </c>
      <c r="V3081" s="6">
        <f t="shared" si="144"/>
        <v>4056.7799999999997</v>
      </c>
      <c r="W3081" s="6" t="str">
        <f t="shared" si="145"/>
        <v>Sufficient</v>
      </c>
      <c r="X3081" s="8" t="str">
        <f t="shared" si="146"/>
        <v>LOW</v>
      </c>
    </row>
    <row r="3082" spans="1:24">
      <c r="A3082" s="7" t="s">
        <v>3212</v>
      </c>
      <c r="B3082" s="1" t="s">
        <v>29</v>
      </c>
      <c r="C3082" s="1">
        <v>266</v>
      </c>
      <c r="D3082" s="1">
        <v>91</v>
      </c>
      <c r="E3082" s="1">
        <v>11</v>
      </c>
      <c r="F3082" s="1">
        <v>2</v>
      </c>
      <c r="G3082" s="1">
        <v>12.26</v>
      </c>
      <c r="H3082" s="1" t="s">
        <v>130</v>
      </c>
      <c r="I3082" s="1" t="s">
        <v>27</v>
      </c>
      <c r="J3082" s="1">
        <v>114</v>
      </c>
      <c r="K3082" s="1">
        <v>3.68</v>
      </c>
      <c r="L3082" s="4">
        <v>75.239999999999995</v>
      </c>
      <c r="M3082" s="1">
        <v>0.76</v>
      </c>
      <c r="N3082" s="1">
        <v>6</v>
      </c>
      <c r="O3082" s="1">
        <v>0.81</v>
      </c>
      <c r="P3082" s="1">
        <v>603</v>
      </c>
      <c r="Q3082" s="1">
        <v>12.73</v>
      </c>
      <c r="R3082" s="1">
        <v>0.66</v>
      </c>
      <c r="S3082" s="2">
        <v>45453</v>
      </c>
      <c r="T3082" s="1">
        <v>299.19</v>
      </c>
      <c r="U3082" s="1">
        <v>0.66800000000000004</v>
      </c>
      <c r="V3082" s="6">
        <f t="shared" si="144"/>
        <v>20013.84</v>
      </c>
      <c r="W3082" s="6" t="str">
        <f t="shared" si="145"/>
        <v>Sufficient</v>
      </c>
      <c r="X3082" s="8" t="str">
        <f t="shared" si="146"/>
        <v>High</v>
      </c>
    </row>
    <row r="3083" spans="1:24">
      <c r="A3083" s="7" t="s">
        <v>3213</v>
      </c>
      <c r="B3083" s="1" t="s">
        <v>29</v>
      </c>
      <c r="C3083" s="1">
        <v>148</v>
      </c>
      <c r="D3083" s="1">
        <v>25</v>
      </c>
      <c r="E3083" s="1">
        <v>3</v>
      </c>
      <c r="F3083" s="1">
        <v>6</v>
      </c>
      <c r="G3083" s="1">
        <v>24.46</v>
      </c>
      <c r="H3083" s="1" t="s">
        <v>229</v>
      </c>
      <c r="I3083" s="1" t="s">
        <v>27</v>
      </c>
      <c r="J3083" s="1">
        <v>78</v>
      </c>
      <c r="K3083" s="1">
        <v>3.21</v>
      </c>
      <c r="L3083" s="4">
        <v>44.13</v>
      </c>
      <c r="M3083" s="1">
        <v>0.92</v>
      </c>
      <c r="N3083" s="1">
        <v>8</v>
      </c>
      <c r="O3083" s="1">
        <v>0.96</v>
      </c>
      <c r="P3083" s="1">
        <v>367</v>
      </c>
      <c r="Q3083" s="1">
        <v>4.84</v>
      </c>
      <c r="R3083" s="1">
        <v>0.54</v>
      </c>
      <c r="S3083" s="2">
        <v>45544</v>
      </c>
      <c r="T3083" s="1">
        <v>288.13</v>
      </c>
      <c r="U3083" s="1">
        <v>0.51300000000000001</v>
      </c>
      <c r="V3083" s="6">
        <f t="shared" si="144"/>
        <v>6531.2400000000007</v>
      </c>
      <c r="W3083" s="6" t="str">
        <f t="shared" si="145"/>
        <v>Sufficient</v>
      </c>
      <c r="X3083" s="8" t="str">
        <f t="shared" si="146"/>
        <v>Medium</v>
      </c>
    </row>
    <row r="3084" spans="1:24">
      <c r="A3084" s="7" t="s">
        <v>3214</v>
      </c>
      <c r="B3084" s="1" t="s">
        <v>33</v>
      </c>
      <c r="C3084" s="1">
        <v>231</v>
      </c>
      <c r="D3084" s="1">
        <v>17</v>
      </c>
      <c r="E3084" s="1">
        <v>8</v>
      </c>
      <c r="F3084" s="1">
        <v>3</v>
      </c>
      <c r="G3084" s="1">
        <v>20.9</v>
      </c>
      <c r="H3084" s="1" t="s">
        <v>274</v>
      </c>
      <c r="I3084" s="1" t="s">
        <v>27</v>
      </c>
      <c r="J3084" s="1">
        <v>172</v>
      </c>
      <c r="K3084" s="1">
        <v>2.23</v>
      </c>
      <c r="L3084" s="4">
        <v>25.87</v>
      </c>
      <c r="M3084" s="1">
        <v>0.86</v>
      </c>
      <c r="N3084" s="1">
        <v>4</v>
      </c>
      <c r="O3084" s="1">
        <v>0.86</v>
      </c>
      <c r="P3084" s="1">
        <v>656</v>
      </c>
      <c r="Q3084" s="1">
        <v>1.63</v>
      </c>
      <c r="R3084" s="1">
        <v>0.3</v>
      </c>
      <c r="S3084" s="2">
        <v>45586</v>
      </c>
      <c r="T3084" s="1">
        <v>39.700000000000003</v>
      </c>
      <c r="U3084" s="1">
        <v>0.48799999999999999</v>
      </c>
      <c r="V3084" s="6">
        <f t="shared" si="144"/>
        <v>5975.97</v>
      </c>
      <c r="W3084" s="6" t="str">
        <f t="shared" si="145"/>
        <v>Sufficient</v>
      </c>
      <c r="X3084" s="8" t="str">
        <f t="shared" si="146"/>
        <v>Medium</v>
      </c>
    </row>
    <row r="3085" spans="1:24">
      <c r="A3085" s="7" t="s">
        <v>3215</v>
      </c>
      <c r="B3085" s="1" t="s">
        <v>25</v>
      </c>
      <c r="C3085" s="1">
        <v>447</v>
      </c>
      <c r="D3085" s="1">
        <v>98</v>
      </c>
      <c r="E3085" s="1">
        <v>3</v>
      </c>
      <c r="F3085" s="1">
        <v>8</v>
      </c>
      <c r="G3085" s="1">
        <v>43.78</v>
      </c>
      <c r="H3085" s="1" t="s">
        <v>346</v>
      </c>
      <c r="I3085" s="1" t="s">
        <v>39</v>
      </c>
      <c r="J3085" s="1">
        <v>151</v>
      </c>
      <c r="K3085" s="1">
        <v>4.7300000000000004</v>
      </c>
      <c r="L3085" s="4">
        <v>94.61</v>
      </c>
      <c r="M3085" s="1">
        <v>0.59</v>
      </c>
      <c r="N3085" s="1">
        <v>3</v>
      </c>
      <c r="O3085" s="1">
        <v>0.72</v>
      </c>
      <c r="P3085" s="1">
        <v>291</v>
      </c>
      <c r="Q3085" s="1">
        <v>7.33</v>
      </c>
      <c r="R3085" s="1">
        <v>0.3</v>
      </c>
      <c r="S3085" s="2">
        <v>45432</v>
      </c>
      <c r="T3085" s="1">
        <v>199.98</v>
      </c>
      <c r="U3085" s="1">
        <v>0.58299999999999996</v>
      </c>
      <c r="V3085" s="6">
        <f t="shared" si="144"/>
        <v>42290.67</v>
      </c>
      <c r="W3085" s="6" t="str">
        <f t="shared" si="145"/>
        <v>Sufficient</v>
      </c>
      <c r="X3085" s="8" t="str">
        <f t="shared" si="146"/>
        <v>High</v>
      </c>
    </row>
    <row r="3086" spans="1:24">
      <c r="A3086" s="7" t="s">
        <v>3216</v>
      </c>
      <c r="B3086" s="1" t="s">
        <v>66</v>
      </c>
      <c r="C3086" s="1">
        <v>362</v>
      </c>
      <c r="D3086" s="1">
        <v>99</v>
      </c>
      <c r="E3086" s="1">
        <v>5</v>
      </c>
      <c r="F3086" s="1">
        <v>8</v>
      </c>
      <c r="G3086" s="1">
        <v>2.58</v>
      </c>
      <c r="H3086" s="1" t="s">
        <v>126</v>
      </c>
      <c r="I3086" s="1" t="s">
        <v>45</v>
      </c>
      <c r="J3086" s="1">
        <v>152</v>
      </c>
      <c r="K3086" s="1">
        <v>2.81</v>
      </c>
      <c r="L3086" s="4">
        <v>138.62</v>
      </c>
      <c r="M3086" s="1">
        <v>1.98</v>
      </c>
      <c r="N3086" s="1">
        <v>1</v>
      </c>
      <c r="O3086" s="1">
        <v>0.85</v>
      </c>
      <c r="P3086" s="1">
        <v>977</v>
      </c>
      <c r="Q3086" s="1">
        <v>15</v>
      </c>
      <c r="R3086" s="1">
        <v>0.71</v>
      </c>
      <c r="S3086" s="2">
        <v>45543</v>
      </c>
      <c r="T3086" s="1">
        <v>271.95</v>
      </c>
      <c r="U3086" s="1">
        <v>0.69399999999999995</v>
      </c>
      <c r="V3086" s="6">
        <f t="shared" si="144"/>
        <v>50180.44</v>
      </c>
      <c r="W3086" s="6" t="str">
        <f t="shared" si="145"/>
        <v>Sufficient</v>
      </c>
      <c r="X3086" s="8" t="str">
        <f t="shared" si="146"/>
        <v>High</v>
      </c>
    </row>
    <row r="3087" spans="1:24">
      <c r="A3087" s="7" t="s">
        <v>3217</v>
      </c>
      <c r="B3087" s="1" t="s">
        <v>29</v>
      </c>
      <c r="C3087" s="1">
        <v>115</v>
      </c>
      <c r="D3087" s="1">
        <v>95</v>
      </c>
      <c r="E3087" s="1">
        <v>12</v>
      </c>
      <c r="F3087" s="1">
        <v>3</v>
      </c>
      <c r="G3087" s="1">
        <v>44.9</v>
      </c>
      <c r="H3087" s="1" t="s">
        <v>44</v>
      </c>
      <c r="I3087" s="1" t="s">
        <v>45</v>
      </c>
      <c r="J3087" s="1">
        <v>143</v>
      </c>
      <c r="K3087" s="1">
        <v>4.8600000000000003</v>
      </c>
      <c r="L3087" s="4">
        <v>152.80000000000001</v>
      </c>
      <c r="M3087" s="1">
        <v>1.64</v>
      </c>
      <c r="N3087" s="1">
        <v>6</v>
      </c>
      <c r="O3087" s="1">
        <v>0.94</v>
      </c>
      <c r="P3087" s="1">
        <v>405</v>
      </c>
      <c r="Q3087" s="1">
        <v>12.38</v>
      </c>
      <c r="R3087" s="1">
        <v>0.9</v>
      </c>
      <c r="S3087" s="2">
        <v>45385</v>
      </c>
      <c r="T3087" s="1">
        <v>33.4</v>
      </c>
      <c r="U3087" s="1">
        <v>0.64900000000000002</v>
      </c>
      <c r="V3087" s="6">
        <f t="shared" si="144"/>
        <v>17572</v>
      </c>
      <c r="W3087" s="6" t="str">
        <f t="shared" si="145"/>
        <v>Sufficient</v>
      </c>
      <c r="X3087" s="8" t="str">
        <f t="shared" si="146"/>
        <v>Medium</v>
      </c>
    </row>
    <row r="3088" spans="1:24">
      <c r="A3088" s="7" t="s">
        <v>3218</v>
      </c>
      <c r="B3088" s="1" t="s">
        <v>25</v>
      </c>
      <c r="C3088" s="1">
        <v>94</v>
      </c>
      <c r="D3088" s="1">
        <v>40</v>
      </c>
      <c r="E3088" s="1">
        <v>7</v>
      </c>
      <c r="F3088" s="1">
        <v>4</v>
      </c>
      <c r="G3088" s="1">
        <v>32.950000000000003</v>
      </c>
      <c r="H3088" s="1" t="s">
        <v>95</v>
      </c>
      <c r="I3088" s="1" t="s">
        <v>39</v>
      </c>
      <c r="J3088" s="1">
        <v>25</v>
      </c>
      <c r="K3088" s="1">
        <v>3.04</v>
      </c>
      <c r="L3088" s="4">
        <v>85.76</v>
      </c>
      <c r="M3088" s="1">
        <v>0.61</v>
      </c>
      <c r="N3088" s="1">
        <v>1</v>
      </c>
      <c r="O3088" s="1">
        <v>0.86</v>
      </c>
      <c r="P3088" s="1">
        <v>622</v>
      </c>
      <c r="Q3088" s="1">
        <v>8.98</v>
      </c>
      <c r="R3088" s="1">
        <v>0.53</v>
      </c>
      <c r="S3088" s="2">
        <v>45553</v>
      </c>
      <c r="T3088" s="1">
        <v>45.95</v>
      </c>
      <c r="U3088" s="1">
        <v>0.71699999999999997</v>
      </c>
      <c r="V3088" s="6">
        <f t="shared" si="144"/>
        <v>8061.4400000000005</v>
      </c>
      <c r="W3088" s="6" t="str">
        <f t="shared" si="145"/>
        <v>Sufficient</v>
      </c>
      <c r="X3088" s="8" t="str">
        <f t="shared" si="146"/>
        <v>LOW</v>
      </c>
    </row>
    <row r="3089" spans="1:24">
      <c r="A3089" s="7" t="s">
        <v>3219</v>
      </c>
      <c r="B3089" s="1" t="s">
        <v>29</v>
      </c>
      <c r="C3089" s="1">
        <v>442</v>
      </c>
      <c r="D3089" s="1">
        <v>19</v>
      </c>
      <c r="E3089" s="1">
        <v>12</v>
      </c>
      <c r="F3089" s="1">
        <v>6</v>
      </c>
      <c r="G3089" s="1">
        <v>37.14</v>
      </c>
      <c r="H3089" s="1" t="s">
        <v>256</v>
      </c>
      <c r="I3089" s="1" t="s">
        <v>45</v>
      </c>
      <c r="J3089" s="1">
        <v>96</v>
      </c>
      <c r="K3089" s="1">
        <v>4.07</v>
      </c>
      <c r="L3089" s="4">
        <v>100.83</v>
      </c>
      <c r="M3089" s="1">
        <v>1.97</v>
      </c>
      <c r="N3089" s="1">
        <v>1</v>
      </c>
      <c r="O3089" s="1">
        <v>0.75</v>
      </c>
      <c r="P3089" s="1">
        <v>910</v>
      </c>
      <c r="Q3089" s="1">
        <v>3.65</v>
      </c>
      <c r="R3089" s="1">
        <v>0.62</v>
      </c>
      <c r="S3089" s="2">
        <v>45435</v>
      </c>
      <c r="T3089" s="1">
        <v>110.63</v>
      </c>
      <c r="U3089" s="1">
        <v>0.50600000000000001</v>
      </c>
      <c r="V3089" s="6">
        <f t="shared" si="144"/>
        <v>44566.86</v>
      </c>
      <c r="W3089" s="6" t="str">
        <f t="shared" si="145"/>
        <v>Sufficient</v>
      </c>
      <c r="X3089" s="8" t="str">
        <f t="shared" si="146"/>
        <v>High</v>
      </c>
    </row>
    <row r="3090" spans="1:24">
      <c r="A3090" s="7" t="s">
        <v>3220</v>
      </c>
      <c r="B3090" s="1" t="s">
        <v>29</v>
      </c>
      <c r="C3090" s="1">
        <v>73</v>
      </c>
      <c r="D3090" s="1">
        <v>65</v>
      </c>
      <c r="E3090" s="1">
        <v>9</v>
      </c>
      <c r="F3090" s="1">
        <v>9</v>
      </c>
      <c r="G3090" s="1">
        <v>1.1299999999999999</v>
      </c>
      <c r="H3090" s="1" t="s">
        <v>327</v>
      </c>
      <c r="I3090" s="1" t="s">
        <v>45</v>
      </c>
      <c r="J3090" s="1">
        <v>133</v>
      </c>
      <c r="K3090" s="1">
        <v>3.84</v>
      </c>
      <c r="L3090" s="4">
        <v>153.54</v>
      </c>
      <c r="M3090" s="1">
        <v>0.13</v>
      </c>
      <c r="N3090" s="1">
        <v>8</v>
      </c>
      <c r="O3090" s="1">
        <v>0.83</v>
      </c>
      <c r="P3090" s="1">
        <v>487</v>
      </c>
      <c r="Q3090" s="1">
        <v>2.65</v>
      </c>
      <c r="R3090" s="1">
        <v>0.67</v>
      </c>
      <c r="S3090" s="2">
        <v>45495</v>
      </c>
      <c r="T3090" s="1">
        <v>37.76</v>
      </c>
      <c r="U3090" s="1">
        <v>0.56200000000000006</v>
      </c>
      <c r="V3090" s="6">
        <f t="shared" si="144"/>
        <v>11208.42</v>
      </c>
      <c r="W3090" s="6" t="str">
        <f t="shared" si="145"/>
        <v>Sufficient</v>
      </c>
      <c r="X3090" s="8" t="str">
        <f t="shared" si="146"/>
        <v>LOW</v>
      </c>
    </row>
    <row r="3091" spans="1:24">
      <c r="A3091" s="7" t="s">
        <v>3221</v>
      </c>
      <c r="B3091" s="1" t="s">
        <v>66</v>
      </c>
      <c r="C3091" s="1">
        <v>363</v>
      </c>
      <c r="D3091" s="1">
        <v>85</v>
      </c>
      <c r="E3091" s="1">
        <v>12</v>
      </c>
      <c r="F3091" s="1">
        <v>6</v>
      </c>
      <c r="G3091" s="1">
        <v>31.78</v>
      </c>
      <c r="H3091" s="1" t="s">
        <v>309</v>
      </c>
      <c r="I3091" s="1" t="s">
        <v>45</v>
      </c>
      <c r="J3091" s="1">
        <v>149</v>
      </c>
      <c r="K3091" s="1">
        <v>3.47</v>
      </c>
      <c r="L3091" s="4">
        <v>77.010000000000005</v>
      </c>
      <c r="M3091" s="1">
        <v>0.93</v>
      </c>
      <c r="N3091" s="1">
        <v>1</v>
      </c>
      <c r="O3091" s="1">
        <v>0.98</v>
      </c>
      <c r="P3091" s="1">
        <v>507</v>
      </c>
      <c r="Q3091" s="1">
        <v>12.74</v>
      </c>
      <c r="R3091" s="1">
        <v>0.57999999999999996</v>
      </c>
      <c r="S3091" s="2">
        <v>45405</v>
      </c>
      <c r="T3091" s="1">
        <v>266.82</v>
      </c>
      <c r="U3091" s="1">
        <v>0.76900000000000002</v>
      </c>
      <c r="V3091" s="6">
        <f t="shared" si="144"/>
        <v>27954.63</v>
      </c>
      <c r="W3091" s="6" t="str">
        <f t="shared" si="145"/>
        <v>Sufficient</v>
      </c>
      <c r="X3091" s="8" t="str">
        <f t="shared" si="146"/>
        <v>High</v>
      </c>
    </row>
    <row r="3092" spans="1:24">
      <c r="A3092" s="7" t="s">
        <v>3222</v>
      </c>
      <c r="B3092" s="1" t="s">
        <v>66</v>
      </c>
      <c r="C3092" s="1">
        <v>478</v>
      </c>
      <c r="D3092" s="1">
        <v>79</v>
      </c>
      <c r="E3092" s="1">
        <v>10</v>
      </c>
      <c r="F3092" s="1">
        <v>6</v>
      </c>
      <c r="G3092" s="1">
        <v>29.84</v>
      </c>
      <c r="H3092" s="1" t="s">
        <v>195</v>
      </c>
      <c r="I3092" s="1" t="s">
        <v>39</v>
      </c>
      <c r="J3092" s="1">
        <v>50</v>
      </c>
      <c r="K3092" s="1">
        <v>0.56999999999999995</v>
      </c>
      <c r="L3092" s="4">
        <v>159.11000000000001</v>
      </c>
      <c r="M3092" s="1">
        <v>1.18</v>
      </c>
      <c r="N3092" s="1">
        <v>9</v>
      </c>
      <c r="O3092" s="1">
        <v>0.9</v>
      </c>
      <c r="P3092" s="1">
        <v>491</v>
      </c>
      <c r="Q3092" s="1">
        <v>12.03</v>
      </c>
      <c r="R3092" s="1">
        <v>0.25</v>
      </c>
      <c r="S3092" s="2">
        <v>45587</v>
      </c>
      <c r="T3092" s="1">
        <v>263.91000000000003</v>
      </c>
      <c r="U3092" s="1">
        <v>0.49199999999999999</v>
      </c>
      <c r="V3092" s="6">
        <f t="shared" si="144"/>
        <v>76054.58</v>
      </c>
      <c r="W3092" s="6" t="str">
        <f t="shared" si="145"/>
        <v>Sufficient</v>
      </c>
      <c r="X3092" s="8" t="str">
        <f t="shared" si="146"/>
        <v>High</v>
      </c>
    </row>
    <row r="3093" spans="1:24">
      <c r="A3093" s="7" t="s">
        <v>3223</v>
      </c>
      <c r="B3093" s="1" t="s">
        <v>29</v>
      </c>
      <c r="C3093" s="1">
        <v>432</v>
      </c>
      <c r="D3093" s="1">
        <v>29</v>
      </c>
      <c r="E3093" s="1">
        <v>14</v>
      </c>
      <c r="F3093" s="1">
        <v>9</v>
      </c>
      <c r="G3093" s="1">
        <v>27.32</v>
      </c>
      <c r="H3093" s="1" t="s">
        <v>52</v>
      </c>
      <c r="I3093" s="1" t="s">
        <v>39</v>
      </c>
      <c r="J3093" s="1">
        <v>128</v>
      </c>
      <c r="K3093" s="1">
        <v>0.85</v>
      </c>
      <c r="L3093" s="4">
        <v>193.8</v>
      </c>
      <c r="M3093" s="1">
        <v>0.17</v>
      </c>
      <c r="N3093" s="1">
        <v>2</v>
      </c>
      <c r="O3093" s="1">
        <v>0.92</v>
      </c>
      <c r="P3093" s="1">
        <v>277</v>
      </c>
      <c r="Q3093" s="1">
        <v>7.47</v>
      </c>
      <c r="R3093" s="1">
        <v>0.67</v>
      </c>
      <c r="S3093" s="2">
        <v>45357</v>
      </c>
      <c r="T3093" s="1">
        <v>285.13</v>
      </c>
      <c r="U3093" s="1">
        <v>0.76100000000000001</v>
      </c>
      <c r="V3093" s="6">
        <f t="shared" si="144"/>
        <v>83721.600000000006</v>
      </c>
      <c r="W3093" s="6" t="str">
        <f t="shared" si="145"/>
        <v>Sufficient</v>
      </c>
      <c r="X3093" s="8" t="str">
        <f t="shared" si="146"/>
        <v>High</v>
      </c>
    </row>
    <row r="3094" spans="1:24">
      <c r="A3094" s="7" t="s">
        <v>3224</v>
      </c>
      <c r="B3094" s="1" t="s">
        <v>41</v>
      </c>
      <c r="C3094" s="1">
        <v>73</v>
      </c>
      <c r="D3094" s="1">
        <v>14</v>
      </c>
      <c r="E3094" s="1">
        <v>11</v>
      </c>
      <c r="F3094" s="1">
        <v>7</v>
      </c>
      <c r="G3094" s="1">
        <v>39.51</v>
      </c>
      <c r="H3094" s="1" t="s">
        <v>282</v>
      </c>
      <c r="I3094" s="1" t="s">
        <v>27</v>
      </c>
      <c r="J3094" s="1">
        <v>28</v>
      </c>
      <c r="K3094" s="1">
        <v>3.12</v>
      </c>
      <c r="L3094" s="4">
        <v>177.29</v>
      </c>
      <c r="M3094" s="1">
        <v>0.41</v>
      </c>
      <c r="N3094" s="1">
        <v>2</v>
      </c>
      <c r="O3094" s="1">
        <v>0.94</v>
      </c>
      <c r="P3094" s="1">
        <v>457</v>
      </c>
      <c r="Q3094" s="1">
        <v>6.9</v>
      </c>
      <c r="R3094" s="1">
        <v>0.31</v>
      </c>
      <c r="S3094" s="2">
        <v>45319</v>
      </c>
      <c r="T3094" s="1">
        <v>69.45</v>
      </c>
      <c r="U3094" s="1">
        <v>0.66100000000000003</v>
      </c>
      <c r="V3094" s="6">
        <f t="shared" si="144"/>
        <v>12942.17</v>
      </c>
      <c r="W3094" s="6" t="str">
        <f t="shared" si="145"/>
        <v>Sufficient</v>
      </c>
      <c r="X3094" s="8" t="str">
        <f t="shared" si="146"/>
        <v>LOW</v>
      </c>
    </row>
    <row r="3095" spans="1:24">
      <c r="A3095" s="7" t="s">
        <v>3225</v>
      </c>
      <c r="B3095" s="1" t="s">
        <v>29</v>
      </c>
      <c r="C3095" s="1">
        <v>237</v>
      </c>
      <c r="D3095" s="1">
        <v>32</v>
      </c>
      <c r="E3095" s="1">
        <v>8</v>
      </c>
      <c r="F3095" s="1">
        <v>6</v>
      </c>
      <c r="G3095" s="1">
        <v>28.24</v>
      </c>
      <c r="H3095" s="1" t="s">
        <v>55</v>
      </c>
      <c r="I3095" s="1" t="s">
        <v>39</v>
      </c>
      <c r="J3095" s="1">
        <v>85</v>
      </c>
      <c r="K3095" s="1">
        <v>4.5999999999999996</v>
      </c>
      <c r="L3095" s="4">
        <v>96.18</v>
      </c>
      <c r="M3095" s="1">
        <v>0.59</v>
      </c>
      <c r="N3095" s="1">
        <v>1</v>
      </c>
      <c r="O3095" s="1">
        <v>0.73</v>
      </c>
      <c r="P3095" s="1">
        <v>972</v>
      </c>
      <c r="Q3095" s="1">
        <v>11.48</v>
      </c>
      <c r="R3095" s="1">
        <v>0.64</v>
      </c>
      <c r="S3095" s="2">
        <v>45561</v>
      </c>
      <c r="T3095" s="1">
        <v>23.15</v>
      </c>
      <c r="U3095" s="1">
        <v>0.748</v>
      </c>
      <c r="V3095" s="6">
        <f t="shared" si="144"/>
        <v>22794.66</v>
      </c>
      <c r="W3095" s="6" t="str">
        <f t="shared" si="145"/>
        <v>Sufficient</v>
      </c>
      <c r="X3095" s="8" t="str">
        <f t="shared" si="146"/>
        <v>Medium</v>
      </c>
    </row>
    <row r="3096" spans="1:24">
      <c r="A3096" s="7" t="s">
        <v>3226</v>
      </c>
      <c r="B3096" s="1" t="s">
        <v>29</v>
      </c>
      <c r="C3096" s="1">
        <v>35</v>
      </c>
      <c r="D3096" s="1">
        <v>18</v>
      </c>
      <c r="E3096" s="1">
        <v>13</v>
      </c>
      <c r="F3096" s="1">
        <v>6</v>
      </c>
      <c r="G3096" s="1">
        <v>43</v>
      </c>
      <c r="H3096" s="1" t="s">
        <v>61</v>
      </c>
      <c r="I3096" s="1" t="s">
        <v>39</v>
      </c>
      <c r="J3096" s="1">
        <v>118</v>
      </c>
      <c r="K3096" s="1">
        <v>3.21</v>
      </c>
      <c r="L3096" s="4">
        <v>120.11</v>
      </c>
      <c r="M3096" s="1">
        <v>1.47</v>
      </c>
      <c r="N3096" s="1">
        <v>9</v>
      </c>
      <c r="O3096" s="1">
        <v>0.87</v>
      </c>
      <c r="P3096" s="1">
        <v>326</v>
      </c>
      <c r="Q3096" s="1">
        <v>8.5</v>
      </c>
      <c r="R3096" s="1">
        <v>0.82</v>
      </c>
      <c r="S3096" s="2">
        <v>45508</v>
      </c>
      <c r="T3096" s="1">
        <v>138.94</v>
      </c>
      <c r="U3096" s="1">
        <v>0.52400000000000002</v>
      </c>
      <c r="V3096" s="6">
        <f t="shared" si="144"/>
        <v>4203.8500000000004</v>
      </c>
      <c r="W3096" s="6" t="str">
        <f t="shared" si="145"/>
        <v>Sufficient</v>
      </c>
      <c r="X3096" s="8" t="str">
        <f t="shared" si="146"/>
        <v>LOW</v>
      </c>
    </row>
    <row r="3097" spans="1:24">
      <c r="A3097" s="7" t="s">
        <v>3227</v>
      </c>
      <c r="B3097" s="1" t="s">
        <v>33</v>
      </c>
      <c r="C3097" s="1">
        <v>118</v>
      </c>
      <c r="D3097" s="1">
        <v>67</v>
      </c>
      <c r="E3097" s="1">
        <v>11</v>
      </c>
      <c r="F3097" s="1">
        <v>3</v>
      </c>
      <c r="G3097" s="1">
        <v>12.4</v>
      </c>
      <c r="H3097" s="1" t="s">
        <v>130</v>
      </c>
      <c r="I3097" s="1" t="s">
        <v>27</v>
      </c>
      <c r="J3097" s="1">
        <v>128</v>
      </c>
      <c r="K3097" s="1">
        <v>1.56</v>
      </c>
      <c r="L3097" s="4">
        <v>146.12</v>
      </c>
      <c r="M3097" s="1">
        <v>1.89</v>
      </c>
      <c r="N3097" s="1">
        <v>2</v>
      </c>
      <c r="O3097" s="1">
        <v>0.81</v>
      </c>
      <c r="P3097" s="1">
        <v>67</v>
      </c>
      <c r="Q3097" s="1">
        <v>6.66</v>
      </c>
      <c r="R3097" s="1">
        <v>0.2</v>
      </c>
      <c r="S3097" s="2">
        <v>45536</v>
      </c>
      <c r="T3097" s="1">
        <v>265.36</v>
      </c>
      <c r="U3097" s="1">
        <v>0.46200000000000002</v>
      </c>
      <c r="V3097" s="6">
        <f t="shared" si="144"/>
        <v>17242.16</v>
      </c>
      <c r="W3097" s="6" t="str">
        <f t="shared" si="145"/>
        <v>Sufficient</v>
      </c>
      <c r="X3097" s="8" t="str">
        <f t="shared" si="146"/>
        <v>Medium</v>
      </c>
    </row>
    <row r="3098" spans="1:24">
      <c r="A3098" s="7" t="s">
        <v>3228</v>
      </c>
      <c r="B3098" s="1" t="s">
        <v>33</v>
      </c>
      <c r="C3098" s="1">
        <v>39</v>
      </c>
      <c r="D3098" s="1">
        <v>68</v>
      </c>
      <c r="E3098" s="1">
        <v>10</v>
      </c>
      <c r="F3098" s="1">
        <v>2</v>
      </c>
      <c r="G3098" s="1">
        <v>40.49</v>
      </c>
      <c r="H3098" s="1" t="s">
        <v>113</v>
      </c>
      <c r="I3098" s="1" t="s">
        <v>39</v>
      </c>
      <c r="J3098" s="1">
        <v>122</v>
      </c>
      <c r="K3098" s="1">
        <v>1.94</v>
      </c>
      <c r="L3098" s="4">
        <v>76.37</v>
      </c>
      <c r="M3098" s="1">
        <v>1.29</v>
      </c>
      <c r="N3098" s="1">
        <v>8</v>
      </c>
      <c r="O3098" s="1">
        <v>0.74</v>
      </c>
      <c r="P3098" s="1">
        <v>805</v>
      </c>
      <c r="Q3098" s="1">
        <v>4.5199999999999996</v>
      </c>
      <c r="R3098" s="1">
        <v>0.54</v>
      </c>
      <c r="S3098" s="2">
        <v>45568</v>
      </c>
      <c r="T3098" s="1">
        <v>195.15</v>
      </c>
      <c r="U3098" s="1">
        <v>0.42699999999999999</v>
      </c>
      <c r="V3098" s="6">
        <f t="shared" si="144"/>
        <v>2978.4300000000003</v>
      </c>
      <c r="W3098" s="6" t="str">
        <f t="shared" si="145"/>
        <v>Reorder Required</v>
      </c>
      <c r="X3098" s="8" t="str">
        <f t="shared" si="146"/>
        <v>LOW</v>
      </c>
    </row>
    <row r="3099" spans="1:24">
      <c r="A3099" s="7" t="s">
        <v>3229</v>
      </c>
      <c r="B3099" s="1" t="s">
        <v>33</v>
      </c>
      <c r="C3099" s="1">
        <v>65</v>
      </c>
      <c r="D3099" s="1">
        <v>89</v>
      </c>
      <c r="E3099" s="1">
        <v>11</v>
      </c>
      <c r="F3099" s="1">
        <v>2</v>
      </c>
      <c r="G3099" s="1">
        <v>9.7899999999999991</v>
      </c>
      <c r="H3099" s="1" t="s">
        <v>70</v>
      </c>
      <c r="I3099" s="1" t="s">
        <v>45</v>
      </c>
      <c r="J3099" s="1">
        <v>11</v>
      </c>
      <c r="K3099" s="1">
        <v>3.3</v>
      </c>
      <c r="L3099" s="4">
        <v>161.86000000000001</v>
      </c>
      <c r="M3099" s="1">
        <v>1.17</v>
      </c>
      <c r="N3099" s="1">
        <v>2</v>
      </c>
      <c r="O3099" s="1">
        <v>0.76</v>
      </c>
      <c r="P3099" s="1">
        <v>360</v>
      </c>
      <c r="Q3099" s="1">
        <v>2.72</v>
      </c>
      <c r="R3099" s="1">
        <v>0.8</v>
      </c>
      <c r="S3099" s="2">
        <v>45308</v>
      </c>
      <c r="T3099" s="1">
        <v>299.51</v>
      </c>
      <c r="U3099" s="1">
        <v>0.59099999999999997</v>
      </c>
      <c r="V3099" s="6">
        <f t="shared" si="144"/>
        <v>10520.900000000001</v>
      </c>
      <c r="W3099" s="6" t="str">
        <f t="shared" si="145"/>
        <v>Reorder Required</v>
      </c>
      <c r="X3099" s="8" t="str">
        <f t="shared" si="146"/>
        <v>LOW</v>
      </c>
    </row>
    <row r="3100" spans="1:24">
      <c r="A3100" s="7" t="s">
        <v>3230</v>
      </c>
      <c r="B3100" s="1" t="s">
        <v>41</v>
      </c>
      <c r="C3100" s="1">
        <v>470</v>
      </c>
      <c r="D3100" s="1">
        <v>63</v>
      </c>
      <c r="E3100" s="1">
        <v>12</v>
      </c>
      <c r="F3100" s="1">
        <v>4</v>
      </c>
      <c r="G3100" s="1">
        <v>40.840000000000003</v>
      </c>
      <c r="H3100" s="1" t="s">
        <v>42</v>
      </c>
      <c r="I3100" s="1" t="s">
        <v>31</v>
      </c>
      <c r="J3100" s="1">
        <v>29</v>
      </c>
      <c r="K3100" s="1">
        <v>3.19</v>
      </c>
      <c r="L3100" s="4">
        <v>93.01</v>
      </c>
      <c r="M3100" s="1">
        <v>1.1200000000000001</v>
      </c>
      <c r="N3100" s="1">
        <v>4</v>
      </c>
      <c r="O3100" s="1">
        <v>0.93</v>
      </c>
      <c r="P3100" s="1">
        <v>373</v>
      </c>
      <c r="Q3100" s="1">
        <v>9.33</v>
      </c>
      <c r="R3100" s="1">
        <v>0.62</v>
      </c>
      <c r="S3100" s="2">
        <v>45549</v>
      </c>
      <c r="T3100" s="1">
        <v>272.64999999999998</v>
      </c>
      <c r="U3100" s="1">
        <v>0.64200000000000002</v>
      </c>
      <c r="V3100" s="6">
        <f t="shared" si="144"/>
        <v>43714.700000000004</v>
      </c>
      <c r="W3100" s="6" t="str">
        <f t="shared" si="145"/>
        <v>Sufficient</v>
      </c>
      <c r="X3100" s="8" t="str">
        <f t="shared" si="146"/>
        <v>High</v>
      </c>
    </row>
    <row r="3101" spans="1:24">
      <c r="A3101" s="7" t="s">
        <v>3231</v>
      </c>
      <c r="B3101" s="1" t="s">
        <v>41</v>
      </c>
      <c r="C3101" s="1">
        <v>212</v>
      </c>
      <c r="D3101" s="1">
        <v>55</v>
      </c>
      <c r="E3101" s="1">
        <v>6</v>
      </c>
      <c r="F3101" s="1">
        <v>3</v>
      </c>
      <c r="G3101" s="1">
        <v>47.08</v>
      </c>
      <c r="H3101" s="1" t="s">
        <v>128</v>
      </c>
      <c r="I3101" s="1" t="s">
        <v>27</v>
      </c>
      <c r="J3101" s="1">
        <v>128</v>
      </c>
      <c r="K3101" s="1">
        <v>4.8</v>
      </c>
      <c r="L3101" s="4">
        <v>170.9</v>
      </c>
      <c r="M3101" s="1">
        <v>0.77</v>
      </c>
      <c r="N3101" s="1">
        <v>6</v>
      </c>
      <c r="O3101" s="1">
        <v>0.75</v>
      </c>
      <c r="P3101" s="1">
        <v>96</v>
      </c>
      <c r="Q3101" s="1">
        <v>12.56</v>
      </c>
      <c r="R3101" s="1">
        <v>0.39</v>
      </c>
      <c r="S3101" s="2">
        <v>45469</v>
      </c>
      <c r="T3101" s="1">
        <v>123.9</v>
      </c>
      <c r="U3101" s="1">
        <v>0.59799999999999998</v>
      </c>
      <c r="V3101" s="6">
        <f t="shared" si="144"/>
        <v>36230.800000000003</v>
      </c>
      <c r="W3101" s="6" t="str">
        <f t="shared" si="145"/>
        <v>Sufficient</v>
      </c>
      <c r="X3101" s="8" t="str">
        <f t="shared" si="146"/>
        <v>Medium</v>
      </c>
    </row>
    <row r="3102" spans="1:24">
      <c r="A3102" s="7" t="s">
        <v>3232</v>
      </c>
      <c r="B3102" s="1" t="s">
        <v>29</v>
      </c>
      <c r="C3102" s="1">
        <v>402</v>
      </c>
      <c r="D3102" s="1">
        <v>31</v>
      </c>
      <c r="E3102" s="1">
        <v>11</v>
      </c>
      <c r="F3102" s="1">
        <v>6</v>
      </c>
      <c r="G3102" s="1">
        <v>17.45</v>
      </c>
      <c r="H3102" s="1" t="s">
        <v>119</v>
      </c>
      <c r="I3102" s="1" t="s">
        <v>31</v>
      </c>
      <c r="J3102" s="1">
        <v>104</v>
      </c>
      <c r="K3102" s="1">
        <v>2.88</v>
      </c>
      <c r="L3102" s="4">
        <v>58.4</v>
      </c>
      <c r="M3102" s="1">
        <v>1.67</v>
      </c>
      <c r="N3102" s="1">
        <v>0</v>
      </c>
      <c r="O3102" s="1">
        <v>0.79</v>
      </c>
      <c r="P3102" s="1">
        <v>871</v>
      </c>
      <c r="Q3102" s="1">
        <v>11.45</v>
      </c>
      <c r="R3102" s="1">
        <v>0.76</v>
      </c>
      <c r="S3102" s="2">
        <v>45493</v>
      </c>
      <c r="T3102" s="1">
        <v>21.46</v>
      </c>
      <c r="U3102" s="1">
        <v>0.69599999999999995</v>
      </c>
      <c r="V3102" s="6">
        <f t="shared" si="144"/>
        <v>23476.799999999999</v>
      </c>
      <c r="W3102" s="6" t="str">
        <f t="shared" si="145"/>
        <v>Sufficient</v>
      </c>
      <c r="X3102" s="8" t="str">
        <f t="shared" si="146"/>
        <v>High</v>
      </c>
    </row>
    <row r="3103" spans="1:24">
      <c r="A3103" s="7" t="s">
        <v>3233</v>
      </c>
      <c r="B3103" s="1" t="s">
        <v>33</v>
      </c>
      <c r="C3103" s="1">
        <v>77</v>
      </c>
      <c r="D3103" s="1">
        <v>73</v>
      </c>
      <c r="E3103" s="1">
        <v>9</v>
      </c>
      <c r="F3103" s="1">
        <v>2</v>
      </c>
      <c r="G3103" s="1">
        <v>26.96</v>
      </c>
      <c r="H3103" s="1" t="s">
        <v>106</v>
      </c>
      <c r="I3103" s="1" t="s">
        <v>31</v>
      </c>
      <c r="J3103" s="1">
        <v>146</v>
      </c>
      <c r="K3103" s="1">
        <v>2.1</v>
      </c>
      <c r="L3103" s="4">
        <v>12.16</v>
      </c>
      <c r="M3103" s="1">
        <v>1.1299999999999999</v>
      </c>
      <c r="N3103" s="1">
        <v>0</v>
      </c>
      <c r="O3103" s="1">
        <v>0.79</v>
      </c>
      <c r="P3103" s="1">
        <v>579</v>
      </c>
      <c r="Q3103" s="1">
        <v>10.75</v>
      </c>
      <c r="R3103" s="1">
        <v>0.83</v>
      </c>
      <c r="S3103" s="2">
        <v>45643</v>
      </c>
      <c r="T3103" s="1">
        <v>11.5</v>
      </c>
      <c r="U3103" s="1">
        <v>0.754</v>
      </c>
      <c r="V3103" s="6">
        <f t="shared" si="144"/>
        <v>936.32</v>
      </c>
      <c r="W3103" s="6" t="str">
        <f t="shared" si="145"/>
        <v>Sufficient</v>
      </c>
      <c r="X3103" s="8" t="str">
        <f t="shared" si="146"/>
        <v>LOW</v>
      </c>
    </row>
    <row r="3104" spans="1:24">
      <c r="A3104" s="7" t="s">
        <v>3234</v>
      </c>
      <c r="B3104" s="1" t="s">
        <v>41</v>
      </c>
      <c r="C3104" s="1">
        <v>456</v>
      </c>
      <c r="D3104" s="1">
        <v>17</v>
      </c>
      <c r="E3104" s="1">
        <v>7</v>
      </c>
      <c r="F3104" s="1">
        <v>5</v>
      </c>
      <c r="G3104" s="1">
        <v>33.26</v>
      </c>
      <c r="H3104" s="1" t="s">
        <v>38</v>
      </c>
      <c r="I3104" s="1" t="s">
        <v>27</v>
      </c>
      <c r="J3104" s="1">
        <v>30</v>
      </c>
      <c r="K3104" s="1">
        <v>2.86</v>
      </c>
      <c r="L3104" s="4">
        <v>130.21</v>
      </c>
      <c r="M3104" s="1">
        <v>0.54</v>
      </c>
      <c r="N3104" s="1">
        <v>9</v>
      </c>
      <c r="O3104" s="1">
        <v>0.71</v>
      </c>
      <c r="P3104" s="1">
        <v>945</v>
      </c>
      <c r="Q3104" s="1">
        <v>14</v>
      </c>
      <c r="R3104" s="1">
        <v>0.49</v>
      </c>
      <c r="S3104" s="2">
        <v>45381</v>
      </c>
      <c r="T3104" s="1">
        <v>196.82</v>
      </c>
      <c r="U3104" s="1">
        <v>0.59299999999999997</v>
      </c>
      <c r="V3104" s="6">
        <f t="shared" si="144"/>
        <v>59375.76</v>
      </c>
      <c r="W3104" s="6" t="str">
        <f t="shared" si="145"/>
        <v>Sufficient</v>
      </c>
      <c r="X3104" s="8" t="str">
        <f t="shared" si="146"/>
        <v>High</v>
      </c>
    </row>
    <row r="3105" spans="1:24">
      <c r="A3105" s="7" t="s">
        <v>3235</v>
      </c>
      <c r="B3105" s="1" t="s">
        <v>66</v>
      </c>
      <c r="C3105" s="1">
        <v>130</v>
      </c>
      <c r="D3105" s="1">
        <v>29</v>
      </c>
      <c r="E3105" s="1">
        <v>7</v>
      </c>
      <c r="F3105" s="1">
        <v>5</v>
      </c>
      <c r="G3105" s="1">
        <v>4.8899999999999997</v>
      </c>
      <c r="H3105" s="1" t="s">
        <v>149</v>
      </c>
      <c r="I3105" s="1" t="s">
        <v>31</v>
      </c>
      <c r="J3105" s="1">
        <v>17</v>
      </c>
      <c r="K3105" s="1">
        <v>4.04</v>
      </c>
      <c r="L3105" s="4">
        <v>95.86</v>
      </c>
      <c r="M3105" s="1">
        <v>0.36</v>
      </c>
      <c r="N3105" s="1">
        <v>1</v>
      </c>
      <c r="O3105" s="1">
        <v>0.84</v>
      </c>
      <c r="P3105" s="1">
        <v>762</v>
      </c>
      <c r="Q3105" s="1">
        <v>6.52</v>
      </c>
      <c r="R3105" s="1">
        <v>0.44</v>
      </c>
      <c r="S3105" s="2">
        <v>45526</v>
      </c>
      <c r="T3105" s="1">
        <v>275.57</v>
      </c>
      <c r="U3105" s="1">
        <v>0.68700000000000006</v>
      </c>
      <c r="V3105" s="6">
        <f t="shared" si="144"/>
        <v>12461.8</v>
      </c>
      <c r="W3105" s="6" t="str">
        <f t="shared" si="145"/>
        <v>Sufficient</v>
      </c>
      <c r="X3105" s="8" t="str">
        <f t="shared" si="146"/>
        <v>Medium</v>
      </c>
    </row>
    <row r="3106" spans="1:24">
      <c r="A3106" s="7" t="s">
        <v>3236</v>
      </c>
      <c r="B3106" s="1" t="s">
        <v>29</v>
      </c>
      <c r="C3106" s="1">
        <v>148</v>
      </c>
      <c r="D3106" s="1">
        <v>60</v>
      </c>
      <c r="E3106" s="1">
        <v>3</v>
      </c>
      <c r="F3106" s="1">
        <v>5</v>
      </c>
      <c r="G3106" s="1">
        <v>25.21</v>
      </c>
      <c r="H3106" s="1" t="s">
        <v>282</v>
      </c>
      <c r="I3106" s="1" t="s">
        <v>31</v>
      </c>
      <c r="J3106" s="1">
        <v>176</v>
      </c>
      <c r="K3106" s="1">
        <v>2.93</v>
      </c>
      <c r="L3106" s="4">
        <v>21.37</v>
      </c>
      <c r="M3106" s="1">
        <v>1.97</v>
      </c>
      <c r="N3106" s="1">
        <v>0</v>
      </c>
      <c r="O3106" s="1">
        <v>0.93</v>
      </c>
      <c r="P3106" s="1">
        <v>549</v>
      </c>
      <c r="Q3106" s="1">
        <v>2.92</v>
      </c>
      <c r="R3106" s="1">
        <v>0.64</v>
      </c>
      <c r="S3106" s="2">
        <v>45353</v>
      </c>
      <c r="T3106" s="1">
        <v>138.83000000000001</v>
      </c>
      <c r="U3106" s="1">
        <v>0.55600000000000005</v>
      </c>
      <c r="V3106" s="6">
        <f t="shared" si="144"/>
        <v>3162.76</v>
      </c>
      <c r="W3106" s="6" t="str">
        <f t="shared" si="145"/>
        <v>Sufficient</v>
      </c>
      <c r="X3106" s="8" t="str">
        <f t="shared" si="146"/>
        <v>Medium</v>
      </c>
    </row>
    <row r="3107" spans="1:24">
      <c r="A3107" s="7" t="s">
        <v>3237</v>
      </c>
      <c r="B3107" s="1" t="s">
        <v>25</v>
      </c>
      <c r="C3107" s="1">
        <v>356</v>
      </c>
      <c r="D3107" s="1">
        <v>87</v>
      </c>
      <c r="E3107" s="1">
        <v>4</v>
      </c>
      <c r="F3107" s="1">
        <v>6</v>
      </c>
      <c r="G3107" s="1">
        <v>18.670000000000002</v>
      </c>
      <c r="H3107" s="1" t="s">
        <v>97</v>
      </c>
      <c r="I3107" s="1" t="s">
        <v>27</v>
      </c>
      <c r="J3107" s="1">
        <v>174</v>
      </c>
      <c r="K3107" s="1">
        <v>1.97</v>
      </c>
      <c r="L3107" s="4">
        <v>102.65</v>
      </c>
      <c r="M3107" s="1">
        <v>0.13</v>
      </c>
      <c r="N3107" s="1">
        <v>0</v>
      </c>
      <c r="O3107" s="1">
        <v>0.71</v>
      </c>
      <c r="P3107" s="1">
        <v>814</v>
      </c>
      <c r="Q3107" s="1">
        <v>2.4300000000000002</v>
      </c>
      <c r="R3107" s="1">
        <v>0.49</v>
      </c>
      <c r="S3107" s="2">
        <v>45649</v>
      </c>
      <c r="T3107" s="1">
        <v>263.54000000000002</v>
      </c>
      <c r="U3107" s="1">
        <v>0.65900000000000003</v>
      </c>
      <c r="V3107" s="6">
        <f t="shared" si="144"/>
        <v>36543.4</v>
      </c>
      <c r="W3107" s="6" t="str">
        <f t="shared" si="145"/>
        <v>Sufficient</v>
      </c>
      <c r="X3107" s="8" t="str">
        <f t="shared" si="146"/>
        <v>High</v>
      </c>
    </row>
    <row r="3108" spans="1:24">
      <c r="A3108" s="7" t="s">
        <v>3238</v>
      </c>
      <c r="B3108" s="1" t="s">
        <v>29</v>
      </c>
      <c r="C3108" s="1">
        <v>213</v>
      </c>
      <c r="D3108" s="1">
        <v>48</v>
      </c>
      <c r="E3108" s="1">
        <v>12</v>
      </c>
      <c r="F3108" s="1">
        <v>6</v>
      </c>
      <c r="G3108" s="1">
        <v>43.75</v>
      </c>
      <c r="H3108" s="1" t="s">
        <v>30</v>
      </c>
      <c r="I3108" s="1" t="s">
        <v>27</v>
      </c>
      <c r="J3108" s="1">
        <v>38</v>
      </c>
      <c r="K3108" s="1">
        <v>2.02</v>
      </c>
      <c r="L3108" s="4">
        <v>42.03</v>
      </c>
      <c r="M3108" s="1">
        <v>1.87</v>
      </c>
      <c r="N3108" s="1">
        <v>9</v>
      </c>
      <c r="O3108" s="1">
        <v>0.73</v>
      </c>
      <c r="P3108" s="1">
        <v>241</v>
      </c>
      <c r="Q3108" s="1">
        <v>14.37</v>
      </c>
      <c r="R3108" s="1">
        <v>0.87</v>
      </c>
      <c r="S3108" s="2">
        <v>45557</v>
      </c>
      <c r="T3108" s="1">
        <v>174.35</v>
      </c>
      <c r="U3108" s="1">
        <v>0.54500000000000004</v>
      </c>
      <c r="V3108" s="6">
        <f t="shared" si="144"/>
        <v>8952.39</v>
      </c>
      <c r="W3108" s="6" t="str">
        <f t="shared" si="145"/>
        <v>Sufficient</v>
      </c>
      <c r="X3108" s="8" t="str">
        <f t="shared" si="146"/>
        <v>Medium</v>
      </c>
    </row>
    <row r="3109" spans="1:24">
      <c r="A3109" s="7" t="s">
        <v>3239</v>
      </c>
      <c r="B3109" s="1" t="s">
        <v>25</v>
      </c>
      <c r="C3109" s="1">
        <v>432</v>
      </c>
      <c r="D3109" s="1">
        <v>46</v>
      </c>
      <c r="E3109" s="1">
        <v>5</v>
      </c>
      <c r="F3109" s="1">
        <v>9</v>
      </c>
      <c r="G3109" s="1">
        <v>43.96</v>
      </c>
      <c r="H3109" s="1" t="s">
        <v>63</v>
      </c>
      <c r="I3109" s="1" t="s">
        <v>45</v>
      </c>
      <c r="J3109" s="1">
        <v>44</v>
      </c>
      <c r="K3109" s="1">
        <v>3.91</v>
      </c>
      <c r="L3109" s="4">
        <v>129.65</v>
      </c>
      <c r="M3109" s="1">
        <v>0.51</v>
      </c>
      <c r="N3109" s="1">
        <v>3</v>
      </c>
      <c r="O3109" s="1">
        <v>0.92</v>
      </c>
      <c r="P3109" s="1">
        <v>98</v>
      </c>
      <c r="Q3109" s="1">
        <v>9.25</v>
      </c>
      <c r="R3109" s="1">
        <v>0.82</v>
      </c>
      <c r="S3109" s="2">
        <v>45527</v>
      </c>
      <c r="T3109" s="1">
        <v>38.43</v>
      </c>
      <c r="U3109" s="1">
        <v>0.76</v>
      </c>
      <c r="V3109" s="6">
        <f t="shared" si="144"/>
        <v>56008.800000000003</v>
      </c>
      <c r="W3109" s="6" t="str">
        <f t="shared" si="145"/>
        <v>Sufficient</v>
      </c>
      <c r="X3109" s="8" t="str">
        <f t="shared" si="146"/>
        <v>High</v>
      </c>
    </row>
    <row r="3110" spans="1:24">
      <c r="A3110" s="7" t="s">
        <v>3240</v>
      </c>
      <c r="B3110" s="1" t="s">
        <v>33</v>
      </c>
      <c r="C3110" s="1">
        <v>359</v>
      </c>
      <c r="D3110" s="1">
        <v>59</v>
      </c>
      <c r="E3110" s="1">
        <v>10</v>
      </c>
      <c r="F3110" s="1">
        <v>4</v>
      </c>
      <c r="G3110" s="1">
        <v>35.340000000000003</v>
      </c>
      <c r="H3110" s="1" t="s">
        <v>156</v>
      </c>
      <c r="I3110" s="1" t="s">
        <v>27</v>
      </c>
      <c r="J3110" s="1">
        <v>47</v>
      </c>
      <c r="K3110" s="1">
        <v>0.8</v>
      </c>
      <c r="L3110" s="4">
        <v>94.56</v>
      </c>
      <c r="M3110" s="1">
        <v>1.35</v>
      </c>
      <c r="N3110" s="1">
        <v>9</v>
      </c>
      <c r="O3110" s="1">
        <v>0.88</v>
      </c>
      <c r="P3110" s="1">
        <v>143</v>
      </c>
      <c r="Q3110" s="1">
        <v>12.35</v>
      </c>
      <c r="R3110" s="1">
        <v>0.45</v>
      </c>
      <c r="S3110" s="2">
        <v>45453</v>
      </c>
      <c r="T3110" s="1">
        <v>241.51</v>
      </c>
      <c r="U3110" s="1">
        <v>0.51600000000000001</v>
      </c>
      <c r="V3110" s="6">
        <f t="shared" si="144"/>
        <v>33947.040000000001</v>
      </c>
      <c r="W3110" s="6" t="str">
        <f t="shared" si="145"/>
        <v>Sufficient</v>
      </c>
      <c r="X3110" s="8" t="str">
        <f t="shared" si="146"/>
        <v>High</v>
      </c>
    </row>
    <row r="3111" spans="1:24">
      <c r="A3111" s="7" t="s">
        <v>3241</v>
      </c>
      <c r="B3111" s="1" t="s">
        <v>25</v>
      </c>
      <c r="C3111" s="1">
        <v>345</v>
      </c>
      <c r="D3111" s="1">
        <v>43</v>
      </c>
      <c r="E3111" s="1">
        <v>8</v>
      </c>
      <c r="F3111" s="1">
        <v>8</v>
      </c>
      <c r="G3111" s="1">
        <v>33.130000000000003</v>
      </c>
      <c r="H3111" s="1" t="s">
        <v>88</v>
      </c>
      <c r="I3111" s="1" t="s">
        <v>39</v>
      </c>
      <c r="J3111" s="1">
        <v>99</v>
      </c>
      <c r="K3111" s="1">
        <v>1.74</v>
      </c>
      <c r="L3111" s="4">
        <v>42.51</v>
      </c>
      <c r="M3111" s="1">
        <v>0.67</v>
      </c>
      <c r="N3111" s="1">
        <v>2</v>
      </c>
      <c r="O3111" s="1">
        <v>0.91</v>
      </c>
      <c r="P3111" s="1">
        <v>980</v>
      </c>
      <c r="Q3111" s="1">
        <v>8.5</v>
      </c>
      <c r="R3111" s="1">
        <v>0.56999999999999995</v>
      </c>
      <c r="S3111" s="2">
        <v>45644</v>
      </c>
      <c r="T3111" s="1">
        <v>152.85</v>
      </c>
      <c r="U3111" s="1">
        <v>0.70199999999999996</v>
      </c>
      <c r="V3111" s="6">
        <f t="shared" si="144"/>
        <v>14665.949999999999</v>
      </c>
      <c r="W3111" s="6" t="str">
        <f t="shared" si="145"/>
        <v>Sufficient</v>
      </c>
      <c r="X3111" s="8" t="str">
        <f t="shared" si="146"/>
        <v>High</v>
      </c>
    </row>
    <row r="3112" spans="1:24">
      <c r="A3112" s="7" t="s">
        <v>3242</v>
      </c>
      <c r="B3112" s="1" t="s">
        <v>33</v>
      </c>
      <c r="C3112" s="1">
        <v>27</v>
      </c>
      <c r="D3112" s="1">
        <v>84</v>
      </c>
      <c r="E3112" s="1">
        <v>14</v>
      </c>
      <c r="F3112" s="1">
        <v>4</v>
      </c>
      <c r="G3112" s="1">
        <v>36.950000000000003</v>
      </c>
      <c r="H3112" s="1" t="s">
        <v>558</v>
      </c>
      <c r="I3112" s="1" t="s">
        <v>31</v>
      </c>
      <c r="J3112" s="1">
        <v>172</v>
      </c>
      <c r="K3112" s="1">
        <v>1.19</v>
      </c>
      <c r="L3112" s="4">
        <v>88.27</v>
      </c>
      <c r="M3112" s="1">
        <v>1.73</v>
      </c>
      <c r="N3112" s="1">
        <v>0</v>
      </c>
      <c r="O3112" s="1">
        <v>0.77</v>
      </c>
      <c r="P3112" s="1">
        <v>798</v>
      </c>
      <c r="Q3112" s="1">
        <v>6.58</v>
      </c>
      <c r="R3112" s="1">
        <v>0.91</v>
      </c>
      <c r="S3112" s="2">
        <v>45296</v>
      </c>
      <c r="T3112" s="1">
        <v>24.81</v>
      </c>
      <c r="U3112" s="1">
        <v>0.65100000000000002</v>
      </c>
      <c r="V3112" s="6">
        <f t="shared" si="144"/>
        <v>2383.29</v>
      </c>
      <c r="W3112" s="6" t="str">
        <f t="shared" si="145"/>
        <v>Reorder Required</v>
      </c>
      <c r="X3112" s="8" t="str">
        <f t="shared" si="146"/>
        <v>LOW</v>
      </c>
    </row>
    <row r="3113" spans="1:24">
      <c r="A3113" s="7" t="s">
        <v>3243</v>
      </c>
      <c r="B3113" s="1" t="s">
        <v>66</v>
      </c>
      <c r="C3113" s="1">
        <v>48</v>
      </c>
      <c r="D3113" s="1">
        <v>42</v>
      </c>
      <c r="E3113" s="1">
        <v>12</v>
      </c>
      <c r="F3113" s="1">
        <v>4</v>
      </c>
      <c r="G3113" s="1">
        <v>18.93</v>
      </c>
      <c r="H3113" s="1" t="s">
        <v>159</v>
      </c>
      <c r="I3113" s="1" t="s">
        <v>27</v>
      </c>
      <c r="J3113" s="1">
        <v>77</v>
      </c>
      <c r="K3113" s="1">
        <v>4.75</v>
      </c>
      <c r="L3113" s="4">
        <v>54.21</v>
      </c>
      <c r="M3113" s="1">
        <v>1.1299999999999999</v>
      </c>
      <c r="N3113" s="1">
        <v>2</v>
      </c>
      <c r="O3113" s="1">
        <v>0.94</v>
      </c>
      <c r="P3113" s="1">
        <v>783</v>
      </c>
      <c r="Q3113" s="1">
        <v>3.8</v>
      </c>
      <c r="R3113" s="1">
        <v>0.32</v>
      </c>
      <c r="S3113" s="2">
        <v>45298</v>
      </c>
      <c r="T3113" s="1">
        <v>246.24</v>
      </c>
      <c r="U3113" s="1">
        <v>0.55000000000000004</v>
      </c>
      <c r="V3113" s="6">
        <f t="shared" si="144"/>
        <v>2602.08</v>
      </c>
      <c r="W3113" s="6" t="str">
        <f t="shared" si="145"/>
        <v>Sufficient</v>
      </c>
      <c r="X3113" s="8" t="str">
        <f t="shared" si="146"/>
        <v>LOW</v>
      </c>
    </row>
    <row r="3114" spans="1:24">
      <c r="A3114" s="7" t="s">
        <v>3244</v>
      </c>
      <c r="B3114" s="1" t="s">
        <v>25</v>
      </c>
      <c r="C3114" s="1">
        <v>131</v>
      </c>
      <c r="D3114" s="1">
        <v>40</v>
      </c>
      <c r="E3114" s="1">
        <v>13</v>
      </c>
      <c r="F3114" s="1">
        <v>7</v>
      </c>
      <c r="G3114" s="1">
        <v>20.82</v>
      </c>
      <c r="H3114" s="1" t="s">
        <v>327</v>
      </c>
      <c r="I3114" s="1" t="s">
        <v>45</v>
      </c>
      <c r="J3114" s="1">
        <v>140</v>
      </c>
      <c r="K3114" s="1">
        <v>0.91</v>
      </c>
      <c r="L3114" s="4">
        <v>134.09</v>
      </c>
      <c r="M3114" s="1">
        <v>0.37</v>
      </c>
      <c r="N3114" s="1">
        <v>0</v>
      </c>
      <c r="O3114" s="1">
        <v>0.84</v>
      </c>
      <c r="P3114" s="1">
        <v>216</v>
      </c>
      <c r="Q3114" s="1">
        <v>12.99</v>
      </c>
      <c r="R3114" s="1">
        <v>0.8</v>
      </c>
      <c r="S3114" s="2">
        <v>45637</v>
      </c>
      <c r="T3114" s="1">
        <v>229.72</v>
      </c>
      <c r="U3114" s="1">
        <v>0.86399999999999999</v>
      </c>
      <c r="V3114" s="6">
        <f t="shared" si="144"/>
        <v>17565.79</v>
      </c>
      <c r="W3114" s="6" t="str">
        <f t="shared" si="145"/>
        <v>Sufficient</v>
      </c>
      <c r="X3114" s="8" t="str">
        <f t="shared" si="146"/>
        <v>Medium</v>
      </c>
    </row>
    <row r="3115" spans="1:24">
      <c r="A3115" s="7" t="s">
        <v>3245</v>
      </c>
      <c r="B3115" s="1" t="s">
        <v>29</v>
      </c>
      <c r="C3115" s="1">
        <v>454</v>
      </c>
      <c r="D3115" s="1">
        <v>63</v>
      </c>
      <c r="E3115" s="1">
        <v>7</v>
      </c>
      <c r="F3115" s="1">
        <v>5</v>
      </c>
      <c r="G3115" s="1">
        <v>28.13</v>
      </c>
      <c r="H3115" s="1" t="s">
        <v>333</v>
      </c>
      <c r="I3115" s="1" t="s">
        <v>27</v>
      </c>
      <c r="J3115" s="1">
        <v>118</v>
      </c>
      <c r="K3115" s="1">
        <v>3.91</v>
      </c>
      <c r="L3115" s="4">
        <v>66.08</v>
      </c>
      <c r="M3115" s="1">
        <v>0.61</v>
      </c>
      <c r="N3115" s="1">
        <v>2</v>
      </c>
      <c r="O3115" s="1">
        <v>0.88</v>
      </c>
      <c r="P3115" s="1">
        <v>543</v>
      </c>
      <c r="Q3115" s="1">
        <v>1.89</v>
      </c>
      <c r="R3115" s="1">
        <v>0.45</v>
      </c>
      <c r="S3115" s="2">
        <v>45399</v>
      </c>
      <c r="T3115" s="1">
        <v>142.61000000000001</v>
      </c>
      <c r="U3115" s="1">
        <v>0.59</v>
      </c>
      <c r="V3115" s="6">
        <f t="shared" si="144"/>
        <v>30000.32</v>
      </c>
      <c r="W3115" s="6" t="str">
        <f t="shared" si="145"/>
        <v>Sufficient</v>
      </c>
      <c r="X3115" s="8" t="str">
        <f t="shared" si="146"/>
        <v>High</v>
      </c>
    </row>
    <row r="3116" spans="1:24">
      <c r="A3116" s="7" t="s">
        <v>3246</v>
      </c>
      <c r="B3116" s="1" t="s">
        <v>33</v>
      </c>
      <c r="C3116" s="1">
        <v>180</v>
      </c>
      <c r="D3116" s="1">
        <v>53</v>
      </c>
      <c r="E3116" s="1">
        <v>3</v>
      </c>
      <c r="F3116" s="1">
        <v>6</v>
      </c>
      <c r="G3116" s="1">
        <v>46.96</v>
      </c>
      <c r="H3116" s="1" t="s">
        <v>174</v>
      </c>
      <c r="I3116" s="1" t="s">
        <v>31</v>
      </c>
      <c r="J3116" s="1">
        <v>120</v>
      </c>
      <c r="K3116" s="1">
        <v>3.34</v>
      </c>
      <c r="L3116" s="4">
        <v>166.18</v>
      </c>
      <c r="M3116" s="1">
        <v>0.71</v>
      </c>
      <c r="N3116" s="1">
        <v>3</v>
      </c>
      <c r="O3116" s="1">
        <v>0.73</v>
      </c>
      <c r="P3116" s="1">
        <v>303</v>
      </c>
      <c r="Q3116" s="1">
        <v>13.6</v>
      </c>
      <c r="R3116" s="1">
        <v>0.3</v>
      </c>
      <c r="S3116" s="2">
        <v>45486</v>
      </c>
      <c r="T3116" s="1">
        <v>15.64</v>
      </c>
      <c r="U3116" s="1">
        <v>0.65600000000000003</v>
      </c>
      <c r="V3116" s="6">
        <f t="shared" si="144"/>
        <v>29912.400000000001</v>
      </c>
      <c r="W3116" s="6" t="str">
        <f t="shared" si="145"/>
        <v>Sufficient</v>
      </c>
      <c r="X3116" s="8" t="str">
        <f t="shared" si="146"/>
        <v>Medium</v>
      </c>
    </row>
    <row r="3117" spans="1:24">
      <c r="A3117" s="7" t="s">
        <v>3247</v>
      </c>
      <c r="B3117" s="1" t="s">
        <v>29</v>
      </c>
      <c r="C3117" s="1">
        <v>150</v>
      </c>
      <c r="D3117" s="1">
        <v>43</v>
      </c>
      <c r="E3117" s="1">
        <v>14</v>
      </c>
      <c r="F3117" s="1">
        <v>5</v>
      </c>
      <c r="G3117" s="1">
        <v>36.479999999999997</v>
      </c>
      <c r="H3117" s="1" t="s">
        <v>153</v>
      </c>
      <c r="I3117" s="1" t="s">
        <v>27</v>
      </c>
      <c r="J3117" s="1">
        <v>21</v>
      </c>
      <c r="K3117" s="1">
        <v>3.35</v>
      </c>
      <c r="L3117" s="4">
        <v>12.69</v>
      </c>
      <c r="M3117" s="1">
        <v>1.78</v>
      </c>
      <c r="N3117" s="1">
        <v>7</v>
      </c>
      <c r="O3117" s="1">
        <v>0.76</v>
      </c>
      <c r="P3117" s="1">
        <v>106</v>
      </c>
      <c r="Q3117" s="1">
        <v>3.87</v>
      </c>
      <c r="R3117" s="1">
        <v>0.28999999999999998</v>
      </c>
      <c r="S3117" s="2">
        <v>45589</v>
      </c>
      <c r="T3117" s="1">
        <v>110.61</v>
      </c>
      <c r="U3117" s="1">
        <v>0.34399999999999997</v>
      </c>
      <c r="V3117" s="6">
        <f t="shared" si="144"/>
        <v>1903.5</v>
      </c>
      <c r="W3117" s="6" t="str">
        <f t="shared" si="145"/>
        <v>Sufficient</v>
      </c>
      <c r="X3117" s="8" t="str">
        <f t="shared" si="146"/>
        <v>Medium</v>
      </c>
    </row>
    <row r="3118" spans="1:24">
      <c r="A3118" s="7" t="s">
        <v>3248</v>
      </c>
      <c r="B3118" s="1" t="s">
        <v>41</v>
      </c>
      <c r="C3118" s="1">
        <v>207</v>
      </c>
      <c r="D3118" s="1">
        <v>80</v>
      </c>
      <c r="E3118" s="1">
        <v>13</v>
      </c>
      <c r="F3118" s="1">
        <v>4</v>
      </c>
      <c r="G3118" s="1">
        <v>28</v>
      </c>
      <c r="H3118" s="1" t="s">
        <v>115</v>
      </c>
      <c r="I3118" s="1" t="s">
        <v>31</v>
      </c>
      <c r="J3118" s="1">
        <v>41</v>
      </c>
      <c r="K3118" s="1">
        <v>3.94</v>
      </c>
      <c r="L3118" s="4">
        <v>86.65</v>
      </c>
      <c r="M3118" s="1">
        <v>1.56</v>
      </c>
      <c r="N3118" s="1">
        <v>2</v>
      </c>
      <c r="O3118" s="1">
        <v>0.93</v>
      </c>
      <c r="P3118" s="1">
        <v>55</v>
      </c>
      <c r="Q3118" s="1">
        <v>1.1299999999999999</v>
      </c>
      <c r="R3118" s="1">
        <v>0.42</v>
      </c>
      <c r="S3118" s="2">
        <v>45343</v>
      </c>
      <c r="T3118" s="1">
        <v>136.13999999999999</v>
      </c>
      <c r="U3118" s="1">
        <v>0.48899999999999999</v>
      </c>
      <c r="V3118" s="6">
        <f t="shared" si="144"/>
        <v>17936.550000000003</v>
      </c>
      <c r="W3118" s="6" t="str">
        <f t="shared" si="145"/>
        <v>Sufficient</v>
      </c>
      <c r="X3118" s="8" t="str">
        <f t="shared" si="146"/>
        <v>Medium</v>
      </c>
    </row>
    <row r="3119" spans="1:24">
      <c r="A3119" s="7" t="s">
        <v>3249</v>
      </c>
      <c r="B3119" s="1" t="s">
        <v>33</v>
      </c>
      <c r="C3119" s="1">
        <v>182</v>
      </c>
      <c r="D3119" s="1">
        <v>71</v>
      </c>
      <c r="E3119" s="1">
        <v>14</v>
      </c>
      <c r="F3119" s="1">
        <v>6</v>
      </c>
      <c r="G3119" s="1">
        <v>38.75</v>
      </c>
      <c r="H3119" s="1" t="s">
        <v>266</v>
      </c>
      <c r="I3119" s="1" t="s">
        <v>27</v>
      </c>
      <c r="J3119" s="1">
        <v>72</v>
      </c>
      <c r="K3119" s="1">
        <v>2.2999999999999998</v>
      </c>
      <c r="L3119" s="4">
        <v>127.25</v>
      </c>
      <c r="M3119" s="1">
        <v>1.68</v>
      </c>
      <c r="N3119" s="1">
        <v>2</v>
      </c>
      <c r="O3119" s="1">
        <v>0.77</v>
      </c>
      <c r="P3119" s="1">
        <v>287</v>
      </c>
      <c r="Q3119" s="1">
        <v>2.4500000000000002</v>
      </c>
      <c r="R3119" s="1">
        <v>0.64</v>
      </c>
      <c r="S3119" s="2">
        <v>45458</v>
      </c>
      <c r="T3119" s="1">
        <v>57.94</v>
      </c>
      <c r="U3119" s="1">
        <v>0.50700000000000001</v>
      </c>
      <c r="V3119" s="6">
        <f t="shared" si="144"/>
        <v>23159.5</v>
      </c>
      <c r="W3119" s="6" t="str">
        <f t="shared" si="145"/>
        <v>Sufficient</v>
      </c>
      <c r="X3119" s="8" t="str">
        <f t="shared" si="146"/>
        <v>Medium</v>
      </c>
    </row>
    <row r="3120" spans="1:24">
      <c r="A3120" s="7" t="s">
        <v>3250</v>
      </c>
      <c r="B3120" s="1" t="s">
        <v>25</v>
      </c>
      <c r="C3120" s="1">
        <v>216</v>
      </c>
      <c r="D3120" s="1">
        <v>32</v>
      </c>
      <c r="E3120" s="1">
        <v>11</v>
      </c>
      <c r="F3120" s="1">
        <v>3</v>
      </c>
      <c r="G3120" s="1">
        <v>19.170000000000002</v>
      </c>
      <c r="H3120" s="1" t="s">
        <v>63</v>
      </c>
      <c r="I3120" s="1" t="s">
        <v>45</v>
      </c>
      <c r="J3120" s="1">
        <v>163</v>
      </c>
      <c r="K3120" s="1">
        <v>2.2999999999999998</v>
      </c>
      <c r="L3120" s="4">
        <v>14.3</v>
      </c>
      <c r="M3120" s="1">
        <v>0.2</v>
      </c>
      <c r="N3120" s="1">
        <v>8</v>
      </c>
      <c r="O3120" s="1">
        <v>0.73</v>
      </c>
      <c r="P3120" s="1">
        <v>782</v>
      </c>
      <c r="Q3120" s="1">
        <v>13.37</v>
      </c>
      <c r="R3120" s="1">
        <v>0.93</v>
      </c>
      <c r="S3120" s="2">
        <v>45477</v>
      </c>
      <c r="T3120" s="1">
        <v>56.66</v>
      </c>
      <c r="U3120" s="1">
        <v>0.73</v>
      </c>
      <c r="V3120" s="6">
        <f t="shared" si="144"/>
        <v>3088.8</v>
      </c>
      <c r="W3120" s="6" t="str">
        <f t="shared" si="145"/>
        <v>Sufficient</v>
      </c>
      <c r="X3120" s="8" t="str">
        <f t="shared" si="146"/>
        <v>Medium</v>
      </c>
    </row>
    <row r="3121" spans="1:24">
      <c r="A3121" s="7" t="s">
        <v>3251</v>
      </c>
      <c r="B3121" s="1" t="s">
        <v>33</v>
      </c>
      <c r="C3121" s="1">
        <v>494</v>
      </c>
      <c r="D3121" s="1">
        <v>55</v>
      </c>
      <c r="E3121" s="1">
        <v>5</v>
      </c>
      <c r="F3121" s="1">
        <v>9</v>
      </c>
      <c r="G3121" s="1">
        <v>36.79</v>
      </c>
      <c r="H3121" s="1" t="s">
        <v>91</v>
      </c>
      <c r="I3121" s="1" t="s">
        <v>39</v>
      </c>
      <c r="J3121" s="1">
        <v>52</v>
      </c>
      <c r="K3121" s="1">
        <v>1.8</v>
      </c>
      <c r="L3121" s="4">
        <v>51.01</v>
      </c>
      <c r="M3121" s="1">
        <v>1.2</v>
      </c>
      <c r="N3121" s="1">
        <v>8</v>
      </c>
      <c r="O3121" s="1">
        <v>0.88</v>
      </c>
      <c r="P3121" s="1">
        <v>273</v>
      </c>
      <c r="Q3121" s="1">
        <v>2.0299999999999998</v>
      </c>
      <c r="R3121" s="1">
        <v>0.44</v>
      </c>
      <c r="S3121" s="2">
        <v>45605</v>
      </c>
      <c r="T3121" s="1">
        <v>58.42</v>
      </c>
      <c r="U3121" s="1">
        <v>0.41099999999999998</v>
      </c>
      <c r="V3121" s="6">
        <f t="shared" si="144"/>
        <v>25198.94</v>
      </c>
      <c r="W3121" s="6" t="str">
        <f t="shared" si="145"/>
        <v>Sufficient</v>
      </c>
      <c r="X3121" s="8" t="str">
        <f t="shared" si="146"/>
        <v>High</v>
      </c>
    </row>
    <row r="3122" spans="1:24">
      <c r="A3122" s="7" t="s">
        <v>3252</v>
      </c>
      <c r="B3122" s="1" t="s">
        <v>29</v>
      </c>
      <c r="C3122" s="1">
        <v>383</v>
      </c>
      <c r="D3122" s="1">
        <v>65</v>
      </c>
      <c r="E3122" s="1">
        <v>5</v>
      </c>
      <c r="F3122" s="1">
        <v>2</v>
      </c>
      <c r="G3122" s="1">
        <v>21.12</v>
      </c>
      <c r="H3122" s="1" t="s">
        <v>266</v>
      </c>
      <c r="I3122" s="1" t="s">
        <v>45</v>
      </c>
      <c r="J3122" s="1">
        <v>116</v>
      </c>
      <c r="K3122" s="1">
        <v>3.19</v>
      </c>
      <c r="L3122" s="4">
        <v>72.209999999999994</v>
      </c>
      <c r="M3122" s="1">
        <v>2</v>
      </c>
      <c r="N3122" s="1">
        <v>5</v>
      </c>
      <c r="O3122" s="1">
        <v>0.86</v>
      </c>
      <c r="P3122" s="1">
        <v>639</v>
      </c>
      <c r="Q3122" s="1">
        <v>5.97</v>
      </c>
      <c r="R3122" s="1">
        <v>0.36</v>
      </c>
      <c r="S3122" s="2">
        <v>45424</v>
      </c>
      <c r="T3122" s="1">
        <v>117.47</v>
      </c>
      <c r="U3122" s="1">
        <v>0.42399999999999999</v>
      </c>
      <c r="V3122" s="6">
        <f t="shared" si="144"/>
        <v>27656.429999999997</v>
      </c>
      <c r="W3122" s="6" t="str">
        <f t="shared" si="145"/>
        <v>Sufficient</v>
      </c>
      <c r="X3122" s="8" t="str">
        <f t="shared" si="146"/>
        <v>High</v>
      </c>
    </row>
    <row r="3123" spans="1:24">
      <c r="A3123" s="7" t="s">
        <v>3253</v>
      </c>
      <c r="B3123" s="1" t="s">
        <v>66</v>
      </c>
      <c r="C3123" s="1">
        <v>223</v>
      </c>
      <c r="D3123" s="1">
        <v>16</v>
      </c>
      <c r="E3123" s="1">
        <v>4</v>
      </c>
      <c r="F3123" s="1">
        <v>2</v>
      </c>
      <c r="G3123" s="1">
        <v>14.7</v>
      </c>
      <c r="H3123" s="1" t="s">
        <v>52</v>
      </c>
      <c r="I3123" s="1" t="s">
        <v>27</v>
      </c>
      <c r="J3123" s="1">
        <v>47</v>
      </c>
      <c r="K3123" s="1">
        <v>4.68</v>
      </c>
      <c r="L3123" s="4">
        <v>14.15</v>
      </c>
      <c r="M3123" s="1">
        <v>1.59</v>
      </c>
      <c r="N3123" s="1">
        <v>9</v>
      </c>
      <c r="O3123" s="1">
        <v>0.88</v>
      </c>
      <c r="P3123" s="1">
        <v>69</v>
      </c>
      <c r="Q3123" s="1">
        <v>4.5</v>
      </c>
      <c r="R3123" s="1">
        <v>0.57999999999999996</v>
      </c>
      <c r="S3123" s="2">
        <v>45387</v>
      </c>
      <c r="T3123" s="1">
        <v>247.09</v>
      </c>
      <c r="U3123" s="1">
        <v>0.41299999999999998</v>
      </c>
      <c r="V3123" s="6">
        <f t="shared" si="144"/>
        <v>3155.4500000000003</v>
      </c>
      <c r="W3123" s="6" t="str">
        <f t="shared" si="145"/>
        <v>Sufficient</v>
      </c>
      <c r="X3123" s="8" t="str">
        <f t="shared" si="146"/>
        <v>Medium</v>
      </c>
    </row>
    <row r="3124" spans="1:24">
      <c r="A3124" s="7" t="s">
        <v>3254</v>
      </c>
      <c r="B3124" s="1" t="s">
        <v>33</v>
      </c>
      <c r="C3124" s="1">
        <v>231</v>
      </c>
      <c r="D3124" s="1">
        <v>98</v>
      </c>
      <c r="E3124" s="1">
        <v>6</v>
      </c>
      <c r="F3124" s="1">
        <v>4</v>
      </c>
      <c r="G3124" s="1">
        <v>30.88</v>
      </c>
      <c r="H3124" s="1" t="s">
        <v>151</v>
      </c>
      <c r="I3124" s="1" t="s">
        <v>31</v>
      </c>
      <c r="J3124" s="1">
        <v>38</v>
      </c>
      <c r="K3124" s="1">
        <v>4.66</v>
      </c>
      <c r="L3124" s="4">
        <v>113.87</v>
      </c>
      <c r="M3124" s="1">
        <v>0.33</v>
      </c>
      <c r="N3124" s="1">
        <v>3</v>
      </c>
      <c r="O3124" s="1">
        <v>0.89</v>
      </c>
      <c r="P3124" s="1">
        <v>867</v>
      </c>
      <c r="Q3124" s="1">
        <v>1.52</v>
      </c>
      <c r="R3124" s="1">
        <v>0.33</v>
      </c>
      <c r="S3124" s="2">
        <v>45572</v>
      </c>
      <c r="T3124" s="1">
        <v>230.21</v>
      </c>
      <c r="U3124" s="1">
        <v>0.57099999999999995</v>
      </c>
      <c r="V3124" s="6">
        <f t="shared" si="144"/>
        <v>26303.97</v>
      </c>
      <c r="W3124" s="6" t="str">
        <f t="shared" si="145"/>
        <v>Sufficient</v>
      </c>
      <c r="X3124" s="8" t="str">
        <f t="shared" si="146"/>
        <v>Medium</v>
      </c>
    </row>
    <row r="3125" spans="1:24">
      <c r="A3125" s="7" t="s">
        <v>3255</v>
      </c>
      <c r="B3125" s="1" t="s">
        <v>25</v>
      </c>
      <c r="C3125" s="1">
        <v>128</v>
      </c>
      <c r="D3125" s="1">
        <v>70</v>
      </c>
      <c r="E3125" s="1">
        <v>14</v>
      </c>
      <c r="F3125" s="1">
        <v>8</v>
      </c>
      <c r="G3125" s="1">
        <v>34.659999999999997</v>
      </c>
      <c r="H3125" s="1" t="s">
        <v>258</v>
      </c>
      <c r="I3125" s="1" t="s">
        <v>45</v>
      </c>
      <c r="J3125" s="1">
        <v>64</v>
      </c>
      <c r="K3125" s="1">
        <v>3.66</v>
      </c>
      <c r="L3125" s="4">
        <v>129.86000000000001</v>
      </c>
      <c r="M3125" s="1">
        <v>1.39</v>
      </c>
      <c r="N3125" s="1">
        <v>9</v>
      </c>
      <c r="O3125" s="1">
        <v>0.85</v>
      </c>
      <c r="P3125" s="1">
        <v>826</v>
      </c>
      <c r="Q3125" s="1">
        <v>8.44</v>
      </c>
      <c r="R3125" s="1">
        <v>0.42</v>
      </c>
      <c r="S3125" s="2">
        <v>45426</v>
      </c>
      <c r="T3125" s="1">
        <v>12.93</v>
      </c>
      <c r="U3125" s="1">
        <v>0.44800000000000001</v>
      </c>
      <c r="V3125" s="6">
        <f t="shared" si="144"/>
        <v>16622.080000000002</v>
      </c>
      <c r="W3125" s="6" t="str">
        <f t="shared" si="145"/>
        <v>Sufficient</v>
      </c>
      <c r="X3125" s="8" t="str">
        <f t="shared" si="146"/>
        <v>Medium</v>
      </c>
    </row>
    <row r="3126" spans="1:24">
      <c r="A3126" s="7" t="s">
        <v>3256</v>
      </c>
      <c r="B3126" s="1" t="s">
        <v>41</v>
      </c>
      <c r="C3126" s="1">
        <v>295</v>
      </c>
      <c r="D3126" s="1">
        <v>12</v>
      </c>
      <c r="E3126" s="1">
        <v>4</v>
      </c>
      <c r="F3126" s="1">
        <v>5</v>
      </c>
      <c r="G3126" s="1">
        <v>23.51</v>
      </c>
      <c r="H3126" s="1" t="s">
        <v>42</v>
      </c>
      <c r="I3126" s="1" t="s">
        <v>39</v>
      </c>
      <c r="J3126" s="1">
        <v>61</v>
      </c>
      <c r="K3126" s="1">
        <v>4.58</v>
      </c>
      <c r="L3126" s="4">
        <v>53.23</v>
      </c>
      <c r="M3126" s="1">
        <v>1.52</v>
      </c>
      <c r="N3126" s="1">
        <v>4</v>
      </c>
      <c r="O3126" s="1">
        <v>0.85</v>
      </c>
      <c r="P3126" s="1">
        <v>253</v>
      </c>
      <c r="Q3126" s="1">
        <v>14.98</v>
      </c>
      <c r="R3126" s="1">
        <v>0.99</v>
      </c>
      <c r="S3126" s="2">
        <v>45413</v>
      </c>
      <c r="T3126" s="1">
        <v>12.8</v>
      </c>
      <c r="U3126" s="1">
        <v>0.73599999999999999</v>
      </c>
      <c r="V3126" s="6">
        <f t="shared" si="144"/>
        <v>15702.849999999999</v>
      </c>
      <c r="W3126" s="6" t="str">
        <f t="shared" si="145"/>
        <v>Sufficient</v>
      </c>
      <c r="X3126" s="8" t="str">
        <f t="shared" si="146"/>
        <v>High</v>
      </c>
    </row>
    <row r="3127" spans="1:24">
      <c r="A3127" s="7" t="s">
        <v>3257</v>
      </c>
      <c r="B3127" s="1" t="s">
        <v>66</v>
      </c>
      <c r="C3127" s="1">
        <v>92</v>
      </c>
      <c r="D3127" s="1">
        <v>47</v>
      </c>
      <c r="E3127" s="1">
        <v>11</v>
      </c>
      <c r="F3127" s="1">
        <v>3</v>
      </c>
      <c r="G3127" s="1">
        <v>28.71</v>
      </c>
      <c r="H3127" s="1" t="s">
        <v>36</v>
      </c>
      <c r="I3127" s="1" t="s">
        <v>39</v>
      </c>
      <c r="J3127" s="1">
        <v>124</v>
      </c>
      <c r="K3127" s="1">
        <v>4.84</v>
      </c>
      <c r="L3127" s="4">
        <v>113.26</v>
      </c>
      <c r="M3127" s="1">
        <v>1.08</v>
      </c>
      <c r="N3127" s="1">
        <v>8</v>
      </c>
      <c r="O3127" s="1">
        <v>0.98</v>
      </c>
      <c r="P3127" s="1">
        <v>191</v>
      </c>
      <c r="Q3127" s="1">
        <v>12.94</v>
      </c>
      <c r="R3127" s="1">
        <v>0.65</v>
      </c>
      <c r="S3127" s="2">
        <v>45429</v>
      </c>
      <c r="T3127" s="1">
        <v>32.53</v>
      </c>
      <c r="U3127" s="1">
        <v>0.63100000000000001</v>
      </c>
      <c r="V3127" s="6">
        <f t="shared" si="144"/>
        <v>10419.92</v>
      </c>
      <c r="W3127" s="6" t="str">
        <f t="shared" si="145"/>
        <v>Sufficient</v>
      </c>
      <c r="X3127" s="8" t="str">
        <f t="shared" si="146"/>
        <v>LOW</v>
      </c>
    </row>
    <row r="3128" spans="1:24">
      <c r="A3128" s="7" t="s">
        <v>3258</v>
      </c>
      <c r="B3128" s="1" t="s">
        <v>41</v>
      </c>
      <c r="C3128" s="1">
        <v>186</v>
      </c>
      <c r="D3128" s="1">
        <v>93</v>
      </c>
      <c r="E3128" s="1">
        <v>14</v>
      </c>
      <c r="F3128" s="1">
        <v>6</v>
      </c>
      <c r="G3128" s="1">
        <v>35.01</v>
      </c>
      <c r="H3128" s="1" t="s">
        <v>124</v>
      </c>
      <c r="I3128" s="1" t="s">
        <v>31</v>
      </c>
      <c r="J3128" s="1">
        <v>28</v>
      </c>
      <c r="K3128" s="1">
        <v>4.08</v>
      </c>
      <c r="L3128" s="4">
        <v>199.83</v>
      </c>
      <c r="M3128" s="1">
        <v>0.25</v>
      </c>
      <c r="N3128" s="1">
        <v>0</v>
      </c>
      <c r="O3128" s="1">
        <v>0.86</v>
      </c>
      <c r="P3128" s="1">
        <v>425</v>
      </c>
      <c r="Q3128" s="1">
        <v>3.36</v>
      </c>
      <c r="R3128" s="1">
        <v>0.83</v>
      </c>
      <c r="S3128" s="2">
        <v>45533</v>
      </c>
      <c r="T3128" s="1">
        <v>145.31</v>
      </c>
      <c r="U3128" s="1">
        <v>0.75800000000000001</v>
      </c>
      <c r="V3128" s="6">
        <f t="shared" si="144"/>
        <v>37168.380000000005</v>
      </c>
      <c r="W3128" s="6" t="str">
        <f t="shared" si="145"/>
        <v>Sufficient</v>
      </c>
      <c r="X3128" s="8" t="str">
        <f t="shared" si="146"/>
        <v>Medium</v>
      </c>
    </row>
    <row r="3129" spans="1:24">
      <c r="A3129" s="7" t="s">
        <v>3259</v>
      </c>
      <c r="B3129" s="1" t="s">
        <v>33</v>
      </c>
      <c r="C3129" s="1">
        <v>279</v>
      </c>
      <c r="D3129" s="1">
        <v>43</v>
      </c>
      <c r="E3129" s="1">
        <v>12</v>
      </c>
      <c r="F3129" s="1">
        <v>8</v>
      </c>
      <c r="G3129" s="1">
        <v>38.619999999999997</v>
      </c>
      <c r="H3129" s="1" t="s">
        <v>216</v>
      </c>
      <c r="I3129" s="1" t="s">
        <v>27</v>
      </c>
      <c r="J3129" s="1">
        <v>44</v>
      </c>
      <c r="K3129" s="1">
        <v>2.34</v>
      </c>
      <c r="L3129" s="4">
        <v>178.51</v>
      </c>
      <c r="M3129" s="1">
        <v>0.17</v>
      </c>
      <c r="N3129" s="1">
        <v>6</v>
      </c>
      <c r="O3129" s="1">
        <v>0.89</v>
      </c>
      <c r="P3129" s="1">
        <v>456</v>
      </c>
      <c r="Q3129" s="1">
        <v>13.38</v>
      </c>
      <c r="R3129" s="1">
        <v>0.37</v>
      </c>
      <c r="S3129" s="2">
        <v>45605</v>
      </c>
      <c r="T3129" s="1">
        <v>267.77999999999997</v>
      </c>
      <c r="U3129" s="1">
        <v>0.69299999999999995</v>
      </c>
      <c r="V3129" s="6">
        <f t="shared" si="144"/>
        <v>49804.29</v>
      </c>
      <c r="W3129" s="6" t="str">
        <f t="shared" si="145"/>
        <v>Sufficient</v>
      </c>
      <c r="X3129" s="8" t="str">
        <f t="shared" si="146"/>
        <v>High</v>
      </c>
    </row>
    <row r="3130" spans="1:24">
      <c r="A3130" s="7" t="s">
        <v>3260</v>
      </c>
      <c r="B3130" s="1" t="s">
        <v>29</v>
      </c>
      <c r="C3130" s="1">
        <v>262</v>
      </c>
      <c r="D3130" s="1">
        <v>53</v>
      </c>
      <c r="E3130" s="1">
        <v>9</v>
      </c>
      <c r="F3130" s="1">
        <v>5</v>
      </c>
      <c r="G3130" s="1">
        <v>44.88</v>
      </c>
      <c r="H3130" s="1" t="s">
        <v>370</v>
      </c>
      <c r="I3130" s="1" t="s">
        <v>45</v>
      </c>
      <c r="J3130" s="1">
        <v>57</v>
      </c>
      <c r="K3130" s="1">
        <v>2.67</v>
      </c>
      <c r="L3130" s="4">
        <v>21.15</v>
      </c>
      <c r="M3130" s="1">
        <v>1.88</v>
      </c>
      <c r="N3130" s="1">
        <v>6</v>
      </c>
      <c r="O3130" s="1">
        <v>0.78</v>
      </c>
      <c r="P3130" s="1">
        <v>865</v>
      </c>
      <c r="Q3130" s="1">
        <v>7.33</v>
      </c>
      <c r="R3130" s="1">
        <v>0.62</v>
      </c>
      <c r="S3130" s="2">
        <v>45467</v>
      </c>
      <c r="T3130" s="1">
        <v>62.85</v>
      </c>
      <c r="U3130" s="1">
        <v>0.47</v>
      </c>
      <c r="V3130" s="6">
        <f t="shared" si="144"/>
        <v>5541.2999999999993</v>
      </c>
      <c r="W3130" s="6" t="str">
        <f t="shared" si="145"/>
        <v>Sufficient</v>
      </c>
      <c r="X3130" s="8" t="str">
        <f t="shared" si="146"/>
        <v>High</v>
      </c>
    </row>
    <row r="3131" spans="1:24">
      <c r="A3131" s="7" t="s">
        <v>3261</v>
      </c>
      <c r="B3131" s="1" t="s">
        <v>29</v>
      </c>
      <c r="C3131" s="1">
        <v>294</v>
      </c>
      <c r="D3131" s="1">
        <v>39</v>
      </c>
      <c r="E3131" s="1">
        <v>10</v>
      </c>
      <c r="F3131" s="1">
        <v>4</v>
      </c>
      <c r="G3131" s="1">
        <v>18.37</v>
      </c>
      <c r="H3131" s="1" t="s">
        <v>70</v>
      </c>
      <c r="I3131" s="1" t="s">
        <v>45</v>
      </c>
      <c r="J3131" s="1">
        <v>119</v>
      </c>
      <c r="K3131" s="1">
        <v>4.6900000000000004</v>
      </c>
      <c r="L3131" s="4">
        <v>34.299999999999997</v>
      </c>
      <c r="M3131" s="1">
        <v>0.59</v>
      </c>
      <c r="N3131" s="1">
        <v>9</v>
      </c>
      <c r="O3131" s="1">
        <v>0.96</v>
      </c>
      <c r="P3131" s="1">
        <v>129</v>
      </c>
      <c r="Q3131" s="1">
        <v>4.83</v>
      </c>
      <c r="R3131" s="1">
        <v>0.61</v>
      </c>
      <c r="S3131" s="2">
        <v>45479</v>
      </c>
      <c r="T3131" s="1">
        <v>148.27000000000001</v>
      </c>
      <c r="U3131" s="1">
        <v>0.53900000000000003</v>
      </c>
      <c r="V3131" s="6">
        <f t="shared" si="144"/>
        <v>10084.199999999999</v>
      </c>
      <c r="W3131" s="6" t="str">
        <f t="shared" si="145"/>
        <v>Sufficient</v>
      </c>
      <c r="X3131" s="8" t="str">
        <f t="shared" si="146"/>
        <v>High</v>
      </c>
    </row>
    <row r="3132" spans="1:24">
      <c r="A3132" s="7" t="s">
        <v>3262</v>
      </c>
      <c r="B3132" s="1" t="s">
        <v>25</v>
      </c>
      <c r="C3132" s="1">
        <v>121</v>
      </c>
      <c r="D3132" s="1">
        <v>26</v>
      </c>
      <c r="E3132" s="1">
        <v>5</v>
      </c>
      <c r="F3132" s="1">
        <v>5</v>
      </c>
      <c r="G3132" s="1">
        <v>47.62</v>
      </c>
      <c r="H3132" s="1" t="s">
        <v>55</v>
      </c>
      <c r="I3132" s="1" t="s">
        <v>31</v>
      </c>
      <c r="J3132" s="1">
        <v>40</v>
      </c>
      <c r="K3132" s="1">
        <v>3.52</v>
      </c>
      <c r="L3132" s="4">
        <v>103.94</v>
      </c>
      <c r="M3132" s="1">
        <v>0.82</v>
      </c>
      <c r="N3132" s="1">
        <v>0</v>
      </c>
      <c r="O3132" s="1">
        <v>0.71</v>
      </c>
      <c r="P3132" s="1">
        <v>259</v>
      </c>
      <c r="Q3132" s="1">
        <v>9.9600000000000009</v>
      </c>
      <c r="R3132" s="1">
        <v>0.85</v>
      </c>
      <c r="S3132" s="2">
        <v>45386</v>
      </c>
      <c r="T3132" s="1">
        <v>21.82</v>
      </c>
      <c r="U3132" s="1">
        <v>0.76300000000000001</v>
      </c>
      <c r="V3132" s="6">
        <f t="shared" si="144"/>
        <v>12576.74</v>
      </c>
      <c r="W3132" s="6" t="str">
        <f t="shared" si="145"/>
        <v>Sufficient</v>
      </c>
      <c r="X3132" s="8" t="str">
        <f t="shared" si="146"/>
        <v>Medium</v>
      </c>
    </row>
    <row r="3133" spans="1:24">
      <c r="A3133" s="7" t="s">
        <v>3263</v>
      </c>
      <c r="B3133" s="1" t="s">
        <v>29</v>
      </c>
      <c r="C3133" s="1">
        <v>494</v>
      </c>
      <c r="D3133" s="1">
        <v>68</v>
      </c>
      <c r="E3133" s="1">
        <v>8</v>
      </c>
      <c r="F3133" s="1">
        <v>4</v>
      </c>
      <c r="G3133" s="1">
        <v>32.229999999999997</v>
      </c>
      <c r="H3133" s="1" t="s">
        <v>68</v>
      </c>
      <c r="I3133" s="1" t="s">
        <v>45</v>
      </c>
      <c r="J3133" s="1">
        <v>12</v>
      </c>
      <c r="K3133" s="1">
        <v>4.1900000000000004</v>
      </c>
      <c r="L3133" s="4">
        <v>56.59</v>
      </c>
      <c r="M3133" s="1">
        <v>1.61</v>
      </c>
      <c r="N3133" s="1">
        <v>0</v>
      </c>
      <c r="O3133" s="1">
        <v>0.87</v>
      </c>
      <c r="P3133" s="1">
        <v>817</v>
      </c>
      <c r="Q3133" s="1">
        <v>4.03</v>
      </c>
      <c r="R3133" s="1">
        <v>0.22</v>
      </c>
      <c r="S3133" s="2">
        <v>45547</v>
      </c>
      <c r="T3133" s="1">
        <v>15.89</v>
      </c>
      <c r="U3133" s="1">
        <v>0.51100000000000001</v>
      </c>
      <c r="V3133" s="6">
        <f t="shared" si="144"/>
        <v>27955.460000000003</v>
      </c>
      <c r="W3133" s="6" t="str">
        <f t="shared" si="145"/>
        <v>Sufficient</v>
      </c>
      <c r="X3133" s="8" t="str">
        <f t="shared" si="146"/>
        <v>High</v>
      </c>
    </row>
    <row r="3134" spans="1:24">
      <c r="A3134" s="7" t="s">
        <v>3264</v>
      </c>
      <c r="B3134" s="1" t="s">
        <v>66</v>
      </c>
      <c r="C3134" s="1">
        <v>192</v>
      </c>
      <c r="D3134" s="1">
        <v>19</v>
      </c>
      <c r="E3134" s="1">
        <v>12</v>
      </c>
      <c r="F3134" s="1">
        <v>7</v>
      </c>
      <c r="G3134" s="1">
        <v>39.6</v>
      </c>
      <c r="H3134" s="1" t="s">
        <v>256</v>
      </c>
      <c r="I3134" s="1" t="s">
        <v>31</v>
      </c>
      <c r="J3134" s="1">
        <v>172</v>
      </c>
      <c r="K3134" s="1">
        <v>1.02</v>
      </c>
      <c r="L3134" s="4">
        <v>25.38</v>
      </c>
      <c r="M3134" s="1">
        <v>1.41</v>
      </c>
      <c r="N3134" s="1">
        <v>8</v>
      </c>
      <c r="O3134" s="1">
        <v>0.82</v>
      </c>
      <c r="P3134" s="1">
        <v>361</v>
      </c>
      <c r="Q3134" s="1">
        <v>13.32</v>
      </c>
      <c r="R3134" s="1">
        <v>0.89</v>
      </c>
      <c r="S3134" s="2">
        <v>45509</v>
      </c>
      <c r="T3134" s="1">
        <v>12.17</v>
      </c>
      <c r="U3134" s="1">
        <v>0.61899999999999999</v>
      </c>
      <c r="V3134" s="6">
        <f t="shared" si="144"/>
        <v>4872.96</v>
      </c>
      <c r="W3134" s="6" t="str">
        <f t="shared" si="145"/>
        <v>Sufficient</v>
      </c>
      <c r="X3134" s="8" t="str">
        <f t="shared" si="146"/>
        <v>Medium</v>
      </c>
    </row>
    <row r="3135" spans="1:24">
      <c r="A3135" s="7" t="s">
        <v>3265</v>
      </c>
      <c r="B3135" s="1" t="s">
        <v>29</v>
      </c>
      <c r="C3135" s="1">
        <v>190</v>
      </c>
      <c r="D3135" s="1">
        <v>93</v>
      </c>
      <c r="E3135" s="1">
        <v>8</v>
      </c>
      <c r="F3135" s="1">
        <v>2</v>
      </c>
      <c r="G3135" s="1">
        <v>35.29</v>
      </c>
      <c r="H3135" s="1" t="s">
        <v>208</v>
      </c>
      <c r="I3135" s="1" t="s">
        <v>31</v>
      </c>
      <c r="J3135" s="1">
        <v>97</v>
      </c>
      <c r="K3135" s="1">
        <v>1.37</v>
      </c>
      <c r="L3135" s="4">
        <v>58.37</v>
      </c>
      <c r="M3135" s="1">
        <v>1.94</v>
      </c>
      <c r="N3135" s="1">
        <v>6</v>
      </c>
      <c r="O3135" s="1">
        <v>0.88</v>
      </c>
      <c r="P3135" s="1">
        <v>426</v>
      </c>
      <c r="Q3135" s="1">
        <v>9.74</v>
      </c>
      <c r="R3135" s="1">
        <v>0.26</v>
      </c>
      <c r="S3135" s="2">
        <v>45399</v>
      </c>
      <c r="T3135" s="1">
        <v>223.64</v>
      </c>
      <c r="U3135" s="1">
        <v>0.44400000000000001</v>
      </c>
      <c r="V3135" s="6">
        <f t="shared" si="144"/>
        <v>11090.3</v>
      </c>
      <c r="W3135" s="6" t="str">
        <f t="shared" si="145"/>
        <v>Sufficient</v>
      </c>
      <c r="X3135" s="8" t="str">
        <f t="shared" si="146"/>
        <v>Medium</v>
      </c>
    </row>
    <row r="3136" spans="1:24">
      <c r="A3136" s="7" t="s">
        <v>3266</v>
      </c>
      <c r="B3136" s="1" t="s">
        <v>25</v>
      </c>
      <c r="C3136" s="1">
        <v>160</v>
      </c>
      <c r="D3136" s="1">
        <v>27</v>
      </c>
      <c r="E3136" s="1">
        <v>3</v>
      </c>
      <c r="F3136" s="1">
        <v>8</v>
      </c>
      <c r="G3136" s="1">
        <v>11.07</v>
      </c>
      <c r="H3136" s="1" t="s">
        <v>210</v>
      </c>
      <c r="I3136" s="1" t="s">
        <v>27</v>
      </c>
      <c r="J3136" s="1">
        <v>61</v>
      </c>
      <c r="K3136" s="1">
        <v>2.0499999999999998</v>
      </c>
      <c r="L3136" s="4">
        <v>21.62</v>
      </c>
      <c r="M3136" s="1">
        <v>0.28000000000000003</v>
      </c>
      <c r="N3136" s="1">
        <v>3</v>
      </c>
      <c r="O3136" s="1">
        <v>0.81</v>
      </c>
      <c r="P3136" s="1">
        <v>89</v>
      </c>
      <c r="Q3136" s="1">
        <v>2.9</v>
      </c>
      <c r="R3136" s="1">
        <v>0.93</v>
      </c>
      <c r="S3136" s="2">
        <v>45506</v>
      </c>
      <c r="T3136" s="1">
        <v>16.91</v>
      </c>
      <c r="U3136" s="1">
        <v>0.69899999999999995</v>
      </c>
      <c r="V3136" s="6">
        <f t="shared" si="144"/>
        <v>3459.2000000000003</v>
      </c>
      <c r="W3136" s="6" t="str">
        <f t="shared" si="145"/>
        <v>Sufficient</v>
      </c>
      <c r="X3136" s="8" t="str">
        <f t="shared" si="146"/>
        <v>Medium</v>
      </c>
    </row>
    <row r="3137" spans="1:24">
      <c r="A3137" s="7" t="s">
        <v>3267</v>
      </c>
      <c r="B3137" s="1" t="s">
        <v>33</v>
      </c>
      <c r="C3137" s="1">
        <v>416</v>
      </c>
      <c r="D3137" s="1">
        <v>54</v>
      </c>
      <c r="E3137" s="1">
        <v>8</v>
      </c>
      <c r="F3137" s="1">
        <v>2</v>
      </c>
      <c r="G3137" s="1">
        <v>4.5</v>
      </c>
      <c r="H3137" s="1" t="s">
        <v>47</v>
      </c>
      <c r="I3137" s="1" t="s">
        <v>31</v>
      </c>
      <c r="J3137" s="1">
        <v>80</v>
      </c>
      <c r="K3137" s="1">
        <v>1.35</v>
      </c>
      <c r="L3137" s="4">
        <v>110.68</v>
      </c>
      <c r="M3137" s="1">
        <v>1.44</v>
      </c>
      <c r="N3137" s="1">
        <v>8</v>
      </c>
      <c r="O3137" s="1">
        <v>0.92</v>
      </c>
      <c r="P3137" s="1">
        <v>402</v>
      </c>
      <c r="Q3137" s="1">
        <v>8.99</v>
      </c>
      <c r="R3137" s="1">
        <v>0.31</v>
      </c>
      <c r="S3137" s="2">
        <v>45650</v>
      </c>
      <c r="T3137" s="1">
        <v>89.41</v>
      </c>
      <c r="U3137" s="1">
        <v>0.46200000000000002</v>
      </c>
      <c r="V3137" s="6">
        <f t="shared" si="144"/>
        <v>46042.880000000005</v>
      </c>
      <c r="W3137" s="6" t="str">
        <f t="shared" si="145"/>
        <v>Sufficient</v>
      </c>
      <c r="X3137" s="8" t="str">
        <f t="shared" si="146"/>
        <v>High</v>
      </c>
    </row>
    <row r="3138" spans="1:24">
      <c r="A3138" s="7" t="s">
        <v>3268</v>
      </c>
      <c r="B3138" s="1" t="s">
        <v>33</v>
      </c>
      <c r="C3138" s="1">
        <v>207</v>
      </c>
      <c r="D3138" s="1">
        <v>68</v>
      </c>
      <c r="E3138" s="1">
        <v>5</v>
      </c>
      <c r="F3138" s="1">
        <v>5</v>
      </c>
      <c r="G3138" s="1">
        <v>36.590000000000003</v>
      </c>
      <c r="H3138" s="1" t="s">
        <v>72</v>
      </c>
      <c r="I3138" s="1" t="s">
        <v>45</v>
      </c>
      <c r="J3138" s="1">
        <v>60</v>
      </c>
      <c r="K3138" s="1">
        <v>4.58</v>
      </c>
      <c r="L3138" s="4">
        <v>103.15</v>
      </c>
      <c r="M3138" s="1">
        <v>0.26</v>
      </c>
      <c r="N3138" s="1">
        <v>4</v>
      </c>
      <c r="O3138" s="1">
        <v>0.71</v>
      </c>
      <c r="P3138" s="1">
        <v>502</v>
      </c>
      <c r="Q3138" s="1">
        <v>8.15</v>
      </c>
      <c r="R3138" s="1">
        <v>0.63</v>
      </c>
      <c r="S3138" s="2">
        <v>45482</v>
      </c>
      <c r="T3138" s="1">
        <v>197.06</v>
      </c>
      <c r="U3138" s="1">
        <v>0.67100000000000004</v>
      </c>
      <c r="V3138" s="6">
        <f t="shared" si="144"/>
        <v>21352.050000000003</v>
      </c>
      <c r="W3138" s="6" t="str">
        <f t="shared" si="145"/>
        <v>Sufficient</v>
      </c>
      <c r="X3138" s="8" t="str">
        <f t="shared" si="146"/>
        <v>Medium</v>
      </c>
    </row>
    <row r="3139" spans="1:24">
      <c r="A3139" s="7" t="s">
        <v>3269</v>
      </c>
      <c r="B3139" s="1" t="s">
        <v>29</v>
      </c>
      <c r="C3139" s="1">
        <v>460</v>
      </c>
      <c r="D3139" s="1">
        <v>71</v>
      </c>
      <c r="E3139" s="1">
        <v>13</v>
      </c>
      <c r="F3139" s="1">
        <v>3</v>
      </c>
      <c r="G3139" s="1">
        <v>26.04</v>
      </c>
      <c r="H3139" s="1" t="s">
        <v>139</v>
      </c>
      <c r="I3139" s="1" t="s">
        <v>31</v>
      </c>
      <c r="J3139" s="1">
        <v>65</v>
      </c>
      <c r="K3139" s="1">
        <v>1.48</v>
      </c>
      <c r="L3139" s="4">
        <v>11.2</v>
      </c>
      <c r="M3139" s="1">
        <v>0.1</v>
      </c>
      <c r="N3139" s="1">
        <v>2</v>
      </c>
      <c r="O3139" s="1">
        <v>0.82</v>
      </c>
      <c r="P3139" s="1">
        <v>472</v>
      </c>
      <c r="Q3139" s="1">
        <v>7.6</v>
      </c>
      <c r="R3139" s="1">
        <v>0.28000000000000003</v>
      </c>
      <c r="S3139" s="2">
        <v>45478</v>
      </c>
      <c r="T3139" s="1">
        <v>189.41</v>
      </c>
      <c r="U3139" s="1">
        <v>0.67100000000000004</v>
      </c>
      <c r="V3139" s="6">
        <f t="shared" si="144"/>
        <v>5152</v>
      </c>
      <c r="W3139" s="6" t="str">
        <f t="shared" si="145"/>
        <v>Sufficient</v>
      </c>
      <c r="X3139" s="8" t="str">
        <f t="shared" si="146"/>
        <v>High</v>
      </c>
    </row>
    <row r="3140" spans="1:24">
      <c r="A3140" s="7" t="s">
        <v>3270</v>
      </c>
      <c r="B3140" s="1" t="s">
        <v>41</v>
      </c>
      <c r="C3140" s="1">
        <v>105</v>
      </c>
      <c r="D3140" s="1">
        <v>68</v>
      </c>
      <c r="E3140" s="1">
        <v>5</v>
      </c>
      <c r="F3140" s="1">
        <v>6</v>
      </c>
      <c r="G3140" s="1">
        <v>35.409999999999997</v>
      </c>
      <c r="H3140" s="1" t="s">
        <v>70</v>
      </c>
      <c r="I3140" s="1" t="s">
        <v>45</v>
      </c>
      <c r="J3140" s="1">
        <v>108</v>
      </c>
      <c r="K3140" s="1">
        <v>3.01</v>
      </c>
      <c r="L3140" s="4">
        <v>101.68</v>
      </c>
      <c r="M3140" s="1">
        <v>0.33</v>
      </c>
      <c r="N3140" s="1">
        <v>1</v>
      </c>
      <c r="O3140" s="1">
        <v>0.95</v>
      </c>
      <c r="P3140" s="1">
        <v>763</v>
      </c>
      <c r="Q3140" s="1">
        <v>6.11</v>
      </c>
      <c r="R3140" s="1">
        <v>0.56000000000000005</v>
      </c>
      <c r="S3140" s="2">
        <v>45497</v>
      </c>
      <c r="T3140" s="1">
        <v>25.99</v>
      </c>
      <c r="U3140" s="1">
        <v>0.73</v>
      </c>
      <c r="V3140" s="6">
        <f t="shared" ref="V3140:V3203" si="147">C3140*L3140</f>
        <v>10676.400000000001</v>
      </c>
      <c r="W3140" s="6" t="str">
        <f t="shared" ref="W3140:W3203" si="148">IF(C3140&lt;=D3140,"Reorder Required","Sufficient")</f>
        <v>Sufficient</v>
      </c>
      <c r="X3140" s="8" t="str">
        <f t="shared" ref="X3140:X3203" si="149">IF(C3140&lt;100,"LOW",IF(C3140&lt;250,"Medium","High"))</f>
        <v>Medium</v>
      </c>
    </row>
    <row r="3141" spans="1:24">
      <c r="A3141" s="7" t="s">
        <v>3271</v>
      </c>
      <c r="B3141" s="1" t="s">
        <v>33</v>
      </c>
      <c r="C3141" s="1">
        <v>495</v>
      </c>
      <c r="D3141" s="1">
        <v>58</v>
      </c>
      <c r="E3141" s="1">
        <v>5</v>
      </c>
      <c r="F3141" s="1">
        <v>4</v>
      </c>
      <c r="G3141" s="1">
        <v>24.37</v>
      </c>
      <c r="H3141" s="1" t="s">
        <v>126</v>
      </c>
      <c r="I3141" s="1" t="s">
        <v>31</v>
      </c>
      <c r="J3141" s="1">
        <v>30</v>
      </c>
      <c r="K3141" s="1">
        <v>0.88</v>
      </c>
      <c r="L3141" s="4">
        <v>108.76</v>
      </c>
      <c r="M3141" s="1">
        <v>1.27</v>
      </c>
      <c r="N3141" s="1">
        <v>8</v>
      </c>
      <c r="O3141" s="1">
        <v>0.78</v>
      </c>
      <c r="P3141" s="1">
        <v>135</v>
      </c>
      <c r="Q3141" s="1">
        <v>7.64</v>
      </c>
      <c r="R3141" s="1">
        <v>0.44</v>
      </c>
      <c r="S3141" s="2">
        <v>45435</v>
      </c>
      <c r="T3141" s="1">
        <v>84.43</v>
      </c>
      <c r="U3141" s="1">
        <v>0.45900000000000002</v>
      </c>
      <c r="V3141" s="6">
        <f t="shared" si="147"/>
        <v>53836.200000000004</v>
      </c>
      <c r="W3141" s="6" t="str">
        <f t="shared" si="148"/>
        <v>Sufficient</v>
      </c>
      <c r="X3141" s="8" t="str">
        <f t="shared" si="149"/>
        <v>High</v>
      </c>
    </row>
    <row r="3142" spans="1:24">
      <c r="A3142" s="7" t="s">
        <v>3272</v>
      </c>
      <c r="B3142" s="1" t="s">
        <v>29</v>
      </c>
      <c r="C3142" s="1">
        <v>71</v>
      </c>
      <c r="D3142" s="1">
        <v>72</v>
      </c>
      <c r="E3142" s="1">
        <v>12</v>
      </c>
      <c r="F3142" s="1">
        <v>6</v>
      </c>
      <c r="G3142" s="1">
        <v>16.3</v>
      </c>
      <c r="H3142" s="1" t="s">
        <v>147</v>
      </c>
      <c r="I3142" s="1" t="s">
        <v>27</v>
      </c>
      <c r="J3142" s="1">
        <v>138</v>
      </c>
      <c r="K3142" s="1">
        <v>1.2</v>
      </c>
      <c r="L3142" s="4">
        <v>125.08</v>
      </c>
      <c r="M3142" s="1">
        <v>1.38</v>
      </c>
      <c r="N3142" s="1">
        <v>3</v>
      </c>
      <c r="O3142" s="1">
        <v>0.72</v>
      </c>
      <c r="P3142" s="1">
        <v>604</v>
      </c>
      <c r="Q3142" s="1">
        <v>9.1999999999999993</v>
      </c>
      <c r="R3142" s="1">
        <v>0.54</v>
      </c>
      <c r="S3142" s="2">
        <v>45522</v>
      </c>
      <c r="T3142" s="1">
        <v>195.4</v>
      </c>
      <c r="U3142" s="1">
        <v>0.57699999999999996</v>
      </c>
      <c r="V3142" s="6">
        <f t="shared" si="147"/>
        <v>8880.68</v>
      </c>
      <c r="W3142" s="6" t="str">
        <f t="shared" si="148"/>
        <v>Reorder Required</v>
      </c>
      <c r="X3142" s="8" t="str">
        <f t="shared" si="149"/>
        <v>LOW</v>
      </c>
    </row>
    <row r="3143" spans="1:24">
      <c r="A3143" s="7" t="s">
        <v>3273</v>
      </c>
      <c r="B3143" s="1" t="s">
        <v>25</v>
      </c>
      <c r="C3143" s="1">
        <v>130</v>
      </c>
      <c r="D3143" s="1">
        <v>96</v>
      </c>
      <c r="E3143" s="1">
        <v>13</v>
      </c>
      <c r="F3143" s="1">
        <v>2</v>
      </c>
      <c r="G3143" s="1">
        <v>14.97</v>
      </c>
      <c r="H3143" s="1" t="s">
        <v>214</v>
      </c>
      <c r="I3143" s="1" t="s">
        <v>27</v>
      </c>
      <c r="J3143" s="1">
        <v>117</v>
      </c>
      <c r="K3143" s="1">
        <v>1.61</v>
      </c>
      <c r="L3143" s="4">
        <v>194.32</v>
      </c>
      <c r="M3143" s="1">
        <v>0.93</v>
      </c>
      <c r="N3143" s="1">
        <v>6</v>
      </c>
      <c r="O3143" s="1">
        <v>0.85</v>
      </c>
      <c r="P3143" s="1">
        <v>285</v>
      </c>
      <c r="Q3143" s="1">
        <v>11.27</v>
      </c>
      <c r="R3143" s="1">
        <v>0.64</v>
      </c>
      <c r="S3143" s="2">
        <v>45384</v>
      </c>
      <c r="T3143" s="1">
        <v>123.75</v>
      </c>
      <c r="U3143" s="1">
        <v>0.63500000000000001</v>
      </c>
      <c r="V3143" s="6">
        <f t="shared" si="147"/>
        <v>25261.599999999999</v>
      </c>
      <c r="W3143" s="6" t="str">
        <f t="shared" si="148"/>
        <v>Sufficient</v>
      </c>
      <c r="X3143" s="8" t="str">
        <f t="shared" si="149"/>
        <v>Medium</v>
      </c>
    </row>
    <row r="3144" spans="1:24">
      <c r="A3144" s="7" t="s">
        <v>3274</v>
      </c>
      <c r="B3144" s="1" t="s">
        <v>29</v>
      </c>
      <c r="C3144" s="1">
        <v>456</v>
      </c>
      <c r="D3144" s="1">
        <v>41</v>
      </c>
      <c r="E3144" s="1">
        <v>13</v>
      </c>
      <c r="F3144" s="1">
        <v>9</v>
      </c>
      <c r="G3144" s="1">
        <v>36.799999999999997</v>
      </c>
      <c r="H3144" s="1" t="s">
        <v>147</v>
      </c>
      <c r="I3144" s="1" t="s">
        <v>31</v>
      </c>
      <c r="J3144" s="1">
        <v>62</v>
      </c>
      <c r="K3144" s="1">
        <v>4.92</v>
      </c>
      <c r="L3144" s="4">
        <v>196.71</v>
      </c>
      <c r="M3144" s="1">
        <v>0.19</v>
      </c>
      <c r="N3144" s="1">
        <v>0</v>
      </c>
      <c r="O3144" s="1">
        <v>0.99</v>
      </c>
      <c r="P3144" s="1">
        <v>939</v>
      </c>
      <c r="Q3144" s="1">
        <v>13.85</v>
      </c>
      <c r="R3144" s="1">
        <v>0.56999999999999995</v>
      </c>
      <c r="S3144" s="2">
        <v>45584</v>
      </c>
      <c r="T3144" s="1">
        <v>145.09</v>
      </c>
      <c r="U3144" s="1">
        <v>0.878</v>
      </c>
      <c r="V3144" s="6">
        <f t="shared" si="147"/>
        <v>89699.760000000009</v>
      </c>
      <c r="W3144" s="6" t="str">
        <f t="shared" si="148"/>
        <v>Sufficient</v>
      </c>
      <c r="X3144" s="8" t="str">
        <f t="shared" si="149"/>
        <v>High</v>
      </c>
    </row>
    <row r="3145" spans="1:24">
      <c r="A3145" s="7" t="s">
        <v>3275</v>
      </c>
      <c r="B3145" s="1" t="s">
        <v>33</v>
      </c>
      <c r="C3145" s="1">
        <v>384</v>
      </c>
      <c r="D3145" s="1">
        <v>19</v>
      </c>
      <c r="E3145" s="1">
        <v>12</v>
      </c>
      <c r="F3145" s="1">
        <v>3</v>
      </c>
      <c r="G3145" s="1">
        <v>14.56</v>
      </c>
      <c r="H3145" s="1" t="s">
        <v>266</v>
      </c>
      <c r="I3145" s="1" t="s">
        <v>31</v>
      </c>
      <c r="J3145" s="1">
        <v>15</v>
      </c>
      <c r="K3145" s="1">
        <v>4.09</v>
      </c>
      <c r="L3145" s="4">
        <v>110.12</v>
      </c>
      <c r="M3145" s="1">
        <v>1.3</v>
      </c>
      <c r="N3145" s="1">
        <v>8</v>
      </c>
      <c r="O3145" s="1">
        <v>0.72</v>
      </c>
      <c r="P3145" s="1">
        <v>464</v>
      </c>
      <c r="Q3145" s="1">
        <v>1.62</v>
      </c>
      <c r="R3145" s="1">
        <v>0.22</v>
      </c>
      <c r="S3145" s="2">
        <v>45359</v>
      </c>
      <c r="T3145" s="1">
        <v>70.05</v>
      </c>
      <c r="U3145" s="1">
        <v>0.32</v>
      </c>
      <c r="V3145" s="6">
        <f t="shared" si="147"/>
        <v>42286.080000000002</v>
      </c>
      <c r="W3145" s="6" t="str">
        <f t="shared" si="148"/>
        <v>Sufficient</v>
      </c>
      <c r="X3145" s="8" t="str">
        <f t="shared" si="149"/>
        <v>High</v>
      </c>
    </row>
    <row r="3146" spans="1:24">
      <c r="A3146" s="7" t="s">
        <v>3276</v>
      </c>
      <c r="B3146" s="1" t="s">
        <v>25</v>
      </c>
      <c r="C3146" s="1">
        <v>361</v>
      </c>
      <c r="D3146" s="1">
        <v>20</v>
      </c>
      <c r="E3146" s="1">
        <v>13</v>
      </c>
      <c r="F3146" s="1">
        <v>3</v>
      </c>
      <c r="G3146" s="1">
        <v>36.020000000000003</v>
      </c>
      <c r="H3146" s="1" t="s">
        <v>159</v>
      </c>
      <c r="I3146" s="1" t="s">
        <v>31</v>
      </c>
      <c r="J3146" s="1">
        <v>91</v>
      </c>
      <c r="K3146" s="1">
        <v>3.53</v>
      </c>
      <c r="L3146" s="4">
        <v>170.59</v>
      </c>
      <c r="M3146" s="1">
        <v>0.26</v>
      </c>
      <c r="N3146" s="1">
        <v>8</v>
      </c>
      <c r="O3146" s="1">
        <v>0.72</v>
      </c>
      <c r="P3146" s="1">
        <v>631</v>
      </c>
      <c r="Q3146" s="1">
        <v>8.9700000000000006</v>
      </c>
      <c r="R3146" s="1">
        <v>0.89</v>
      </c>
      <c r="S3146" s="2">
        <v>45586</v>
      </c>
      <c r="T3146" s="1">
        <v>20.95</v>
      </c>
      <c r="U3146" s="1">
        <v>0.65600000000000003</v>
      </c>
      <c r="V3146" s="6">
        <f t="shared" si="147"/>
        <v>61582.99</v>
      </c>
      <c r="W3146" s="6" t="str">
        <f t="shared" si="148"/>
        <v>Sufficient</v>
      </c>
      <c r="X3146" s="8" t="str">
        <f t="shared" si="149"/>
        <v>High</v>
      </c>
    </row>
    <row r="3147" spans="1:24">
      <c r="A3147" s="7" t="s">
        <v>3277</v>
      </c>
      <c r="B3147" s="1" t="s">
        <v>29</v>
      </c>
      <c r="C3147" s="1">
        <v>62</v>
      </c>
      <c r="D3147" s="1">
        <v>79</v>
      </c>
      <c r="E3147" s="1">
        <v>10</v>
      </c>
      <c r="F3147" s="1">
        <v>6</v>
      </c>
      <c r="G3147" s="1">
        <v>19.809999999999999</v>
      </c>
      <c r="H3147" s="1" t="s">
        <v>52</v>
      </c>
      <c r="I3147" s="1" t="s">
        <v>27</v>
      </c>
      <c r="J3147" s="1">
        <v>88</v>
      </c>
      <c r="K3147" s="1">
        <v>4.62</v>
      </c>
      <c r="L3147" s="4">
        <v>26.18</v>
      </c>
      <c r="M3147" s="1">
        <v>0.37</v>
      </c>
      <c r="N3147" s="1">
        <v>9</v>
      </c>
      <c r="O3147" s="1">
        <v>0.88</v>
      </c>
      <c r="P3147" s="1">
        <v>405</v>
      </c>
      <c r="Q3147" s="1">
        <v>11.53</v>
      </c>
      <c r="R3147" s="1">
        <v>0.28000000000000003</v>
      </c>
      <c r="S3147" s="2">
        <v>45643</v>
      </c>
      <c r="T3147" s="1">
        <v>110.11</v>
      </c>
      <c r="U3147" s="1">
        <v>0.56899999999999995</v>
      </c>
      <c r="V3147" s="6">
        <f t="shared" si="147"/>
        <v>1623.16</v>
      </c>
      <c r="W3147" s="6" t="str">
        <f t="shared" si="148"/>
        <v>Reorder Required</v>
      </c>
      <c r="X3147" s="8" t="str">
        <f t="shared" si="149"/>
        <v>LOW</v>
      </c>
    </row>
    <row r="3148" spans="1:24">
      <c r="A3148" s="7" t="s">
        <v>3278</v>
      </c>
      <c r="B3148" s="1" t="s">
        <v>66</v>
      </c>
      <c r="C3148" s="1">
        <v>230</v>
      </c>
      <c r="D3148" s="1">
        <v>71</v>
      </c>
      <c r="E3148" s="1">
        <v>7</v>
      </c>
      <c r="F3148" s="1">
        <v>2</v>
      </c>
      <c r="G3148" s="1">
        <v>38.770000000000003</v>
      </c>
      <c r="H3148" s="1" t="s">
        <v>205</v>
      </c>
      <c r="I3148" s="1" t="s">
        <v>39</v>
      </c>
      <c r="J3148" s="1">
        <v>56</v>
      </c>
      <c r="K3148" s="1">
        <v>4.8</v>
      </c>
      <c r="L3148" s="4">
        <v>110.92</v>
      </c>
      <c r="M3148" s="1">
        <v>1.07</v>
      </c>
      <c r="N3148" s="1">
        <v>5</v>
      </c>
      <c r="O3148" s="1">
        <v>0.78</v>
      </c>
      <c r="P3148" s="1">
        <v>692</v>
      </c>
      <c r="Q3148" s="1">
        <v>2.62</v>
      </c>
      <c r="R3148" s="1">
        <v>0.98</v>
      </c>
      <c r="S3148" s="2">
        <v>45409</v>
      </c>
      <c r="T3148" s="1">
        <v>208.07</v>
      </c>
      <c r="U3148" s="1">
        <v>0.57999999999999996</v>
      </c>
      <c r="V3148" s="6">
        <f t="shared" si="147"/>
        <v>25511.600000000002</v>
      </c>
      <c r="W3148" s="6" t="str">
        <f t="shared" si="148"/>
        <v>Sufficient</v>
      </c>
      <c r="X3148" s="8" t="str">
        <f t="shared" si="149"/>
        <v>Medium</v>
      </c>
    </row>
    <row r="3149" spans="1:24">
      <c r="A3149" s="7" t="s">
        <v>3279</v>
      </c>
      <c r="B3149" s="1" t="s">
        <v>25</v>
      </c>
      <c r="C3149" s="1">
        <v>475</v>
      </c>
      <c r="D3149" s="1">
        <v>56</v>
      </c>
      <c r="E3149" s="1">
        <v>6</v>
      </c>
      <c r="F3149" s="1">
        <v>9</v>
      </c>
      <c r="G3149" s="1">
        <v>8</v>
      </c>
      <c r="H3149" s="1" t="s">
        <v>333</v>
      </c>
      <c r="I3149" s="1" t="s">
        <v>31</v>
      </c>
      <c r="J3149" s="1">
        <v>105</v>
      </c>
      <c r="K3149" s="1">
        <v>2.54</v>
      </c>
      <c r="L3149" s="4">
        <v>138.99</v>
      </c>
      <c r="M3149" s="1">
        <v>0.75</v>
      </c>
      <c r="N3149" s="1">
        <v>5</v>
      </c>
      <c r="O3149" s="1">
        <v>0.82</v>
      </c>
      <c r="P3149" s="1">
        <v>693</v>
      </c>
      <c r="Q3149" s="1">
        <v>13.76</v>
      </c>
      <c r="R3149" s="1">
        <v>0.88</v>
      </c>
      <c r="S3149" s="2">
        <v>45343</v>
      </c>
      <c r="T3149" s="1">
        <v>232.29</v>
      </c>
      <c r="U3149" s="1">
        <v>0.748</v>
      </c>
      <c r="V3149" s="6">
        <f t="shared" si="147"/>
        <v>66020.25</v>
      </c>
      <c r="W3149" s="6" t="str">
        <f t="shared" si="148"/>
        <v>Sufficient</v>
      </c>
      <c r="X3149" s="8" t="str">
        <f t="shared" si="149"/>
        <v>High</v>
      </c>
    </row>
    <row r="3150" spans="1:24">
      <c r="A3150" s="7" t="s">
        <v>3280</v>
      </c>
      <c r="B3150" s="1" t="s">
        <v>66</v>
      </c>
      <c r="C3150" s="1">
        <v>219</v>
      </c>
      <c r="D3150" s="1">
        <v>43</v>
      </c>
      <c r="E3150" s="1">
        <v>11</v>
      </c>
      <c r="F3150" s="1">
        <v>6</v>
      </c>
      <c r="G3150" s="1">
        <v>11.04</v>
      </c>
      <c r="H3150" s="1" t="s">
        <v>309</v>
      </c>
      <c r="I3150" s="1" t="s">
        <v>39</v>
      </c>
      <c r="J3150" s="1">
        <v>115</v>
      </c>
      <c r="K3150" s="1">
        <v>1.97</v>
      </c>
      <c r="L3150" s="4">
        <v>117.3</v>
      </c>
      <c r="M3150" s="1">
        <v>0.98</v>
      </c>
      <c r="N3150" s="1">
        <v>5</v>
      </c>
      <c r="O3150" s="1">
        <v>0.95</v>
      </c>
      <c r="P3150" s="1">
        <v>297</v>
      </c>
      <c r="Q3150" s="1">
        <v>4.43</v>
      </c>
      <c r="R3150" s="1">
        <v>0.65</v>
      </c>
      <c r="S3150" s="2">
        <v>45430</v>
      </c>
      <c r="T3150" s="1">
        <v>181.83</v>
      </c>
      <c r="U3150" s="1">
        <v>0.58099999999999996</v>
      </c>
      <c r="V3150" s="6">
        <f t="shared" si="147"/>
        <v>25688.7</v>
      </c>
      <c r="W3150" s="6" t="str">
        <f t="shared" si="148"/>
        <v>Sufficient</v>
      </c>
      <c r="X3150" s="8" t="str">
        <f t="shared" si="149"/>
        <v>Medium</v>
      </c>
    </row>
    <row r="3151" spans="1:24">
      <c r="A3151" s="7" t="s">
        <v>3281</v>
      </c>
      <c r="B3151" s="1" t="s">
        <v>41</v>
      </c>
      <c r="C3151" s="1">
        <v>317</v>
      </c>
      <c r="D3151" s="1">
        <v>26</v>
      </c>
      <c r="E3151" s="1">
        <v>11</v>
      </c>
      <c r="F3151" s="1">
        <v>5</v>
      </c>
      <c r="G3151" s="1">
        <v>34.61</v>
      </c>
      <c r="H3151" s="1" t="s">
        <v>233</v>
      </c>
      <c r="I3151" s="1" t="s">
        <v>31</v>
      </c>
      <c r="J3151" s="1">
        <v>91</v>
      </c>
      <c r="K3151" s="1">
        <v>1.92</v>
      </c>
      <c r="L3151" s="4">
        <v>53.84</v>
      </c>
      <c r="M3151" s="1">
        <v>1.31</v>
      </c>
      <c r="N3151" s="1">
        <v>4</v>
      </c>
      <c r="O3151" s="1">
        <v>0.76</v>
      </c>
      <c r="P3151" s="1">
        <v>716</v>
      </c>
      <c r="Q3151" s="1">
        <v>12.67</v>
      </c>
      <c r="R3151" s="1">
        <v>0.4</v>
      </c>
      <c r="S3151" s="2">
        <v>45412</v>
      </c>
      <c r="T3151" s="1">
        <v>124.03</v>
      </c>
      <c r="U3151" s="1">
        <v>0.59</v>
      </c>
      <c r="V3151" s="6">
        <f t="shared" si="147"/>
        <v>17067.280000000002</v>
      </c>
      <c r="W3151" s="6" t="str">
        <f t="shared" si="148"/>
        <v>Sufficient</v>
      </c>
      <c r="X3151" s="8" t="str">
        <f t="shared" si="149"/>
        <v>High</v>
      </c>
    </row>
    <row r="3152" spans="1:24">
      <c r="A3152" s="7" t="s">
        <v>3282</v>
      </c>
      <c r="B3152" s="1" t="s">
        <v>25</v>
      </c>
      <c r="C3152" s="1">
        <v>365</v>
      </c>
      <c r="D3152" s="1">
        <v>63</v>
      </c>
      <c r="E3152" s="1">
        <v>3</v>
      </c>
      <c r="F3152" s="1">
        <v>3</v>
      </c>
      <c r="G3152" s="1">
        <v>28.45</v>
      </c>
      <c r="H3152" s="1" t="s">
        <v>156</v>
      </c>
      <c r="I3152" s="1" t="s">
        <v>45</v>
      </c>
      <c r="J3152" s="1">
        <v>40</v>
      </c>
      <c r="K3152" s="1">
        <v>0.66</v>
      </c>
      <c r="L3152" s="4">
        <v>21.91</v>
      </c>
      <c r="M3152" s="1">
        <v>0.4</v>
      </c>
      <c r="N3152" s="1">
        <v>0</v>
      </c>
      <c r="O3152" s="1">
        <v>0.92</v>
      </c>
      <c r="P3152" s="1">
        <v>791</v>
      </c>
      <c r="Q3152" s="1">
        <v>10.27</v>
      </c>
      <c r="R3152" s="1">
        <v>0.27</v>
      </c>
      <c r="S3152" s="2">
        <v>45576</v>
      </c>
      <c r="T3152" s="1">
        <v>179.11</v>
      </c>
      <c r="U3152" s="1">
        <v>0.73499999999999999</v>
      </c>
      <c r="V3152" s="6">
        <f t="shared" si="147"/>
        <v>7997.15</v>
      </c>
      <c r="W3152" s="6" t="str">
        <f t="shared" si="148"/>
        <v>Sufficient</v>
      </c>
      <c r="X3152" s="8" t="str">
        <f t="shared" si="149"/>
        <v>High</v>
      </c>
    </row>
    <row r="3153" spans="1:24">
      <c r="A3153" s="7" t="s">
        <v>3283</v>
      </c>
      <c r="B3153" s="1" t="s">
        <v>66</v>
      </c>
      <c r="C3153" s="1">
        <v>259</v>
      </c>
      <c r="D3153" s="1">
        <v>85</v>
      </c>
      <c r="E3153" s="1">
        <v>4</v>
      </c>
      <c r="F3153" s="1">
        <v>3</v>
      </c>
      <c r="G3153" s="1">
        <v>10.99</v>
      </c>
      <c r="H3153" s="1" t="s">
        <v>372</v>
      </c>
      <c r="I3153" s="1" t="s">
        <v>27</v>
      </c>
      <c r="J3153" s="1">
        <v>166</v>
      </c>
      <c r="K3153" s="1">
        <v>1.76</v>
      </c>
      <c r="L3153" s="4">
        <v>83.47</v>
      </c>
      <c r="M3153" s="1">
        <v>1.8</v>
      </c>
      <c r="N3153" s="1">
        <v>3</v>
      </c>
      <c r="O3153" s="1">
        <v>0.85</v>
      </c>
      <c r="P3153" s="1">
        <v>650</v>
      </c>
      <c r="Q3153" s="1">
        <v>8.83</v>
      </c>
      <c r="R3153" s="1">
        <v>0.74</v>
      </c>
      <c r="S3153" s="2">
        <v>45513</v>
      </c>
      <c r="T3153" s="1">
        <v>214.45</v>
      </c>
      <c r="U3153" s="1">
        <v>0.59599999999999997</v>
      </c>
      <c r="V3153" s="6">
        <f t="shared" si="147"/>
        <v>21618.73</v>
      </c>
      <c r="W3153" s="6" t="str">
        <f t="shared" si="148"/>
        <v>Sufficient</v>
      </c>
      <c r="X3153" s="8" t="str">
        <f t="shared" si="149"/>
        <v>High</v>
      </c>
    </row>
    <row r="3154" spans="1:24">
      <c r="A3154" s="7" t="s">
        <v>3284</v>
      </c>
      <c r="B3154" s="1" t="s">
        <v>33</v>
      </c>
      <c r="C3154" s="1">
        <v>134</v>
      </c>
      <c r="D3154" s="1">
        <v>94</v>
      </c>
      <c r="E3154" s="1">
        <v>10</v>
      </c>
      <c r="F3154" s="1">
        <v>5</v>
      </c>
      <c r="G3154" s="1">
        <v>45.24</v>
      </c>
      <c r="H3154" s="1" t="s">
        <v>44</v>
      </c>
      <c r="I3154" s="1" t="s">
        <v>39</v>
      </c>
      <c r="J3154" s="1">
        <v>152</v>
      </c>
      <c r="K3154" s="1">
        <v>2.1</v>
      </c>
      <c r="L3154" s="4">
        <v>133.05000000000001</v>
      </c>
      <c r="M3154" s="1">
        <v>1.1599999999999999</v>
      </c>
      <c r="N3154" s="1">
        <v>9</v>
      </c>
      <c r="O3154" s="1">
        <v>0.97</v>
      </c>
      <c r="P3154" s="1">
        <v>278</v>
      </c>
      <c r="Q3154" s="1">
        <v>13.17</v>
      </c>
      <c r="R3154" s="1">
        <v>0.36</v>
      </c>
      <c r="S3154" s="2">
        <v>45487</v>
      </c>
      <c r="T3154" s="1">
        <v>229.03</v>
      </c>
      <c r="U3154" s="1">
        <v>0.54600000000000004</v>
      </c>
      <c r="V3154" s="6">
        <f t="shared" si="147"/>
        <v>17828.7</v>
      </c>
      <c r="W3154" s="6" t="str">
        <f t="shared" si="148"/>
        <v>Sufficient</v>
      </c>
      <c r="X3154" s="8" t="str">
        <f t="shared" si="149"/>
        <v>Medium</v>
      </c>
    </row>
    <row r="3155" spans="1:24">
      <c r="A3155" s="7" t="s">
        <v>3285</v>
      </c>
      <c r="B3155" s="1" t="s">
        <v>33</v>
      </c>
      <c r="C3155" s="1">
        <v>45</v>
      </c>
      <c r="D3155" s="1">
        <v>49</v>
      </c>
      <c r="E3155" s="1">
        <v>7</v>
      </c>
      <c r="F3155" s="1">
        <v>2</v>
      </c>
      <c r="G3155" s="1">
        <v>14.52</v>
      </c>
      <c r="H3155" s="1" t="s">
        <v>411</v>
      </c>
      <c r="I3155" s="1" t="s">
        <v>39</v>
      </c>
      <c r="J3155" s="1">
        <v>67</v>
      </c>
      <c r="K3155" s="1">
        <v>0.67</v>
      </c>
      <c r="L3155" s="4">
        <v>198.43</v>
      </c>
      <c r="M3155" s="1">
        <v>0.14000000000000001</v>
      </c>
      <c r="N3155" s="1">
        <v>0</v>
      </c>
      <c r="O3155" s="1">
        <v>0.99</v>
      </c>
      <c r="P3155" s="1">
        <v>588</v>
      </c>
      <c r="Q3155" s="1">
        <v>14.57</v>
      </c>
      <c r="R3155" s="1">
        <v>0.79</v>
      </c>
      <c r="S3155" s="2">
        <v>45392</v>
      </c>
      <c r="T3155" s="1">
        <v>37.4</v>
      </c>
      <c r="U3155" s="1">
        <v>0.93600000000000005</v>
      </c>
      <c r="V3155" s="6">
        <f t="shared" si="147"/>
        <v>8929.35</v>
      </c>
      <c r="W3155" s="6" t="str">
        <f t="shared" si="148"/>
        <v>Reorder Required</v>
      </c>
      <c r="X3155" s="8" t="str">
        <f t="shared" si="149"/>
        <v>LOW</v>
      </c>
    </row>
    <row r="3156" spans="1:24">
      <c r="A3156" s="7" t="s">
        <v>3286</v>
      </c>
      <c r="B3156" s="1" t="s">
        <v>41</v>
      </c>
      <c r="C3156" s="1">
        <v>426</v>
      </c>
      <c r="D3156" s="1">
        <v>28</v>
      </c>
      <c r="E3156" s="1">
        <v>9</v>
      </c>
      <c r="F3156" s="1">
        <v>3</v>
      </c>
      <c r="G3156" s="1">
        <v>21.63</v>
      </c>
      <c r="H3156" s="1" t="s">
        <v>309</v>
      </c>
      <c r="I3156" s="1" t="s">
        <v>27</v>
      </c>
      <c r="J3156" s="1">
        <v>32</v>
      </c>
      <c r="K3156" s="1">
        <v>4.47</v>
      </c>
      <c r="L3156" s="4">
        <v>54.94</v>
      </c>
      <c r="M3156" s="1">
        <v>1.29</v>
      </c>
      <c r="N3156" s="1">
        <v>4</v>
      </c>
      <c r="O3156" s="1">
        <v>0.85</v>
      </c>
      <c r="P3156" s="1">
        <v>410</v>
      </c>
      <c r="Q3156" s="1">
        <v>14.96</v>
      </c>
      <c r="R3156" s="1">
        <v>0.87</v>
      </c>
      <c r="S3156" s="2">
        <v>45366</v>
      </c>
      <c r="T3156" s="1">
        <v>242.87</v>
      </c>
      <c r="U3156" s="1">
        <v>0.73399999999999999</v>
      </c>
      <c r="V3156" s="6">
        <f t="shared" si="147"/>
        <v>23404.44</v>
      </c>
      <c r="W3156" s="6" t="str">
        <f t="shared" si="148"/>
        <v>Sufficient</v>
      </c>
      <c r="X3156" s="8" t="str">
        <f t="shared" si="149"/>
        <v>High</v>
      </c>
    </row>
    <row r="3157" spans="1:24">
      <c r="A3157" s="7" t="s">
        <v>3287</v>
      </c>
      <c r="B3157" s="1" t="s">
        <v>25</v>
      </c>
      <c r="C3157" s="1">
        <v>318</v>
      </c>
      <c r="D3157" s="1">
        <v>76</v>
      </c>
      <c r="E3157" s="1">
        <v>3</v>
      </c>
      <c r="F3157" s="1">
        <v>8</v>
      </c>
      <c r="G3157" s="1">
        <v>10.91</v>
      </c>
      <c r="H3157" s="1" t="s">
        <v>38</v>
      </c>
      <c r="I3157" s="1" t="s">
        <v>39</v>
      </c>
      <c r="J3157" s="1">
        <v>175</v>
      </c>
      <c r="K3157" s="1">
        <v>4.32</v>
      </c>
      <c r="L3157" s="4">
        <v>184.38</v>
      </c>
      <c r="M3157" s="1">
        <v>0.98</v>
      </c>
      <c r="N3157" s="1">
        <v>3</v>
      </c>
      <c r="O3157" s="1">
        <v>0.88</v>
      </c>
      <c r="P3157" s="1">
        <v>917</v>
      </c>
      <c r="Q3157" s="1">
        <v>10.57</v>
      </c>
      <c r="R3157" s="1">
        <v>0.99</v>
      </c>
      <c r="S3157" s="2">
        <v>45368</v>
      </c>
      <c r="T3157" s="1">
        <v>28.41</v>
      </c>
      <c r="U3157" s="1">
        <v>0.75700000000000001</v>
      </c>
      <c r="V3157" s="6">
        <f t="shared" si="147"/>
        <v>58632.84</v>
      </c>
      <c r="W3157" s="6" t="str">
        <f t="shared" si="148"/>
        <v>Sufficient</v>
      </c>
      <c r="X3157" s="8" t="str">
        <f t="shared" si="149"/>
        <v>High</v>
      </c>
    </row>
    <row r="3158" spans="1:24">
      <c r="A3158" s="7" t="s">
        <v>3288</v>
      </c>
      <c r="B3158" s="1" t="s">
        <v>25</v>
      </c>
      <c r="C3158" s="1">
        <v>96</v>
      </c>
      <c r="D3158" s="1">
        <v>91</v>
      </c>
      <c r="E3158" s="1">
        <v>14</v>
      </c>
      <c r="F3158" s="1">
        <v>9</v>
      </c>
      <c r="G3158" s="1">
        <v>20.010000000000002</v>
      </c>
      <c r="H3158" s="1" t="s">
        <v>210</v>
      </c>
      <c r="I3158" s="1" t="s">
        <v>31</v>
      </c>
      <c r="J3158" s="1">
        <v>50</v>
      </c>
      <c r="K3158" s="1">
        <v>1.63</v>
      </c>
      <c r="L3158" s="4">
        <v>22.97</v>
      </c>
      <c r="M3158" s="1">
        <v>1.43</v>
      </c>
      <c r="N3158" s="1">
        <v>7</v>
      </c>
      <c r="O3158" s="1">
        <v>0.92</v>
      </c>
      <c r="P3158" s="1">
        <v>799</v>
      </c>
      <c r="Q3158" s="1">
        <v>5.75</v>
      </c>
      <c r="R3158" s="1">
        <v>0.6</v>
      </c>
      <c r="S3158" s="2">
        <v>45534</v>
      </c>
      <c r="T3158" s="1">
        <v>262.43</v>
      </c>
      <c r="U3158" s="1">
        <v>0.498</v>
      </c>
      <c r="V3158" s="6">
        <f t="shared" si="147"/>
        <v>2205.12</v>
      </c>
      <c r="W3158" s="6" t="str">
        <f t="shared" si="148"/>
        <v>Sufficient</v>
      </c>
      <c r="X3158" s="8" t="str">
        <f t="shared" si="149"/>
        <v>LOW</v>
      </c>
    </row>
    <row r="3159" spans="1:24">
      <c r="A3159" s="7" t="s">
        <v>3289</v>
      </c>
      <c r="B3159" s="1" t="s">
        <v>25</v>
      </c>
      <c r="C3159" s="1">
        <v>431</v>
      </c>
      <c r="D3159" s="1">
        <v>62</v>
      </c>
      <c r="E3159" s="1">
        <v>12</v>
      </c>
      <c r="F3159" s="1">
        <v>7</v>
      </c>
      <c r="G3159" s="1">
        <v>25.09</v>
      </c>
      <c r="H3159" s="1" t="s">
        <v>77</v>
      </c>
      <c r="I3159" s="1" t="s">
        <v>39</v>
      </c>
      <c r="J3159" s="1">
        <v>24</v>
      </c>
      <c r="K3159" s="1">
        <v>4.1100000000000003</v>
      </c>
      <c r="L3159" s="4">
        <v>186.89</v>
      </c>
      <c r="M3159" s="1">
        <v>1.59</v>
      </c>
      <c r="N3159" s="1">
        <v>0</v>
      </c>
      <c r="O3159" s="1">
        <v>0.8</v>
      </c>
      <c r="P3159" s="1">
        <v>224</v>
      </c>
      <c r="Q3159" s="1">
        <v>13.25</v>
      </c>
      <c r="R3159" s="1">
        <v>0.98</v>
      </c>
      <c r="S3159" s="2">
        <v>45296</v>
      </c>
      <c r="T3159" s="1">
        <v>123.75</v>
      </c>
      <c r="U3159" s="1">
        <v>0.77400000000000002</v>
      </c>
      <c r="V3159" s="6">
        <f t="shared" si="147"/>
        <v>80549.59</v>
      </c>
      <c r="W3159" s="6" t="str">
        <f t="shared" si="148"/>
        <v>Sufficient</v>
      </c>
      <c r="X3159" s="8" t="str">
        <f t="shared" si="149"/>
        <v>High</v>
      </c>
    </row>
    <row r="3160" spans="1:24">
      <c r="A3160" s="7" t="s">
        <v>3290</v>
      </c>
      <c r="B3160" s="1" t="s">
        <v>41</v>
      </c>
      <c r="C3160" s="1">
        <v>156</v>
      </c>
      <c r="D3160" s="1">
        <v>73</v>
      </c>
      <c r="E3160" s="1">
        <v>14</v>
      </c>
      <c r="F3160" s="1">
        <v>7</v>
      </c>
      <c r="G3160" s="1">
        <v>15.47</v>
      </c>
      <c r="H3160" s="1" t="s">
        <v>59</v>
      </c>
      <c r="I3160" s="1" t="s">
        <v>31</v>
      </c>
      <c r="J3160" s="1">
        <v>96</v>
      </c>
      <c r="K3160" s="1">
        <v>4.08</v>
      </c>
      <c r="L3160" s="4">
        <v>168.15</v>
      </c>
      <c r="M3160" s="1">
        <v>1.88</v>
      </c>
      <c r="N3160" s="1">
        <v>7</v>
      </c>
      <c r="O3160" s="1">
        <v>0.77</v>
      </c>
      <c r="P3160" s="1">
        <v>877</v>
      </c>
      <c r="Q3160" s="1">
        <v>10.16</v>
      </c>
      <c r="R3160" s="1">
        <v>0.32</v>
      </c>
      <c r="S3160" s="2">
        <v>45382</v>
      </c>
      <c r="T3160" s="1">
        <v>168.61</v>
      </c>
      <c r="U3160" s="1">
        <v>0.42499999999999999</v>
      </c>
      <c r="V3160" s="6">
        <f t="shared" si="147"/>
        <v>26231.4</v>
      </c>
      <c r="W3160" s="6" t="str">
        <f t="shared" si="148"/>
        <v>Sufficient</v>
      </c>
      <c r="X3160" s="8" t="str">
        <f t="shared" si="149"/>
        <v>Medium</v>
      </c>
    </row>
    <row r="3161" spans="1:24">
      <c r="A3161" s="7" t="s">
        <v>3291</v>
      </c>
      <c r="B3161" s="1" t="s">
        <v>25</v>
      </c>
      <c r="C3161" s="1">
        <v>39</v>
      </c>
      <c r="D3161" s="1">
        <v>92</v>
      </c>
      <c r="E3161" s="1">
        <v>7</v>
      </c>
      <c r="F3161" s="1">
        <v>7</v>
      </c>
      <c r="G3161" s="1">
        <v>38.69</v>
      </c>
      <c r="H3161" s="1" t="s">
        <v>36</v>
      </c>
      <c r="I3161" s="1" t="s">
        <v>39</v>
      </c>
      <c r="J3161" s="1">
        <v>12</v>
      </c>
      <c r="K3161" s="1">
        <v>2.0099999999999998</v>
      </c>
      <c r="L3161" s="4">
        <v>13.98</v>
      </c>
      <c r="M3161" s="1">
        <v>2</v>
      </c>
      <c r="N3161" s="1">
        <v>7</v>
      </c>
      <c r="O3161" s="1">
        <v>0.99</v>
      </c>
      <c r="P3161" s="1">
        <v>853</v>
      </c>
      <c r="Q3161" s="1">
        <v>5.53</v>
      </c>
      <c r="R3161" s="1">
        <v>0.87</v>
      </c>
      <c r="S3161" s="2">
        <v>45507</v>
      </c>
      <c r="T3161" s="1">
        <v>94.09</v>
      </c>
      <c r="U3161" s="1">
        <v>0.50600000000000001</v>
      </c>
      <c r="V3161" s="6">
        <f t="shared" si="147"/>
        <v>545.22</v>
      </c>
      <c r="W3161" s="6" t="str">
        <f t="shared" si="148"/>
        <v>Reorder Required</v>
      </c>
      <c r="X3161" s="8" t="str">
        <f t="shared" si="149"/>
        <v>LOW</v>
      </c>
    </row>
    <row r="3162" spans="1:24">
      <c r="A3162" s="7" t="s">
        <v>3292</v>
      </c>
      <c r="B3162" s="1" t="s">
        <v>33</v>
      </c>
      <c r="C3162" s="1">
        <v>459</v>
      </c>
      <c r="D3162" s="1">
        <v>56</v>
      </c>
      <c r="E3162" s="1">
        <v>13</v>
      </c>
      <c r="F3162" s="1">
        <v>4</v>
      </c>
      <c r="G3162" s="1">
        <v>20.3</v>
      </c>
      <c r="H3162" s="1" t="s">
        <v>304</v>
      </c>
      <c r="I3162" s="1" t="s">
        <v>45</v>
      </c>
      <c r="J3162" s="1">
        <v>10</v>
      </c>
      <c r="K3162" s="1">
        <v>3.64</v>
      </c>
      <c r="L3162" s="4">
        <v>66.66</v>
      </c>
      <c r="M3162" s="1">
        <v>1.1399999999999999</v>
      </c>
      <c r="N3162" s="1">
        <v>0</v>
      </c>
      <c r="O3162" s="1">
        <v>0.83</v>
      </c>
      <c r="P3162" s="1">
        <v>423</v>
      </c>
      <c r="Q3162" s="1">
        <v>14.05</v>
      </c>
      <c r="R3162" s="1">
        <v>0.49</v>
      </c>
      <c r="S3162" s="2">
        <v>45547</v>
      </c>
      <c r="T3162" s="1">
        <v>133.72999999999999</v>
      </c>
      <c r="U3162" s="1">
        <v>0.73699999999999999</v>
      </c>
      <c r="V3162" s="6">
        <f t="shared" si="147"/>
        <v>30596.94</v>
      </c>
      <c r="W3162" s="6" t="str">
        <f t="shared" si="148"/>
        <v>Sufficient</v>
      </c>
      <c r="X3162" s="8" t="str">
        <f t="shared" si="149"/>
        <v>High</v>
      </c>
    </row>
    <row r="3163" spans="1:24">
      <c r="A3163" s="7" t="s">
        <v>3293</v>
      </c>
      <c r="B3163" s="1" t="s">
        <v>66</v>
      </c>
      <c r="C3163" s="1">
        <v>230</v>
      </c>
      <c r="D3163" s="1">
        <v>15</v>
      </c>
      <c r="E3163" s="1">
        <v>14</v>
      </c>
      <c r="F3163" s="1">
        <v>8</v>
      </c>
      <c r="G3163" s="1">
        <v>36.75</v>
      </c>
      <c r="H3163" s="1" t="s">
        <v>141</v>
      </c>
      <c r="I3163" s="1" t="s">
        <v>39</v>
      </c>
      <c r="J3163" s="1">
        <v>84</v>
      </c>
      <c r="K3163" s="1">
        <v>1.8</v>
      </c>
      <c r="L3163" s="4">
        <v>19.68</v>
      </c>
      <c r="M3163" s="1">
        <v>1.17</v>
      </c>
      <c r="N3163" s="1">
        <v>8</v>
      </c>
      <c r="O3163" s="1">
        <v>0.7</v>
      </c>
      <c r="P3163" s="1">
        <v>991</v>
      </c>
      <c r="Q3163" s="1">
        <v>11.47</v>
      </c>
      <c r="R3163" s="1">
        <v>0.49</v>
      </c>
      <c r="S3163" s="2">
        <v>45360</v>
      </c>
      <c r="T3163" s="1">
        <v>255.11</v>
      </c>
      <c r="U3163" s="1">
        <v>0.51400000000000001</v>
      </c>
      <c r="V3163" s="6">
        <f t="shared" si="147"/>
        <v>4526.3999999999996</v>
      </c>
      <c r="W3163" s="6" t="str">
        <f t="shared" si="148"/>
        <v>Sufficient</v>
      </c>
      <c r="X3163" s="8" t="str">
        <f t="shared" si="149"/>
        <v>Medium</v>
      </c>
    </row>
    <row r="3164" spans="1:24">
      <c r="A3164" s="7" t="s">
        <v>3294</v>
      </c>
      <c r="B3164" s="1" t="s">
        <v>33</v>
      </c>
      <c r="C3164" s="1">
        <v>259</v>
      </c>
      <c r="D3164" s="1">
        <v>25</v>
      </c>
      <c r="E3164" s="1">
        <v>5</v>
      </c>
      <c r="F3164" s="1">
        <v>4</v>
      </c>
      <c r="G3164" s="1">
        <v>11.15</v>
      </c>
      <c r="H3164" s="1" t="s">
        <v>52</v>
      </c>
      <c r="I3164" s="1" t="s">
        <v>39</v>
      </c>
      <c r="J3164" s="1">
        <v>148</v>
      </c>
      <c r="K3164" s="1">
        <v>0.82</v>
      </c>
      <c r="L3164" s="4">
        <v>199.15</v>
      </c>
      <c r="M3164" s="1">
        <v>0.14000000000000001</v>
      </c>
      <c r="N3164" s="1">
        <v>8</v>
      </c>
      <c r="O3164" s="1">
        <v>0.95</v>
      </c>
      <c r="P3164" s="1">
        <v>110</v>
      </c>
      <c r="Q3164" s="1">
        <v>7.34</v>
      </c>
      <c r="R3164" s="1">
        <v>0.41</v>
      </c>
      <c r="S3164" s="2">
        <v>45614</v>
      </c>
      <c r="T3164" s="1">
        <v>95.75</v>
      </c>
      <c r="U3164" s="1">
        <v>0.59599999999999997</v>
      </c>
      <c r="V3164" s="6">
        <f t="shared" si="147"/>
        <v>51579.85</v>
      </c>
      <c r="W3164" s="6" t="str">
        <f t="shared" si="148"/>
        <v>Sufficient</v>
      </c>
      <c r="X3164" s="8" t="str">
        <f t="shared" si="149"/>
        <v>High</v>
      </c>
    </row>
    <row r="3165" spans="1:24">
      <c r="A3165" s="7" t="s">
        <v>3295</v>
      </c>
      <c r="B3165" s="1" t="s">
        <v>33</v>
      </c>
      <c r="C3165" s="1">
        <v>58</v>
      </c>
      <c r="D3165" s="1">
        <v>81</v>
      </c>
      <c r="E3165" s="1">
        <v>12</v>
      </c>
      <c r="F3165" s="1">
        <v>2</v>
      </c>
      <c r="G3165" s="1">
        <v>19.47</v>
      </c>
      <c r="H3165" s="1" t="s">
        <v>61</v>
      </c>
      <c r="I3165" s="1" t="s">
        <v>31</v>
      </c>
      <c r="J3165" s="1">
        <v>85</v>
      </c>
      <c r="K3165" s="1">
        <v>2.77</v>
      </c>
      <c r="L3165" s="4">
        <v>91.29</v>
      </c>
      <c r="M3165" s="1">
        <v>1.74</v>
      </c>
      <c r="N3165" s="1">
        <v>5</v>
      </c>
      <c r="O3165" s="1">
        <v>0.88</v>
      </c>
      <c r="P3165" s="1">
        <v>219</v>
      </c>
      <c r="Q3165" s="1">
        <v>7.36</v>
      </c>
      <c r="R3165" s="1">
        <v>0.34</v>
      </c>
      <c r="S3165" s="2">
        <v>45556</v>
      </c>
      <c r="T3165" s="1">
        <v>173.61</v>
      </c>
      <c r="U3165" s="1">
        <v>0.46800000000000003</v>
      </c>
      <c r="V3165" s="6">
        <f t="shared" si="147"/>
        <v>5294.8200000000006</v>
      </c>
      <c r="W3165" s="6" t="str">
        <f t="shared" si="148"/>
        <v>Reorder Required</v>
      </c>
      <c r="X3165" s="8" t="str">
        <f t="shared" si="149"/>
        <v>LOW</v>
      </c>
    </row>
    <row r="3166" spans="1:24">
      <c r="A3166" s="7" t="s">
        <v>3296</v>
      </c>
      <c r="B3166" s="1" t="s">
        <v>66</v>
      </c>
      <c r="C3166" s="1">
        <v>454</v>
      </c>
      <c r="D3166" s="1">
        <v>27</v>
      </c>
      <c r="E3166" s="1">
        <v>14</v>
      </c>
      <c r="F3166" s="1">
        <v>5</v>
      </c>
      <c r="G3166" s="1">
        <v>1.39</v>
      </c>
      <c r="H3166" s="1" t="s">
        <v>77</v>
      </c>
      <c r="I3166" s="1" t="s">
        <v>27</v>
      </c>
      <c r="J3166" s="1">
        <v>13</v>
      </c>
      <c r="K3166" s="1">
        <v>2.4700000000000002</v>
      </c>
      <c r="L3166" s="4">
        <v>135.81</v>
      </c>
      <c r="M3166" s="1">
        <v>0.15</v>
      </c>
      <c r="N3166" s="1">
        <v>0</v>
      </c>
      <c r="O3166" s="1">
        <v>0.75</v>
      </c>
      <c r="P3166" s="1">
        <v>556</v>
      </c>
      <c r="Q3166" s="1">
        <v>14.94</v>
      </c>
      <c r="R3166" s="1">
        <v>0.55000000000000004</v>
      </c>
      <c r="S3166" s="2">
        <v>45565</v>
      </c>
      <c r="T3166" s="1">
        <v>197.65</v>
      </c>
      <c r="U3166" s="1">
        <v>0.84399999999999997</v>
      </c>
      <c r="V3166" s="6">
        <f t="shared" si="147"/>
        <v>61657.74</v>
      </c>
      <c r="W3166" s="6" t="str">
        <f t="shared" si="148"/>
        <v>Sufficient</v>
      </c>
      <c r="X3166" s="8" t="str">
        <f t="shared" si="149"/>
        <v>High</v>
      </c>
    </row>
    <row r="3167" spans="1:24">
      <c r="A3167" s="7" t="s">
        <v>3297</v>
      </c>
      <c r="B3167" s="1" t="s">
        <v>33</v>
      </c>
      <c r="C3167" s="1">
        <v>287</v>
      </c>
      <c r="D3167" s="1">
        <v>61</v>
      </c>
      <c r="E3167" s="1">
        <v>14</v>
      </c>
      <c r="F3167" s="1">
        <v>6</v>
      </c>
      <c r="G3167" s="1">
        <v>38.17</v>
      </c>
      <c r="H3167" s="1" t="s">
        <v>227</v>
      </c>
      <c r="I3167" s="1" t="s">
        <v>45</v>
      </c>
      <c r="J3167" s="1">
        <v>34</v>
      </c>
      <c r="K3167" s="1">
        <v>1.1200000000000001</v>
      </c>
      <c r="L3167" s="4">
        <v>54.5</v>
      </c>
      <c r="M3167" s="1">
        <v>1.3</v>
      </c>
      <c r="N3167" s="1">
        <v>6</v>
      </c>
      <c r="O3167" s="1">
        <v>0.71</v>
      </c>
      <c r="P3167" s="1">
        <v>824</v>
      </c>
      <c r="Q3167" s="1">
        <v>6.23</v>
      </c>
      <c r="R3167" s="1">
        <v>0.99</v>
      </c>
      <c r="S3167" s="2">
        <v>45453</v>
      </c>
      <c r="T3167" s="1">
        <v>52.46</v>
      </c>
      <c r="U3167" s="1">
        <v>0.57299999999999995</v>
      </c>
      <c r="V3167" s="6">
        <f t="shared" si="147"/>
        <v>15641.5</v>
      </c>
      <c r="W3167" s="6" t="str">
        <f t="shared" si="148"/>
        <v>Sufficient</v>
      </c>
      <c r="X3167" s="8" t="str">
        <f t="shared" si="149"/>
        <v>High</v>
      </c>
    </row>
    <row r="3168" spans="1:24">
      <c r="A3168" s="7" t="s">
        <v>3298</v>
      </c>
      <c r="B3168" s="1" t="s">
        <v>41</v>
      </c>
      <c r="C3168" s="1">
        <v>226</v>
      </c>
      <c r="D3168" s="1">
        <v>57</v>
      </c>
      <c r="E3168" s="1">
        <v>4</v>
      </c>
      <c r="F3168" s="1">
        <v>8</v>
      </c>
      <c r="G3168" s="1">
        <v>31.67</v>
      </c>
      <c r="H3168" s="1" t="s">
        <v>258</v>
      </c>
      <c r="I3168" s="1" t="s">
        <v>27</v>
      </c>
      <c r="J3168" s="1">
        <v>103</v>
      </c>
      <c r="K3168" s="1">
        <v>2.71</v>
      </c>
      <c r="L3168" s="4">
        <v>187.41</v>
      </c>
      <c r="M3168" s="1">
        <v>0.28999999999999998</v>
      </c>
      <c r="N3168" s="1">
        <v>6</v>
      </c>
      <c r="O3168" s="1">
        <v>0.79</v>
      </c>
      <c r="P3168" s="1">
        <v>463</v>
      </c>
      <c r="Q3168" s="1">
        <v>2.3199999999999998</v>
      </c>
      <c r="R3168" s="1">
        <v>0.46</v>
      </c>
      <c r="S3168" s="2">
        <v>45541</v>
      </c>
      <c r="T3168" s="1">
        <v>235.57</v>
      </c>
      <c r="U3168" s="1">
        <v>0.53200000000000003</v>
      </c>
      <c r="V3168" s="6">
        <f t="shared" si="147"/>
        <v>42354.659999999996</v>
      </c>
      <c r="W3168" s="6" t="str">
        <f t="shared" si="148"/>
        <v>Sufficient</v>
      </c>
      <c r="X3168" s="8" t="str">
        <f t="shared" si="149"/>
        <v>Medium</v>
      </c>
    </row>
    <row r="3169" spans="1:24">
      <c r="A3169" s="7" t="s">
        <v>3299</v>
      </c>
      <c r="B3169" s="1" t="s">
        <v>66</v>
      </c>
      <c r="C3169" s="1">
        <v>498</v>
      </c>
      <c r="D3169" s="1">
        <v>52</v>
      </c>
      <c r="E3169" s="1">
        <v>4</v>
      </c>
      <c r="F3169" s="1">
        <v>9</v>
      </c>
      <c r="G3169" s="1">
        <v>41.07</v>
      </c>
      <c r="H3169" s="1" t="s">
        <v>119</v>
      </c>
      <c r="I3169" s="1" t="s">
        <v>31</v>
      </c>
      <c r="J3169" s="1">
        <v>177</v>
      </c>
      <c r="K3169" s="1">
        <v>4.7699999999999996</v>
      </c>
      <c r="L3169" s="4">
        <v>62.09</v>
      </c>
      <c r="M3169" s="1">
        <v>0.64</v>
      </c>
      <c r="N3169" s="1">
        <v>8</v>
      </c>
      <c r="O3169" s="1">
        <v>0.98</v>
      </c>
      <c r="P3169" s="1">
        <v>867</v>
      </c>
      <c r="Q3169" s="1">
        <v>8.5399999999999991</v>
      </c>
      <c r="R3169" s="1">
        <v>0.56999999999999995</v>
      </c>
      <c r="S3169" s="2">
        <v>45445</v>
      </c>
      <c r="T3169" s="1">
        <v>299.73</v>
      </c>
      <c r="U3169" s="1">
        <v>0.6</v>
      </c>
      <c r="V3169" s="6">
        <f t="shared" si="147"/>
        <v>30920.820000000003</v>
      </c>
      <c r="W3169" s="6" t="str">
        <f t="shared" si="148"/>
        <v>Sufficient</v>
      </c>
      <c r="X3169" s="8" t="str">
        <f t="shared" si="149"/>
        <v>High</v>
      </c>
    </row>
    <row r="3170" spans="1:24">
      <c r="A3170" s="7" t="s">
        <v>3300</v>
      </c>
      <c r="B3170" s="1" t="s">
        <v>33</v>
      </c>
      <c r="C3170" s="1">
        <v>458</v>
      </c>
      <c r="D3170" s="1">
        <v>48</v>
      </c>
      <c r="E3170" s="1">
        <v>11</v>
      </c>
      <c r="F3170" s="1">
        <v>2</v>
      </c>
      <c r="G3170" s="1">
        <v>23.32</v>
      </c>
      <c r="H3170" s="1" t="s">
        <v>183</v>
      </c>
      <c r="I3170" s="1" t="s">
        <v>45</v>
      </c>
      <c r="J3170" s="1">
        <v>105</v>
      </c>
      <c r="K3170" s="1">
        <v>3.79</v>
      </c>
      <c r="L3170" s="4">
        <v>59.44</v>
      </c>
      <c r="M3170" s="1">
        <v>0.37</v>
      </c>
      <c r="N3170" s="1">
        <v>0</v>
      </c>
      <c r="O3170" s="1">
        <v>0.98</v>
      </c>
      <c r="P3170" s="1">
        <v>165</v>
      </c>
      <c r="Q3170" s="1">
        <v>13.39</v>
      </c>
      <c r="R3170" s="1">
        <v>0.38</v>
      </c>
      <c r="S3170" s="2">
        <v>45420</v>
      </c>
      <c r="T3170" s="1">
        <v>54.97</v>
      </c>
      <c r="U3170" s="1">
        <v>0.81399999999999995</v>
      </c>
      <c r="V3170" s="6">
        <f t="shared" si="147"/>
        <v>27223.52</v>
      </c>
      <c r="W3170" s="6" t="str">
        <f t="shared" si="148"/>
        <v>Sufficient</v>
      </c>
      <c r="X3170" s="8" t="str">
        <f t="shared" si="149"/>
        <v>High</v>
      </c>
    </row>
    <row r="3171" spans="1:24">
      <c r="A3171" s="7" t="s">
        <v>3301</v>
      </c>
      <c r="B3171" s="1" t="s">
        <v>29</v>
      </c>
      <c r="C3171" s="1">
        <v>481</v>
      </c>
      <c r="D3171" s="1">
        <v>58</v>
      </c>
      <c r="E3171" s="1">
        <v>6</v>
      </c>
      <c r="F3171" s="1">
        <v>6</v>
      </c>
      <c r="G3171" s="1">
        <v>40.19</v>
      </c>
      <c r="H3171" s="1" t="s">
        <v>176</v>
      </c>
      <c r="I3171" s="1" t="s">
        <v>39</v>
      </c>
      <c r="J3171" s="1">
        <v>117</v>
      </c>
      <c r="K3171" s="1">
        <v>3.82</v>
      </c>
      <c r="L3171" s="4">
        <v>69.77</v>
      </c>
      <c r="M3171" s="1">
        <v>0.36</v>
      </c>
      <c r="N3171" s="1">
        <v>7</v>
      </c>
      <c r="O3171" s="1">
        <v>0.79</v>
      </c>
      <c r="P3171" s="1">
        <v>224</v>
      </c>
      <c r="Q3171" s="1">
        <v>9.18</v>
      </c>
      <c r="R3171" s="1">
        <v>0.47</v>
      </c>
      <c r="S3171" s="2">
        <v>45579</v>
      </c>
      <c r="T3171" s="1">
        <v>232.69</v>
      </c>
      <c r="U3171" s="1">
        <v>0.59799999999999998</v>
      </c>
      <c r="V3171" s="6">
        <f t="shared" si="147"/>
        <v>33559.369999999995</v>
      </c>
      <c r="W3171" s="6" t="str">
        <f t="shared" si="148"/>
        <v>Sufficient</v>
      </c>
      <c r="X3171" s="8" t="str">
        <f t="shared" si="149"/>
        <v>High</v>
      </c>
    </row>
    <row r="3172" spans="1:24">
      <c r="A3172" s="7" t="s">
        <v>3302</v>
      </c>
      <c r="B3172" s="1" t="s">
        <v>33</v>
      </c>
      <c r="C3172" s="1">
        <v>286</v>
      </c>
      <c r="D3172" s="1">
        <v>21</v>
      </c>
      <c r="E3172" s="1">
        <v>6</v>
      </c>
      <c r="F3172" s="1">
        <v>2</v>
      </c>
      <c r="G3172" s="1">
        <v>32.729999999999997</v>
      </c>
      <c r="H3172" s="1" t="s">
        <v>113</v>
      </c>
      <c r="I3172" s="1" t="s">
        <v>27</v>
      </c>
      <c r="J3172" s="1">
        <v>108</v>
      </c>
      <c r="K3172" s="1">
        <v>3.91</v>
      </c>
      <c r="L3172" s="4">
        <v>97.87</v>
      </c>
      <c r="M3172" s="1">
        <v>0.24</v>
      </c>
      <c r="N3172" s="1">
        <v>7</v>
      </c>
      <c r="O3172" s="1">
        <v>0.95</v>
      </c>
      <c r="P3172" s="1">
        <v>782</v>
      </c>
      <c r="Q3172" s="1">
        <v>12.1</v>
      </c>
      <c r="R3172" s="1">
        <v>0.24</v>
      </c>
      <c r="S3172" s="2">
        <v>45582</v>
      </c>
      <c r="T3172" s="1">
        <v>52.65</v>
      </c>
      <c r="U3172" s="1">
        <v>0.63500000000000001</v>
      </c>
      <c r="V3172" s="6">
        <f t="shared" si="147"/>
        <v>27990.82</v>
      </c>
      <c r="W3172" s="6" t="str">
        <f t="shared" si="148"/>
        <v>Sufficient</v>
      </c>
      <c r="X3172" s="8" t="str">
        <f t="shared" si="149"/>
        <v>High</v>
      </c>
    </row>
    <row r="3173" spans="1:24">
      <c r="A3173" s="7" t="s">
        <v>3303</v>
      </c>
      <c r="B3173" s="1" t="s">
        <v>41</v>
      </c>
      <c r="C3173" s="1">
        <v>173</v>
      </c>
      <c r="D3173" s="1">
        <v>19</v>
      </c>
      <c r="E3173" s="1">
        <v>9</v>
      </c>
      <c r="F3173" s="1">
        <v>4</v>
      </c>
      <c r="G3173" s="1">
        <v>1.18</v>
      </c>
      <c r="H3173" s="1" t="s">
        <v>274</v>
      </c>
      <c r="I3173" s="1" t="s">
        <v>27</v>
      </c>
      <c r="J3173" s="1">
        <v>104</v>
      </c>
      <c r="K3173" s="1">
        <v>3.85</v>
      </c>
      <c r="L3173" s="4">
        <v>13.52</v>
      </c>
      <c r="M3173" s="1">
        <v>0.7</v>
      </c>
      <c r="N3173" s="1">
        <v>6</v>
      </c>
      <c r="O3173" s="1">
        <v>0.83</v>
      </c>
      <c r="P3173" s="1">
        <v>473</v>
      </c>
      <c r="Q3173" s="1">
        <v>1.77</v>
      </c>
      <c r="R3173" s="1">
        <v>0.96</v>
      </c>
      <c r="S3173" s="2">
        <v>45316</v>
      </c>
      <c r="T3173" s="1">
        <v>285.57</v>
      </c>
      <c r="U3173" s="1">
        <v>0.59199999999999997</v>
      </c>
      <c r="V3173" s="6">
        <f t="shared" si="147"/>
        <v>2338.96</v>
      </c>
      <c r="W3173" s="6" t="str">
        <f t="shared" si="148"/>
        <v>Sufficient</v>
      </c>
      <c r="X3173" s="8" t="str">
        <f t="shared" si="149"/>
        <v>Medium</v>
      </c>
    </row>
    <row r="3174" spans="1:24">
      <c r="A3174" s="7" t="s">
        <v>3304</v>
      </c>
      <c r="B3174" s="1" t="s">
        <v>25</v>
      </c>
      <c r="C3174" s="1">
        <v>61</v>
      </c>
      <c r="D3174" s="1">
        <v>80</v>
      </c>
      <c r="E3174" s="1">
        <v>12</v>
      </c>
      <c r="F3174" s="1">
        <v>7</v>
      </c>
      <c r="G3174" s="1">
        <v>13.43</v>
      </c>
      <c r="H3174" s="1" t="s">
        <v>214</v>
      </c>
      <c r="I3174" s="1" t="s">
        <v>27</v>
      </c>
      <c r="J3174" s="1">
        <v>109</v>
      </c>
      <c r="K3174" s="1">
        <v>0.59</v>
      </c>
      <c r="L3174" s="4">
        <v>123.59</v>
      </c>
      <c r="M3174" s="1">
        <v>0.9</v>
      </c>
      <c r="N3174" s="1">
        <v>5</v>
      </c>
      <c r="O3174" s="1">
        <v>0.9</v>
      </c>
      <c r="P3174" s="1">
        <v>177</v>
      </c>
      <c r="Q3174" s="1">
        <v>10.43</v>
      </c>
      <c r="R3174" s="1">
        <v>0.61</v>
      </c>
      <c r="S3174" s="2">
        <v>45495</v>
      </c>
      <c r="T3174" s="1">
        <v>129.19</v>
      </c>
      <c r="U3174" s="1">
        <v>0.65100000000000002</v>
      </c>
      <c r="V3174" s="6">
        <f t="shared" si="147"/>
        <v>7538.99</v>
      </c>
      <c r="W3174" s="6" t="str">
        <f t="shared" si="148"/>
        <v>Reorder Required</v>
      </c>
      <c r="X3174" s="8" t="str">
        <f t="shared" si="149"/>
        <v>LOW</v>
      </c>
    </row>
    <row r="3175" spans="1:24">
      <c r="A3175" s="7" t="s">
        <v>3305</v>
      </c>
      <c r="B3175" s="1" t="s">
        <v>33</v>
      </c>
      <c r="C3175" s="1">
        <v>430</v>
      </c>
      <c r="D3175" s="1">
        <v>64</v>
      </c>
      <c r="E3175" s="1">
        <v>12</v>
      </c>
      <c r="F3175" s="1">
        <v>5</v>
      </c>
      <c r="G3175" s="1">
        <v>25.2</v>
      </c>
      <c r="H3175" s="1" t="s">
        <v>85</v>
      </c>
      <c r="I3175" s="1" t="s">
        <v>39</v>
      </c>
      <c r="J3175" s="1">
        <v>100</v>
      </c>
      <c r="K3175" s="1">
        <v>4.66</v>
      </c>
      <c r="L3175" s="4">
        <v>16.02</v>
      </c>
      <c r="M3175" s="1">
        <v>0.98</v>
      </c>
      <c r="N3175" s="1">
        <v>0</v>
      </c>
      <c r="O3175" s="1">
        <v>0.8</v>
      </c>
      <c r="P3175" s="1">
        <v>538</v>
      </c>
      <c r="Q3175" s="1">
        <v>2.11</v>
      </c>
      <c r="R3175" s="1">
        <v>0.79</v>
      </c>
      <c r="S3175" s="2">
        <v>45342</v>
      </c>
      <c r="T3175" s="1">
        <v>294.18</v>
      </c>
      <c r="U3175" s="1">
        <v>0.64800000000000002</v>
      </c>
      <c r="V3175" s="6">
        <f t="shared" si="147"/>
        <v>6888.5999999999995</v>
      </c>
      <c r="W3175" s="6" t="str">
        <f t="shared" si="148"/>
        <v>Sufficient</v>
      </c>
      <c r="X3175" s="8" t="str">
        <f t="shared" si="149"/>
        <v>High</v>
      </c>
    </row>
    <row r="3176" spans="1:24">
      <c r="A3176" s="7" t="s">
        <v>3306</v>
      </c>
      <c r="B3176" s="1" t="s">
        <v>25</v>
      </c>
      <c r="C3176" s="1">
        <v>30</v>
      </c>
      <c r="D3176" s="1">
        <v>10</v>
      </c>
      <c r="E3176" s="1">
        <v>4</v>
      </c>
      <c r="F3176" s="1">
        <v>4</v>
      </c>
      <c r="G3176" s="1">
        <v>31.32</v>
      </c>
      <c r="H3176" s="1" t="s">
        <v>88</v>
      </c>
      <c r="I3176" s="1" t="s">
        <v>31</v>
      </c>
      <c r="J3176" s="1">
        <v>53</v>
      </c>
      <c r="K3176" s="1">
        <v>4.24</v>
      </c>
      <c r="L3176" s="4">
        <v>112.45</v>
      </c>
      <c r="M3176" s="1">
        <v>0.94</v>
      </c>
      <c r="N3176" s="1">
        <v>9</v>
      </c>
      <c r="O3176" s="1">
        <v>0.85</v>
      </c>
      <c r="P3176" s="1">
        <v>54</v>
      </c>
      <c r="Q3176" s="1">
        <v>8.7899999999999991</v>
      </c>
      <c r="R3176" s="1">
        <v>0.61</v>
      </c>
      <c r="S3176" s="2">
        <v>45645</v>
      </c>
      <c r="T3176" s="1">
        <v>29.7</v>
      </c>
      <c r="U3176" s="1">
        <v>0.53500000000000003</v>
      </c>
      <c r="V3176" s="6">
        <f t="shared" si="147"/>
        <v>3373.5</v>
      </c>
      <c r="W3176" s="6" t="str">
        <f t="shared" si="148"/>
        <v>Sufficient</v>
      </c>
      <c r="X3176" s="8" t="str">
        <f t="shared" si="149"/>
        <v>LOW</v>
      </c>
    </row>
    <row r="3177" spans="1:24">
      <c r="A3177" s="7" t="s">
        <v>3307</v>
      </c>
      <c r="B3177" s="1" t="s">
        <v>29</v>
      </c>
      <c r="C3177" s="1">
        <v>313</v>
      </c>
      <c r="D3177" s="1">
        <v>58</v>
      </c>
      <c r="E3177" s="1">
        <v>5</v>
      </c>
      <c r="F3177" s="1">
        <v>5</v>
      </c>
      <c r="G3177" s="1">
        <v>4.21</v>
      </c>
      <c r="H3177" s="1" t="s">
        <v>411</v>
      </c>
      <c r="I3177" s="1" t="s">
        <v>39</v>
      </c>
      <c r="J3177" s="1">
        <v>137</v>
      </c>
      <c r="K3177" s="1">
        <v>1.74</v>
      </c>
      <c r="L3177" s="4">
        <v>97</v>
      </c>
      <c r="M3177" s="1">
        <v>1.1000000000000001</v>
      </c>
      <c r="N3177" s="1">
        <v>7</v>
      </c>
      <c r="O3177" s="1">
        <v>0.79</v>
      </c>
      <c r="P3177" s="1">
        <v>375</v>
      </c>
      <c r="Q3177" s="1">
        <v>7.97</v>
      </c>
      <c r="R3177" s="1">
        <v>0.82</v>
      </c>
      <c r="S3177" s="2">
        <v>45375</v>
      </c>
      <c r="T3177" s="1">
        <v>239.38</v>
      </c>
      <c r="U3177" s="1">
        <v>0.57799999999999996</v>
      </c>
      <c r="V3177" s="6">
        <f t="shared" si="147"/>
        <v>30361</v>
      </c>
      <c r="W3177" s="6" t="str">
        <f t="shared" si="148"/>
        <v>Sufficient</v>
      </c>
      <c r="X3177" s="8" t="str">
        <f t="shared" si="149"/>
        <v>High</v>
      </c>
    </row>
    <row r="3178" spans="1:24">
      <c r="A3178" s="7" t="s">
        <v>3308</v>
      </c>
      <c r="B3178" s="1" t="s">
        <v>33</v>
      </c>
      <c r="C3178" s="1">
        <v>117</v>
      </c>
      <c r="D3178" s="1">
        <v>45</v>
      </c>
      <c r="E3178" s="1">
        <v>5</v>
      </c>
      <c r="F3178" s="1">
        <v>8</v>
      </c>
      <c r="G3178" s="1">
        <v>35.549999999999997</v>
      </c>
      <c r="H3178" s="1" t="s">
        <v>106</v>
      </c>
      <c r="I3178" s="1" t="s">
        <v>39</v>
      </c>
      <c r="J3178" s="1">
        <v>32</v>
      </c>
      <c r="K3178" s="1">
        <v>2.99</v>
      </c>
      <c r="L3178" s="4">
        <v>56.08</v>
      </c>
      <c r="M3178" s="1">
        <v>1.73</v>
      </c>
      <c r="N3178" s="1">
        <v>4</v>
      </c>
      <c r="O3178" s="1">
        <v>0.72</v>
      </c>
      <c r="P3178" s="1">
        <v>747</v>
      </c>
      <c r="Q3178" s="1">
        <v>14.24</v>
      </c>
      <c r="R3178" s="1">
        <v>0.63</v>
      </c>
      <c r="S3178" s="2">
        <v>45322</v>
      </c>
      <c r="T3178" s="1">
        <v>147.28</v>
      </c>
      <c r="U3178" s="1">
        <v>0.60699999999999998</v>
      </c>
      <c r="V3178" s="6">
        <f t="shared" si="147"/>
        <v>6561.36</v>
      </c>
      <c r="W3178" s="6" t="str">
        <f t="shared" si="148"/>
        <v>Sufficient</v>
      </c>
      <c r="X3178" s="8" t="str">
        <f t="shared" si="149"/>
        <v>Medium</v>
      </c>
    </row>
    <row r="3179" spans="1:24">
      <c r="A3179" s="7" t="s">
        <v>3309</v>
      </c>
      <c r="B3179" s="1" t="s">
        <v>66</v>
      </c>
      <c r="C3179" s="1">
        <v>446</v>
      </c>
      <c r="D3179" s="1">
        <v>30</v>
      </c>
      <c r="E3179" s="1">
        <v>8</v>
      </c>
      <c r="F3179" s="1">
        <v>6</v>
      </c>
      <c r="G3179" s="1">
        <v>27.63</v>
      </c>
      <c r="H3179" s="1" t="s">
        <v>309</v>
      </c>
      <c r="I3179" s="1" t="s">
        <v>31</v>
      </c>
      <c r="J3179" s="1">
        <v>32</v>
      </c>
      <c r="K3179" s="1">
        <v>3.27</v>
      </c>
      <c r="L3179" s="4">
        <v>72.66</v>
      </c>
      <c r="M3179" s="1">
        <v>1.3</v>
      </c>
      <c r="N3179" s="1">
        <v>3</v>
      </c>
      <c r="O3179" s="1">
        <v>0.74</v>
      </c>
      <c r="P3179" s="1">
        <v>221</v>
      </c>
      <c r="Q3179" s="1">
        <v>2.85</v>
      </c>
      <c r="R3179" s="1">
        <v>0.76</v>
      </c>
      <c r="S3179" s="2">
        <v>45402</v>
      </c>
      <c r="T3179" s="1">
        <v>93.95</v>
      </c>
      <c r="U3179" s="1">
        <v>0.54800000000000004</v>
      </c>
      <c r="V3179" s="6">
        <f t="shared" si="147"/>
        <v>32406.359999999997</v>
      </c>
      <c r="W3179" s="6" t="str">
        <f t="shared" si="148"/>
        <v>Sufficient</v>
      </c>
      <c r="X3179" s="8" t="str">
        <f t="shared" si="149"/>
        <v>High</v>
      </c>
    </row>
    <row r="3180" spans="1:24">
      <c r="A3180" s="7" t="s">
        <v>3310</v>
      </c>
      <c r="B3180" s="1" t="s">
        <v>25</v>
      </c>
      <c r="C3180" s="1">
        <v>294</v>
      </c>
      <c r="D3180" s="1">
        <v>46</v>
      </c>
      <c r="E3180" s="1">
        <v>5</v>
      </c>
      <c r="F3180" s="1">
        <v>2</v>
      </c>
      <c r="G3180" s="1">
        <v>26.76</v>
      </c>
      <c r="H3180" s="1" t="s">
        <v>113</v>
      </c>
      <c r="I3180" s="1" t="s">
        <v>31</v>
      </c>
      <c r="J3180" s="1">
        <v>64</v>
      </c>
      <c r="K3180" s="1">
        <v>1.0900000000000001</v>
      </c>
      <c r="L3180" s="4">
        <v>144.08000000000001</v>
      </c>
      <c r="M3180" s="1">
        <v>0.13</v>
      </c>
      <c r="N3180" s="1">
        <v>4</v>
      </c>
      <c r="O3180" s="1">
        <v>0.79</v>
      </c>
      <c r="P3180" s="1">
        <v>248</v>
      </c>
      <c r="Q3180" s="1">
        <v>1.1299999999999999</v>
      </c>
      <c r="R3180" s="1">
        <v>0.75</v>
      </c>
      <c r="S3180" s="2">
        <v>45422</v>
      </c>
      <c r="T3180" s="1">
        <v>226.89</v>
      </c>
      <c r="U3180" s="1">
        <v>0.63</v>
      </c>
      <c r="V3180" s="6">
        <f t="shared" si="147"/>
        <v>42359.520000000004</v>
      </c>
      <c r="W3180" s="6" t="str">
        <f t="shared" si="148"/>
        <v>Sufficient</v>
      </c>
      <c r="X3180" s="8" t="str">
        <f t="shared" si="149"/>
        <v>High</v>
      </c>
    </row>
    <row r="3181" spans="1:24">
      <c r="A3181" s="7" t="s">
        <v>3311</v>
      </c>
      <c r="B3181" s="1" t="s">
        <v>29</v>
      </c>
      <c r="C3181" s="1">
        <v>467</v>
      </c>
      <c r="D3181" s="1">
        <v>33</v>
      </c>
      <c r="E3181" s="1">
        <v>13</v>
      </c>
      <c r="F3181" s="1">
        <v>3</v>
      </c>
      <c r="G3181" s="1">
        <v>15.31</v>
      </c>
      <c r="H3181" s="1" t="s">
        <v>440</v>
      </c>
      <c r="I3181" s="1" t="s">
        <v>39</v>
      </c>
      <c r="J3181" s="1">
        <v>170</v>
      </c>
      <c r="K3181" s="1">
        <v>1.64</v>
      </c>
      <c r="L3181" s="4">
        <v>11.82</v>
      </c>
      <c r="M3181" s="1">
        <v>0.43</v>
      </c>
      <c r="N3181" s="1">
        <v>4</v>
      </c>
      <c r="O3181" s="1">
        <v>0.99</v>
      </c>
      <c r="P3181" s="1">
        <v>280</v>
      </c>
      <c r="Q3181" s="1">
        <v>2.92</v>
      </c>
      <c r="R3181" s="1">
        <v>0.63</v>
      </c>
      <c r="S3181" s="2">
        <v>45535</v>
      </c>
      <c r="T3181" s="1">
        <v>194.25</v>
      </c>
      <c r="U3181" s="1">
        <v>0.64</v>
      </c>
      <c r="V3181" s="6">
        <f t="shared" si="147"/>
        <v>5519.9400000000005</v>
      </c>
      <c r="W3181" s="6" t="str">
        <f t="shared" si="148"/>
        <v>Sufficient</v>
      </c>
      <c r="X3181" s="8" t="str">
        <f t="shared" si="149"/>
        <v>High</v>
      </c>
    </row>
    <row r="3182" spans="1:24">
      <c r="A3182" s="7" t="s">
        <v>3312</v>
      </c>
      <c r="B3182" s="1" t="s">
        <v>66</v>
      </c>
      <c r="C3182" s="1">
        <v>409</v>
      </c>
      <c r="D3182" s="1">
        <v>64</v>
      </c>
      <c r="E3182" s="1">
        <v>7</v>
      </c>
      <c r="F3182" s="1">
        <v>3</v>
      </c>
      <c r="G3182" s="1">
        <v>30.15</v>
      </c>
      <c r="H3182" s="1" t="s">
        <v>256</v>
      </c>
      <c r="I3182" s="1" t="s">
        <v>31</v>
      </c>
      <c r="J3182" s="1">
        <v>86</v>
      </c>
      <c r="K3182" s="1">
        <v>0.6</v>
      </c>
      <c r="L3182" s="4">
        <v>70.16</v>
      </c>
      <c r="M3182" s="1">
        <v>0.76</v>
      </c>
      <c r="N3182" s="1">
        <v>9</v>
      </c>
      <c r="O3182" s="1">
        <v>0.99</v>
      </c>
      <c r="P3182" s="1">
        <v>849</v>
      </c>
      <c r="Q3182" s="1">
        <v>3.39</v>
      </c>
      <c r="R3182" s="1">
        <v>0.38</v>
      </c>
      <c r="S3182" s="2">
        <v>45614</v>
      </c>
      <c r="T3182" s="1">
        <v>271.83999999999997</v>
      </c>
      <c r="U3182" s="1">
        <v>0.46300000000000002</v>
      </c>
      <c r="V3182" s="6">
        <f t="shared" si="147"/>
        <v>28695.439999999999</v>
      </c>
      <c r="W3182" s="6" t="str">
        <f t="shared" si="148"/>
        <v>Sufficient</v>
      </c>
      <c r="X3182" s="8" t="str">
        <f t="shared" si="149"/>
        <v>High</v>
      </c>
    </row>
    <row r="3183" spans="1:24">
      <c r="A3183" s="7" t="s">
        <v>3313</v>
      </c>
      <c r="B3183" s="1" t="s">
        <v>66</v>
      </c>
      <c r="C3183" s="1">
        <v>449</v>
      </c>
      <c r="D3183" s="1">
        <v>34</v>
      </c>
      <c r="E3183" s="1">
        <v>6</v>
      </c>
      <c r="F3183" s="1">
        <v>5</v>
      </c>
      <c r="G3183" s="1">
        <v>2.35</v>
      </c>
      <c r="H3183" s="1" t="s">
        <v>130</v>
      </c>
      <c r="I3183" s="1" t="s">
        <v>27</v>
      </c>
      <c r="J3183" s="1">
        <v>72</v>
      </c>
      <c r="K3183" s="1">
        <v>4.3899999999999997</v>
      </c>
      <c r="L3183" s="4">
        <v>139.26</v>
      </c>
      <c r="M3183" s="1">
        <v>1.9</v>
      </c>
      <c r="N3183" s="1">
        <v>2</v>
      </c>
      <c r="O3183" s="1">
        <v>0.95</v>
      </c>
      <c r="P3183" s="1">
        <v>896</v>
      </c>
      <c r="Q3183" s="1">
        <v>4.51</v>
      </c>
      <c r="R3183" s="1">
        <v>0.37</v>
      </c>
      <c r="S3183" s="2">
        <v>45341</v>
      </c>
      <c r="T3183" s="1">
        <v>82.15</v>
      </c>
      <c r="U3183" s="1">
        <v>0.49399999999999999</v>
      </c>
      <c r="V3183" s="6">
        <f t="shared" si="147"/>
        <v>62527.74</v>
      </c>
      <c r="W3183" s="6" t="str">
        <f t="shared" si="148"/>
        <v>Sufficient</v>
      </c>
      <c r="X3183" s="8" t="str">
        <f t="shared" si="149"/>
        <v>High</v>
      </c>
    </row>
    <row r="3184" spans="1:24">
      <c r="A3184" s="7" t="s">
        <v>3314</v>
      </c>
      <c r="B3184" s="1" t="s">
        <v>66</v>
      </c>
      <c r="C3184" s="1">
        <v>391</v>
      </c>
      <c r="D3184" s="1">
        <v>16</v>
      </c>
      <c r="E3184" s="1">
        <v>5</v>
      </c>
      <c r="F3184" s="1">
        <v>7</v>
      </c>
      <c r="G3184" s="1">
        <v>4.17</v>
      </c>
      <c r="H3184" s="1" t="s">
        <v>350</v>
      </c>
      <c r="I3184" s="1" t="s">
        <v>45</v>
      </c>
      <c r="J3184" s="1">
        <v>112</v>
      </c>
      <c r="K3184" s="1">
        <v>0.61</v>
      </c>
      <c r="L3184" s="4">
        <v>38.93</v>
      </c>
      <c r="M3184" s="1">
        <v>0.25</v>
      </c>
      <c r="N3184" s="1">
        <v>3</v>
      </c>
      <c r="O3184" s="1">
        <v>0.77</v>
      </c>
      <c r="P3184" s="1">
        <v>676</v>
      </c>
      <c r="Q3184" s="1">
        <v>12.41</v>
      </c>
      <c r="R3184" s="1">
        <v>0.9</v>
      </c>
      <c r="S3184" s="2">
        <v>45522</v>
      </c>
      <c r="T3184" s="1">
        <v>282.52999999999997</v>
      </c>
      <c r="U3184" s="1">
        <v>0.81399999999999995</v>
      </c>
      <c r="V3184" s="6">
        <f t="shared" si="147"/>
        <v>15221.63</v>
      </c>
      <c r="W3184" s="6" t="str">
        <f t="shared" si="148"/>
        <v>Sufficient</v>
      </c>
      <c r="X3184" s="8" t="str">
        <f t="shared" si="149"/>
        <v>High</v>
      </c>
    </row>
    <row r="3185" spans="1:24">
      <c r="A3185" s="7" t="s">
        <v>3315</v>
      </c>
      <c r="B3185" s="1" t="s">
        <v>66</v>
      </c>
      <c r="C3185" s="1">
        <v>249</v>
      </c>
      <c r="D3185" s="1">
        <v>90</v>
      </c>
      <c r="E3185" s="1">
        <v>10</v>
      </c>
      <c r="F3185" s="1">
        <v>7</v>
      </c>
      <c r="G3185" s="1">
        <v>36.96</v>
      </c>
      <c r="H3185" s="1" t="s">
        <v>333</v>
      </c>
      <c r="I3185" s="1" t="s">
        <v>31</v>
      </c>
      <c r="J3185" s="1">
        <v>69</v>
      </c>
      <c r="K3185" s="1">
        <v>1.93</v>
      </c>
      <c r="L3185" s="4">
        <v>116.47</v>
      </c>
      <c r="M3185" s="1">
        <v>1.45</v>
      </c>
      <c r="N3185" s="1">
        <v>3</v>
      </c>
      <c r="O3185" s="1">
        <v>0.83</v>
      </c>
      <c r="P3185" s="1">
        <v>382</v>
      </c>
      <c r="Q3185" s="1">
        <v>6.28</v>
      </c>
      <c r="R3185" s="1">
        <v>0.3</v>
      </c>
      <c r="S3185" s="2">
        <v>45463</v>
      </c>
      <c r="T3185" s="1">
        <v>196.14</v>
      </c>
      <c r="U3185" s="1">
        <v>0.505</v>
      </c>
      <c r="V3185" s="6">
        <f t="shared" si="147"/>
        <v>29001.03</v>
      </c>
      <c r="W3185" s="6" t="str">
        <f t="shared" si="148"/>
        <v>Sufficient</v>
      </c>
      <c r="X3185" s="8" t="str">
        <f t="shared" si="149"/>
        <v>Medium</v>
      </c>
    </row>
    <row r="3186" spans="1:24">
      <c r="A3186" s="7" t="s">
        <v>3316</v>
      </c>
      <c r="B3186" s="1" t="s">
        <v>33</v>
      </c>
      <c r="C3186" s="1">
        <v>388</v>
      </c>
      <c r="D3186" s="1">
        <v>80</v>
      </c>
      <c r="E3186" s="1">
        <v>12</v>
      </c>
      <c r="F3186" s="1">
        <v>5</v>
      </c>
      <c r="G3186" s="1">
        <v>16.77</v>
      </c>
      <c r="H3186" s="1" t="s">
        <v>44</v>
      </c>
      <c r="I3186" s="1" t="s">
        <v>45</v>
      </c>
      <c r="J3186" s="1">
        <v>89</v>
      </c>
      <c r="K3186" s="1">
        <v>0.85</v>
      </c>
      <c r="L3186" s="4">
        <v>42.1</v>
      </c>
      <c r="M3186" s="1">
        <v>0.16</v>
      </c>
      <c r="N3186" s="1">
        <v>7</v>
      </c>
      <c r="O3186" s="1">
        <v>0.83</v>
      </c>
      <c r="P3186" s="1">
        <v>515</v>
      </c>
      <c r="Q3186" s="1">
        <v>12.77</v>
      </c>
      <c r="R3186" s="1">
        <v>0.65</v>
      </c>
      <c r="S3186" s="2">
        <v>45425</v>
      </c>
      <c r="T3186" s="1">
        <v>140.63</v>
      </c>
      <c r="U3186" s="1">
        <v>0.71</v>
      </c>
      <c r="V3186" s="6">
        <f t="shared" si="147"/>
        <v>16334.800000000001</v>
      </c>
      <c r="W3186" s="6" t="str">
        <f t="shared" si="148"/>
        <v>Sufficient</v>
      </c>
      <c r="X3186" s="8" t="str">
        <f t="shared" si="149"/>
        <v>High</v>
      </c>
    </row>
    <row r="3187" spans="1:24">
      <c r="A3187" s="7" t="s">
        <v>3317</v>
      </c>
      <c r="B3187" s="1" t="s">
        <v>33</v>
      </c>
      <c r="C3187" s="1">
        <v>445</v>
      </c>
      <c r="D3187" s="1">
        <v>80</v>
      </c>
      <c r="E3187" s="1">
        <v>5</v>
      </c>
      <c r="F3187" s="1">
        <v>4</v>
      </c>
      <c r="G3187" s="1">
        <v>18</v>
      </c>
      <c r="H3187" s="1" t="s">
        <v>309</v>
      </c>
      <c r="I3187" s="1" t="s">
        <v>27</v>
      </c>
      <c r="J3187" s="1">
        <v>104</v>
      </c>
      <c r="K3187" s="1">
        <v>4.0199999999999996</v>
      </c>
      <c r="L3187" s="4">
        <v>39.4</v>
      </c>
      <c r="M3187" s="1">
        <v>0.79</v>
      </c>
      <c r="N3187" s="1">
        <v>4</v>
      </c>
      <c r="O3187" s="1">
        <v>0.82</v>
      </c>
      <c r="P3187" s="1">
        <v>891</v>
      </c>
      <c r="Q3187" s="1">
        <v>4.8099999999999996</v>
      </c>
      <c r="R3187" s="1">
        <v>0.6</v>
      </c>
      <c r="S3187" s="2">
        <v>45476</v>
      </c>
      <c r="T3187" s="1">
        <v>25.41</v>
      </c>
      <c r="U3187" s="1">
        <v>0.58899999999999997</v>
      </c>
      <c r="V3187" s="6">
        <f t="shared" si="147"/>
        <v>17533</v>
      </c>
      <c r="W3187" s="6" t="str">
        <f t="shared" si="148"/>
        <v>Sufficient</v>
      </c>
      <c r="X3187" s="8" t="str">
        <f t="shared" si="149"/>
        <v>High</v>
      </c>
    </row>
    <row r="3188" spans="1:24">
      <c r="A3188" s="7" t="s">
        <v>3318</v>
      </c>
      <c r="B3188" s="1" t="s">
        <v>33</v>
      </c>
      <c r="C3188" s="1">
        <v>239</v>
      </c>
      <c r="D3188" s="1">
        <v>33</v>
      </c>
      <c r="E3188" s="1">
        <v>8</v>
      </c>
      <c r="F3188" s="1">
        <v>3</v>
      </c>
      <c r="G3188" s="1">
        <v>11.21</v>
      </c>
      <c r="H3188" s="1" t="s">
        <v>151</v>
      </c>
      <c r="I3188" s="1" t="s">
        <v>31</v>
      </c>
      <c r="J3188" s="1">
        <v>78</v>
      </c>
      <c r="K3188" s="1">
        <v>4.66</v>
      </c>
      <c r="L3188" s="4">
        <v>156.72999999999999</v>
      </c>
      <c r="M3188" s="1">
        <v>1.56</v>
      </c>
      <c r="N3188" s="1">
        <v>5</v>
      </c>
      <c r="O3188" s="1">
        <v>0.71</v>
      </c>
      <c r="P3188" s="1">
        <v>473</v>
      </c>
      <c r="Q3188" s="1">
        <v>13.05</v>
      </c>
      <c r="R3188" s="1">
        <v>0.84</v>
      </c>
      <c r="S3188" s="2">
        <v>45476</v>
      </c>
      <c r="T3188" s="1">
        <v>231.9</v>
      </c>
      <c r="U3188" s="1">
        <v>0.628</v>
      </c>
      <c r="V3188" s="6">
        <f t="shared" si="147"/>
        <v>37458.47</v>
      </c>
      <c r="W3188" s="6" t="str">
        <f t="shared" si="148"/>
        <v>Sufficient</v>
      </c>
      <c r="X3188" s="8" t="str">
        <f t="shared" si="149"/>
        <v>Medium</v>
      </c>
    </row>
    <row r="3189" spans="1:24">
      <c r="A3189" s="7" t="s">
        <v>3319</v>
      </c>
      <c r="B3189" s="1" t="s">
        <v>29</v>
      </c>
      <c r="C3189" s="1">
        <v>84</v>
      </c>
      <c r="D3189" s="1">
        <v>20</v>
      </c>
      <c r="E3189" s="1">
        <v>9</v>
      </c>
      <c r="F3189" s="1">
        <v>4</v>
      </c>
      <c r="G3189" s="1">
        <v>22.84</v>
      </c>
      <c r="H3189" s="1" t="s">
        <v>233</v>
      </c>
      <c r="I3189" s="1" t="s">
        <v>39</v>
      </c>
      <c r="J3189" s="1">
        <v>123</v>
      </c>
      <c r="K3189" s="1">
        <v>3.03</v>
      </c>
      <c r="L3189" s="4">
        <v>60.64</v>
      </c>
      <c r="M3189" s="1">
        <v>0.75</v>
      </c>
      <c r="N3189" s="1">
        <v>9</v>
      </c>
      <c r="O3189" s="1">
        <v>0.86</v>
      </c>
      <c r="P3189" s="1">
        <v>362</v>
      </c>
      <c r="Q3189" s="1">
        <v>1.1100000000000001</v>
      </c>
      <c r="R3189" s="1">
        <v>0.31</v>
      </c>
      <c r="S3189" s="2">
        <v>45578</v>
      </c>
      <c r="T3189" s="1">
        <v>258.94</v>
      </c>
      <c r="U3189" s="1">
        <v>0.39400000000000002</v>
      </c>
      <c r="V3189" s="6">
        <f t="shared" si="147"/>
        <v>5093.76</v>
      </c>
      <c r="W3189" s="6" t="str">
        <f t="shared" si="148"/>
        <v>Sufficient</v>
      </c>
      <c r="X3189" s="8" t="str">
        <f t="shared" si="149"/>
        <v>LOW</v>
      </c>
    </row>
    <row r="3190" spans="1:24">
      <c r="A3190" s="7" t="s">
        <v>3320</v>
      </c>
      <c r="B3190" s="1" t="s">
        <v>29</v>
      </c>
      <c r="C3190" s="1">
        <v>374</v>
      </c>
      <c r="D3190" s="1">
        <v>82</v>
      </c>
      <c r="E3190" s="1">
        <v>9</v>
      </c>
      <c r="F3190" s="1">
        <v>6</v>
      </c>
      <c r="G3190" s="1">
        <v>3.55</v>
      </c>
      <c r="H3190" s="1" t="s">
        <v>195</v>
      </c>
      <c r="I3190" s="1" t="s">
        <v>39</v>
      </c>
      <c r="J3190" s="1">
        <v>113</v>
      </c>
      <c r="K3190" s="1">
        <v>1.1299999999999999</v>
      </c>
      <c r="L3190" s="4">
        <v>81.400000000000006</v>
      </c>
      <c r="M3190" s="1">
        <v>0.92</v>
      </c>
      <c r="N3190" s="1">
        <v>1</v>
      </c>
      <c r="O3190" s="1">
        <v>0.72</v>
      </c>
      <c r="P3190" s="1">
        <v>572</v>
      </c>
      <c r="Q3190" s="1">
        <v>14.08</v>
      </c>
      <c r="R3190" s="1">
        <v>0.75</v>
      </c>
      <c r="S3190" s="2">
        <v>45577</v>
      </c>
      <c r="T3190" s="1">
        <v>244.78</v>
      </c>
      <c r="U3190" s="1">
        <v>0.77</v>
      </c>
      <c r="V3190" s="6">
        <f t="shared" si="147"/>
        <v>30443.600000000002</v>
      </c>
      <c r="W3190" s="6" t="str">
        <f t="shared" si="148"/>
        <v>Sufficient</v>
      </c>
      <c r="X3190" s="8" t="str">
        <f t="shared" si="149"/>
        <v>High</v>
      </c>
    </row>
    <row r="3191" spans="1:24">
      <c r="A3191" s="7" t="s">
        <v>3321</v>
      </c>
      <c r="B3191" s="1" t="s">
        <v>29</v>
      </c>
      <c r="C3191" s="1">
        <v>251</v>
      </c>
      <c r="D3191" s="1">
        <v>21</v>
      </c>
      <c r="E3191" s="1">
        <v>4</v>
      </c>
      <c r="F3191" s="1">
        <v>3</v>
      </c>
      <c r="G3191" s="1">
        <v>15.72</v>
      </c>
      <c r="H3191" s="1" t="s">
        <v>210</v>
      </c>
      <c r="I3191" s="1" t="s">
        <v>27</v>
      </c>
      <c r="J3191" s="1">
        <v>117</v>
      </c>
      <c r="K3191" s="1">
        <v>3.01</v>
      </c>
      <c r="L3191" s="4">
        <v>148.69999999999999</v>
      </c>
      <c r="M3191" s="1">
        <v>1.82</v>
      </c>
      <c r="N3191" s="1">
        <v>8</v>
      </c>
      <c r="O3191" s="1">
        <v>0.94</v>
      </c>
      <c r="P3191" s="1">
        <v>473</v>
      </c>
      <c r="Q3191" s="1">
        <v>11.44</v>
      </c>
      <c r="R3191" s="1">
        <v>0.68</v>
      </c>
      <c r="S3191" s="2">
        <v>45423</v>
      </c>
      <c r="T3191" s="1">
        <v>223.34</v>
      </c>
      <c r="U3191" s="1">
        <v>0.53500000000000003</v>
      </c>
      <c r="V3191" s="6">
        <f t="shared" si="147"/>
        <v>37323.699999999997</v>
      </c>
      <c r="W3191" s="6" t="str">
        <f t="shared" si="148"/>
        <v>Sufficient</v>
      </c>
      <c r="X3191" s="8" t="str">
        <f t="shared" si="149"/>
        <v>High</v>
      </c>
    </row>
    <row r="3192" spans="1:24">
      <c r="A3192" s="7" t="s">
        <v>3322</v>
      </c>
      <c r="B3192" s="1" t="s">
        <v>41</v>
      </c>
      <c r="C3192" s="1">
        <v>347</v>
      </c>
      <c r="D3192" s="1">
        <v>44</v>
      </c>
      <c r="E3192" s="1">
        <v>5</v>
      </c>
      <c r="F3192" s="1">
        <v>6</v>
      </c>
      <c r="G3192" s="1">
        <v>26.83</v>
      </c>
      <c r="H3192" s="1" t="s">
        <v>77</v>
      </c>
      <c r="I3192" s="1" t="s">
        <v>31</v>
      </c>
      <c r="J3192" s="1">
        <v>98</v>
      </c>
      <c r="K3192" s="1">
        <v>3.97</v>
      </c>
      <c r="L3192" s="4">
        <v>44.11</v>
      </c>
      <c r="M3192" s="1">
        <v>0.23</v>
      </c>
      <c r="N3192" s="1">
        <v>7</v>
      </c>
      <c r="O3192" s="1">
        <v>0.91</v>
      </c>
      <c r="P3192" s="1">
        <v>665</v>
      </c>
      <c r="Q3192" s="1">
        <v>6.78</v>
      </c>
      <c r="R3192" s="1">
        <v>0.76</v>
      </c>
      <c r="S3192" s="2">
        <v>45468</v>
      </c>
      <c r="T3192" s="1">
        <v>291.13</v>
      </c>
      <c r="U3192" s="1">
        <v>0.66100000000000003</v>
      </c>
      <c r="V3192" s="6">
        <f t="shared" si="147"/>
        <v>15306.17</v>
      </c>
      <c r="W3192" s="6" t="str">
        <f t="shared" si="148"/>
        <v>Sufficient</v>
      </c>
      <c r="X3192" s="8" t="str">
        <f t="shared" si="149"/>
        <v>High</v>
      </c>
    </row>
    <row r="3193" spans="1:24">
      <c r="A3193" s="7" t="s">
        <v>3323</v>
      </c>
      <c r="B3193" s="1" t="s">
        <v>29</v>
      </c>
      <c r="C3193" s="1">
        <v>462</v>
      </c>
      <c r="D3193" s="1">
        <v>72</v>
      </c>
      <c r="E3193" s="1">
        <v>14</v>
      </c>
      <c r="F3193" s="1">
        <v>2</v>
      </c>
      <c r="G3193" s="1">
        <v>23.82</v>
      </c>
      <c r="H3193" s="1" t="s">
        <v>411</v>
      </c>
      <c r="I3193" s="1" t="s">
        <v>39</v>
      </c>
      <c r="J3193" s="1">
        <v>30</v>
      </c>
      <c r="K3193" s="1">
        <v>3.73</v>
      </c>
      <c r="L3193" s="4">
        <v>111.03</v>
      </c>
      <c r="M3193" s="1">
        <v>1.1000000000000001</v>
      </c>
      <c r="N3193" s="1">
        <v>7</v>
      </c>
      <c r="O3193" s="1">
        <v>0.81</v>
      </c>
      <c r="P3193" s="1">
        <v>224</v>
      </c>
      <c r="Q3193" s="1">
        <v>9.08</v>
      </c>
      <c r="R3193" s="1">
        <v>0.7</v>
      </c>
      <c r="S3193" s="2">
        <v>45302</v>
      </c>
      <c r="T3193" s="1">
        <v>256.24</v>
      </c>
      <c r="U3193" s="1">
        <v>0.57299999999999995</v>
      </c>
      <c r="V3193" s="6">
        <f t="shared" si="147"/>
        <v>51295.86</v>
      </c>
      <c r="W3193" s="6" t="str">
        <f t="shared" si="148"/>
        <v>Sufficient</v>
      </c>
      <c r="X3193" s="8" t="str">
        <f t="shared" si="149"/>
        <v>High</v>
      </c>
    </row>
    <row r="3194" spans="1:24">
      <c r="A3194" s="7" t="s">
        <v>3324</v>
      </c>
      <c r="B3194" s="1" t="s">
        <v>33</v>
      </c>
      <c r="C3194" s="1">
        <v>71</v>
      </c>
      <c r="D3194" s="1">
        <v>77</v>
      </c>
      <c r="E3194" s="1">
        <v>12</v>
      </c>
      <c r="F3194" s="1">
        <v>4</v>
      </c>
      <c r="G3194" s="1">
        <v>49.98</v>
      </c>
      <c r="H3194" s="1" t="s">
        <v>88</v>
      </c>
      <c r="I3194" s="1" t="s">
        <v>31</v>
      </c>
      <c r="J3194" s="1">
        <v>140</v>
      </c>
      <c r="K3194" s="1">
        <v>3.84</v>
      </c>
      <c r="L3194" s="4">
        <v>184.39</v>
      </c>
      <c r="M3194" s="1">
        <v>0.8</v>
      </c>
      <c r="N3194" s="1">
        <v>9</v>
      </c>
      <c r="O3194" s="1">
        <v>0.89</v>
      </c>
      <c r="P3194" s="1">
        <v>947</v>
      </c>
      <c r="Q3194" s="1">
        <v>14.06</v>
      </c>
      <c r="R3194" s="1">
        <v>0.65</v>
      </c>
      <c r="S3194" s="2">
        <v>45502</v>
      </c>
      <c r="T3194" s="1">
        <v>279.08</v>
      </c>
      <c r="U3194" s="1">
        <v>0.63500000000000001</v>
      </c>
      <c r="V3194" s="6">
        <f t="shared" si="147"/>
        <v>13091.689999999999</v>
      </c>
      <c r="W3194" s="6" t="str">
        <f t="shared" si="148"/>
        <v>Reorder Required</v>
      </c>
      <c r="X3194" s="8" t="str">
        <f t="shared" si="149"/>
        <v>LOW</v>
      </c>
    </row>
    <row r="3195" spans="1:24">
      <c r="A3195" s="7" t="s">
        <v>3325</v>
      </c>
      <c r="B3195" s="1" t="s">
        <v>33</v>
      </c>
      <c r="C3195" s="1">
        <v>393</v>
      </c>
      <c r="D3195" s="1">
        <v>66</v>
      </c>
      <c r="E3195" s="1">
        <v>12</v>
      </c>
      <c r="F3195" s="1">
        <v>5</v>
      </c>
      <c r="G3195" s="1">
        <v>20.05</v>
      </c>
      <c r="H3195" s="1" t="s">
        <v>77</v>
      </c>
      <c r="I3195" s="1" t="s">
        <v>45</v>
      </c>
      <c r="J3195" s="1">
        <v>19</v>
      </c>
      <c r="K3195" s="1">
        <v>1.76</v>
      </c>
      <c r="L3195" s="4">
        <v>115.23</v>
      </c>
      <c r="M3195" s="1">
        <v>1.93</v>
      </c>
      <c r="N3195" s="1">
        <v>4</v>
      </c>
      <c r="O3195" s="1">
        <v>0.77</v>
      </c>
      <c r="P3195" s="1">
        <v>997</v>
      </c>
      <c r="Q3195" s="1">
        <v>9.16</v>
      </c>
      <c r="R3195" s="1">
        <v>0.94</v>
      </c>
      <c r="S3195" s="2">
        <v>45354</v>
      </c>
      <c r="T3195" s="1">
        <v>221.84</v>
      </c>
      <c r="U3195" s="1">
        <v>0.59099999999999997</v>
      </c>
      <c r="V3195" s="6">
        <f t="shared" si="147"/>
        <v>45285.39</v>
      </c>
      <c r="W3195" s="6" t="str">
        <f t="shared" si="148"/>
        <v>Sufficient</v>
      </c>
      <c r="X3195" s="8" t="str">
        <f t="shared" si="149"/>
        <v>High</v>
      </c>
    </row>
    <row r="3196" spans="1:24">
      <c r="A3196" s="7" t="s">
        <v>3326</v>
      </c>
      <c r="B3196" s="1" t="s">
        <v>41</v>
      </c>
      <c r="C3196" s="1">
        <v>450</v>
      </c>
      <c r="D3196" s="1">
        <v>22</v>
      </c>
      <c r="E3196" s="1">
        <v>6</v>
      </c>
      <c r="F3196" s="1">
        <v>3</v>
      </c>
      <c r="G3196" s="1">
        <v>19.96</v>
      </c>
      <c r="H3196" s="1" t="s">
        <v>274</v>
      </c>
      <c r="I3196" s="1" t="s">
        <v>39</v>
      </c>
      <c r="J3196" s="1">
        <v>96</v>
      </c>
      <c r="K3196" s="1">
        <v>0.83</v>
      </c>
      <c r="L3196" s="4">
        <v>19.28</v>
      </c>
      <c r="M3196" s="1">
        <v>1.61</v>
      </c>
      <c r="N3196" s="1">
        <v>4</v>
      </c>
      <c r="O3196" s="1">
        <v>0.78</v>
      </c>
      <c r="P3196" s="1">
        <v>423</v>
      </c>
      <c r="Q3196" s="1">
        <v>4.2</v>
      </c>
      <c r="R3196" s="1">
        <v>0.48</v>
      </c>
      <c r="S3196" s="2">
        <v>45471</v>
      </c>
      <c r="T3196" s="1">
        <v>247.86</v>
      </c>
      <c r="U3196" s="1">
        <v>0.46700000000000003</v>
      </c>
      <c r="V3196" s="6">
        <f t="shared" si="147"/>
        <v>8676</v>
      </c>
      <c r="W3196" s="6" t="str">
        <f t="shared" si="148"/>
        <v>Sufficient</v>
      </c>
      <c r="X3196" s="8" t="str">
        <f t="shared" si="149"/>
        <v>High</v>
      </c>
    </row>
    <row r="3197" spans="1:24">
      <c r="A3197" s="7" t="s">
        <v>3327</v>
      </c>
      <c r="B3197" s="1" t="s">
        <v>41</v>
      </c>
      <c r="C3197" s="1">
        <v>395</v>
      </c>
      <c r="D3197" s="1">
        <v>32</v>
      </c>
      <c r="E3197" s="1">
        <v>9</v>
      </c>
      <c r="F3197" s="1">
        <v>4</v>
      </c>
      <c r="G3197" s="1">
        <v>25.68</v>
      </c>
      <c r="H3197" s="1" t="s">
        <v>47</v>
      </c>
      <c r="I3197" s="1" t="s">
        <v>27</v>
      </c>
      <c r="J3197" s="1">
        <v>179</v>
      </c>
      <c r="K3197" s="1">
        <v>1.17</v>
      </c>
      <c r="L3197" s="4">
        <v>122.04</v>
      </c>
      <c r="M3197" s="1">
        <v>0.33</v>
      </c>
      <c r="N3197" s="1">
        <v>2</v>
      </c>
      <c r="O3197" s="1">
        <v>0.79</v>
      </c>
      <c r="P3197" s="1">
        <v>681</v>
      </c>
      <c r="Q3197" s="1">
        <v>9.02</v>
      </c>
      <c r="R3197" s="1">
        <v>0.35</v>
      </c>
      <c r="S3197" s="2">
        <v>45639</v>
      </c>
      <c r="T3197" s="1">
        <v>93.86</v>
      </c>
      <c r="U3197" s="1">
        <v>0.67500000000000004</v>
      </c>
      <c r="V3197" s="6">
        <f t="shared" si="147"/>
        <v>48205.8</v>
      </c>
      <c r="W3197" s="6" t="str">
        <f t="shared" si="148"/>
        <v>Sufficient</v>
      </c>
      <c r="X3197" s="8" t="str">
        <f t="shared" si="149"/>
        <v>High</v>
      </c>
    </row>
    <row r="3198" spans="1:24">
      <c r="A3198" s="7" t="s">
        <v>3328</v>
      </c>
      <c r="B3198" s="1" t="s">
        <v>29</v>
      </c>
      <c r="C3198" s="1">
        <v>282</v>
      </c>
      <c r="D3198" s="1">
        <v>92</v>
      </c>
      <c r="E3198" s="1">
        <v>4</v>
      </c>
      <c r="F3198" s="1">
        <v>5</v>
      </c>
      <c r="G3198" s="1">
        <v>10.32</v>
      </c>
      <c r="H3198" s="1" t="s">
        <v>269</v>
      </c>
      <c r="I3198" s="1" t="s">
        <v>39</v>
      </c>
      <c r="J3198" s="1">
        <v>100</v>
      </c>
      <c r="K3198" s="1">
        <v>4.8</v>
      </c>
      <c r="L3198" s="4">
        <v>27.13</v>
      </c>
      <c r="M3198" s="1">
        <v>1.86</v>
      </c>
      <c r="N3198" s="1">
        <v>1</v>
      </c>
      <c r="O3198" s="1">
        <v>0.94</v>
      </c>
      <c r="P3198" s="1">
        <v>286</v>
      </c>
      <c r="Q3198" s="1">
        <v>13.2</v>
      </c>
      <c r="R3198" s="1">
        <v>0.84</v>
      </c>
      <c r="S3198" s="2">
        <v>45602</v>
      </c>
      <c r="T3198" s="1">
        <v>203.98</v>
      </c>
      <c r="U3198" s="1">
        <v>0.72599999999999998</v>
      </c>
      <c r="V3198" s="6">
        <f t="shared" si="147"/>
        <v>7650.66</v>
      </c>
      <c r="W3198" s="6" t="str">
        <f t="shared" si="148"/>
        <v>Sufficient</v>
      </c>
      <c r="X3198" s="8" t="str">
        <f t="shared" si="149"/>
        <v>High</v>
      </c>
    </row>
    <row r="3199" spans="1:24">
      <c r="A3199" s="7" t="s">
        <v>3329</v>
      </c>
      <c r="B3199" s="1" t="s">
        <v>25</v>
      </c>
      <c r="C3199" s="1">
        <v>286</v>
      </c>
      <c r="D3199" s="1">
        <v>48</v>
      </c>
      <c r="E3199" s="1">
        <v>5</v>
      </c>
      <c r="F3199" s="1">
        <v>2</v>
      </c>
      <c r="G3199" s="1">
        <v>43.94</v>
      </c>
      <c r="H3199" s="1" t="s">
        <v>42</v>
      </c>
      <c r="I3199" s="1" t="s">
        <v>27</v>
      </c>
      <c r="J3199" s="1">
        <v>146</v>
      </c>
      <c r="K3199" s="1">
        <v>3.26</v>
      </c>
      <c r="L3199" s="4">
        <v>63.6</v>
      </c>
      <c r="M3199" s="1">
        <v>0.5</v>
      </c>
      <c r="N3199" s="1">
        <v>8</v>
      </c>
      <c r="O3199" s="1">
        <v>0.76</v>
      </c>
      <c r="P3199" s="1">
        <v>797</v>
      </c>
      <c r="Q3199" s="1">
        <v>14.82</v>
      </c>
      <c r="R3199" s="1">
        <v>0.3</v>
      </c>
      <c r="S3199" s="2">
        <v>45393</v>
      </c>
      <c r="T3199" s="1">
        <v>69.61</v>
      </c>
      <c r="U3199" s="1">
        <v>0.6</v>
      </c>
      <c r="V3199" s="6">
        <f t="shared" si="147"/>
        <v>18189.600000000002</v>
      </c>
      <c r="W3199" s="6" t="str">
        <f t="shared" si="148"/>
        <v>Sufficient</v>
      </c>
      <c r="X3199" s="8" t="str">
        <f t="shared" si="149"/>
        <v>High</v>
      </c>
    </row>
    <row r="3200" spans="1:24">
      <c r="A3200" s="7" t="s">
        <v>3330</v>
      </c>
      <c r="B3200" s="1" t="s">
        <v>41</v>
      </c>
      <c r="C3200" s="1">
        <v>378</v>
      </c>
      <c r="D3200" s="1">
        <v>97</v>
      </c>
      <c r="E3200" s="1">
        <v>9</v>
      </c>
      <c r="F3200" s="1">
        <v>3</v>
      </c>
      <c r="G3200" s="1">
        <v>29.04</v>
      </c>
      <c r="H3200" s="1" t="s">
        <v>276</v>
      </c>
      <c r="I3200" s="1" t="s">
        <v>27</v>
      </c>
      <c r="J3200" s="1">
        <v>132</v>
      </c>
      <c r="K3200" s="1">
        <v>3.78</v>
      </c>
      <c r="L3200" s="4">
        <v>171.44</v>
      </c>
      <c r="M3200" s="1">
        <v>0.26</v>
      </c>
      <c r="N3200" s="1">
        <v>5</v>
      </c>
      <c r="O3200" s="1">
        <v>0.87</v>
      </c>
      <c r="P3200" s="1">
        <v>866</v>
      </c>
      <c r="Q3200" s="1">
        <v>9.18</v>
      </c>
      <c r="R3200" s="1">
        <v>0.74</v>
      </c>
      <c r="S3200" s="2">
        <v>45587</v>
      </c>
      <c r="T3200" s="1">
        <v>30.09</v>
      </c>
      <c r="U3200" s="1">
        <v>0.71799999999999997</v>
      </c>
      <c r="V3200" s="6">
        <f t="shared" si="147"/>
        <v>64804.32</v>
      </c>
      <c r="W3200" s="6" t="str">
        <f t="shared" si="148"/>
        <v>Sufficient</v>
      </c>
      <c r="X3200" s="8" t="str">
        <f t="shared" si="149"/>
        <v>High</v>
      </c>
    </row>
    <row r="3201" spans="1:24">
      <c r="A3201" s="7" t="s">
        <v>3331</v>
      </c>
      <c r="B3201" s="1" t="s">
        <v>66</v>
      </c>
      <c r="C3201" s="1">
        <v>336</v>
      </c>
      <c r="D3201" s="1">
        <v>89</v>
      </c>
      <c r="E3201" s="1">
        <v>9</v>
      </c>
      <c r="F3201" s="1">
        <v>6</v>
      </c>
      <c r="G3201" s="1">
        <v>10.41</v>
      </c>
      <c r="H3201" s="1" t="s">
        <v>174</v>
      </c>
      <c r="I3201" s="1" t="s">
        <v>45</v>
      </c>
      <c r="J3201" s="1">
        <v>13</v>
      </c>
      <c r="K3201" s="1">
        <v>4.55</v>
      </c>
      <c r="L3201" s="4">
        <v>12.1</v>
      </c>
      <c r="M3201" s="1">
        <v>1.1299999999999999</v>
      </c>
      <c r="N3201" s="1">
        <v>7</v>
      </c>
      <c r="O3201" s="1">
        <v>0.76</v>
      </c>
      <c r="P3201" s="1">
        <v>492</v>
      </c>
      <c r="Q3201" s="1">
        <v>3.18</v>
      </c>
      <c r="R3201" s="1">
        <v>0.64</v>
      </c>
      <c r="S3201" s="2">
        <v>45586</v>
      </c>
      <c r="T3201" s="1">
        <v>177.98</v>
      </c>
      <c r="U3201" s="1">
        <v>0.46899999999999997</v>
      </c>
      <c r="V3201" s="6">
        <f t="shared" si="147"/>
        <v>4065.6</v>
      </c>
      <c r="W3201" s="6" t="str">
        <f t="shared" si="148"/>
        <v>Sufficient</v>
      </c>
      <c r="X3201" s="8" t="str">
        <f t="shared" si="149"/>
        <v>High</v>
      </c>
    </row>
    <row r="3202" spans="1:24">
      <c r="A3202" s="7" t="s">
        <v>3332</v>
      </c>
      <c r="B3202" s="1" t="s">
        <v>33</v>
      </c>
      <c r="C3202" s="1">
        <v>343</v>
      </c>
      <c r="D3202" s="1">
        <v>21</v>
      </c>
      <c r="E3202" s="1">
        <v>12</v>
      </c>
      <c r="F3202" s="1">
        <v>2</v>
      </c>
      <c r="G3202" s="1">
        <v>39.880000000000003</v>
      </c>
      <c r="H3202" s="1" t="s">
        <v>394</v>
      </c>
      <c r="I3202" s="1" t="s">
        <v>45</v>
      </c>
      <c r="J3202" s="1">
        <v>99</v>
      </c>
      <c r="K3202" s="1">
        <v>4.34</v>
      </c>
      <c r="L3202" s="4">
        <v>24.63</v>
      </c>
      <c r="M3202" s="1">
        <v>1.5</v>
      </c>
      <c r="N3202" s="1">
        <v>3</v>
      </c>
      <c r="O3202" s="1">
        <v>0.79</v>
      </c>
      <c r="P3202" s="1">
        <v>87</v>
      </c>
      <c r="Q3202" s="1">
        <v>11.8</v>
      </c>
      <c r="R3202" s="1">
        <v>0.2</v>
      </c>
      <c r="S3202" s="2">
        <v>45624</v>
      </c>
      <c r="T3202" s="1">
        <v>237.04</v>
      </c>
      <c r="U3202" s="1">
        <v>0.54500000000000004</v>
      </c>
      <c r="V3202" s="6">
        <f t="shared" si="147"/>
        <v>8448.09</v>
      </c>
      <c r="W3202" s="6" t="str">
        <f t="shared" si="148"/>
        <v>Sufficient</v>
      </c>
      <c r="X3202" s="8" t="str">
        <f t="shared" si="149"/>
        <v>High</v>
      </c>
    </row>
    <row r="3203" spans="1:24">
      <c r="A3203" s="7" t="s">
        <v>3333</v>
      </c>
      <c r="B3203" s="1" t="s">
        <v>66</v>
      </c>
      <c r="C3203" s="1">
        <v>428</v>
      </c>
      <c r="D3203" s="1">
        <v>43</v>
      </c>
      <c r="E3203" s="1">
        <v>5</v>
      </c>
      <c r="F3203" s="1">
        <v>7</v>
      </c>
      <c r="G3203" s="1">
        <v>2.68</v>
      </c>
      <c r="H3203" s="1" t="s">
        <v>183</v>
      </c>
      <c r="I3203" s="1" t="s">
        <v>27</v>
      </c>
      <c r="J3203" s="1">
        <v>105</v>
      </c>
      <c r="K3203" s="1">
        <v>1.48</v>
      </c>
      <c r="L3203" s="4">
        <v>79.040000000000006</v>
      </c>
      <c r="M3203" s="1">
        <v>1.46</v>
      </c>
      <c r="N3203" s="1">
        <v>4</v>
      </c>
      <c r="O3203" s="1">
        <v>0.77</v>
      </c>
      <c r="P3203" s="1">
        <v>833</v>
      </c>
      <c r="Q3203" s="1">
        <v>14.96</v>
      </c>
      <c r="R3203" s="1">
        <v>0.39</v>
      </c>
      <c r="S3203" s="2">
        <v>45624</v>
      </c>
      <c r="T3203" s="1">
        <v>34</v>
      </c>
      <c r="U3203" s="1">
        <v>0.60499999999999998</v>
      </c>
      <c r="V3203" s="6">
        <f t="shared" si="147"/>
        <v>33829.120000000003</v>
      </c>
      <c r="W3203" s="6" t="str">
        <f t="shared" si="148"/>
        <v>Sufficient</v>
      </c>
      <c r="X3203" s="8" t="str">
        <f t="shared" si="149"/>
        <v>High</v>
      </c>
    </row>
    <row r="3204" spans="1:24">
      <c r="A3204" s="7" t="s">
        <v>3334</v>
      </c>
      <c r="B3204" s="1" t="s">
        <v>33</v>
      </c>
      <c r="C3204" s="1">
        <v>415</v>
      </c>
      <c r="D3204" s="1">
        <v>80</v>
      </c>
      <c r="E3204" s="1">
        <v>14</v>
      </c>
      <c r="F3204" s="1">
        <v>5</v>
      </c>
      <c r="G3204" s="1">
        <v>49.15</v>
      </c>
      <c r="H3204" s="1" t="s">
        <v>135</v>
      </c>
      <c r="I3204" s="1" t="s">
        <v>39</v>
      </c>
      <c r="J3204" s="1">
        <v>38</v>
      </c>
      <c r="K3204" s="1">
        <v>0.76</v>
      </c>
      <c r="L3204" s="4">
        <v>199.89</v>
      </c>
      <c r="M3204" s="1">
        <v>1.1100000000000001</v>
      </c>
      <c r="N3204" s="1">
        <v>9</v>
      </c>
      <c r="O3204" s="1">
        <v>0.89</v>
      </c>
      <c r="P3204" s="1">
        <v>937</v>
      </c>
      <c r="Q3204" s="1">
        <v>7.63</v>
      </c>
      <c r="R3204" s="1">
        <v>0.6</v>
      </c>
      <c r="S3204" s="2">
        <v>45567</v>
      </c>
      <c r="T3204" s="1">
        <v>62.57</v>
      </c>
      <c r="U3204" s="1">
        <v>0.50900000000000001</v>
      </c>
      <c r="V3204" s="6">
        <f t="shared" ref="V3204:V3206" si="150">C3204*L3204</f>
        <v>82954.349999999991</v>
      </c>
      <c r="W3204" s="6" t="str">
        <f t="shared" ref="W3204:W3206" si="151">IF(C3204&lt;=D3204,"Reorder Required","Sufficient")</f>
        <v>Sufficient</v>
      </c>
      <c r="X3204" s="8" t="str">
        <f t="shared" ref="X3204:X3206" si="152">IF(C3204&lt;100,"LOW",IF(C3204&lt;250,"Medium","High"))</f>
        <v>High</v>
      </c>
    </row>
    <row r="3205" spans="1:24">
      <c r="A3205" s="7" t="s">
        <v>3335</v>
      </c>
      <c r="B3205" s="1" t="s">
        <v>33</v>
      </c>
      <c r="C3205" s="1">
        <v>173</v>
      </c>
      <c r="D3205" s="1">
        <v>84</v>
      </c>
      <c r="E3205" s="1">
        <v>3</v>
      </c>
      <c r="F3205" s="1">
        <v>9</v>
      </c>
      <c r="G3205" s="1">
        <v>43.39</v>
      </c>
      <c r="H3205" s="1" t="s">
        <v>91</v>
      </c>
      <c r="I3205" s="1" t="s">
        <v>27</v>
      </c>
      <c r="J3205" s="1">
        <v>95</v>
      </c>
      <c r="K3205" s="1">
        <v>4.66</v>
      </c>
      <c r="L3205" s="4">
        <v>65.45</v>
      </c>
      <c r="M3205" s="1">
        <v>1.04</v>
      </c>
      <c r="N3205" s="1">
        <v>4</v>
      </c>
      <c r="O3205" s="1">
        <v>0.86</v>
      </c>
      <c r="P3205" s="1">
        <v>905</v>
      </c>
      <c r="Q3205" s="1">
        <v>6.37</v>
      </c>
      <c r="R3205" s="1">
        <v>0.46</v>
      </c>
      <c r="S3205" s="2">
        <v>45381</v>
      </c>
      <c r="T3205" s="1">
        <v>36.96</v>
      </c>
      <c r="U3205" s="1">
        <v>0.56499999999999995</v>
      </c>
      <c r="V3205" s="6">
        <f t="shared" si="150"/>
        <v>11322.85</v>
      </c>
      <c r="W3205" s="6" t="str">
        <f t="shared" si="151"/>
        <v>Sufficient</v>
      </c>
      <c r="X3205" s="8" t="str">
        <f t="shared" si="152"/>
        <v>Medium</v>
      </c>
    </row>
    <row r="3206" spans="1:24">
      <c r="A3206" s="9" t="s">
        <v>3336</v>
      </c>
      <c r="B3206" s="10" t="s">
        <v>41</v>
      </c>
      <c r="C3206" s="10">
        <v>377</v>
      </c>
      <c r="D3206" s="10">
        <v>40</v>
      </c>
      <c r="E3206" s="10">
        <v>14</v>
      </c>
      <c r="F3206" s="10">
        <v>3</v>
      </c>
      <c r="G3206" s="10">
        <v>29.4</v>
      </c>
      <c r="H3206" s="10" t="s">
        <v>171</v>
      </c>
      <c r="I3206" s="10" t="s">
        <v>31</v>
      </c>
      <c r="J3206" s="10">
        <v>56</v>
      </c>
      <c r="K3206" s="10">
        <v>4.92</v>
      </c>
      <c r="L3206" s="11">
        <v>39.880000000000003</v>
      </c>
      <c r="M3206" s="10">
        <v>1.94</v>
      </c>
      <c r="N3206" s="10">
        <v>9</v>
      </c>
      <c r="O3206" s="10">
        <v>0.92</v>
      </c>
      <c r="P3206" s="10">
        <v>812</v>
      </c>
      <c r="Q3206" s="10">
        <v>8.74</v>
      </c>
      <c r="R3206" s="10">
        <v>0.54</v>
      </c>
      <c r="S3206" s="12">
        <v>45437</v>
      </c>
      <c r="T3206" s="10">
        <v>193.91</v>
      </c>
      <c r="U3206" s="10">
        <v>0.435</v>
      </c>
      <c r="V3206" s="13">
        <f>C3206*L3206</f>
        <v>15034.76</v>
      </c>
      <c r="W3206" s="13" t="str">
        <f t="shared" si="151"/>
        <v>Sufficient</v>
      </c>
      <c r="X3206" s="14" t="str">
        <f t="shared" si="152"/>
        <v>High</v>
      </c>
    </row>
  </sheetData>
  <sheetProtection algorithmName="SHA-512" hashValue="f+sCUkq+aNbKx+1bXPcQP628s4cCk1YiYl07rPtYifE9XS0IYTzU2tKsR+IYWgNyMwIERmH15x7DcpS81MZbxw==" saltValue="tXbwM0q2mNhj0q/mW/tdIA==" spinCount="100000" sheet="1" objects="1" scenarios="1"/>
  <protectedRanges>
    <protectedRange sqref="A3:X3206" name="Range1"/>
  </protectedRange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287E-A2FF-4A67-A25D-AE012DDF6192}">
  <dimension ref="A1:H11"/>
  <sheetViews>
    <sheetView showGridLines="0" workbookViewId="0">
      <selection activeCell="D14" sqref="D14"/>
    </sheetView>
  </sheetViews>
  <sheetFormatPr defaultRowHeight="15"/>
  <cols>
    <col min="1" max="1" width="36.5703125" bestFit="1" customWidth="1"/>
    <col min="2" max="2" width="37.140625" bestFit="1" customWidth="1"/>
    <col min="3" max="3" width="34" bestFit="1" customWidth="1"/>
    <col min="4" max="4" width="29" bestFit="1" customWidth="1"/>
  </cols>
  <sheetData>
    <row r="1" spans="1:8" ht="30.75" customHeight="1">
      <c r="A1" s="32" t="s">
        <v>3337</v>
      </c>
      <c r="B1" s="32"/>
      <c r="C1" s="32"/>
      <c r="D1" s="32"/>
      <c r="E1" s="32"/>
      <c r="F1" s="32"/>
      <c r="G1" s="32"/>
      <c r="H1" s="32"/>
    </row>
    <row r="2" spans="1:8" ht="15" customHeight="1">
      <c r="A2" s="32"/>
      <c r="B2" s="32"/>
      <c r="C2" s="32"/>
      <c r="D2" s="32"/>
      <c r="E2" s="32"/>
      <c r="F2" s="32"/>
      <c r="G2" s="32"/>
      <c r="H2" s="32"/>
    </row>
    <row r="3" spans="1:8" ht="15" customHeight="1">
      <c r="A3" s="32"/>
      <c r="B3" s="32"/>
      <c r="C3" s="32"/>
      <c r="D3" s="32"/>
      <c r="E3" s="32"/>
      <c r="F3" s="32"/>
      <c r="G3" s="32"/>
      <c r="H3" s="32"/>
    </row>
    <row r="7" spans="1:8" ht="23.25">
      <c r="A7" s="17" t="s">
        <v>3338</v>
      </c>
      <c r="B7" s="19" t="s">
        <v>3339</v>
      </c>
      <c r="C7" s="17" t="s">
        <v>3340</v>
      </c>
      <c r="D7" s="15" t="s">
        <v>3341</v>
      </c>
    </row>
    <row r="8" spans="1:8" ht="23.25">
      <c r="A8" s="18">
        <f>COUNTA('Raw Data'!A:A)-1</f>
        <v>3204</v>
      </c>
      <c r="B8" s="20">
        <f>SUM('Raw Data'!V:V)</f>
        <v>89566189.040000051</v>
      </c>
      <c r="C8" s="18">
        <f>COUNTIF('Raw Data'!W:W,"Reorder Required")</f>
        <v>240</v>
      </c>
      <c r="D8" s="16">
        <f>COUNTIF('Raw Data'!X:X,"Low")</f>
        <v>508</v>
      </c>
    </row>
    <row r="10" spans="1:8" ht="49.5">
      <c r="A10" s="21" t="s">
        <v>3342</v>
      </c>
      <c r="B10" s="21" t="s">
        <v>3343</v>
      </c>
      <c r="C10" s="17" t="s">
        <v>3344</v>
      </c>
      <c r="D10" s="15" t="s">
        <v>3345</v>
      </c>
    </row>
    <row r="11" spans="1:8" ht="23.25">
      <c r="A11" s="22">
        <f>AVERAGE('Raw Data'!G:G)</f>
        <v>25.435867665418218</v>
      </c>
      <c r="B11" s="18">
        <f>AVERAGE('Raw Data'!O:O)</f>
        <v>0.84973782771535511</v>
      </c>
      <c r="C11" s="22">
        <f>AVERAGE('Raw Data'!Q:Q)</f>
        <v>8.1236766541822814</v>
      </c>
      <c r="D11" s="23">
        <f>SUM('Raw Data'!P:P)</f>
        <v>1671574</v>
      </c>
    </row>
  </sheetData>
  <sheetProtection algorithmName="SHA-512" hashValue="XLqBO6nkFFNtpXpHExHMjTt8sgaa5xlqWFUP1RtfPhyBzcbqHkOrYUcOOutdSHNHPeE9OlNjHnwEp1DZOnDSLg==" saltValue="hzJW84AsWZfXqFx3siPhhg==" spinCount="100000" sheet="1" objects="1" scenarios="1"/>
  <protectedRanges>
    <protectedRange sqref="A1:XFD1048576" name="Range1"/>
  </protectedRanges>
  <mergeCells count="1">
    <mergeCell ref="A1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207D-E2F8-4F87-87FA-8A3971D3D05E}">
  <dimension ref="A1:N32"/>
  <sheetViews>
    <sheetView tabSelected="1" workbookViewId="0">
      <selection sqref="A1:XFD1048576"/>
    </sheetView>
  </sheetViews>
  <sheetFormatPr defaultRowHeight="15"/>
  <cols>
    <col min="1" max="1" width="11.7109375" bestFit="1" customWidth="1"/>
    <col min="2" max="2" width="17.5703125" bestFit="1" customWidth="1"/>
    <col min="8" max="8" width="11.7109375" bestFit="1" customWidth="1"/>
    <col min="9" max="9" width="20.85546875" bestFit="1" customWidth="1"/>
    <col min="10" max="10" width="37.140625" bestFit="1" customWidth="1"/>
  </cols>
  <sheetData>
    <row r="1" spans="1:14" ht="15.75">
      <c r="A1" s="33" t="s">
        <v>3346</v>
      </c>
      <c r="B1" s="33"/>
      <c r="C1" s="33"/>
      <c r="D1" s="33"/>
      <c r="E1" s="33"/>
      <c r="H1" s="33" t="s">
        <v>3347</v>
      </c>
      <c r="I1" s="33"/>
      <c r="J1" s="33"/>
      <c r="K1" s="33"/>
      <c r="L1" s="33"/>
      <c r="M1" s="33"/>
      <c r="N1" s="33"/>
    </row>
    <row r="2" spans="1:14">
      <c r="A2" s="30" t="s">
        <v>1</v>
      </c>
      <c r="B2" t="s">
        <v>3348</v>
      </c>
      <c r="H2" s="30" t="s">
        <v>22</v>
      </c>
      <c r="I2" t="s">
        <v>3349</v>
      </c>
    </row>
    <row r="3" spans="1:14">
      <c r="A3" t="s">
        <v>41</v>
      </c>
      <c r="B3" s="5">
        <v>160416</v>
      </c>
      <c r="H3" t="s">
        <v>3350</v>
      </c>
      <c r="I3" s="5">
        <v>240</v>
      </c>
    </row>
    <row r="4" spans="1:14">
      <c r="A4" t="s">
        <v>29</v>
      </c>
      <c r="B4" s="5">
        <v>170217</v>
      </c>
      <c r="H4" t="s">
        <v>3351</v>
      </c>
      <c r="I4" s="5">
        <v>2964</v>
      </c>
    </row>
    <row r="5" spans="1:14">
      <c r="A5" t="s">
        <v>66</v>
      </c>
      <c r="B5" s="5">
        <v>172266</v>
      </c>
      <c r="H5" t="s">
        <v>3352</v>
      </c>
      <c r="I5" s="5">
        <v>3204</v>
      </c>
    </row>
    <row r="6" spans="1:14">
      <c r="A6" t="s">
        <v>33</v>
      </c>
      <c r="B6" s="5">
        <v>162997</v>
      </c>
    </row>
    <row r="7" spans="1:14">
      <c r="A7" t="s">
        <v>25</v>
      </c>
      <c r="B7" s="5">
        <v>178331</v>
      </c>
    </row>
    <row r="8" spans="1:14" ht="15.75">
      <c r="A8" t="s">
        <v>3352</v>
      </c>
      <c r="B8" s="5">
        <v>844227</v>
      </c>
      <c r="H8" s="33" t="s">
        <v>3353</v>
      </c>
      <c r="I8" s="33"/>
      <c r="J8" s="33"/>
      <c r="K8" s="33"/>
      <c r="L8" s="33"/>
      <c r="M8" s="33"/>
      <c r="N8" s="33"/>
    </row>
    <row r="9" spans="1:14">
      <c r="H9" s="30" t="s">
        <v>23</v>
      </c>
      <c r="I9" t="s">
        <v>3349</v>
      </c>
    </row>
    <row r="10" spans="1:14" ht="15.75">
      <c r="A10" s="33" t="s">
        <v>3354</v>
      </c>
      <c r="B10" s="33"/>
      <c r="C10" s="33"/>
      <c r="D10" s="33"/>
      <c r="E10" s="33"/>
      <c r="H10" t="s">
        <v>3355</v>
      </c>
      <c r="I10" s="5">
        <v>1690</v>
      </c>
    </row>
    <row r="11" spans="1:14">
      <c r="A11" s="30" t="s">
        <v>1</v>
      </c>
      <c r="B11" t="s">
        <v>3356</v>
      </c>
      <c r="H11" t="s">
        <v>3357</v>
      </c>
      <c r="I11" s="5">
        <v>508</v>
      </c>
    </row>
    <row r="12" spans="1:14">
      <c r="A12" t="s">
        <v>41</v>
      </c>
      <c r="B12" s="5">
        <v>16804476.350000009</v>
      </c>
      <c r="H12" t="s">
        <v>3358</v>
      </c>
      <c r="I12" s="5">
        <v>1006</v>
      </c>
    </row>
    <row r="13" spans="1:14">
      <c r="A13" t="s">
        <v>29</v>
      </c>
      <c r="B13" s="5">
        <v>18042426.130000018</v>
      </c>
      <c r="H13" t="s">
        <v>3352</v>
      </c>
      <c r="I13" s="5">
        <v>3204</v>
      </c>
    </row>
    <row r="14" spans="1:14">
      <c r="A14" t="s">
        <v>66</v>
      </c>
      <c r="B14" s="5">
        <v>18234365.98999998</v>
      </c>
    </row>
    <row r="15" spans="1:14">
      <c r="A15" t="s">
        <v>33</v>
      </c>
      <c r="B15" s="5">
        <v>17342651.879999995</v>
      </c>
    </row>
    <row r="16" spans="1:14" ht="15.75">
      <c r="A16" t="s">
        <v>25</v>
      </c>
      <c r="B16" s="5">
        <v>19142268.690000013</v>
      </c>
      <c r="H16" s="34" t="s">
        <v>3359</v>
      </c>
      <c r="I16" s="35"/>
      <c r="J16" s="35"/>
      <c r="K16" s="35"/>
      <c r="L16" s="35"/>
      <c r="M16" s="35"/>
      <c r="N16" s="35"/>
    </row>
    <row r="17" spans="1:14">
      <c r="A17" t="s">
        <v>3352</v>
      </c>
      <c r="B17" s="5">
        <v>89566189.040000007</v>
      </c>
      <c r="H17" s="30" t="s">
        <v>8</v>
      </c>
      <c r="I17" t="s">
        <v>3360</v>
      </c>
    </row>
    <row r="18" spans="1:14">
      <c r="H18" t="s">
        <v>31</v>
      </c>
      <c r="I18" s="5">
        <v>418265</v>
      </c>
    </row>
    <row r="19" spans="1:14" ht="15.75">
      <c r="A19" s="33" t="s">
        <v>3361</v>
      </c>
      <c r="B19" s="33"/>
      <c r="C19" s="33"/>
      <c r="D19" s="33"/>
      <c r="E19" s="33"/>
      <c r="H19" t="s">
        <v>27</v>
      </c>
      <c r="I19" s="5">
        <v>406902</v>
      </c>
    </row>
    <row r="20" spans="1:14">
      <c r="A20" s="30" t="s">
        <v>1</v>
      </c>
      <c r="B20" t="s">
        <v>3362</v>
      </c>
      <c r="H20" t="s">
        <v>45</v>
      </c>
      <c r="I20" s="5">
        <v>410740</v>
      </c>
    </row>
    <row r="21" spans="1:14">
      <c r="A21" t="s">
        <v>41</v>
      </c>
      <c r="B21" s="31">
        <v>0.84742301458671043</v>
      </c>
      <c r="H21" t="s">
        <v>39</v>
      </c>
      <c r="I21" s="5">
        <v>435667</v>
      </c>
    </row>
    <row r="22" spans="1:14">
      <c r="A22" t="s">
        <v>29</v>
      </c>
      <c r="B22" s="31">
        <v>0.85185410334346567</v>
      </c>
      <c r="H22" t="s">
        <v>3352</v>
      </c>
      <c r="I22" s="5">
        <v>1671574</v>
      </c>
    </row>
    <row r="23" spans="1:14">
      <c r="A23" t="s">
        <v>66</v>
      </c>
      <c r="B23" s="31">
        <v>0.85132104454685242</v>
      </c>
    </row>
    <row r="24" spans="1:14">
      <c r="A24" t="s">
        <v>33</v>
      </c>
      <c r="B24" s="31">
        <v>0.84768608414239588</v>
      </c>
    </row>
    <row r="25" spans="1:14" ht="15.75">
      <c r="A25" t="s">
        <v>25</v>
      </c>
      <c r="B25" s="31">
        <v>0.85015151515151521</v>
      </c>
      <c r="H25" s="33" t="s">
        <v>3363</v>
      </c>
      <c r="I25" s="33"/>
      <c r="J25" s="33"/>
      <c r="K25" s="33"/>
      <c r="L25" s="33"/>
      <c r="M25" s="33"/>
      <c r="N25" s="33"/>
    </row>
    <row r="26" spans="1:14">
      <c r="A26" t="s">
        <v>3352</v>
      </c>
      <c r="B26" s="5">
        <v>0.84973782771535389</v>
      </c>
      <c r="H26" s="30" t="s">
        <v>1</v>
      </c>
      <c r="I26" t="s">
        <v>3364</v>
      </c>
      <c r="J26" t="s">
        <v>3365</v>
      </c>
    </row>
    <row r="27" spans="1:14">
      <c r="H27" t="s">
        <v>41</v>
      </c>
      <c r="I27" s="5">
        <v>259.9935170178282</v>
      </c>
      <c r="J27" s="5">
        <v>155.89658022690446</v>
      </c>
    </row>
    <row r="28" spans="1:14">
      <c r="H28" t="s">
        <v>29</v>
      </c>
      <c r="I28" s="5">
        <v>258.68844984802433</v>
      </c>
      <c r="J28" s="5">
        <v>153.65732522796355</v>
      </c>
    </row>
    <row r="29" spans="1:14">
      <c r="H29" t="s">
        <v>66</v>
      </c>
      <c r="I29" s="5">
        <v>264.61751152073731</v>
      </c>
      <c r="J29" s="5">
        <v>157.75898617511515</v>
      </c>
    </row>
    <row r="30" spans="1:14">
      <c r="H30" t="s">
        <v>33</v>
      </c>
      <c r="I30" s="5">
        <v>263.74919093851133</v>
      </c>
      <c r="J30" s="5">
        <v>153.79966019417466</v>
      </c>
    </row>
    <row r="31" spans="1:14">
      <c r="H31" t="s">
        <v>25</v>
      </c>
      <c r="I31" s="5">
        <v>270.19848484848484</v>
      </c>
      <c r="J31" s="5">
        <v>150.43807575757577</v>
      </c>
    </row>
    <row r="32" spans="1:14">
      <c r="H32" t="s">
        <v>3352</v>
      </c>
      <c r="I32" s="5">
        <v>263.49157303370788</v>
      </c>
      <c r="J32" s="5">
        <v>154.28624531835229</v>
      </c>
    </row>
  </sheetData>
  <sheetProtection algorithmName="SHA-512" hashValue="nY9zvr0ukyR8bNB06bI6v9UhCr8K9+phRjIEGIIUUx9cODlvu+165oQ5BZIL82qGreJTBAwaqYHBeuP3T0S7fQ==" saltValue="cBMp2C6yaZDAY8tJZ5V+UQ==" spinCount="100000" sheet="1" objects="1" scenarios="1"/>
  <protectedRanges>
    <protectedRange sqref="A1:XFD1048576" name="Range1"/>
  </protectedRanges>
  <mergeCells count="7">
    <mergeCell ref="A19:E19"/>
    <mergeCell ref="H25:N25"/>
    <mergeCell ref="A1:E1"/>
    <mergeCell ref="A10:E10"/>
    <mergeCell ref="H1:N1"/>
    <mergeCell ref="H8:N8"/>
    <mergeCell ref="H16:N16"/>
  </mergeCells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mohitmishra035455@outlook.com</cp:lastModifiedBy>
  <cp:revision/>
  <dcterms:created xsi:type="dcterms:W3CDTF">2026-06-26T09:50:38Z</dcterms:created>
  <dcterms:modified xsi:type="dcterms:W3CDTF">2026-06-26T13:40:38Z</dcterms:modified>
  <cp:category/>
  <cp:contentStatus/>
</cp:coreProperties>
</file>